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ách đọc file" sheetId="1" r:id="rId5"/>
    <sheet state="visible" name="Kế hoạch chèn link" sheetId="2" r:id="rId6"/>
    <sheet state="visible" name="Tổng hợp 75 trang đích" sheetId="3" r:id="rId7"/>
    <sheet state="visible" name="Link đi từ bài nào" sheetId="4" r:id="rId8"/>
    <sheet state="visible" name="Inlink đã chèn" sheetId="5" r:id="rId9"/>
    <sheet state="hidden" name="Inlink - Đề xuất 5 bài trang đí" sheetId="6" r:id="rId10"/>
    <sheet state="visible" name="Trang tính3" sheetId="7" r:id="rId11"/>
  </sheets>
  <definedNames>
    <definedName hidden="1" localSheetId="1" name="_xlnm._FilterDatabase">'Kế hoạch chèn link'!$A$1:$K$76</definedName>
    <definedName hidden="1" localSheetId="3" name="_xlnm._FilterDatabase">'Link đi từ bài nào'!$A$1:$C$1000</definedName>
  </definedNames>
  <calcPr/>
</workbook>
</file>

<file path=xl/sharedStrings.xml><?xml version="1.0" encoding="utf-8"?>
<sst xmlns="http://schemas.openxmlformats.org/spreadsheetml/2006/main" count="26820" uniqueCount="2233">
  <si>
    <t>STT</t>
  </si>
  <si>
    <t>MỞ TAB NÀO ĐỂ LÀM GÌ</t>
  </si>
  <si>
    <t>Nhóm</t>
  </si>
  <si>
    <t>Từ khoá chính</t>
  </si>
  <si>
    <t>Landingpage (trang đích)</t>
  </si>
  <si>
    <t>Tên tab</t>
  </si>
  <si>
    <t>Tổng số link</t>
  </si>
  <si>
    <t>Phù hợp cao</t>
  </si>
  <si>
    <t>Dùng để</t>
  </si>
  <si>
    <t>Có thể đi</t>
  </si>
  <si>
    <t>Cần soát</t>
  </si>
  <si>
    <t>Kế hoạch chèn link</t>
  </si>
  <si>
    <t>Tình trạng</t>
  </si>
  <si>
    <t>Xem nhanh. Mỗi trang đích là 1 dòng. Kéo sang phải sẽ thấy từng cặp: Anchortext + URL bài đặt link.</t>
  </si>
  <si>
    <t>Hoàn thiện</t>
  </si>
  <si>
    <t>Ghi chú</t>
  </si>
  <si>
    <t>Tổng hợp 75 trang đích</t>
  </si>
  <si>
    <t>Xem chi tiết. Mỗi link là 1 dòng. Ô xám bên trái ghi mỗi trang đích có bao nhiêu link và anchor nào dùng mấy lần.</t>
  </si>
  <si>
    <t>Link đi từ bài nào</t>
  </si>
  <si>
    <t>Xem ngược lại: một bài blog sẽ đặt link sang những trang đích nào.</t>
  </si>
  <si>
    <t>Inlink đã chèn</t>
  </si>
  <si>
    <t>Các link đang có sẵn trên web.</t>
  </si>
  <si>
    <t>Inlink - Đề xuất 5 bài/ trang đích, 3 link/ nguồn</t>
  </si>
  <si>
    <t>Bản rút gọn cũ, chỉ để so sánh.</t>
  </si>
  <si>
    <t>Ý nghĩa màu</t>
  </si>
  <si>
    <t>Xanh lá = nên chèn trước.   Xanh dương = chèn được.   Vàng = cần đọc lại bài rồi mới chèn.   Cam (chữ đậm) = anchor ưu tiên sếp giao ở tab Trang tính3.</t>
  </si>
  <si>
    <t>Lưu ý</t>
  </si>
  <si>
    <t>Mức độ phù hợp dựa trên tiêu đề và mô tả bài, chưa đọc nội dung bài.</t>
  </si>
  <si>
    <t>Anchor</t>
  </si>
  <si>
    <t>18 trang có trong tab Trang tính3 dùng đúng danh sách anchor của sếp (đã dùng hết từng anchor). 57 trang còn lại dùng anchor theo từ khoá chính của trang.</t>
  </si>
  <si>
    <t>URL đích</t>
  </si>
  <si>
    <t>Số bài blog chèn link</t>
  </si>
  <si>
    <t>Số bài blog chèn link trong thân bài</t>
  </si>
  <si>
    <t>Anchor text</t>
  </si>
  <si>
    <t>Bài blog chứa link</t>
  </si>
  <si>
    <t>Bài nguồn (nơi đặt link)</t>
  </si>
  <si>
    <t>https://techcombank.com/thong-tin/blog/lai-suat-vay-mua-o-to</t>
  </si>
  <si>
    <t>Số link đi ra</t>
  </si>
  <si>
    <t>Trỏ về các trang đích</t>
  </si>
  <si>
    <t>https://techcombank.com/thong-tin/blog/nop-thue-dat-qua-ngan-hang</t>
  </si>
  <si>
    <t>URL 01 (bài đặt link)</t>
  </si>
  <si>
    <t>Anchortext 02</t>
  </si>
  <si>
    <t>URL 02 (bài đặt link)</t>
  </si>
  <si>
    <t>Anchortext 03</t>
  </si>
  <si>
    <t>URL 03 (bài đặt link)</t>
  </si>
  <si>
    <t>Anchortext 04</t>
  </si>
  <si>
    <t>URL 04 (bài đặt link)</t>
  </si>
  <si>
    <t>Anchortext 05</t>
  </si>
  <si>
    <t>URL 05 (bài đặt link)</t>
  </si>
  <si>
    <t>https://techcombank.com/thong-tin/blog/cach-nop-thue-dien-tu</t>
  </si>
  <si>
    <t>Anchortext 06</t>
  </si>
  <si>
    <t>URL 06 (bài đặt link)</t>
  </si>
  <si>
    <t>Link trỏ về (trang đích)</t>
  </si>
  <si>
    <t>Anchortext 07</t>
  </si>
  <si>
    <t>URL 07 (bài đặt link)</t>
  </si>
  <si>
    <t>Anchortext 08</t>
  </si>
  <si>
    <t>Tổng số link trỏ về trang này</t>
  </si>
  <si>
    <t>URL 08 (bài đặt link)</t>
  </si>
  <si>
    <t>Anchortext 09</t>
  </si>
  <si>
    <t>URL 09 (bài đặt link)</t>
  </si>
  <si>
    <t>Anchortext 10</t>
  </si>
  <si>
    <t>Thống kê anchor text (anchor – số link)</t>
  </si>
  <si>
    <t>URL 10 (bài đặt link)</t>
  </si>
  <si>
    <t>Anchortext 11</t>
  </si>
  <si>
    <t>https://techcombank.com/thong-tin/blog/thue-thu-nhap-doanh-nghiep</t>
  </si>
  <si>
    <t>Link đi từ bài (bài nguồn – nơi đặt link)</t>
  </si>
  <si>
    <t>URL 11 (bài đặt link)</t>
  </si>
  <si>
    <t>Anchortext 12</t>
  </si>
  <si>
    <t>Mức độ phù hợp</t>
  </si>
  <si>
    <t>Lý do</t>
  </si>
  <si>
    <t>URL 12 (bài đặt link)</t>
  </si>
  <si>
    <t>Vị trí chèn</t>
  </si>
  <si>
    <t>Anchortext 13</t>
  </si>
  <si>
    <t>Trích đoạn gốc</t>
  </si>
  <si>
    <t>URL 13 (bài đặt link)</t>
  </si>
  <si>
    <t>Đề xuất nội dung chèn link</t>
  </si>
  <si>
    <t>Anchortext 14</t>
  </si>
  <si>
    <t>Ghi chú biên tập</t>
  </si>
  <si>
    <t>URL 14 (bài đặt link)</t>
  </si>
  <si>
    <t>Anchortext 15</t>
  </si>
  <si>
    <t>URL 15 (bài đặt link)</t>
  </si>
  <si>
    <t>Anchortext 16</t>
  </si>
  <si>
    <t>URL 16 (bài đặt link)</t>
  </si>
  <si>
    <t>Anchortext 17</t>
  </si>
  <si>
    <t>https://techcombank.com/thong-tin/blog/thue-vat-la-gi</t>
  </si>
  <si>
    <t>URL 17 (bài đặt link)</t>
  </si>
  <si>
    <t>Anchortext 18</t>
  </si>
  <si>
    <t>URL 18 (bài đặt link)</t>
  </si>
  <si>
    <t>Anchortext 19</t>
  </si>
  <si>
    <t>Auto Loan</t>
  </si>
  <si>
    <t>URL 19 (bài đặt link)</t>
  </si>
  <si>
    <t>Anchortext 20</t>
  </si>
  <si>
    <t>URL 20 (bài đặt link)</t>
  </si>
  <si>
    <t>Anchortext 21</t>
  </si>
  <si>
    <t>URL 21 (bài đặt link)</t>
  </si>
  <si>
    <t>Anchortext 22</t>
  </si>
  <si>
    <t>URL 22 (bài đặt link)</t>
  </si>
  <si>
    <t>https://techcombank.com/thong-tin/blog/tra-cuu-no-thue-doanh-nghiep</t>
  </si>
  <si>
    <t>Anchortext 23</t>
  </si>
  <si>
    <t>URL 23 (bài đặt link)</t>
  </si>
  <si>
    <t>Anchortext 24</t>
  </si>
  <si>
    <t>URL 24 (bài đặt link)</t>
  </si>
  <si>
    <t>Anchortext 25</t>
  </si>
  <si>
    <t>URL 25 (bài đặt link)</t>
  </si>
  <si>
    <t>Anchortext 26</t>
  </si>
  <si>
    <t>URL 26 (bài đặt link)</t>
  </si>
  <si>
    <t>Anchortext 27</t>
  </si>
  <si>
    <t>URL 27 (bài đặt link)</t>
  </si>
  <si>
    <t>Anchortext 28</t>
  </si>
  <si>
    <t>URL 28 (bài đặt link)</t>
  </si>
  <si>
    <t>https://techcombank.com/thong-tin/blog/thue-doanh-nghiep</t>
  </si>
  <si>
    <t>Anchortext 29</t>
  </si>
  <si>
    <t>URL 29 (bài đặt link)</t>
  </si>
  <si>
    <t>Anchortext 30</t>
  </si>
  <si>
    <t>URL 30 (bài đặt link)</t>
  </si>
  <si>
    <t>Anchortext 31</t>
  </si>
  <si>
    <t>URL 31 (bài đặt link)</t>
  </si>
  <si>
    <t>Anchortext 32</t>
  </si>
  <si>
    <t>URL 32 (bài đặt link)</t>
  </si>
  <si>
    <t>Anchortext 33</t>
  </si>
  <si>
    <t>URL 33 (bài đặt link)</t>
  </si>
  <si>
    <t>Anchortext 34</t>
  </si>
  <si>
    <t>URL 34 (bài đặt link)</t>
  </si>
  <si>
    <t>Anchortext 35</t>
  </si>
  <si>
    <t>URL 35 (bài đặt link)</t>
  </si>
  <si>
    <t>Anchortext 36</t>
  </si>
  <si>
    <t>https://techcombank.com/thong-tin/blog/cong-ty-su-dung-tai-khoan-ca-nhan</t>
  </si>
  <si>
    <t>URL 36 (bài đặt link)</t>
  </si>
  <si>
    <t>Anchortext 37</t>
  </si>
  <si>
    <t>URL 37 (bài đặt link)</t>
  </si>
  <si>
    <t>Anchortext 38</t>
  </si>
  <si>
    <t>URL 38 (bài đặt link)</t>
  </si>
  <si>
    <t>Anchortext 39</t>
  </si>
  <si>
    <t>URL 39 (bài đặt link)</t>
  </si>
  <si>
    <t>Anchortext 40</t>
  </si>
  <si>
    <t>URL 40 (bài đặt link)</t>
  </si>
  <si>
    <t>Anchortext 41</t>
  </si>
  <si>
    <t>URL 41 (bài đặt link)</t>
  </si>
  <si>
    <t>Anchortext 42</t>
  </si>
  <si>
    <t>URL 42 (bài đặt link)</t>
  </si>
  <si>
    <t>Anchortext 43</t>
  </si>
  <si>
    <t>https://techcombank.com/thong-tin/blog/cach-tinh-thue-thu-nhap-doanh-nghiep</t>
  </si>
  <si>
    <t>URL 43 (bài đặt link)</t>
  </si>
  <si>
    <t>Anchortext 44</t>
  </si>
  <si>
    <t>URL 44 (bài đặt link)</t>
  </si>
  <si>
    <t>Anchortext 45</t>
  </si>
  <si>
    <t>URL 45 (bài đặt link)</t>
  </si>
  <si>
    <t>Anchortext 46</t>
  </si>
  <si>
    <t>URL 46 (bài đặt link)</t>
  </si>
  <si>
    <t>Anchortext 47</t>
  </si>
  <si>
    <t>URL 47 (bài đặt link)</t>
  </si>
  <si>
    <t>Anchortext 48</t>
  </si>
  <si>
    <t>URL 48 (bài đặt link)</t>
  </si>
  <si>
    <t>Anchortext 49</t>
  </si>
  <si>
    <t>URL 49 (bài đặt link)</t>
  </si>
  <si>
    <t>Anchortext 50</t>
  </si>
  <si>
    <t>URL 50 (bài đặt link)</t>
  </si>
  <si>
    <t>Anchortext 51</t>
  </si>
  <si>
    <t>URL 51 (bài đặt link)</t>
  </si>
  <si>
    <t>Anchortext 52</t>
  </si>
  <si>
    <t>URL 52 (bài đặt link)</t>
  </si>
  <si>
    <t>Anchortext 53</t>
  </si>
  <si>
    <t>URL 53 (bài đặt link)</t>
  </si>
  <si>
    <t>Anchortext 54</t>
  </si>
  <si>
    <t>URL 54 (bài đặt link)</t>
  </si>
  <si>
    <t>Anchortext 55</t>
  </si>
  <si>
    <t>URL 55 (bài đặt link)</t>
  </si>
  <si>
    <t>Anchortext 56</t>
  </si>
  <si>
    <t>URL 56 (bài đặt link)</t>
  </si>
  <si>
    <t>https://techcombank.com/thong-tin/blog/cach-nap-the-viettel</t>
  </si>
  <si>
    <t>Anchortext 57</t>
  </si>
  <si>
    <t>URL 57 (bài đặt link)</t>
  </si>
  <si>
    <t>Anchortext 58</t>
  </si>
  <si>
    <t>URL 58 (bài đặt link)</t>
  </si>
  <si>
    <t>Anchortext 59</t>
  </si>
  <si>
    <t>URL 59 (bài đặt link)</t>
  </si>
  <si>
    <t>Anchortext 60</t>
  </si>
  <si>
    <t>URL 60 (bài đặt link)</t>
  </si>
  <si>
    <t>Anchortext 61</t>
  </si>
  <si>
    <t>URL 61 (bài đặt link)</t>
  </si>
  <si>
    <t>Anchortext 62</t>
  </si>
  <si>
    <t>URL 62 (bài đặt link)</t>
  </si>
  <si>
    <t>Anchortext 63</t>
  </si>
  <si>
    <t>URL 63 (bài đặt link)</t>
  </si>
  <si>
    <t>Anchortext 64</t>
  </si>
  <si>
    <t>URL 64 (bài đặt link)</t>
  </si>
  <si>
    <t>Anchortext 65</t>
  </si>
  <si>
    <t>URL 65 (bài đặt link)</t>
  </si>
  <si>
    <t>Anchortext 66</t>
  </si>
  <si>
    <t>URL 66 (bài đặt link)</t>
  </si>
  <si>
    <t>Anchortext 67</t>
  </si>
  <si>
    <t>URL 67 (bài đặt link)</t>
  </si>
  <si>
    <t>Anchortext 68</t>
  </si>
  <si>
    <t>https://techcombank.com/thong-tin/blog/cach-tinh-tien-dien-sinh-hoat</t>
  </si>
  <si>
    <t>URL 68 (bài đặt link)</t>
  </si>
  <si>
    <t>Anchortext 69</t>
  </si>
  <si>
    <t>URL 69 (bài đặt link)</t>
  </si>
  <si>
    <t>Anchortext 70</t>
  </si>
  <si>
    <t>URL 70 (bài đặt link)</t>
  </si>
  <si>
    <t>Anchortext 71</t>
  </si>
  <si>
    <t>URL 71 (bài đặt link)</t>
  </si>
  <si>
    <t>Anchortext 72</t>
  </si>
  <si>
    <t>URL 72 (bài đặt link)</t>
  </si>
  <si>
    <t>Anchortext 73</t>
  </si>
  <si>
    <t>URL 73 (bài đặt link)</t>
  </si>
  <si>
    <t>Anchortext 74</t>
  </si>
  <si>
    <t>URL 74 (bài đặt link)</t>
  </si>
  <si>
    <t>Anchortext 75</t>
  </si>
  <si>
    <t>URL 75 (bài đặt link)</t>
  </si>
  <si>
    <t>Anchortext 76</t>
  </si>
  <si>
    <t>URL 76 (bài đặt link)</t>
  </si>
  <si>
    <t>Anchortext 77</t>
  </si>
  <si>
    <t>URL 77 (bài đặt link)</t>
  </si>
  <si>
    <t>Anchortext 78</t>
  </si>
  <si>
    <t>URL 78 (bài đặt link)</t>
  </si>
  <si>
    <t>Anchortext 79</t>
  </si>
  <si>
    <t>URL 79 (bài đặt link)</t>
  </si>
  <si>
    <t>Anchortext 80</t>
  </si>
  <si>
    <t>https://techcombank.com/thong-tin/blog/cach-tinh-thue-thu-nhap-ca-nhan-2025</t>
  </si>
  <si>
    <t>URL 80 (bài đặt link)</t>
  </si>
  <si>
    <t>Anchortext 81</t>
  </si>
  <si>
    <t>URL 81 (bài đặt link)</t>
  </si>
  <si>
    <t>Anchortext 82</t>
  </si>
  <si>
    <t>URL 82 (bài đặt link)</t>
  </si>
  <si>
    <t>Anchortext 83</t>
  </si>
  <si>
    <t>URL 83 (bài đặt link)</t>
  </si>
  <si>
    <t>Anchortext 84</t>
  </si>
  <si>
    <t>URL 84 (bài đặt link)</t>
  </si>
  <si>
    <t>Anchortext 85</t>
  </si>
  <si>
    <t>URL 85 (bài đặt link)</t>
  </si>
  <si>
    <t>Anchortext 86</t>
  </si>
  <si>
    <t>URL 86 (bài đặt link)</t>
  </si>
  <si>
    <t>Anchortext 87</t>
  </si>
  <si>
    <t>URL 87 (bài đặt link)</t>
  </si>
  <si>
    <t>Anchortext 88</t>
  </si>
  <si>
    <t>URL 88 (bài đặt link)</t>
  </si>
  <si>
    <t>Anchortext 89</t>
  </si>
  <si>
    <t>URL 89 (bài đặt link)</t>
  </si>
  <si>
    <t>Anchortext 90</t>
  </si>
  <si>
    <t>URL 90 (bài đặt link)</t>
  </si>
  <si>
    <t>Anchortext 91</t>
  </si>
  <si>
    <t>URL 91 (bài đặt link)</t>
  </si>
  <si>
    <t>Anchortext 92</t>
  </si>
  <si>
    <t>URL 92 (bài đặt link)</t>
  </si>
  <si>
    <t>Anchortext 93</t>
  </si>
  <si>
    <t>URL 93 (bài đặt link)</t>
  </si>
  <si>
    <t>https://techcombank.com/thong-tin/blog/cach-kiem-tra-tai-khoan-ngan-hang</t>
  </si>
  <si>
    <t>lãi suất vay mua ô tô</t>
  </si>
  <si>
    <t>https://techcombank.com/thong-tin/blog/cach-mo-tai-khoan</t>
  </si>
  <si>
    <t>https://techcombank.com/thong-tin/blog/vay-mua-xe-tra-gop-ngan-hang-nao-tot-nhat</t>
  </si>
  <si>
    <t>https://techcombank.com/thong-tin/blog/ngan-hang-uy-tin</t>
  </si>
  <si>
    <t>PHÙ HỢP CAO</t>
  </si>
  <si>
    <t>Bài so sánh ngân hàng cho vay mua xe — lãi suất là tiêu chí chọn ngân hàng, người đọc cần bảng lãi suất cụ thể.</t>
  </si>
  <si>
    <t>Chưa đọc được nội dung</t>
  </si>
  <si>
    <t>—</t>
  </si>
  <si>
    <t>https://techcombank.com/thong-tin/blog/chuyen-khoan-thanh-cong-nhung-khong-nhan-duoc-tien</t>
  </si>
  <si>
    <t>Chưa hoàn thành</t>
  </si>
  <si>
    <t>https://techcombank.com/thong-tin/blog/co-nen-mua-o-to-tra-gop</t>
  </si>
  <si>
    <t/>
  </si>
  <si>
    <t>lãi suất vay mua xe ô tô</t>
  </si>
  <si>
    <t>Bài tư vấn mua ô tô trả góp; quyết định mua trả góp phụ thuộc trực tiếp vào mức lãi suất vay.</t>
  </si>
  <si>
    <t>https://techcombank.com/thong-tin/blog/thu-tuc-mua-xe-tra-gop</t>
  </si>
  <si>
    <t>https://techcombank.com/thong-tin/blog/bao-nhieu-tuoi-duoc-mo-tai-khoan-ngan-hang</t>
  </si>
  <si>
    <t>lãi suất vay mua ô tô các ngân hàng</t>
  </si>
  <si>
    <t>Bài hướng dẫn hồ sơ, thủ tục mua xe trả góp — bước sau khi người đọc so sánh lãi suất.</t>
  </si>
  <si>
    <t>https://techcombank.com/thong-tin/blog/nen-mua-xe-tra-gop-hay-tra-thang</t>
  </si>
  <si>
    <t>Bao nhiêu tuổi được mở tài khoản ngân hàng?</t>
  </si>
  <si>
    <t>https://techcombank.com/thong-tin/blog/mo-tai-khoan-ngan-hang-duoi-18-tuoi</t>
  </si>
  <si>
    <t>mua xe trả góp lãi suất bao nhiêu</t>
  </si>
  <si>
    <t>So sánh trả góp và trả thẳng — phần chi phí trả góp cần dẫn sang lãi suất vay mua ô tô.</t>
  </si>
  <si>
    <t>https://techcombank.com/thong-tin/blog/vay-the-chap-xe-o-to-cu</t>
  </si>
  <si>
    <t>https://techcombank.com/thong-tin/blog/nap-tien-vao-tai-khoan-ngan-hang</t>
  </si>
  <si>
    <t>CÓ THỂ ĐI</t>
  </si>
  <si>
    <t>Chủ đề vay thế chấp mua xe cũ; chèn được ở đoạn nói về chi phí/lãi vay.</t>
  </si>
  <si>
    <t>https://techcombank.com/thong-tin/blog/mua-bao-hiem-o-to-dien</t>
  </si>
  <si>
    <t>https://techcombank.com/thong-tin/blog/cach-sao-ke-tai-khoan-ngan-hang</t>
  </si>
  <si>
    <t>CẦN SOÁT</t>
  </si>
  <si>
    <t>Nhắc: ô tô.</t>
  </si>
  <si>
    <t>https://techcombank.com/thong-tin/blog/mua-bao-hiem-o-to</t>
  </si>
  <si>
    <t>https://techcombank.com/thong-tin/blog/day-so-phat-tai-phat-loc</t>
  </si>
  <si>
    <t>Business Account</t>
  </si>
  <si>
    <t>https://techcombank.com/thong-tin/blog/kiem-tra-thue-thu-nhap-ca-nhan</t>
  </si>
  <si>
    <t>https://techcombank.com/thong-tin/blog/ten-dang-nhap-tai-khoan-ngan-hang-la-gi</t>
  </si>
  <si>
    <t>https://techcombank.com/thong-tin/blog/thue-thu-nhap-ca-nhan</t>
  </si>
  <si>
    <t>https://techcombank.com/thong-tin/blog/rut-tien-bang-ma-qr-la-gi-cach-thuc-hien-nhu-the-nao</t>
  </si>
  <si>
    <t>https://techcombank.com/thong-tin/blog/lien-ket-tai-khoan-ngan-hang-voi-etax-mobile</t>
  </si>
  <si>
    <t>https://techcombank.com/thong-tin/blog/cach-quet-nfc-cccd-tren-iphone</t>
  </si>
  <si>
    <t>đóng thuế đất online</t>
  </si>
  <si>
    <t>Liên kết tài khoản ngân hàng với eTax Mobile là bước bắt buộc để nộp thuế đất online qua ngân hàng.</t>
  </si>
  <si>
    <t>https://techcombank.com/thong-tin/blog/eco-card</t>
  </si>
  <si>
    <t>nộp thuế đất qua ngân hàng</t>
  </si>
  <si>
    <t>https://techcombank.com/thong-tin/blog/cic-la-gi</t>
  </si>
  <si>
    <t>nộp thuế đất online</t>
  </si>
  <si>
    <t>Bài hướng dẫn nộp thuế online chung — có thể dẫn sang trường hợp cụ thể là thuế đất.</t>
  </si>
  <si>
    <t>https://techcombank.com/thong-tin/blog/ho-so-thu-tuc-xoa-the-chap</t>
  </si>
  <si>
    <t>https://techcombank.com/thong-tin/blog/rut-tien-mat-tu-the-tin-dung</t>
  </si>
  <si>
    <t>cách nộp thuế đất online</t>
  </si>
  <si>
    <t>Bài thủ tục sổ đỏ/đất đai; chèn được nếu có đoạn nhắc nghĩa vụ tài chính về đất. (Liên quan yếu – bản chặt đã loại.)</t>
  </si>
  <si>
    <t>https://techcombank.com/thong-tin/blog/quyet-toan-thue-thu-nhap-ca-nhan</t>
  </si>
  <si>
    <t>Nhắc: nộp thuế, etax.</t>
  </si>
  <si>
    <t>Năm cũ: không ghi năm.</t>
  </si>
  <si>
    <t>https://techcombank.com/thong-tin/blog/tra-cuu-no-thue-hai-quan</t>
  </si>
  <si>
    <t>https://techcombank.com/thong-tin/blog/lam-the-tin-dung</t>
  </si>
  <si>
    <t>Nhắc: nộp thuế.</t>
  </si>
  <si>
    <t>https://techcombank.com/khach-hang-ca-nhan/chi-tieu/the/the-tin-dung/techcombank-everyday</t>
  </si>
  <si>
    <t>https://techcombank.com/thong-tin/blog/tra-cuu-no-thue-ho-kinh-doanh</t>
  </si>
  <si>
    <t>https://techcombank.com/thong-tin/blog/the-tin-dung-hoan-tien</t>
  </si>
  <si>
    <t>Nhắc: etax.</t>
  </si>
  <si>
    <t>https://techcombank.com/thong-tin/blog/truy-thu-thue-ho-kinh-doanh</t>
  </si>
  <si>
    <t>https://techcombank.com/thong-tin/blog/kiem-tra-thue-ho-kinh-doanh</t>
  </si>
  <si>
    <t>https://techcombank.com/thong-tin/blog/cach-huy-the-tin-dung</t>
  </si>
  <si>
    <t>https://techcombank.com/thong-tin/blog/tra-cuu-no-thue-ca-nhan</t>
  </si>
  <si>
    <t>https://techcombank.com/thong-tin/blog/xep-hang-tin-dung</t>
  </si>
  <si>
    <t>https://techcombank.com/thong-tin/blog/cach-thanh-toan-the-tin-dung</t>
  </si>
  <si>
    <t>https://techcombank.com/thong-tin/blog/hoan-thue-thu-nhap-ca-nhan</t>
  </si>
  <si>
    <t>https://techcombank.com/thong-tin/blog/chung-chi-tien-gui-la-gi</t>
  </si>
  <si>
    <t>https://techcombank.com/thong-tin/blog/ke-khai-thue-ho-kinh-doanh-ca-the-online</t>
  </si>
  <si>
    <t>https://techcombank.com/thong-tin/blog/lai-suat-chung-chi-tien-gui-cac-ngan-hang</t>
  </si>
  <si>
    <t>https://techcombank.com/thong-tin/blog/thue-thuong-mai-dien-tu</t>
  </si>
  <si>
    <t>https://techcombank.com/thong-tin/blog/1-te-bang-bao-nhieu-tien-viet-nam</t>
  </si>
  <si>
    <t>https://techcombank.com/thong-tin/blog/1-dong-do-la-my-bang-bao-nhieu-tien-viet-nam</t>
  </si>
  <si>
    <t>https://techcombank.com/thong-tin/blog/ke-khai-thue-doanh-nghiep</t>
  </si>
  <si>
    <t>https://techcombank.com/thong-tin/blog/tien-nhat</t>
  </si>
  <si>
    <t>https://techcombank.com/thong-tin/blog/1-yen-bang-bao-nhieu-tien-viet-nam</t>
  </si>
  <si>
    <t>https://techcombank.com/thong-tin/blog/1-won-bang-bao-nhieu-tien-viet</t>
  </si>
  <si>
    <t>https://techcombank.com/thong-tin/blog/nop-thue-hai-quan</t>
  </si>
  <si>
    <t>https://techcombank.com/thong-tin/blog/tien-dai-loan</t>
  </si>
  <si>
    <t>https://techcombank.com/thong-tin/blog/tien-chuyen-vao-tai-khoan-co-bi-tinh-thue-khong</t>
  </si>
  <si>
    <t>https://techcombank.com/thong-tin/blog/1-man-bang-bao-nhieu-tien-viet</t>
  </si>
  <si>
    <t>https://techcombank.com/thong-tin/blog/tien-thai-lan</t>
  </si>
  <si>
    <t>https://techcombank.com/thong-tin/blog/1-trieu-do-bang-bao-nhieu-tien-viet</t>
  </si>
  <si>
    <t>https://techcombank.com/thong-tin/blog/1000-won-bang-bao-nhieu-tien-viet</t>
  </si>
  <si>
    <t>https://techcombank.com/thong-tin/blog/cach-nhan-tien-tu-nuoc-ngoai-ve-viet-nam</t>
  </si>
  <si>
    <t>https://techcombank.com/thong-tin/blog/doi-tien-do-o-dau</t>
  </si>
  <si>
    <t>https://techcombank.com/thong-tin/blog/lai-suat-vay-the-chap-so-do</t>
  </si>
  <si>
    <t>Nhắc: sổ đỏ.</t>
  </si>
  <si>
    <t>https://techcombank.com/thong-tin/blog/vay-ngan-hang-1-ty-moi-thang-tra-bao-nhieu</t>
  </si>
  <si>
    <t>https://techcombank.com/thong-tin/blog/han-muc-vay-the-chap-so-do</t>
  </si>
  <si>
    <t>https://techcombank.com/thong-tin/blog/traveloka-voucher</t>
  </si>
  <si>
    <t>https://techcombank.com/thong-tin/blog/ho-kinh-doanh-dong-thue-nhu-nao</t>
  </si>
  <si>
    <t>https://techcombank.com/thong-tin/blog/mo-hinh-kinh-doanh-la-gi</t>
  </si>
  <si>
    <t>https://techcombank.com/thong-tin/blog/gui-ma-qr-ngan-hang</t>
  </si>
  <si>
    <t>https://techcombank.com/thong-tin/blog/mo-tai-khoan-ho-kinh-doanh</t>
  </si>
  <si>
    <t>https://techcombank.com/thong-tin/blog/cach-tinh-thue-ho-kinh-doanh-nho-le</t>
  </si>
  <si>
    <t>cách nộp thuế điện tử</t>
  </si>
  <si>
    <t>https://techcombank.com/thong-tin/blog/cach-tinh-lai-vay-ngan-hang</t>
  </si>
  <si>
    <t>nộp thuế online</t>
  </si>
  <si>
    <t>Bài liên kết tài khoản với eTax Mobile — người đọc làm xong sẽ cần bước nộp thuế.</t>
  </si>
  <si>
    <t>nộp thuế hộ trên etax</t>
  </si>
  <si>
    <t>Quyết toán TNCN online → nếu còn thiếu thuế phải nộp qua cổng thuế điện tử.</t>
  </si>
  <si>
    <t>Title/URL còn năm cũ (2025): nên cập nhật; câu chèn không ghi năm.</t>
  </si>
  <si>
    <t>Kê khai thuế HKD online, sau khi kê khai là bước nộp thuế điện tử.</t>
  </si>
  <si>
    <t>Làm thủ tục hoàn thuế trên eTax Mobile — cùng công cụ, chèn ở đoạn giới thiệu eTax.</t>
  </si>
  <si>
    <t>Bài nộp thuế hải quan online — có thể dẫn sang hướng dẫn nộp thuế điện tử nội địa.</t>
  </si>
  <si>
    <t>https://techcombank.com/thong-tin/blog/lai-suat-tiet-kiem</t>
  </si>
  <si>
    <t>https://techcombank.com/thong-tin/blog/hoan-thue-doanh-nghiep</t>
  </si>
  <si>
    <t>https://techcombank.com/thong-tin/blog/cach-tinh-lai-suat-tien-gui-tiet-kiem</t>
  </si>
  <si>
    <t>Nhắc: quyết toán thuế, hoàn thuế.</t>
  </si>
  <si>
    <t>Nhắc: etax, thuế điện tử.</t>
  </si>
  <si>
    <t>https://techcombank.com/thong-tin/blog/rut-tien-tiet-kiem-truoc-thoi-han</t>
  </si>
  <si>
    <t>Nhắc: nộp thuế, etax, thuế điện tử.</t>
  </si>
  <si>
    <t>https://techcombank.com/thong-tin/blog/so-tiet-kiem-ngan-hang</t>
  </si>
  <si>
    <t>https://techcombank.com/thong-tin/blog/cach-tiet-kiem-tien</t>
  </si>
  <si>
    <t>https://techcombank.com/thong-tin/blog/rui-ro-khi-gui-tiet-kiem-online</t>
  </si>
  <si>
    <t>Nhắc: kê khai thuế.</t>
  </si>
  <si>
    <t>https://techcombank.com/thong-tin/blog/quyet-toan-thue-doanh-nghiep</t>
  </si>
  <si>
    <t>https://techcombank.com/cong-cu-tien-ich/cong-cu-tinh-toan/bang-tinh-lai-suat-vay</t>
  </si>
  <si>
    <t>Nhắc: quyết toán thuế.</t>
  </si>
  <si>
    <t>https://techcombank.com/cong-cu-tien-ich/cong-cu-tinh-toan/bang-tinh-lai-suat-tiet-kiem</t>
  </si>
  <si>
    <t>Nhắc: nộp thuế, thuế điện tử, kê khai thuế.</t>
  </si>
  <si>
    <t>Nhắc: nộp thuế, thuế điện tử.</t>
  </si>
  <si>
    <t>https://techcombank.com/thong-tin/blog/app-vay-tien-nhanh</t>
  </si>
  <si>
    <t>https://techcombank.com/thong-tin/blog/lai-suat-vay-ngan-hang</t>
  </si>
  <si>
    <t>https://techcombank.com/thong-tin/blog/vay-thau-chi-la-gi</t>
  </si>
  <si>
    <t>https://techcombank.com/thong-tin/blog/kiem-tra-no-xau</t>
  </si>
  <si>
    <t>https://techcombank.com/thong-tin/blog/nen-vay-tin-chap-o-dau</t>
  </si>
  <si>
    <t>https://techcombank.com/thong-tin/blog/no-xau-la-gi</t>
  </si>
  <si>
    <t>https://techcombank.com/thong-tin/blog/vay-tin-chap-khong-tra-duoc-co-sao-khong</t>
  </si>
  <si>
    <t>https://techcombank.com/thong-tin/blog/phuong-phap-dau-tu-chung-chi-quy</t>
  </si>
  <si>
    <t>thuế thu nhập doanh nghiệp</t>
  </si>
  <si>
    <t>Số URL đã có ít nhất 1 bài blog chèn link</t>
  </si>
  <si>
    <t>Số URL chưa có bài blog nào chèn link</t>
  </si>
  <si>
    <t>Số URL có link trong thân bài blog</t>
  </si>
  <si>
    <t>https://techcombank.com/thong-tin/blog/nhung-chi-phi-khong-duoc-tru-khi-tinh-thue-tndn</t>
  </si>
  <si>
    <t>Bài về chi phí không được trừ khi tính thuế TNDN — nhắc trực tiếp TNDN, người đọc cần biết thuế suất.</t>
  </si>
  <si>
    <t>thuế thu nhập doanh nghiệp 2026</t>
  </si>
  <si>
    <t>Quyết toán thuế DN gồm quyết toán TNDN — đoạn liệt kê loại thuế phải quyết toán chèn được.</t>
  </si>
  <si>
    <t>https://techcombank.com/thong-tin/blog/doanh-nghiep-moi-thanh-lap-duoc-uu-dai-gi</t>
  </si>
  <si>
    <t>Bài ưu đãi thuế cho DN mới — ưu đãi chủ yếu là miễn/giảm thuế TNDN.</t>
  </si>
  <si>
    <t>https://techcombank.com/thong-tin/blog/loi-nhuan</t>
  </si>
  <si>
    <t>Bài lợi nhuận và công thức tính — đoạn lợi nhuận sau thuế chèn được link thuế TNDN.</t>
  </si>
  <si>
    <t>Hoàn thuế DN; có thể nhắc trường hợp nộp thừa thuế TNDN.</t>
  </si>
  <si>
    <t>Nhắc: tndn, thu nhập doanh nghiệp, thuế doanh nghiệp.</t>
  </si>
  <si>
    <t>https://techcombank.com/thong-tin/blog/giai-dap-ve-thue-doanh-nghiep</t>
  </si>
  <si>
    <t>Nhắc: thuế doanh nghiệp.</t>
  </si>
  <si>
    <t>https://techcombank.com/thong-tin/blog/loi-nhuan-rong</t>
  </si>
  <si>
    <t>Nhắc: lợi nhuận.</t>
  </si>
  <si>
    <t>https://techcombank.com/thong-tin/blog/kiem-tra-ma-so-thue-doanh-nghiep</t>
  </si>
  <si>
    <t>Nhắc: tndn, thuế doanh nghiệp.</t>
  </si>
  <si>
    <t>https://techcombank.com/thong-tin/blog/tim-hieu-ve-chinh-sach-thue-moi</t>
  </si>
  <si>
    <t>Nhắc: tndn.</t>
  </si>
  <si>
    <t>https://techcombank.com/thong-tin/blog/thi-truong-trai-phieu-am-tro-lai-nha-dau-tu-san-sang-cho-nhung-co-hoi-sinh-loi-moi</t>
  </si>
  <si>
    <t>https://techcombank.com/thong-tin/blog/kinh-nghiem-mua-vang-tich-tru</t>
  </si>
  <si>
    <t>https://techcombank.com/thong-tin/blog/quan-ly-tai-chinh-doanh-nghiep-la-gi</t>
  </si>
  <si>
    <t>https://techcombank.com/thong-tin/blog/nha-dau-tu-giao-dich-trai-phieu-truc-tuyen-tang-manh-tro-lai</t>
  </si>
  <si>
    <t>https://techcombank.com/thong-tin/blog/gia-chung-chi-quy-la-gi</t>
  </si>
  <si>
    <t>https://techcombank.com/thong-tin/blog/lai-suat-chung-chi-quy</t>
  </si>
  <si>
    <t>https://techcombank.com/thong-tin/blog/ho-kinh-doanh-can-gi-o-tai-khoan-ngan-hang</t>
  </si>
  <si>
    <t>https://techcombank.com/thong-tin/blog/danh-muc-dau-tu</t>
  </si>
  <si>
    <t>https://techcombank.com/thong-tin/blog/mua-chung-chi-quy</t>
  </si>
  <si>
    <t>https://techcombank.com/thong-tin/blog/cach-tinh-loi-nhuan-chung-chi-tien-gui</t>
  </si>
  <si>
    <t>https://techcombank.com/thong-tin/blog/dau-co-va-dau-tu</t>
  </si>
  <si>
    <t>https://techcombank.com/thong-tin/blog/co-50-trieu-nen-mua-vang-hay-gui-tiet-kiem</t>
  </si>
  <si>
    <t>https://techcombank.com/thong-tin/blog/toi-uu-hoa-chi-phi-trong-doanh-nghiep</t>
  </si>
  <si>
    <t>https://techcombank.com/thong-tin/blog/ngoai-hoi-la-gi</t>
  </si>
  <si>
    <t>thuế VAT</t>
  </si>
  <si>
    <t>Kê khai thuế DN — thuế GTGT là loại kê khai định kỳ phổ biến nhất.</t>
  </si>
  <si>
    <t>thuế giá trị gia tăng</t>
  </si>
  <si>
    <t>Hoàn thuế DN chủ yếu là hoàn thuế GTGT — người đọc cần hiểu VAT là gì.</t>
  </si>
  <si>
    <t>https://techcombank.com/thong-tin/blog/chuyen-doi-hoa-don-dien-tu</t>
  </si>
  <si>
    <t>thuế GTGT là gì</t>
  </si>
  <si>
    <t>Hóa đơn điện tử thể hiện thuế GTGT — chèn ở đoạn nói về nội dung hóa đơn.</t>
  </si>
  <si>
    <t>Thuế TMĐT cho HKD gồm thuế GTGT + TNCN — chèn khi nhắc thuế GTGT.</t>
  </si>
  <si>
    <t>https://techcombank.com/thong-tin/blog/cach-tra-cuu-hoa-don-dien-tu</t>
  </si>
  <si>
    <t>Tra cứu hóa đơn điện tử; có đoạn nói thông tin thuế suất GTGT trên hóa đơn thì chèn được. (Liên quan yếu – bản chặt đã loại.)</t>
  </si>
  <si>
    <t>Nhắc: gtgt.</t>
  </si>
  <si>
    <t>https://techcombank.com/thong-tin/blog/nhung-ho-kinh-doanh-duoc-mien-thue</t>
  </si>
  <si>
    <t>https://techcombank.com/thong-tin/blog/hoa-don-dien-tu</t>
  </si>
  <si>
    <t>Nhắc: hóa đơn.</t>
  </si>
  <si>
    <t>https://techcombank.com/thong-tin/blog/voucher-phuc-long</t>
  </si>
  <si>
    <t>Nhắc: hoá đơn.</t>
  </si>
  <si>
    <t>https://techcombank.com/thong-tin/blog/hoa-don-dien-tu-ho-kinh-doanh</t>
  </si>
  <si>
    <t>Nhắc: hóa đơn, hoá đơn.</t>
  </si>
  <si>
    <t>https://techcombank.com/thong-tin/blog/one-stop-shop</t>
  </si>
  <si>
    <t>https://techcombank.com/thong-tin/blog/may-tinh-tien</t>
  </si>
  <si>
    <t>https://techcombank.com/thong-tin/blog/phan-mem-xuat-hoa-don-dien-tu</t>
  </si>
  <si>
    <t>https://techcombank.com/thong-tin/blog/the-tin-dung-co-chuyen-khoan-duoc-khong</t>
  </si>
  <si>
    <t>https://techcombank.com/thong-tin/blog/app-dong-tien-dien-online</t>
  </si>
  <si>
    <t>https://techcombank.com/thong-tin/blog/tra-cuu-hoa-don-nuoc</t>
  </si>
  <si>
    <t>https://techcombank.com/thong-tin/blog/tra-cuu-hoa-don-tien-dien</t>
  </si>
  <si>
    <t>https://techcombank.com/thong-tin/blog/thanh-toan-hoa-don-tieu-dung</t>
  </si>
  <si>
    <t>https://techcombank.com/thong-tin/blog/cach-huy-thanh-toan-tien-dien</t>
  </si>
  <si>
    <t>https://techcombank.com/thong-tin/blog/app-chia-tien</t>
  </si>
  <si>
    <t>tra cứu nợ thuế doanh nghiệp</t>
  </si>
  <si>
    <t>Bài tra mã số thuế DN — tra nợ thuế dùng chính mã số thuế, nhu cầu nối tiếp.</t>
  </si>
  <si>
    <t>kiểm tra nợ thuế doanh nghiệp</t>
  </si>
  <si>
    <t>Cùng intent tra cứu nợ thuế, khác loại thuế — dẫn sang nợ thuế nội địa của DN.</t>
  </si>
  <si>
    <t>tra cứu nợ thuế theo mã số thuế</t>
  </si>
  <si>
    <t>Trước/sau quyết toán DN cần kiểm tra số thuế còn nợ.</t>
  </si>
  <si>
    <t>Sau kê khai, DN kiểm tra nghĩa vụ/nợ thuế.</t>
  </si>
  <si>
    <t>Bài anh em (HKD); chèn ở đoạn so sánh nếu có nhắc doanh nghiệp.</t>
  </si>
  <si>
    <t>Trang đích</t>
  </si>
  <si>
    <t>Bài nguồn</t>
  </si>
  <si>
    <t>Nhắc: nợ thuế.</t>
  </si>
  <si>
    <t>Anchor sử dụng</t>
  </si>
  <si>
    <t>Bài so sánh ngân hàng cho vay mua xe — lãi suất là tiêu chí chọn ngân hàng, người đọc cần bảng lãi suất cụ thể. (Theo title/meta, chưa đọc bài.)</t>
  </si>
  <si>
    <t>Bài chưa có trong file crawl: kiểm tra link cũ khi mở bài.</t>
  </si>
  <si>
    <t>các loại thuế doanh nghiệp phải nộp</t>
  </si>
  <si>
    <t>Bài giải đáp về thuế DN nói chung — đúng chủ đề tổng quan.</t>
  </si>
  <si>
    <t>Bài tư vấn mua ô tô trả góp; quyết định mua trả góp phụ thuộc trực tiếp vào mức lãi suất vay. (Theo title/meta, chưa đọc bài.)</t>
  </si>
  <si>
    <t>https://techcombank.com/thong-tin/blog/hieu-hiet-ve-tuan-thu-thue-cho-cac-doanh-nghiep-khoi-nghiep</t>
  </si>
  <si>
    <t>thuế doanh nghiệp</t>
  </si>
  <si>
    <t>Tuân thủ thuế cho DN khởi nghiệp — cần biết DN phải nộp những khoản thuế nào.</t>
  </si>
  <si>
    <t>https://techcombank.com/thong-tin/blog/thue-phi-co-dinh-khi-chuyen-doi-tu-ho-kinh-doanh-len-doanh-nghiep</t>
  </si>
  <si>
    <t>doanh nghiệp phải nộp những loại thuế nào</t>
  </si>
  <si>
    <t>Bài các khoản thuế, phí khi lên DN — liên kết tự nhiên sang danh sách thuế DN.</t>
  </si>
  <si>
    <t>Bài hướng dẫn hồ sơ, thủ tục mua xe trả góp — bước sau khi người đọc so sánh lãi suất. (Theo title/meta, chưa đọc bài.)</t>
  </si>
  <si>
    <t>https://techcombank.com/thong-tin/blog/thue-doanh-nghiep-2025</t>
  </si>
  <si>
    <t>Bài tin chính sách thuế phí có lợi cho DN — dẫn sang bài tổng hợp các khoản thuế.</t>
  </si>
  <si>
    <t>So sánh trả góp và trả thẳng — phần chi phí trả góp cần dẫn sang lãi suất vay mua ô tô. (Theo title/meta, chưa đọc bài.)</t>
  </si>
  <si>
    <t>https://techcombank.com/thong-tin/blog/dieu-kien-thanh-lap-doanh-nghiep</t>
  </si>
  <si>
    <t>Sau khi thành lập DN phát sinh nghĩa vụ thuế — chèn ở đoạn lưu ý sau thành lập. (Liên quan yếu – bản chặt đã loại.)</t>
  </si>
  <si>
    <t>Chủ đề vay thế chấp mua xe cũ; chèn được ở đoạn nói về chi phí/lãi vay. (Theo title/meta, chưa đọc bài.)</t>
  </si>
  <si>
    <t>https://techcombank.com/thong-tin/blog/huong-dan-dang-ky-thanh-lap-doanh-nghiep</t>
  </si>
  <si>
    <t>Nhắc: thành lập doanh nghiệp.</t>
  </si>
  <si>
    <t>https://techcombank.com/thong-tin/blog/dang-ky-thanh-lap-doanh-nghiep</t>
  </si>
  <si>
    <t>Liên kết tài khoản ngân hàng với eTax Mobile là bước bắt buộc để nộp thuế đất online qua ngân hàng. (Theo title/meta, chưa đọc bài.)</t>
  </si>
  <si>
    <t>https://techcombank.com/thong-tin/blog/chinh-sach-thue-moi</t>
  </si>
  <si>
    <t>Bài chưa có trong file crawl: kiểm tra link cũ khi mở bài. Bài nhận 3 link mới: đặt ở các mục khác nhau.</t>
  </si>
  <si>
    <t>Nhắc: chính sách thuế.</t>
  </si>
  <si>
    <t>https://techcombank.com/thong-tin/blog/ho-so-dang-ky-thanh-lap-doanh-nghiep</t>
  </si>
  <si>
    <t>Bài hướng dẫn nộp thuế online chung — có thể dẫn sang trường hợp cụ thể là thuế đất. (Theo title/meta, chưa đọc bài.)</t>
  </si>
  <si>
    <t>Bài liên kết tài khoản với eTax Mobile — người đọc làm xong sẽ cần bước nộp thuế. (Theo title/meta, chưa đọc bài.)</t>
  </si>
  <si>
    <t>https://techcombank.com/thong-tin/blog/chuan-bi-cho-doanh-nghiep-khoi-nghiep-truoc-nhung-thay-doi-ve-thue</t>
  </si>
  <si>
    <t>Quyết toán TNCN online → nếu còn thiếu thuế phải nộp qua cổng thuế điện tử. (Theo title/meta, chưa đọc bài.)</t>
  </si>
  <si>
    <t>Nhắc: chính sách thuế, doanh nghiệp khởi nghiệp.</t>
  </si>
  <si>
    <t>nộp thuế điện tử</t>
  </si>
  <si>
    <t>Title/URL còn năm cũ (2025): nên cập nhật; câu chèn không ghi năm. Bài chưa có trong file crawl: kiểm tra link cũ khi mở bài. Bài nhận 3 link mới: đặt ở các mục khác nhau.</t>
  </si>
  <si>
    <t>Kê khai thuế HKD online, sau khi kê khai là bước nộp thuế điện tử. (Theo title/meta, chưa đọc bài.)</t>
  </si>
  <si>
    <t>https://techcombank.com/thong-tin/blog/dang-ky-thanh-lap-doanh-nghiep-online</t>
  </si>
  <si>
    <t>hướng dẫn nộp thuế điện tử</t>
  </si>
  <si>
    <t>Bài chưa có trong file crawl: kiểm tra link cũ khi mở bài. Bài nhận 2 link mới: đặt ở các mục khác nhau.</t>
  </si>
  <si>
    <t>Làm thủ tục hoàn thuế trên eTax Mobile — cùng công cụ, chèn ở đoạn giới thiệu eTax. (Theo title/meta, chưa đọc bài.)</t>
  </si>
  <si>
    <t>https://techcombank.com/thong-tin/blog/thu-tuc-thanh-lap-doanh-nghiep</t>
  </si>
  <si>
    <t>Bài nộp thuế hải quan online — có thể dẫn sang hướng dẫn nộp thuế điện tử nội địa. (Theo title/meta, chưa đọc bài.)</t>
  </si>
  <si>
    <t>Bài về chi phí không được trừ khi tính thuế TNDN — nhắc trực tiếp TNDN, người đọc cần biết thuế suất. (Theo title/meta, chưa đọc bài.)</t>
  </si>
  <si>
    <t>Quyết toán thuế DN gồm quyết toán TNDN — đoạn liệt kê loại thuế phải quyết toán chèn được. (Theo title/meta, chưa đọc bài.)</t>
  </si>
  <si>
    <t>thuế TNDN</t>
  </si>
  <si>
    <t>https://techcombank.com/thong-tin/blog/mo-tai-khoan-doanh-nghiep</t>
  </si>
  <si>
    <t>công ty sử dụng tài khoản cá nhân</t>
  </si>
  <si>
    <t>Bài tài khoản DN là gì — câu hỏi 'có dùng TK cá nhân thay được không' là nhu cầu kế tiếp.</t>
  </si>
  <si>
    <t>Bài ưu đãi thuế cho DN mới — ưu đãi chủ yếu là miễn/giảm thuế TNDN. (Theo title/meta, chưa đọc bài.)</t>
  </si>
  <si>
    <t>thuế suất thuế TNDN</t>
  </si>
  <si>
    <t>https://techcombank.com/thong-tin/blog/luu-y-khi-chuyen-tien-vao-tai-khoan-cong-ty</t>
  </si>
  <si>
    <t>Bài lợi nhuận và công thức tính — đoạn lợi nhuận sau thuế chèn được link thuế TNDN. (Theo title/meta, chưa đọc bài.)</t>
  </si>
  <si>
    <t>công ty dùng tài khoản cá nhân có được không</t>
  </si>
  <si>
    <t>Lưu ý chuyển tiền vào TK công ty — liên quan trực tiếp quy định dùng TK cá nhân.</t>
  </si>
  <si>
    <t>https://techcombank.com/thong-tin/blog/cach-su-dung-tai-khoan-cong-ty</t>
  </si>
  <si>
    <t>Hoàn thuế DN; có thể nhắc trường hợp nộp thừa thuế TNDN. (Theo title/meta, chưa đọc bài.)</t>
  </si>
  <si>
    <t>Cách dùng TK công ty cho giao dịch — đối lập tự nhiên với dùng TK cá nhân.</t>
  </si>
  <si>
    <t>Tiền vào TK cá nhân có bị tính thuế — rủi ro khi công ty dùng TK cá nhân nhận tiền.</t>
  </si>
  <si>
    <t>https://techcombank.com/thong-tin/blog/tra-luong-tien-mat</t>
  </si>
  <si>
    <t>Kê khai thuế DN — thuế GTGT là loại kê khai định kỳ phổ biến nhất. (Theo title/meta, chưa đọc bài.)</t>
  </si>
  <si>
    <t>Quy định trả lương — đoạn về hình thức chi trả có thể nhắc TK cá nhân/TK công ty. (Liên quan yếu – bản chặt đã loại.)</t>
  </si>
  <si>
    <t>Hoàn thuế DN chủ yếu là hoàn thuế GTGT — người đọc cần hiểu VAT là gì. (Theo title/meta, chưa đọc bài.)</t>
  </si>
  <si>
    <t>https://techcombank.com/thong-tin/blog/nop-tien-mat-vao-tai-khoan-cong-ty</t>
  </si>
  <si>
    <t>Nhắc: tài khoản công ty.</t>
  </si>
  <si>
    <t>Hóa đơn điện tử thể hiện thuế GTGT — chèn ở đoạn nói về nội dung hóa đơn. (Theo title/meta, chưa đọc bài.)</t>
  </si>
  <si>
    <t>https://techcombank.com/thong-tin/blog/dong-tai-khoan-ngan-hang-cong-ty</t>
  </si>
  <si>
    <t>Nhắc: tài khoản công ty, tài khoản ngân hàng công ty.</t>
  </si>
  <si>
    <t>Thuế TMĐT cho HKD gồm thuế GTGT + TNCN — chèn khi nhắc thuế GTGT. (Theo title/meta, chưa đọc bài.)</t>
  </si>
  <si>
    <t>https://techcombank.com/thong-tin/blog/tai-khoan-doanh-nghiep-co-the-khong</t>
  </si>
  <si>
    <t>Nhắc: tài khoản doanh nghiệp.</t>
  </si>
  <si>
    <t>https://techcombank.com/thong-tin/blog/rut-tien-mat-tu-tai-khoan-doanh-nghiep</t>
  </si>
  <si>
    <t>Bài tra mã số thuế DN — tra nợ thuế dùng chính mã số thuế, nhu cầu nối tiếp. (Theo title/meta, chưa đọc bài.)</t>
  </si>
  <si>
    <t>https://techcombank.com/thong-tin/blog/sao-ke-tai-khoan-doanh-nghiep</t>
  </si>
  <si>
    <t>Cùng intent tra cứu nợ thuế, khác loại thuế — dẫn sang nợ thuế nội địa của DN. (Theo title/meta, chưa đọc bài.)</t>
  </si>
  <si>
    <t>Title/URL còn năm cũ (2025): nên cập nhật; câu chèn không ghi năm. Bài chưa có trong file crawl: kiểm tra link cũ khi mở bài.</t>
  </si>
  <si>
    <t>Trước/sau quyết toán DN cần kiểm tra số thuế còn nợ. (Theo title/meta, chưa đọc bài.)</t>
  </si>
  <si>
    <t>https://techcombank.com/thong-tin/blog/mau-mo-tai-khoan-doanh-nghiep-techcombank</t>
  </si>
  <si>
    <t>Sau kê khai, DN kiểm tra nghĩa vụ/nợ thuế. (Theo title/meta, chưa đọc bài.)</t>
  </si>
  <si>
    <t>https://techcombank.com/thong-tin/blog/tai-khoan-cong-ty-co-chuyen-online-duoc-khong</t>
  </si>
  <si>
    <t>Bài anh em (HKD); chèn ở đoạn so sánh nếu có nhắc doanh nghiệp. (Theo title/meta, chưa đọc bài.)</t>
  </si>
  <si>
    <t>Nhắc: tài khoản công ty, tài khoản cá nhân.</t>
  </si>
  <si>
    <t>https://techcombank.com/thong-tin/blog/chi-phi-mo-tai-khoan-ngan-hang-cho-cong-ty</t>
  </si>
  <si>
    <t>Bài giải đáp về thuế DN nói chung — đúng chủ đề tổng quan. (Theo title/meta, chưa đọc bài.)</t>
  </si>
  <si>
    <t>Tuân thủ thuế cho DN khởi nghiệp — cần biết DN phải nộp những khoản thuế nào. (Theo title/meta, chưa đọc bài.)</t>
  </si>
  <si>
    <t>cách tính thuế thu nhập doanh nghiệp</t>
  </si>
  <si>
    <t>Chi phí không được trừ ảnh hưởng trực tiếp công thức tính TNDN.</t>
  </si>
  <si>
    <t>Bài các khoản thuế, phí khi lên DN — liên kết tự nhiên sang danh sách thuế DN. (Theo title/meta, chưa đọc bài.)</t>
  </si>
  <si>
    <t>https://techcombank.com/thong-tin/blog/khau-hao</t>
  </si>
  <si>
    <t>cách tính thuế TNDN</t>
  </si>
  <si>
    <t>Khấu hao TSCĐ là chi phí được trừ khi tính thu nhập chịu thuế TNDN.</t>
  </si>
  <si>
    <t>công thức tính thuế TNDN</t>
  </si>
  <si>
    <t>Lợi nhuận ròng = lợi nhuận trước thuế − thuế TNDN; chèn ở công thức.</t>
  </si>
  <si>
    <t>https://techcombank.com/thong-tin/blog/cach-doc-bao-cao-tai-chinh</t>
  </si>
  <si>
    <t>Bài tin chính sách thuế phí có lợi cho DN — dẫn sang bài tổng hợp các khoản thuế. (Theo title/meta, chưa đọc bài.)</t>
  </si>
  <si>
    <t>Báo cáo tài chính có dòng chi phí thuế TNDN.</t>
  </si>
  <si>
    <t>Bài thay đổi về thuế cho DN khởi nghiệp, chèn nếu có đoạn về TNDN. (Liên quan yếu – bản chặt đã loại.)</t>
  </si>
  <si>
    <t>https://techcombank.com/thong-tin/blog/khau-hao-la-gi</t>
  </si>
  <si>
    <t>Nhắc: khấu hao.</t>
  </si>
  <si>
    <t>Bài tài khoản DN là gì — câu hỏi 'có dùng TK cá nhân thay được không' là nhu cầu kế tiếp. (Theo title/meta, chưa đọc bài.)</t>
  </si>
  <si>
    <t>Nhắc: tndn, thu nhập doanh nghiệp.</t>
  </si>
  <si>
    <t>Lưu ý chuyển tiền vào TK công ty — liên quan trực tiếp quy định dùng TK cá nhân. (Theo title/meta, chưa đọc bài.)</t>
  </si>
  <si>
    <t>Cách dùng TK công ty cho giao dịch — đối lập tự nhiên với dùng TK cá nhân. (Theo title/meta, chưa đọc bài.)</t>
  </si>
  <si>
    <t>Tiền vào TK cá nhân có bị tính thuế — rủi ro khi công ty dùng TK cá nhân nhận tiền. (Theo title/meta, chưa đọc bài.)</t>
  </si>
  <si>
    <t>Title/URL còn năm cũ (2025): nên cập nhật; câu chèn không ghi năm. Bài chưa có trong file crawl: kiểm tra link cũ khi mở bài. Bài nhận 2 link mới: đặt ở các mục khác nhau.</t>
  </si>
  <si>
    <t>CASA</t>
  </si>
  <si>
    <t>Chi phí không được trừ ảnh hưởng trực tiếp công thức tính TNDN. (Theo title/meta, chưa đọc bài.)</t>
  </si>
  <si>
    <t>Khấu hao TSCĐ là chi phí được trừ khi tính thu nhập chịu thuế TNDN. (Theo title/meta, chưa đọc bài.)</t>
  </si>
  <si>
    <t>https://techcombank.com/thong-tin/blog/cach-nap-the</t>
  </si>
  <si>
    <t>Lợi nhuận ròng = lợi nhuận trước thuế − thuế TNDN; chèn ở công thức. (Theo title/meta, chưa đọc bài.)</t>
  </si>
  <si>
    <t>nạp thẻ viettel</t>
  </si>
  <si>
    <t>Bài nạp thẻ cho các nhà mạng — mục Viettel nên dẫn sang bài chi tiết.</t>
  </si>
  <si>
    <t>https://techcombank.com/thong-tin/blog/nap-tien-dien-thoai-online</t>
  </si>
  <si>
    <t>cách nạp thẻ viettel</t>
  </si>
  <si>
    <t>cách nạp thẻ Viettel</t>
  </si>
  <si>
    <t>Nạp tiền điện thoại online — chèn ở đoạn ví dụ nhà mạng Viettel.</t>
  </si>
  <si>
    <t>Báo cáo tài chính có dòng chi phí thuế TNDN. (Theo title/meta, chưa đọc bài.)</t>
  </si>
  <si>
    <t>https://techcombank.com/thong-tin/blog/thanh-toan-tra-sau-viettel-bang-tai-khoan-ngan-hang</t>
  </si>
  <si>
    <t>cách nạp tiền điện thoại viettel</t>
  </si>
  <si>
    <t>Cùng nhà mạng Viettel (trả sau) — dẫn sang nạp thẻ trả trước.</t>
  </si>
  <si>
    <t>https://techcombank.com/thong-tin/blog/cach-nap-the-vina</t>
  </si>
  <si>
    <t>cách nạp tiền viettel</t>
  </si>
  <si>
    <t>Bài anh em nhà mạng khác; chèn câu ngắn so sánh/xem thêm Viettel.</t>
  </si>
  <si>
    <t>https://techcombank.com/thong-tin/blog/cach-nap-the-mobi</t>
  </si>
  <si>
    <t>Bài nạp thẻ cho các nhà mạng — mục Viettel nên dẫn sang bài chi tiết. (Theo title/meta, chưa đọc bài.)</t>
  </si>
  <si>
    <t>Bài anh em nhà mạng MobiFone; chèn câu ngắn xem thêm Viettel.</t>
  </si>
  <si>
    <t>https://techcombank.com/thong-tin/blog/mat-so-dien-thoai-dang-ky-tai-khoan-ngan-hang</t>
  </si>
  <si>
    <t>Nhắc: nhà mạng.</t>
  </si>
  <si>
    <t>Nạp tiền điện thoại online — chèn ở đoạn ví dụ nhà mạng Viettel. (Theo title/meta, chưa đọc bài.)</t>
  </si>
  <si>
    <t>nạp thẻ Viettel</t>
  </si>
  <si>
    <t>https://techcombank.com/thong-tin/blog/thanh-toan-tien-internet-online</t>
  </si>
  <si>
    <t>Nhắc: viettel.</t>
  </si>
  <si>
    <t>Cùng nhà mạng Viettel (trả sau) — dẫn sang nạp thẻ trả trước. (Theo title/meta, chưa đọc bài.)</t>
  </si>
  <si>
    <t>nạp thẻ cào Viettel</t>
  </si>
  <si>
    <t>Bài anh em nhà mạng khác; chèn câu ngắn so sánh/xem thêm Viettel. (Theo title/meta, chưa đọc bài.)</t>
  </si>
  <si>
    <t>https://techcombank.com/thong-tin/blog/gia-dien-sinh-hoat</t>
  </si>
  <si>
    <t>Như trên, nhà mạng MobiFone. (Theo title/meta, chưa đọc bài.)</t>
  </si>
  <si>
    <t>giá điện sinh hoạt</t>
  </si>
  <si>
    <t>Bài giá điện bậc thang — người đọc cần cách tính ra hóa đơn.</t>
  </si>
  <si>
    <t>giá điện sinh hoạt mới nhất</t>
  </si>
  <si>
    <t>Tra hóa đơn tiền điện — muốn đối chiếu số tiền cần biết cách tính.</t>
  </si>
  <si>
    <t>https://techcombank.com/thong-tin/blog/cach-dong-tien-dien-qua-tai-khoan-ngan-hang</t>
  </si>
  <si>
    <t>Đóng tiền điện — trước khi đóng người đọc hay kiểm tra số tiền.</t>
  </si>
  <si>
    <t>App đóng tiền điện; chèn ở đoạn mở đầu/lưu ý.</t>
  </si>
  <si>
    <t>Bài giá điện bậc thang — người đọc cần cách tính ra hóa đơn. (Theo title/meta, chưa đọc bài.)</t>
  </si>
  <si>
    <t>https://techcombank.com/thong-tin/blog/thanh-toan-tien-dien-bang-the-tin-dung</t>
  </si>
  <si>
    <t>cách tính tiền điện sinh hoạt</t>
  </si>
  <si>
    <t>Thanh toán tiền điện bằng thẻ tín dụng; chèn ở đoạn về số tiền hóa đơn.</t>
  </si>
  <si>
    <t>Nhắc: hóa đơn điện.</t>
  </si>
  <si>
    <t>Tra hóa đơn tiền điện — muốn đối chiếu số tiền cần biết cách tính. (Theo title/meta, chưa đọc bài.)</t>
  </si>
  <si>
    <t>cách tính tiền điện</t>
  </si>
  <si>
    <t>Nhắc: hoá đơn điện, hóa đơn điện.</t>
  </si>
  <si>
    <t>Đóng tiền điện — trước khi đóng người đọc hay kiểm tra số tiền. (Theo title/meta, chưa đọc bài.)</t>
  </si>
  <si>
    <t>giá điện bậc thang</t>
  </si>
  <si>
    <t>App đóng tiền điện; chèn ở đoạn mở đầu/lưu ý. (Theo title/meta, chưa đọc bài.)</t>
  </si>
  <si>
    <t>Nhắc: tiền điện, evn.</t>
  </si>
  <si>
    <t>Nhắc: tiền điện.</t>
  </si>
  <si>
    <t>Thanh toán tiền điện bằng thẻ tín dụng; chèn ở đoạn về số tiền hóa đơn. (Theo title/meta, chưa đọc bài.)</t>
  </si>
  <si>
    <t>Quyết toán TNCN cần tính lại số thuế cả năm. (Theo title/meta, chưa đọc bài.)</t>
  </si>
  <si>
    <t>cách tính thuế thu nhập cá nhân</t>
  </si>
  <si>
    <t>Hoàn thuế TNCN xuất phát từ việc tính ra số thuế nộp thừa. (Theo title/meta, chưa đọc bài.)</t>
  </si>
  <si>
    <t>cách tính thuế TNCN</t>
  </si>
  <si>
    <t>https://techcombank.com/thong-tin/blog/dang-ky-ma-so-thue-ca-nhan</t>
  </si>
  <si>
    <t>Đăng ký MST cá nhân để kê khai, tính thuế TNCN. (Theo title/meta, chưa đọc bài.)</t>
  </si>
  <si>
    <t>thuế thu nhập cá nhân</t>
  </si>
  <si>
    <t>tính thuế TNCN</t>
  </si>
  <si>
    <t>Quyết toán TNCN cần tính lại số thuế cả năm.</t>
  </si>
  <si>
    <t>thuế thu nhập cá nhân năm 2026</t>
  </si>
  <si>
    <t>Hoàn thuế TNCN xuất phát từ việc tính ra số thuế nộp thừa.</t>
  </si>
  <si>
    <t>https://techcombank.com/thong-tin/blog/so-tai-khoan-ngan-hang</t>
  </si>
  <si>
    <t>Đăng ký MST cá nhân để kê khai, tính thuế TNCN.</t>
  </si>
  <si>
    <t>https://techcombank.com/thong-tin/blog/sao-ke-luong</t>
  </si>
  <si>
    <t>Số TK là gì &amp; cách kiểm tra — trùng nhu cầu, dẫn sang bài chi tiết 3 cách. (Theo title/meta, chưa đọc bài.)</t>
  </si>
  <si>
    <t>cách kiểm tra tài khoản ngân hàng</t>
  </si>
  <si>
    <t>Sao kê lương dùng chứng minh thu nhập; chèn ở đoạn thu nhập chịu thuế. (Liên quan yếu – bản chặt đã loại.)</t>
  </si>
  <si>
    <t>https://techcombank.com/thong-tin/blog/luong-huu</t>
  </si>
  <si>
    <t>https://techcombank.com/thong-tin/blog/so-du-kha-dung</t>
  </si>
  <si>
    <t>Lương hưu có/không chịu thuế TNCN — chèn nếu bài có đoạn này. (Liên quan yếu – bản chặt đã loại.)</t>
  </si>
  <si>
    <t>Nhắc: tncn.</t>
  </si>
  <si>
    <t>Số dư khả dụng — người đọc cần cách kiểm tra số dư. (Theo title/meta, chưa đọc bài.)</t>
  </si>
  <si>
    <t>kiểm tra số dư tài khoản</t>
  </si>
  <si>
    <t>Nhắc: lương.</t>
  </si>
  <si>
    <t>https://techcombank.com/thong-tin/blog/ma-giao-dich-la-gi</t>
  </si>
  <si>
    <t>Nhắc: thu nhập cá nhân.</t>
  </si>
  <si>
    <t>https://techcombank.com/thong-tin/blog/app-tra-luong</t>
  </si>
  <si>
    <t>Kiểm tra mã giao dịch — chèn ở đoạn kiểm tra lịch sử giao dịch. (Theo title/meta, chưa đọc bài.)</t>
  </si>
  <si>
    <t>kiểm tra tài khoản ngân hàng</t>
  </si>
  <si>
    <t>https://techcombank.com/thong-tin/blog/sms-banking</t>
  </si>
  <si>
    <t>https://techcombank.com/thong-tin/blog/chinh-sach-tang-luong-huu</t>
  </si>
  <si>
    <t>SMS Banking là một kênh kiểm tra biến động số dư. (Theo title/meta, chưa đọc bài.)</t>
  </si>
  <si>
    <t>https://techcombank.com/thong-tin/blog/cach-kiem-tra-tai-khoan-ngan-hang-cua-cong-ty</t>
  </si>
  <si>
    <t>https://techcombank.com/thong-tin/blog/vay-the-chap-qua-luong</t>
  </si>
  <si>
    <t>Bài anh em cho TK công ty; chèn câu dẫn cho TK cá nhân. (Theo title/meta, chưa đọc bài.)</t>
  </si>
  <si>
    <t>Nhắc: thu nhập cá nhân, tncn.</t>
  </si>
  <si>
    <t>https://techcombank.com/thong-tin/blog/chi-tra-luong-huu</t>
  </si>
  <si>
    <t>https://techcombank.com/thong-tin/blog/tai-khoan-ngan-hang-la-gi</t>
  </si>
  <si>
    <t>Bài định nghĩa TK ngân hàng, kết thúc tự nhiên bằng cách mở. (Theo title/meta, chưa đọc bài.)</t>
  </si>
  <si>
    <t>https://techcombank.com/thong-tin/blog/hoc-cach-tiet-kiem-tien-luong</t>
  </si>
  <si>
    <t>cách mở tài khoản ngân hàng</t>
  </si>
  <si>
    <t>https://techcombank.com/thong-tin/blog/tai-khoan-thanh-toan-la-gi</t>
  </si>
  <si>
    <t>Có mục điều kiện, thủ tục mở TK thanh toán. (Theo title/meta, chưa đọc bài.)</t>
  </si>
  <si>
    <t>mở tài khoản ngân hàng online</t>
  </si>
  <si>
    <t>https://techcombank.com/thong-tin/blog/mo-tai-khoan-ngan-hang-online-co-an-toan-khong</t>
  </si>
  <si>
    <t>Băn khoăn an toàn khi mở online → dẫn sang hướng dẫn mở. (Theo title/meta, chưa đọc bài.)</t>
  </si>
  <si>
    <t>tạo tài khoản ngân hàng</t>
  </si>
  <si>
    <t>https://techcombank.com/thong-tin/blog/mo-tai-khoan-ngan-hang-co-mat-phi-khong</t>
  </si>
  <si>
    <t>Hỏi phí mở TK → nhu cầu kế tiếp là cách mở. Bài cach-mo-tai-khoan đã link sang bài này (chiều ngược lại). (Theo title/meta, chưa đọc bài.)</t>
  </si>
  <si>
    <t>https://techcombank.com/thong-tin/blog/1-cmnd-dang-ky-duoc-may-tai-khoan-ngan-hang</t>
  </si>
  <si>
    <t>tra tài khoản ngân hàng</t>
  </si>
  <si>
    <t>Số TK là gì &amp; cách kiểm tra — trùng nhu cầu, dẫn sang bài chi tiết 3 cách.</t>
  </si>
  <si>
    <t>Quy định số TK/CCCD; chèn ở đoạn hướng dẫn đăng ký thêm TK. (Theo title/meta, chưa đọc bài.)</t>
  </si>
  <si>
    <t>tra số tài khoản ngân hàng</t>
  </si>
  <si>
    <t>Số dư khả dụng — người đọc cần cách kiểm tra số dư.</t>
  </si>
  <si>
    <t>https://techcombank.com/thong-tin/blog/app-ngan-hang-uy-tin</t>
  </si>
  <si>
    <t>Kiểm tra mã giao dịch — chèn ở đoạn kiểm tra lịch sử giao dịch.</t>
  </si>
  <si>
    <t>Top app ngân hàng uy tín — anh em chủ đề, người đọc muốn biết ngân hàng nào uy tín. (Theo title/meta, chưa đọc bài.)</t>
  </si>
  <si>
    <t>SMS Banking là một kênh kiểm tra biến động số dư.</t>
  </si>
  <si>
    <t>ngân hàng uy tín</t>
  </si>
  <si>
    <t>Bài anh em cho TK công ty; chèn câu dẫn cho TK cá nhân.</t>
  </si>
  <si>
    <t>https://techcombank.com/thong-tin/blog/co-nen-mua-so-tai-khoan-ngan-hang-dep</t>
  </si>
  <si>
    <t>https://techcombank.com/thong-tin/blog/gui-tien-ngan-hang-co-an-toan-khong</t>
  </si>
  <si>
    <t>Nhắc: số tài khoản.</t>
  </si>
  <si>
    <t>https://techcombank.com/thong-tin/blog/cdm</t>
  </si>
  <si>
    <t>Nhắc: số dư.</t>
  </si>
  <si>
    <t>Gửi tiền có an toàn không → chọn ngân hàng uy tín. (Theo title/meta, chưa đọc bài.)</t>
  </si>
  <si>
    <t>https://techcombank.com/thong-tin/blog/lo-so-tai-khoan-ngan-hang-co-sao-khong</t>
  </si>
  <si>
    <t>chọn ngân hàng uy tín</t>
  </si>
  <si>
    <t>https://techcombank.com/thong-tin/blog/nen-mo-tai-khoan-ngan-hang-nao-cho-doanh-nghiep</t>
  </si>
  <si>
    <t>https://techcombank.com/thong-tin/blog/cach-chon-so-tai-khoan-dep</t>
  </si>
  <si>
    <t>Tiêu chí chọn ngân hàng — uy tín là một tiêu chí. (Theo title/meta, chưa đọc bài.)</t>
  </si>
  <si>
    <t>https://techcombank.com/thong-tin/blog/8868</t>
  </si>
  <si>
    <t>https://techcombank.com/thong-tin/blog/cach-chuyen-tien</t>
  </si>
  <si>
    <t>https://techcombank.com/thong-tin/blog/66666-co-y-nghia-gi</t>
  </si>
  <si>
    <t>Hướng dẫn chuyển tiền — phần lưu ý/xử lý sự cố chèn được. (Theo title/meta, chưa đọc bài.)</t>
  </si>
  <si>
    <t>chuyển khoản thành công nhưng không nhận được tiền</t>
  </si>
  <si>
    <t>https://techcombank.com/thong-tin/blog/so-8386</t>
  </si>
  <si>
    <t>https://techcombank.com/thong-tin/blog/chuyen-khoan-lien-ngan-hang</t>
  </si>
  <si>
    <t>https://techcombank.com/thong-tin/blog/so-the-ngan-hang</t>
  </si>
  <si>
    <t>Chuyển liên ngân hàng là trường hợp hay bị chậm nhận tiền. (Theo title/meta, chưa đọc bài.)</t>
  </si>
  <si>
    <t>chuyển tiền thành công nhưng chưa nhận được</t>
  </si>
  <si>
    <t>https://techcombank.com/thong-tin/blog/so-tai-khoan-dep</t>
  </si>
  <si>
    <t>Mã giao dịch dùng để tra soát khi chuyển thành công mà chưa nhận. (Theo title/meta, chưa đọc bài.)</t>
  </si>
  <si>
    <t>tiền chuyển khoản bị treo</t>
  </si>
  <si>
    <t>https://techcombank.com/thong-tin/blog/chuyen-nham-tien-co-lay-lai-duoc-khong</t>
  </si>
  <si>
    <t>https://techcombank.com/thong-tin/blog/99999-co-y-nghia-gi</t>
  </si>
  <si>
    <t>https://techcombank.com/thong-tin/blog/so-du-tai-khoan-thanh-toan</t>
  </si>
  <si>
    <t>Sự cố chuyển tiền tương tự, người đọc quan tâm cả hai tình huống. (Theo title/meta, chưa đọc bài.)</t>
  </si>
  <si>
    <t>https://techcombank.com/thong-tin/blog/so-du-tien-gui-la-gi</t>
  </si>
  <si>
    <t>https://techcombank.com/thong-tin/blog/ngan-hang-thu-huong-la-gi</t>
  </si>
  <si>
    <t>https://techcombank.com/thong-tin/blog/so-6868</t>
  </si>
  <si>
    <t>Sai thông tin ngân hàng thụ hưởng là một nguyên nhân không nhận được tiền. (Theo title/meta, chưa đọc bài.)</t>
  </si>
  <si>
    <t>https://techcombank.com/thong-tin/blog/y-nghia-so-68</t>
  </si>
  <si>
    <t>https://techcombank.com/thong-tin/blog/mo-tai-khoan-ngan-hang-cho-tre-em</t>
  </si>
  <si>
    <t>https://techcombank.com/thong-tin/blog/vip-ngan-hang</t>
  </si>
  <si>
    <t>Tài khoản cho con — phụ huynh cần biết quy định độ tuổi. (Theo title/meta, chưa đọc bài.)</t>
  </si>
  <si>
    <t>bao nhiêu tuổi được mở tài khoản ngân hàng</t>
  </si>
  <si>
    <t>https://techcombank.com/thong-tin/blog/hoc-sinh-sinh-vien-nen-lam-the-ngan-hang-nao</t>
  </si>
  <si>
    <t>HSSV chọn thẻ — câu hỏi bao nhiêu tuổi được làm thẻ đi kèm. (Theo title/meta, chưa đọc bài.)</t>
  </si>
  <si>
    <t>độ tuổi mở tài khoản ngân hàng</t>
  </si>
  <si>
    <t>https://techcombank.com/thong-tin/blog/cach-lam-the-atm</t>
  </si>
  <si>
    <t>Làm thẻ ATM; chèn ở mục điều kiện (độ tuổi). (Theo title/meta, chưa đọc bài.)</t>
  </si>
  <si>
    <t>cách tạo tài khoản ngân hàng</t>
  </si>
  <si>
    <t>Bài định nghĩa TK ngân hàng, kết thúc tự nhiên bằng cách mở.</t>
  </si>
  <si>
    <t>Có mục điều kiện, thủ tục mở TK thanh toán.</t>
  </si>
  <si>
    <t>https://techcombank.com/thong-tin/blog/the-debit-cho-con</t>
  </si>
  <si>
    <t>Băn khoăn an toàn khi mở online → dẫn sang hướng dẫn mở.</t>
  </si>
  <si>
    <t>Thẻ Debit cho con — mở TK cho con dưới 18 tuổi là bước đi kèm. (Theo title/meta, chưa đọc bài.)</t>
  </si>
  <si>
    <t>mở tài khoản ngân hàng dưới 18 tuổi</t>
  </si>
  <si>
    <t>Hỏi phí mở TK → nhu cầu kế tiếp là cách mở. Bài cach-mo-tai-khoan đã link sang bài này (chiều ngược lại).</t>
  </si>
  <si>
    <t>https://techcombank.com/thong-tin/blog/mo-tai-khoan-tiet-kiem-cho-con</t>
  </si>
  <si>
    <t>Quy định số TK/CCCD; chèn ở đoạn hướng dẫn đăng ký thêm TK.</t>
  </si>
  <si>
    <t>Nhắc: mở tài khoản.</t>
  </si>
  <si>
    <t>Mở TK tiết kiệm cho con — liên quan trực tiếp. (Theo title/meta, chưa đọc bài.)</t>
  </si>
  <si>
    <t>mở tài khoản ngân hàng cho học sinh</t>
  </si>
  <si>
    <t>Nhắc: tài khoản ngân hàng.</t>
  </si>
  <si>
    <t>https://techcombank.com/thong-tin/blog/mo-tai-khoan-ngan-hang-bang-so-dien-thoai</t>
  </si>
  <si>
    <t>https://techcombank.com/thong-tin/blog/cach-lien-ket-epass-voi-tai-khoan-ngan-hang</t>
  </si>
  <si>
    <t>Mở TK online; chèn câu lưu ý cho người dưới 18 tuổi. (Theo title/meta, chưa đọc bài.)</t>
  </si>
  <si>
    <t>https://techcombank.com/thong-tin/blog/khai-bao-tai-khoan-ngan-hang-voi-co-quan-thue</t>
  </si>
  <si>
    <t>Máy CDM dùng để nộp tiền — một trong các cách nạp tiền vào TK. (Theo title/meta, chưa đọc bài.)</t>
  </si>
  <si>
    <t>nạp tiền vào tài khoản ngân hàng</t>
  </si>
  <si>
    <t>Nhắc: mở tài khoản, tài khoản ngân hàng.</t>
  </si>
  <si>
    <t>https://techcombank.com/thong-tin/blog/mo-them-tai-khoan-ngan-hang-cho-cong-ty</t>
  </si>
  <si>
    <t>https://techcombank.com/thong-tin/blog/cach-nap-tien-vao-the-ghi-no</t>
  </si>
  <si>
    <t>https://techcombank.com/thong-tin/blog/techcombank-sinh-loi-tu-dong</t>
  </si>
  <si>
    <t>Nạp tiền vào thẻ ghi nợ = nạp vào TK gắn thẻ. (Theo title/meta, chưa đọc bài.)</t>
  </si>
  <si>
    <t>nộp tiền vào tài khoản</t>
  </si>
  <si>
    <t>Nhắc: tài khoản thanh toán.</t>
  </si>
  <si>
    <t>https://techcombank.com/thong-tin/blog/tai-khoan-ngan-hang-con-0-dong-co-sao-khong</t>
  </si>
  <si>
    <t>https://techcombank.com/thong-tin/blog/cach-doi-mat-khau-tai-khoan-ngan-hang</t>
  </si>
  <si>
    <t>TK 0 đồng → giải pháp nạp thêm tiền. (Theo title/meta, chưa đọc bài.)</t>
  </si>
  <si>
    <t>https://techcombank.com/thong-tin/blog/cach-lien-ket-tai-khoan-ngan-hang-voi-vneid</t>
  </si>
  <si>
    <t>https://techcombank.com/thong-tin/blog/cay-atm-gan-day</t>
  </si>
  <si>
    <t>Nhắc: mở tài khoản, tài khoản ngân hàng, tài khoản thanh toán.</t>
  </si>
  <si>
    <t>Tìm ATM/CDM gần đây để nộp tiền. (Theo title/meta, chưa đọc bài.)</t>
  </si>
  <si>
    <t>https://techcombank.com/thong-tin/blog/tai-khoan-ngan-hang-chua-toi-da-bao-nhieu-tien</t>
  </si>
  <si>
    <t>https://techcombank.com/thong-tin/blog/88-la-gi</t>
  </si>
  <si>
    <t>Sao kê lương là một dạng sao kê TK — dẫn sang hướng dẫn sao kê chung. (Theo title/meta, chưa đọc bài.)</t>
  </si>
  <si>
    <t>cách sao kê tài khoản ngân hàng</t>
  </si>
  <si>
    <t>https://techcombank.com/thong-tin/blog/dang-ky-nhieu-tai-khoan-ngan-hang-co-sao-khong</t>
  </si>
  <si>
    <t>Bài anh em cho DN; chèn câu dẫn cho TK cá nhân. (Theo title/meta, chưa đọc bài.)</t>
  </si>
  <si>
    <t>sao kê tài khoản ngân hàng</t>
  </si>
  <si>
    <t>Hồ sơ vay qua lương cần sao kê TK. (Theo title/meta, chưa đọc bài.)</t>
  </si>
  <si>
    <t>Ý nghĩa số 88 — một dãy số phát lộc; dẫn sang bài tổng hợp. (Theo title/meta, chưa đọc bài.)</t>
  </si>
  <si>
    <t>dãy số phát tài phát lộc</t>
  </si>
  <si>
    <t>Ý nghĩa 6868 — cùng chủ đề con số lộc phát. (Theo title/meta, chưa đọc bài.)</t>
  </si>
  <si>
    <t>https://techcombank.com/thong-tin/blog/mo-tai-khoan-ngan-hang-trung-so-dien-thoai</t>
  </si>
  <si>
    <t>số tài khoản phát tài phát lộc</t>
  </si>
  <si>
    <t>Gợi ý dãy số TK đẹp phát tài phát lộc — sát chủ đề. (Theo title/meta, chưa đọc bài.)</t>
  </si>
  <si>
    <t>https://techcombank.com/thong-tin/blog/tai-khoan-ngan-hang-bi-khoa</t>
  </si>
  <si>
    <t>Cách chọn số TK phát tài — dẫn sang danh sách dãy số. (Theo title/meta, chưa đọc bài.)</t>
  </si>
  <si>
    <t>https://techcombank.com/thong-tin/blog/li-xi-so-dep</t>
  </si>
  <si>
    <t>https://techcombank.com/thong-tin/blog/nho-nguoi-than-mo-tai-khoan-ngan-hang</t>
  </si>
  <si>
    <t>Lì xì số đẹp phát tài — chèn ở đoạn ý nghĩa con số. (Theo title/meta, chưa đọc bài.)</t>
  </si>
  <si>
    <t>https://techcombank.com/thong-tin/blog/gui-tiet-kiem-hang-thang</t>
  </si>
  <si>
    <t>Tra cứu nợ thuế TNCN — cùng nhóm tra cứu. (Theo title/meta, chưa đọc bài.)</t>
  </si>
  <si>
    <t>kiểm tra thuế thu nhập cá nhân</t>
  </si>
  <si>
    <t>Có MST rồi thì kiểm tra thuế TNCN theo MST. (Theo title/meta, chưa đọc bài.)</t>
  </si>
  <si>
    <t>kiểm tra thuế TNCN online</t>
  </si>
  <si>
    <t>https://techcombank.com/thong-tin/blog/tai-khoan-ngan-hang-duoi-50k-co-bi-khoa-khong</t>
  </si>
  <si>
    <t>eTax Mobile là kênh kiểm tra thuế TNCN. (Theo title/meta, chưa đọc bài.)</t>
  </si>
  <si>
    <t>tra cứu thuế TNCN</t>
  </si>
  <si>
    <t>Trước khi hoàn thuế cần kiểm tra số thuế đã nộp. (Theo title/meta, chưa đọc bài.)</t>
  </si>
  <si>
    <t>Kiểm tra số thuế đã khấu trừ trước khi quyết toán. (Theo title/meta, chưa đọc bài.)</t>
  </si>
  <si>
    <t>Mật khẩu đi cùng tên đăng nhập — bài anh em trực tiếp. (Theo title/meta, chưa đọc bài.)</t>
  </si>
  <si>
    <t>tên đăng nhập tài khoản ngân hàng</t>
  </si>
  <si>
    <t>https://techcombank.com/thong-tin/blog/internet-banking</t>
  </si>
  <si>
    <t>Đăng nhập Internet Banking cần tên đăng nhập. (Theo title/meta, chưa đọc bài.)</t>
  </si>
  <si>
    <t>tên đăng nhập</t>
  </si>
  <si>
    <t>https://techcombank.com/thong-tin/blog/cach-bao-ve-tai-khoan</t>
  </si>
  <si>
    <t>Bảo vệ TK — giữ bí mật tên đăng nhập/mật khẩu. (Theo title/meta, chưa đọc bài.)</t>
  </si>
  <si>
    <t>https://techcombank.com/thong-tin/blog/smart-otp-la-gi</t>
  </si>
  <si>
    <t>Đăng nhập + OTP; chèn ở đoạn bước đăng nhập. (Theo title/meta, chưa đọc bài.)</t>
  </si>
  <si>
    <t>Mất SĐT ảnh hưởng lấy lại thông tin đăng nhập. (Theo title/meta, chưa đọc bài.)</t>
  </si>
  <si>
    <t>Hỏi tiền vào TK có bị tính thuế — liên quan trực tiếp thuế TNCN. (Theo title/meta, chưa đọc bài.)</t>
  </si>
  <si>
    <t>Nợ thuế TNCN — người đọc cần hiểu thuế TNCN là gì. (Theo title/meta, chưa đọc bài.)</t>
  </si>
  <si>
    <t>thuế TNCN</t>
  </si>
  <si>
    <t>https://techcombank.com/thong-tin/blog/rut-tien-bang-ma-qr-khac-ngan-hang-duoc-khong</t>
  </si>
  <si>
    <t>Bài anh em — người đọc cần hướng dẫn rút tiền QR cơ bản. (Theo title/meta, chưa đọc bài.)</t>
  </si>
  <si>
    <t>rút tiền bằng mã QR</t>
  </si>
  <si>
    <t>https://techcombank.com/thong-tin/blog/cach-rut-tien-atm</t>
  </si>
  <si>
    <t>Các cách rút tiền ATM — QR là một cách. (Theo title/meta, chưa đọc bài.)</t>
  </si>
  <si>
    <t>cách rút tiền bằng mã QR</t>
  </si>
  <si>
    <t>https://techcombank.com/thong-tin/blog/the-atm-khong-rut-duoc-tien</t>
  </si>
  <si>
    <t>Thẻ lỗi không rút được → giải pháp rút bằng QR. (Theo title/meta, chưa đọc bài.)</t>
  </si>
  <si>
    <t>rút tiền không cần thẻ</t>
  </si>
  <si>
    <t>https://techcombank.com/thong-tin/blog/bi-nuot-the-atm-phai-lam-sao</t>
  </si>
  <si>
    <t>https://techcombank.com/thong-tin/blog/tai-khoan-tiet-kiem</t>
  </si>
  <si>
    <t>Bị nuốt thẻ → vẫn rút được tiền bằng QR. (Theo title/meta, chưa đọc bài.)</t>
  </si>
  <si>
    <t>Tìm ATM; chèn ở đoạn ATM hỗ trợ rút QR. (Theo title/meta, chưa đọc bài.)</t>
  </si>
  <si>
    <t>Nhắc: tạo tài khoản.</t>
  </si>
  <si>
    <t>https://techcombank.com/thong-tin/blog/xac-thuc-sinh-trac-hoc-khi-chuyen-tien</t>
  </si>
  <si>
    <t>https://techcombank.com/thong-tin/blog/viet-kieu-co-mo-duoc-tai-khoan-ngan-hang-khong</t>
  </si>
  <si>
    <t>Xác thực sinh trắc học yêu cầu quét NFC chip CCCD. (Theo title/meta, chưa đọc bài.)</t>
  </si>
  <si>
    <t>quét NFC CCCD trên iPhone</t>
  </si>
  <si>
    <t>Liên kết VNeID cần quét chip CCCD. (Theo title/meta, chưa đọc bài.)</t>
  </si>
  <si>
    <t>quét NFC CCCD</t>
  </si>
  <si>
    <t>https://techcombank.com/thong-tin/blog/ekyc-la-gi</t>
  </si>
  <si>
    <t>eKYC dùng NFC CCCD để định danh. (Theo title/meta, chưa đọc bài.)</t>
  </si>
  <si>
    <t>cách quét NFC căn cước</t>
  </si>
  <si>
    <t>https://techcombank.com/thong-tin/blog/cach-dang-ky-dinh-danh-muc-2</t>
  </si>
  <si>
    <t>Định danh mức 2 cần quét CCCD gắn chip. (Theo title/meta, chưa đọc bài.)</t>
  </si>
  <si>
    <t>Mở TK online có bước quét NFC CCCD. (Theo title/meta, chưa đọc bài.)</t>
  </si>
  <si>
    <t>https://techcombank.com/thong-tin/blog/dau-chan-carbon</t>
  </si>
  <si>
    <t>Bài dấu chân carbon nhắc lợi ích xanh của thẻ Visa Eco. (Theo title/meta, chưa đọc bài.)</t>
  </si>
  <si>
    <t>eco card</t>
  </si>
  <si>
    <t>https://techcombank.com/thong-tin/blog/san-pham-xanh</t>
  </si>
  <si>
    <t>Điểm danh sản phẩm xanh ngành ngân hàng — Eco Card là ví dụ. (Theo title/meta, chưa đọc bài.)</t>
  </si>
  <si>
    <t>thẻ Eco</t>
  </si>
  <si>
    <t>https://techcombank.com/thong-tin/blog/xu-huong-song-xanh</t>
  </si>
  <si>
    <t>Lối sống xanh → thẻ xanh. (Theo title/meta, chưa đọc bài.)</t>
  </si>
  <si>
    <t>Techcombank Eco</t>
  </si>
  <si>
    <t>https://techcombank.com/thong-tin/blog/the-ghi-no-visa-la-gi</t>
  </si>
  <si>
    <t>Top app ngân hàng uy tín — anh em chủ đề, người đọc muốn biết ngân hàng nào uy tín.</t>
  </si>
  <si>
    <t>Thẻ Visa Debit — Eco Card là một loại Visa Debit. (Theo title/meta, chưa đọc bài.)</t>
  </si>
  <si>
    <t>CCB</t>
  </si>
  <si>
    <t>https://techcombank.com/thong-tin/blog/diem-tin-dung</t>
  </si>
  <si>
    <t>Điểm tín dụng CIC — cần hiểu CIC là gì. (Theo title/meta, chưa đọc bài.)</t>
  </si>
  <si>
    <t>Gửi tiền có an toàn không → chọn ngân hàng uy tín.</t>
  </si>
  <si>
    <t>CIC là gì</t>
  </si>
  <si>
    <t>https://techcombank.com/thong-tin/blog/lich-su-tin-dung</t>
  </si>
  <si>
    <t>Tiêu chí chọn ngân hàng — uy tín là một tiêu chí.</t>
  </si>
  <si>
    <t>https://techcombank.com/thong-tin/blog/gio-lam-viec-ngan-hang</t>
  </si>
  <si>
    <t>Lịch sử tín dụng lưu tại CIC. (Theo title/meta, chưa đọc bài.)</t>
  </si>
  <si>
    <t>CIC</t>
  </si>
  <si>
    <t>https://techcombank.com/thong-tin/blog/no-nhom-3</t>
  </si>
  <si>
    <t>Nợ nhóm 3 bao lâu xóa trên CIC. (Theo title/meta, chưa đọc bài.)</t>
  </si>
  <si>
    <t>Trung tâm Thông tin Tín dụng (CIC)</t>
  </si>
  <si>
    <t>Nhắc nhiều ngân hàng lớn; chèn ở đoạn mở đầu. (Liên quan yếu – bản chặt đã loại.)</t>
  </si>
  <si>
    <t>https://techcombank.com/thong-tin/blog/no-chu-y-la-gi</t>
  </si>
  <si>
    <t>https://techcombank.com/thong-tin/blog/gia-tri-thuong-hieu</t>
  </si>
  <si>
    <t>Nợ cần chú ý được ghi nhận trên CIC. (Theo title/meta, chưa đọc bài.)</t>
  </si>
  <si>
    <t>tra cứu CIC cá nhân</t>
  </si>
  <si>
    <t>https://techcombank.com/thong-tin/blog/no-xau-nhom-2</t>
  </si>
  <si>
    <t>Giá trị thương hiệu ngân hàng — liên quan bảng xếp hạng ngân hàng. (Liên quan yếu – bản chặt đã loại.)</t>
  </si>
  <si>
    <t>Nợ nhóm 2 — tra trên CIC. (Theo title/meta, chưa đọc bài.)</t>
  </si>
  <si>
    <t>kiểm tra CIC</t>
  </si>
  <si>
    <t>https://techcombank.com/thong-tin/blog/dieu-kien-vay-von-ngan-hang</t>
  </si>
  <si>
    <t>https://techcombank.com/thong-tin/blog/phi-rut-tien-mat-the-tin-dung</t>
  </si>
  <si>
    <t>Nhắc: các ngân hàng.</t>
  </si>
  <si>
    <t>Bài phí rút tiền — người đọc cần cách rút. (Theo title/meta, chưa đọc bài.)</t>
  </si>
  <si>
    <t>rút tiền mặt từ thẻ tín dụng</t>
  </si>
  <si>
    <t>https://techcombank.com/thong-tin/blog/the-visa-co-rut-tien-duoc-khong</t>
  </si>
  <si>
    <t>https://techcombank.com/thong-tin/blog/nen-vay-the-chap-ngan-hang-nao</t>
  </si>
  <si>
    <t>Thẻ Visa rút tiền được không — dẫn sang hướng dẫn rút từ thẻ tín dụng. (Theo title/meta, chưa đọc bài.)</t>
  </si>
  <si>
    <t>cách rút tiền thẻ tín dụng</t>
  </si>
  <si>
    <t>Nhắc: ngân hàng nào, chọn ngân hàng.</t>
  </si>
  <si>
    <t>Nhu cầu lấy tiền mặt từ thẻ tín dụng tương tự. (Theo title/meta, chưa đọc bài.)</t>
  </si>
  <si>
    <t>https://techcombank.com/thong-tin/blog/su-hop-tac-cua-ngan-hang-va-fintech-tren-hanh-trinh-chuyen-doi-so</t>
  </si>
  <si>
    <t>rút tiền thẻ tín dụng</t>
  </si>
  <si>
    <t>https://techcombank.com/thong-tin/blog/han-muc-the-tin-dung</t>
  </si>
  <si>
    <t>Hạn mức rút tiền mặt là một phần hạn mức thẻ. (Theo title/meta, chưa đọc bài.)</t>
  </si>
  <si>
    <t>https://techcombank.com/thong-tin/blog/lai-suat-the-tin-dung</t>
  </si>
  <si>
    <t>Nhắc: ngân hàng nào.</t>
  </si>
  <si>
    <t>https://techcombank.com/thong-tin/blog/lam-the-visa-o-dau</t>
  </si>
  <si>
    <t>Rút tiền mặt phát sinh lãi ngay — chèn ở đoạn khi nào phát sinh lãi. (Theo title/meta, chưa đọc bài.)</t>
  </si>
  <si>
    <t>Nhắc: chọn ngân hàng.</t>
  </si>
  <si>
    <t>https://techcombank.com/thong-tin/blog/the-tin-dung-la-gi</t>
  </si>
  <si>
    <t>Định nghĩa thẻ tín dụng → nhu cầu làm thẻ. (Theo title/meta, chưa đọc bài.)</t>
  </si>
  <si>
    <t>làm thẻ tín dụng</t>
  </si>
  <si>
    <t>https://techcombank.com/thong-tin/blog/uu-dai-mo-the-tin-dung</t>
  </si>
  <si>
    <t>https://techcombank.com/thong-tin/blog/mo-the-tin-dung-chi-can-cccd</t>
  </si>
  <si>
    <t>Một cách mở thẻ — dẫn sang hướng dẫn đầy đủ. (Theo title/meta, chưa đọc bài.)</t>
  </si>
  <si>
    <t>mở thẻ tín dụng</t>
  </si>
  <si>
    <t>Nhắc: ngân hàng uy tín, ngân hàng nào.</t>
  </si>
  <si>
    <t>https://techcombank.com/thong-tin/blog/lam-the-tin-dung-co-mat-phi-khong</t>
  </si>
  <si>
    <t>https://techcombank.com/thong-tin/blog/app-ngan-hang</t>
  </si>
  <si>
    <t>Nhắc: chọn ngân hàng, ngân hàng tốt.</t>
  </si>
  <si>
    <t>Phí làm thẻ — đi kèm thủ tục làm thẻ. (Theo title/meta, chưa đọc bài.)</t>
  </si>
  <si>
    <t>https://techcombank.com/thong-tin/blog/mo-the-tin-dung-khong-can-chung-minh-thu-nhap</t>
  </si>
  <si>
    <t>https://techcombank.com/thong-tin/blog/vay-sinh-vien</t>
  </si>
  <si>
    <t>Điều kiện mở thẻ — sát chủ đề. (Theo title/meta, chưa đọc bài.)</t>
  </si>
  <si>
    <t>https://techcombank.com/thong-tin/blog/co-nen-dung-the-tin-dung-khong</t>
  </si>
  <si>
    <t>https://techcombank.com/thong-tin/blog/lai-suat-vay-tieu-dung</t>
  </si>
  <si>
    <t>Quyết định dùng thẻ → bước làm thẻ. (Theo title/meta, chưa đọc bài.)</t>
  </si>
  <si>
    <t>https://techcombank.com/thong-tin/blog/the-tin-dung-nao-nhieu-uu-dai-nhat</t>
  </si>
  <si>
    <t>So sánh thẻ tín dụng Techcombank — Everyday nên được nhắc. (Theo title/meta, chưa đọc bài.)</t>
  </si>
  <si>
    <t>thẻ tín dụng Techcombank Everyday</t>
  </si>
  <si>
    <t>https://techcombank.com/thong-tin/blog/gui-tiet-kiem-ngoai-te</t>
  </si>
  <si>
    <t>https://techcombank.com/thong-tin/blog/thoi-gian-hoan-tien-the-tin-dung</t>
  </si>
  <si>
    <t>Chương trình hoàn tiền thẻ tín dụng Techcombank. (Theo title/meta, chưa đọc bài.)</t>
  </si>
  <si>
    <t>Techcombank Everyday</t>
  </si>
  <si>
    <t>https://techcombank.com/thong-tin/blog/uu-dai-the-tin-dung</t>
  </si>
  <si>
    <t>Top ưu đãi thẻ tín dụng; chèn ở mục Techcombank. (Theo title/meta, chưa đọc bài.)</t>
  </si>
  <si>
    <t>https://techcombank.com/thong-tin/blog/the-tin-dung-mien-lai-55-ngay</t>
  </si>
  <si>
    <t>https://techcombank.com/thong-tin/blog/cac-loai-the-tin-dung</t>
  </si>
  <si>
    <t>Phân loại thẻ — chèn ví dụ thẻ hoàn tiền. (Theo title/meta, chưa đọc bài.)</t>
  </si>
  <si>
    <t>https://techcombank.com/thong-tin/blog/mo-the-tin-dung-co-loi-ich-gi</t>
  </si>
  <si>
    <t>Lợi ích thẻ tín dụng — hoàn tiền là một lợi ích. (Theo title/meta, chưa đọc bài.)</t>
  </si>
  <si>
    <t>Title nhắc 'hoàn tiền' khi trả tiền điện bằng thẻ tín dụng. (Theo title/meta, chưa đọc bài.)</t>
  </si>
  <si>
    <t>thẻ tín dụng hoàn tiền</t>
  </si>
  <si>
    <t>https://techcombank.com/thong-tin/blog/cashback-the-thanh-toan</t>
  </si>
  <si>
    <t>Cashback thẻ thanh toán (ghi nợ) — so sánh với thẻ tín dụng hoàn tiền. (Theo title/meta, chưa đọc bài.)</t>
  </si>
  <si>
    <t>thẻ hoàn tiền</t>
  </si>
  <si>
    <t>https://techcombank.com/thong-tin/blog/mat-the-tin-dung-co-lam-lai-duoc-khong</t>
  </si>
  <si>
    <t>Ưu đãi mở thẻ — hoàn tiền là ưu đãi phổ biến. (Theo title/meta, chưa đọc bài.)</t>
  </si>
  <si>
    <t>thẻ cashback</t>
  </si>
  <si>
    <t>https://techcombank.com/thong-tin/blog/the-tin-dung-mien-phi-thuong-nien</t>
  </si>
  <si>
    <t>Top thẻ đáng mở — chèn ở tiêu chí chọn thẻ. (Theo title/meta, chưa đọc bài.)</t>
  </si>
  <si>
    <t>https://techcombank.com/thong-tin/blog/cach-su-dung-the-tin-dung</t>
  </si>
  <si>
    <t>Dùng thẻ tiết kiệm — tận dụng hoàn tiền. (Theo title/meta, chưa đọc bài.)</t>
  </si>
  <si>
    <t>https://techcombank.com/thong-tin/blog/lai-suat-vay-tin-chap</t>
  </si>
  <si>
    <t>https://techcombank.com/thong-tin/blog/phi-thuong-nien-la-gi</t>
  </si>
  <si>
    <t>Không muốn trả phí thường niên → hủy thẻ. (Theo title/meta, chưa đọc bài.)</t>
  </si>
  <si>
    <t>cách hủy thẻ tín dụng</t>
  </si>
  <si>
    <t>https://techcombank.com/thong-tin/blog/bao-hiem-vat-chat-xe-o-to</t>
  </si>
  <si>
    <t>https://techcombank.com/thong-tin/blog/khong-su-dung-the-tin-dung-co-mat-phi-khong</t>
  </si>
  <si>
    <t>Không dùng thẻ vẫn mất phí → nên hủy. (Theo title/meta, chưa đọc bài.)</t>
  </si>
  <si>
    <t>hủy thẻ tín dụng</t>
  </si>
  <si>
    <t>https://techcombank.com/thong-tin/blog/cach-khoa-the-ngan-hang</t>
  </si>
  <si>
    <t>Khóa vs hủy thẻ — đối chiếu trực tiếp. (Theo title/meta, chưa đọc bài.)</t>
  </si>
  <si>
    <t>https://techcombank.com/thong-tin/blog/ty-gia-cac-ngan-hang</t>
  </si>
  <si>
    <t>https://techcombank.com/thong-tin/blog/the-tin-dung-bi-khoa</t>
  </si>
  <si>
    <t>Nhắc: chọn ngân hàng, các ngân hàng.</t>
  </si>
  <si>
    <t>Thẻ bị khóa — chèn ở đoạn phân biệt khóa/hủy. (Theo title/meta, chưa đọc bài.)</t>
  </si>
  <si>
    <t>https://techcombank.com/thong-tin/blog/ty-gia-la-gi</t>
  </si>
  <si>
    <t>https://techcombank.com/thong-tin/blog/the-tin-dung-het-han</t>
  </si>
  <si>
    <t>Thẻ hết hạn: gia hạn hoặc hủy. (Theo title/meta, chưa đọc bài.)</t>
  </si>
  <si>
    <t>Lịch sử tín dụng quyết định xếp hạng tín dụng. (Theo title/meta, chưa đọc bài.)</t>
  </si>
  <si>
    <t>xếp hạng tín dụng</t>
  </si>
  <si>
    <t>Điều kiện vay — xếp hạng tín dụng là một yếu tố. (Theo title/meta, chưa đọc bài.)</t>
  </si>
  <si>
    <t>xếp hạng tín dụng cá nhân</t>
  </si>
  <si>
    <t>https://techcombank.com/thong-tin/blog/no-xau-co-vay-the-chap-duoc-khong</t>
  </si>
  <si>
    <t>Nợ xấu làm giảm xếp hạng. (Theo title/meta, chưa đọc bài.)</t>
  </si>
  <si>
    <t>https://techcombank.com/thong-tin/blog/thanh-toan-toi-thieu-the-tin-dung</t>
  </si>
  <si>
    <t>Thanh toán tối thiểu — liên quan trực tiếp cách trả dư nợ. (Theo title/meta, chưa đọc bài.)</t>
  </si>
  <si>
    <t>cách thanh toán thẻ tín dụng</t>
  </si>
  <si>
    <t>Hướng dẫn chuyển tiền — phần lưu ý/xử lý sự cố chèn được.</t>
  </si>
  <si>
    <t>https://techcombank.com/thong-tin/blog/qua-han-thanh-toan-the-tin-dung-1-ngay</t>
  </si>
  <si>
    <t>Quá hạn → hướng dẫn các kênh thanh toán để không trễ. (Theo title/meta, chưa đọc bài.)</t>
  </si>
  <si>
    <t>thanh toán dư nợ thẻ tín dụng</t>
  </si>
  <si>
    <t>Chuyển liên ngân hàng là trường hợp hay bị chậm nhận tiền.</t>
  </si>
  <si>
    <t>https://techcombank.com/thong-tin/blog/sao-ke-the-tin-dung-la-gi</t>
  </si>
  <si>
    <t>Mã giao dịch dùng để tra soát khi chuyển thành công mà chưa nhận.</t>
  </si>
  <si>
    <t>Sao kê ghi số tiền và hạn thanh toán. (Theo title/meta, chưa đọc bài.)</t>
  </si>
  <si>
    <t>trả nợ thẻ tín dụng</t>
  </si>
  <si>
    <t>https://techcombank.com/thong-tin/blog/no-the-tin-dung-qua-han</t>
  </si>
  <si>
    <t>Sự cố chuyển tiền tương tự, người đọc quan tâm cả hai tình huống.</t>
  </si>
  <si>
    <t>Nợ quá hạn — cần cách trả nợ thẻ. (Theo title/meta, chưa đọc bài.)</t>
  </si>
  <si>
    <t>Sai thông tin ngân hàng thụ hưởng là một nguyên nhân không nhận được tiền.</t>
  </si>
  <si>
    <t>Miễn lãi khi thanh toán đúng hạn. (Theo title/meta, chưa đọc bài.)</t>
  </si>
  <si>
    <t>https://techcombank.com/thong-tin/blog/loa-thong-bao-chuyen-khoan</t>
  </si>
  <si>
    <t>Nhắc: chuyển khoản.</t>
  </si>
  <si>
    <t>CD</t>
  </si>
  <si>
    <t>https://techcombank.com/thong-tin/blog/chung-chi-tien-gui-khac-gi-so-tiet-kiem</t>
  </si>
  <si>
    <t>https://techcombank.com/thong-tin/blog/ma-qr-ngan-hang-khong-hop-le</t>
  </si>
  <si>
    <t>So sánh CD và tiết kiệm — cần định nghĩa CD. (Theo title/meta, chưa đọc bài.)</t>
  </si>
  <si>
    <t>chứng chỉ tiền gửi là gì</t>
  </si>
  <si>
    <t>Nhắc: chuyển tiền.</t>
  </si>
  <si>
    <t>https://techcombank.com/thong-tin/blog/chung-chi-tien-gui-co-phai-la-trai-phieu-khong</t>
  </si>
  <si>
    <t>Nhắc: chuyển tiền, thụ hưởng.</t>
  </si>
  <si>
    <t>https://techcombank.com/thong-tin/blog/remittance-la-gi</t>
  </si>
  <si>
    <t>Câu hỏi bản chất CD. (Theo title/meta, chưa đọc bài.)</t>
  </si>
  <si>
    <t>chứng chỉ tiền gửi</t>
  </si>
  <si>
    <t>https://techcombank.com/thong-tin/blog/co-nen-gui-chung-chi-tien-gui</t>
  </si>
  <si>
    <t>Lý do nên mua CD → dẫn về bài tổng quan. (Theo title/meta, chưa đọc bài.)</t>
  </si>
  <si>
    <t>https://techcombank.com/thong-tin/blog/chung-chi-tien-gui-co-an-toan-khong</t>
  </si>
  <si>
    <t>https://techcombank.com/thong-tin/blog/cach-tao-ma-qr-code-mien-phi</t>
  </si>
  <si>
    <t>Tính an toàn của CD. (Theo title/meta, chưa đọc bài.)</t>
  </si>
  <si>
    <t>https://techcombank.com/thong-tin/blog/tien-nhan-roi-nen-lam-gi</t>
  </si>
  <si>
    <t>https://techcombank.com/thong-tin/blog/loa-ting-ting</t>
  </si>
  <si>
    <t>Kênh sinh lời cho tiền nhàn rỗi — CD là một kênh. (Theo title/meta, chưa đọc bài.)</t>
  </si>
  <si>
    <t>https://techcombank.com/thong-tin/blog/cach-lay-lai-tien-da-chuyen-khoan-khi-bi-lua</t>
  </si>
  <si>
    <t>Nhắc: chuyển khoản, chuyển tiền.</t>
  </si>
  <si>
    <t>https://techcombank.com/thong-tin/blog/uu-diem-cua-blockchain</t>
  </si>
  <si>
    <t>Tính lợi nhuận CD cần mức lãi suất. (Theo title/meta, chưa đọc bài.)</t>
  </si>
  <si>
    <t>lãi suất chứng chỉ tiền gửi các ngân hàng</t>
  </si>
  <si>
    <t>https://techcombank.com/thong-tin/blog/tat-toan-chung-chi-tien-gui</t>
  </si>
  <si>
    <t>Tất toán ảnh hưởng lợi suất — chèn ở đoạn lãi suất. (Theo title/meta, chưa đọc bài.)</t>
  </si>
  <si>
    <t>lãi suất chứng chỉ tiền gửi</t>
  </si>
  <si>
    <t>https://techcombank.com/thong-tin/blog/iban-la-gi</t>
  </si>
  <si>
    <t>https://techcombank.com/thong-tin/blog/chung-chi-tien-gui-co-duoc-rut-truoc-han</t>
  </si>
  <si>
    <t>Rút trước hạn mất lãi suất — chèn ở đoạn lãi. (Theo title/meta, chưa đọc bài.)</t>
  </si>
  <si>
    <t>https://techcombank.com/thong-tin/blog/nguoi-duoc-bao-hiem-la-gi</t>
  </si>
  <si>
    <t>lợi suất chứng chỉ tiền gửi</t>
  </si>
  <si>
    <t>https://techcombank.com/thong-tin/blog/chuyen-nhuong-chung-chi-tien-gui</t>
  </si>
  <si>
    <t>Nhắc: thụ hưởng.</t>
  </si>
  <si>
    <t>Giá chuyển nhượng phụ thuộc lãi suất. (Theo title/meta, chưa đọc bài.)</t>
  </si>
  <si>
    <t>https://techcombank.com/thong-tin/blog/cach-chuyen-khoan-bang-dien-thoai</t>
  </si>
  <si>
    <t>Nhắc: chuyển khoản, chuyển nhầm.</t>
  </si>
  <si>
    <t>FX</t>
  </si>
  <si>
    <t>https://techcombank.com/thong-tin/blog/tien-trung-quoc</t>
  </si>
  <si>
    <t>https://techcombank.com/thong-tin/blog/cach-su-dung-the-visa-techcombank</t>
  </si>
  <si>
    <t>Bài tổng quan tiền Trung Quốc — dẫn sang quy đổi 1 tệ. (Theo title/meta, chưa đọc bài.)</t>
  </si>
  <si>
    <t>1 Tệ bằng bao nhiêu tiền Việt</t>
  </si>
  <si>
    <t>https://techcombank.com/thong-tin/blog/1-van-te-bang-bao-nhieu-tien-viet</t>
  </si>
  <si>
    <t>https://techcombank.com/thong-tin/blog/ma-swift-ngan-hang</t>
  </si>
  <si>
    <t>Bài anh em mệnh giá 1 vạn tệ. (Theo title/meta, chưa đọc bài.)</t>
  </si>
  <si>
    <t>tỷ giá Nhân dân tệ</t>
  </si>
  <si>
    <t>https://techcombank.com/thong-tin/blog/1000-te-bang-bao-nhieu-tien-viet</t>
  </si>
  <si>
    <t>https://techcombank.com/thong-tin/blog/vi-dien-tu-la-gi</t>
  </si>
  <si>
    <t>Bài anh em mệnh giá 1000 tệ. (Theo title/meta, chưa đọc bài.)</t>
  </si>
  <si>
    <t>https://techcombank.com/thong-tin/blog/thanh-toan-khi-du-lich-trung-quoc</t>
  </si>
  <si>
    <t>Du lịch Trung Quốc cần quy đổi tệ. (Theo title/meta, chưa đọc bài.)</t>
  </si>
  <si>
    <t>https://techcombank.com/thong-tin/blog/xu-huong-ty-gia-usd</t>
  </si>
  <si>
    <t>Xu hướng tỷ giá USD — người đọc cần tỷ giá hiện tại. (Theo title/meta, chưa đọc bài.)</t>
  </si>
  <si>
    <t>1 đô la Mỹ bằng bao nhiêu tiền Việt</t>
  </si>
  <si>
    <t>https://techcombank.com/thong-tin/blog/cach-chuyen-tien-qua-ma-qr-techcombank</t>
  </si>
  <si>
    <t>https://techcombank.com/thong-tin/blog/dieu-kien-mua-usd-tu-ngan-hang</t>
  </si>
  <si>
    <t>Mua USD cần biết 1 USD bằng bao nhiêu VND. (Theo title/meta, chưa đọc bài.)</t>
  </si>
  <si>
    <t>1 đô bằng bao nhiêu tiền Việt</t>
  </si>
  <si>
    <t>https://techcombank.com/thong-tin/blog/the-ghi-no-co-chuyen-khoan-duoc-khong</t>
  </si>
  <si>
    <t>https://techcombank.com/thong-tin/blog/1-cent-bang-bao-nhieu-tien-viet</t>
  </si>
  <si>
    <t>Bài anh em (cent = 1/100 USD). (Theo title/meta, chưa đọc bài.)</t>
  </si>
  <si>
    <t>tỷ giá USD/VND</t>
  </si>
  <si>
    <t>https://techcombank.com/thong-tin/blog/lai-suat-gui-tiet-kiem-usd</t>
  </si>
  <si>
    <t>https://techcombank.com/thong-tin/blog/chuyen-tien-dinh-cu</t>
  </si>
  <si>
    <t>Tiết kiệm USD — quy đổi sang VND. (Theo title/meta, chưa đọc bài.)</t>
  </si>
  <si>
    <t>https://techcombank.com/thong-tin/blog/chuyen-tien-tu-my-ve-viet-nam</t>
  </si>
  <si>
    <t>https://techcombank.com/thong-tin/blog/dinh-cu-chau-au</t>
  </si>
  <si>
    <t>Chuyển tiền từ Mỹ — quy đổi USD. (Theo title/meta, chưa đọc bài.)</t>
  </si>
  <si>
    <t>https://techcombank.com/thong-tin/blog/cam-nang-dinh-cu-my</t>
  </si>
  <si>
    <t>https://techcombank.com/thong-tin/blog/thanh-toan-khi-du-lich-nhat-ban</t>
  </si>
  <si>
    <t>Du lịch Nhật cần biết mệnh giá tiền Nhật. (Theo title/meta, chưa đọc bài.)</t>
  </si>
  <si>
    <t>tiền Nhật</t>
  </si>
  <si>
    <t>https://techcombank.com/thong-tin/blog/chuyen-tien-tu-nhat-ve-viet-nam</t>
  </si>
  <si>
    <t>https://techcombank.com/thong-tin/blog/thu-tuc-chuyen-tien-ra-nuoc-ngoai</t>
  </si>
  <si>
    <t>Chuyển tiền từ Nhật — liên quan tiền Yên. (Theo title/meta, chưa đọc bài.)</t>
  </si>
  <si>
    <t>tiền Yên Nhật</t>
  </si>
  <si>
    <t>https://techcombank.com/thong-tin/blog/gui-tien-sang-nuoc-ngoai</t>
  </si>
  <si>
    <t>Bài quy đổi 1 Yên dẫn về tổng quan tiền Nhật. (Theo title/meta, chưa đọc bài.)</t>
  </si>
  <si>
    <t>https://techcombank.com/thong-tin/blog/chuyen-tien-tu-duc-ve-viet-nam</t>
  </si>
  <si>
    <t>Bài 1 Man dẫn về mệnh giá tiền Nhật. (Theo title/meta, chưa đọc bài.)</t>
  </si>
  <si>
    <t>https://techcombank.com/thong-tin/blog/1000-yen-bang-bao-nhieu-tien-viet</t>
  </si>
  <si>
    <t>Bài anh em mệnh giá 1000 Yên. (Theo title/meta, chưa đọc bài.)</t>
  </si>
  <si>
    <t>1 Yên bằng bao nhiêu tiền Việt</t>
  </si>
  <si>
    <t>Bài tổng quan tiền Nhật — đoạn tỷ giá dẫn sang quy đổi 1 Yên. (Theo title/meta, chưa đọc bài.)</t>
  </si>
  <si>
    <t>tỷ giá Yên Nhật</t>
  </si>
  <si>
    <t>1 Man = 10.000 Yên — dẫn sang tỷ giá 1 Yên. (Theo title/meta, chưa đọc bài.)</t>
  </si>
  <si>
    <t>https://techcombank.com/thong-tin/blog/chuyen-tien-tro-cap-than-nhan-o-nuoc-ngoai</t>
  </si>
  <si>
    <t>Chuyển tiền từ Nhật — quy đổi JPY/VND. (Theo title/meta, chưa đọc bài.)</t>
  </si>
  <si>
    <t>https://techcombank.com/thong-tin/blog/chuyen-tien-tu-han-sang-viet-nam</t>
  </si>
  <si>
    <t>https://techcombank.com/thong-tin/blog/1-trieu-won-bang-bao-nhieu-tien-viet</t>
  </si>
  <si>
    <t>Bài anh em mệnh giá 1 triệu Won. (Theo title/meta, chưa đọc bài.)</t>
  </si>
  <si>
    <t>1 Won bằng bao nhiêu tiền Việt</t>
  </si>
  <si>
    <t>Bài anh em 1000 Won. (Theo title/meta, chưa đọc bài.)</t>
  </si>
  <si>
    <t>tỷ giá Won</t>
  </si>
  <si>
    <t>https://techcombank.com/thong-tin/blog/thanh-toan-khi-du-lich-han-quoc</t>
  </si>
  <si>
    <t>Du lịch Hàn Quốc cần quy đổi Won. (Theo title/meta, chưa đọc bài.)</t>
  </si>
  <si>
    <t>https://techcombank.com/thong-tin/blog/chuyen-tien-di-uc</t>
  </si>
  <si>
    <t>Chuyển tiền Hàn về VN — tỷ giá Won. (Theo title/meta, chưa đọc bài.)</t>
  </si>
  <si>
    <t>https://techcombank.com/thong-tin/blog/tien-lao</t>
  </si>
  <si>
    <t>So sánh tỷ giá các ngân hàng — chèn ở mục KRW. (Theo title/meta, chưa đọc bài.)</t>
  </si>
  <si>
    <t>https://techcombank.com/thong-tin/blog/1-van-tien-dai-loan-bang-bao-nhieu-tien-viet</t>
  </si>
  <si>
    <t>Bài anh em 1 vạn Đài tệ. (Theo title/meta, chưa đọc bài.)</t>
  </si>
  <si>
    <t>tiền Đài Loan</t>
  </si>
  <si>
    <t>https://techcombank.com/thong-tin/blog/ngoai-te-la-gi</t>
  </si>
  <si>
    <t>Định nghĩa ngoại tệ; chèn ví dụ Đài tệ. (Theo title/meta, chưa đọc bài.)</t>
  </si>
  <si>
    <t>Tân Đài tệ</t>
  </si>
  <si>
    <t>Bảng tỷ giá — chèn ở mục TWD. (Theo title/meta, chưa đọc bài.)</t>
  </si>
  <si>
    <t>tỷ giá Đài tệ</t>
  </si>
  <si>
    <t>https://techcombank.com/thong-tin/blog/han-muc-mua-ngoai-te-khi-di-du-lich</t>
  </si>
  <si>
    <t>Mua ngoại tệ đi du lịch — chèn ví dụ Đài Loan. (Theo title/meta, chưa đọc bài.)</t>
  </si>
  <si>
    <t>Tổng quan tiền Nhật — đoạn mệnh giá 10.000 Yên dẫn sang 1 Man. (Theo title/meta, chưa đọc bài.)</t>
  </si>
  <si>
    <t>1 Man bằng bao nhiêu tiền Việt</t>
  </si>
  <si>
    <t>Bài 1 Yên — chèn ở đoạn quy đổi mệnh giá lớn. (Theo title/meta, chưa đọc bài.)</t>
  </si>
  <si>
    <t>1 Man Nhật</t>
  </si>
  <si>
    <t>Bài 1000 Yên — dẫn sang 1 Man. (Theo title/meta, chưa đọc bài.)</t>
  </si>
  <si>
    <t>Người lao động Nhật hay tính lương theo 'man'. (Theo title/meta, chưa đọc bài.)</t>
  </si>
  <si>
    <t>Du lịch Nhật; chèn ở đoạn chuẩn bị tiền mặt. (Theo title/meta, chưa đọc bài.)</t>
  </si>
  <si>
    <t>https://techcombank.com/thong-tin/blog/thanh-toan-khi-du-lich-thai-lan</t>
  </si>
  <si>
    <t>Du lịch Thái cần biết tiền Thái. (Theo title/meta, chưa đọc bài.)</t>
  </si>
  <si>
    <t>tiền Thái Lan</t>
  </si>
  <si>
    <t>https://techcombank.com/thong-tin/blog/thanh-toan-qr-thai-lan</t>
  </si>
  <si>
    <t>Thanh toán QR ở Thái — liên quan quy đổi Baht. (Theo title/meta, chưa đọc bài.)</t>
  </si>
  <si>
    <t>tiền Baht Thái</t>
  </si>
  <si>
    <t>Mua ngoại tệ đi du lịch — ví dụ Baht. (Theo title/meta, chưa đọc bài.)</t>
  </si>
  <si>
    <t>tiền Baht</t>
  </si>
  <si>
    <t>https://techcombank.com/thong-tin/blog/di-du-lich-nuoc-ngoai-can-chuan-bi-gi</t>
  </si>
  <si>
    <t>Checklist du lịch — mục đổi tiền. (Theo title/meta, chưa đọc bài.)</t>
  </si>
  <si>
    <t>https://techcombank.com/thong-tin/blog/thanh-toan-bang-the-quoc-te</t>
  </si>
  <si>
    <t>Tài khoản cho con — phụ huynh cần biết quy định độ tuổi.</t>
  </si>
  <si>
    <t>HSSV chọn thẻ — câu hỏi bao nhiêu tuổi được làm thẻ đi kèm.</t>
  </si>
  <si>
    <t>Làm thẻ ATM; chèn ở mục điều kiện (độ tuổi).</t>
  </si>
  <si>
    <t>https://techcombank.com/thong-tin/blog/1-nguoi-co-the-lam-duoc-bao-nhieu-the-atm</t>
  </si>
  <si>
    <t>Quy định làm thẻ; chèn ở đoạn điều kiện chủ thẻ. (Liên quan yếu – bản chặt đã loại.)</t>
  </si>
  <si>
    <t>https://techcombank.com/thong-tin/blog/lam-the-atm-bao-lau-co</t>
  </si>
  <si>
    <t>Thời gian làm thẻ; chèn ở đoạn điều kiện làm thẻ. (Liên quan yếu – bản chặt đã loại.)</t>
  </si>
  <si>
    <t>https://techcombank.com/thong-tin/blog/tap-doan-thanh-quang-khoi-sac-kinh-doanh-nho-nguon-von-vay-tin-dung-techcombank-tren-nen-tang-misa-lending</t>
  </si>
  <si>
    <t>Thanh toán thẻ quốc tế khi du lịch — chèn ở đoạn tiền mặt. (Theo title/meta, chưa đọc bài.)</t>
  </si>
  <si>
    <t>Nhắc: trẻ em.</t>
  </si>
  <si>
    <t>https://techcombank.com/thong-tin/blog/the-he-ke-can</t>
  </si>
  <si>
    <t>Nhắc: cho con.</t>
  </si>
  <si>
    <t>Bài 1 USD — chèn ở đoạn quy đổi số tiền lớn. (Theo title/meta, chưa đọc bài.)</t>
  </si>
  <si>
    <t>1 triệu đô bằng bao nhiêu tiền Việt</t>
  </si>
  <si>
    <t>https://techcombank.com/thong-tin/blog/high-net-worth-client-va-ultra-high-net-worth-client</t>
  </si>
  <si>
    <t>Nhắc: tuổi.</t>
  </si>
  <si>
    <t>https://techcombank.com/thong-tin/blog/lam-the-atm-co-mat-phi-khong</t>
  </si>
  <si>
    <t>Ngưỡng tài sản 'triệu đô' của HNWI. (Theo title/meta, chưa đọc bài.)</t>
  </si>
  <si>
    <t>Nhắc: làm thẻ.</t>
  </si>
  <si>
    <t>https://techcombank.com/thong-tin/blog/sai-lam-ve-tai-chinh-ca-nhan</t>
  </si>
  <si>
    <t>Tỷ giá USD — ví dụ quy đổi 1 triệu đô. (Theo title/meta, chưa đọc bài.)</t>
  </si>
  <si>
    <t>Bài 1 Won có bảng quy đổi 1.000 Won (theo meta). (Theo title/meta, chưa đọc bài.)</t>
  </si>
  <si>
    <t>1000 Won bằng bao nhiêu tiền Việt</t>
  </si>
  <si>
    <t>https://techcombank.com/thong-tin/blog/the-visa-de-lam-gi</t>
  </si>
  <si>
    <t>Bài anh em mệnh giá. (Theo title/meta, chưa đọc bài.)</t>
  </si>
  <si>
    <t>1,000 won</t>
  </si>
  <si>
    <t>Du lịch Hàn — giá món đồ thường tính nghìn Won. (Theo title/meta, chưa đọc bài.)</t>
  </si>
  <si>
    <t>Chuyển tiền Hàn — quy đổi. (Theo title/meta, chưa đọc bài.)</t>
  </si>
  <si>
    <t>https://techcombank.com/thong-tin/blog/kieu-hoi-la-gi</t>
  </si>
  <si>
    <t>Kiều hối là tiền từ nước ngoài về. (Theo title/meta, chưa đọc bài.)</t>
  </si>
  <si>
    <t>cách nhận tiền từ nước ngoài về Việt Nam</t>
  </si>
  <si>
    <t>https://techcombank.com/thong-tin/blog/nhan-tien-western-union</t>
  </si>
  <si>
    <t>Nhắc: tuổi, học sinh.</t>
  </si>
  <si>
    <t>https://techcombank.com/thong-tin/blog/no-xau-co-lam-the-visa-duoc-khong</t>
  </si>
  <si>
    <t>Một kênh nhận tiền từ nước ngoài. (Theo title/meta, chưa đọc bài.)</t>
  </si>
  <si>
    <t>nhận tiền từ nước ngoài</t>
  </si>
  <si>
    <t>Nhận tiền quốc tế cần mã SWIFT. (Theo title/meta, chưa đọc bài.)</t>
  </si>
  <si>
    <t>nhận kiều hối</t>
  </si>
  <si>
    <t>https://techcombank.com/thong-tin/blog/lam-the-visa-mat-bao-lau</t>
  </si>
  <si>
    <t>Trường hợp cụ thể từ Mỹ. (Theo title/meta, chưa đọc bài.)</t>
  </si>
  <si>
    <t>Remittance = chuyển tiền quốc tế. (Theo title/meta, chưa đọc bài.)</t>
  </si>
  <si>
    <t>https://techcombank.com/thong-tin/blog/shopeepay-la-gi</t>
  </si>
  <si>
    <t>Điều kiện mua USD → nơi mua. (Theo title/meta, chưa đọc bài.)</t>
  </si>
  <si>
    <t>đổi tiền đô ở đâu</t>
  </si>
  <si>
    <t>Nhắc: sinh viên.</t>
  </si>
  <si>
    <t>Hạn mức mua ngoại tệ → nơi đổi. (Theo title/meta, chưa đọc bài.)</t>
  </si>
  <si>
    <t>đổi USD ở đâu</t>
  </si>
  <si>
    <t>https://techcombank.com/thong-tin/blog/the-mastercard-la-gi</t>
  </si>
  <si>
    <t>So sánh tỷ giá → chọn nơi đổi. (Theo title/meta, chưa đọc bài.)</t>
  </si>
  <si>
    <t>https://techcombank.com/thong-tin/blog/lam-the-visa-online</t>
  </si>
  <si>
    <t>Checklist đi nước ngoài — đổi tiền. (Theo title/meta, chưa đọc bài.)</t>
  </si>
  <si>
    <t>Bài quy đổi USD — chèn ở đoạn đổi tiền. (Theo title/meta, chưa đọc bài.)</t>
  </si>
  <si>
    <t>https://techcombank.com/thong-tin/blog/lam-the-thanh-toan-quoc-te</t>
  </si>
  <si>
    <t>Home Loan</t>
  </si>
  <si>
    <t>https://techcombank.com/thong-tin/blog/co-nen-vay-ngan-hang-mua-nha</t>
  </si>
  <si>
    <t>https://techcombank.com/thong-tin/blog/dieu-kien-vay-the-chap</t>
  </si>
  <si>
    <t>Cân nhắc vay mua nhà — ví dụ khoản vay 1 tỷ. (Theo title/meta, chưa đọc bài.)</t>
  </si>
  <si>
    <t>vay ngân hàng 1 tỷ mỗi tháng trả bao nhiêu</t>
  </si>
  <si>
    <t>https://techcombank.com/thong-tin/blog/thanh-toan-hoc-phi-online</t>
  </si>
  <si>
    <t>https://techcombank.com/thong-tin/blog/thu-tuc-vay-ngan-hang-mua-nha</t>
  </si>
  <si>
    <t>Nhắc: học sinh.</t>
  </si>
  <si>
    <t>Thủ tục vay mua nhà — câu hỏi trả mỗi tháng bao nhiêu. (Theo title/meta, chưa đọc bài.)</t>
  </si>
  <si>
    <t>vay 1 tỷ mỗi tháng trả bao nhiêu</t>
  </si>
  <si>
    <t>https://techcombank.com/thong-tin/blog/kinh-nghiem-vay-tien-mua-nha</t>
  </si>
  <si>
    <t>Kinh nghiệm tránh áp lực trả nợ hàng tháng. (Theo title/meta, chưa đọc bài.)</t>
  </si>
  <si>
    <t>vay 1 tỷ trong 20 năm mỗi tháng trả bao nhiêu</t>
  </si>
  <si>
    <t>https://techcombank.com/thong-tin/blog/vay-mua-chung-cu</t>
  </si>
  <si>
    <t>Thẻ Debit cho con — mở TK cho con dưới 18 tuổi là bước đi kèm.</t>
  </si>
  <si>
    <t>Vay mua chung cư thường ở mức ~1 tỷ. (Theo title/meta, chưa đọc bài.)</t>
  </si>
  <si>
    <t>Mở TK tiết kiệm cho con — liên quan trực tiếp.</t>
  </si>
  <si>
    <t>Mở TK online; chèn câu lưu ý cho người dưới 18 tuổi.</t>
  </si>
  <si>
    <t>https://techcombank.com/thong-tin/blog/lai-suat-vay-the-chap</t>
  </si>
  <si>
    <t>https://techcombank.com/thong-tin/blog/quy-gia-dinh</t>
  </si>
  <si>
    <t>Quỹ gia đình trên app; chèn ở đoạn thành viên là con. (Liên quan yếu – bản chặt đã loại.)</t>
  </si>
  <si>
    <t>Lãi suất thế chấp → số tiền trả hàng tháng. (Theo title/meta, chưa đọc bài.)</t>
  </si>
  <si>
    <t>https://techcombank.com/thong-tin/blog/dao-tao-the-he-ke-can</t>
  </si>
  <si>
    <t>Meta description bài đích (vay-ngan-hang-1-ty) đang lệch nội dung — nên sửa. Bài chưa có trong file crawl: kiểm tra link cũ khi mở bài.</t>
  </si>
  <si>
    <t>Dạy con quản lý tài chính sớm; chèn ở đoạn thực hành có TK riêng. (Liên quan yếu – bản chặt đã loại.)</t>
  </si>
  <si>
    <t>Nhắc: cho con, thế hệ kế cận.</t>
  </si>
  <si>
    <t>https://techcombank.com/thong-tin/blog/cho-vay-kinh-doanh-ho-gia-dinh</t>
  </si>
  <si>
    <t>Loyalty</t>
  </si>
  <si>
    <t>https://techcombank.com/thong-tin/blog/dat-ve-may-bay</t>
  </si>
  <si>
    <t>Nhắc: gia đình.</t>
  </si>
  <si>
    <t>https://techcombank.com/thong-tin/blog/cach-tiet-kiem-tien-hieu-qua-cho-gia-dinh</t>
  </si>
  <si>
    <t>Đặt vé máy bay online — Traveloka là kênh đặt vé. (Theo title/meta, chưa đọc bài.)</t>
  </si>
  <si>
    <t>voucher Traveloka</t>
  </si>
  <si>
    <t>https://techcombank.com/thong-tin/blog/bao-hiem-suc-khoe-la-gi</t>
  </si>
  <si>
    <t>https://techcombank.com/thong-tin/blog/mua-ve-may-bay-gia-re</t>
  </si>
  <si>
    <t>https://techcombank.com/thong-tin/blog/bao-hiem-nhan-tho-la-gi</t>
  </si>
  <si>
    <t>Săn vé rẻ — dùng voucher Traveloka. (Theo title/meta, chưa đọc bài.)</t>
  </si>
  <si>
    <t>cách lấy voucher Traveloka</t>
  </si>
  <si>
    <t>https://techcombank.com/thong-tin/blog/techcombank-oneu</t>
  </si>
  <si>
    <t>https://techcombank.com/thong-tin/blog/cac-loai-hinh-bao-hiem-nhan-tho</t>
  </si>
  <si>
    <t>Đổi điểm U-Point trên OneU — voucher Traveloka là quà đổi. (Theo title/meta, chưa đọc bài.)</t>
  </si>
  <si>
    <t>https://techcombank.com/thong-tin/blog/tich-diem-doi-qua</t>
  </si>
  <si>
    <t>Tích điểm đổi quà — ví dụ voucher Traveloka. (Theo title/meta, chưa đọc bài.)</t>
  </si>
  <si>
    <t>Merchant</t>
  </si>
  <si>
    <t>https://techcombank.com/thong-tin/blog/ho-kinh-doanh-la-gi</t>
  </si>
  <si>
    <t>Máy CDM dùng để nộp tiền — một trong các cách nạp tiền vào TK.</t>
  </si>
  <si>
    <t>Có mục 'mức thuế phải đóng' (theo title). (Theo title/meta, chưa đọc bài.)</t>
  </si>
  <si>
    <t>hộ kinh doanh đóng thuế như thế nào</t>
  </si>
  <si>
    <t>https://techcombank.com/thong-tin/blog/thue-khoan-ho-kinh-doanh-la-gi</t>
  </si>
  <si>
    <t>Nạp tiền vào thẻ ghi nợ = nạp vào TK gắn thẻ.</t>
  </si>
  <si>
    <t>TK 0 đồng → giải pháp nạp thêm tiền.</t>
  </si>
  <si>
    <t>Thuế khoán là cách đóng thuế của HKD. (Theo title/meta, chưa đọc bài.)</t>
  </si>
  <si>
    <t>hộ kinh doanh đóng thuế</t>
  </si>
  <si>
    <t>Tìm ATM/CDM gần đây để nộp tiền.</t>
  </si>
  <si>
    <t>https://techcombank.com/thong-tin/blog/mm-yy-la-gi</t>
  </si>
  <si>
    <t>Nhắc: atm.</t>
  </si>
  <si>
    <t>Nhắc: nộp tiền.</t>
  </si>
  <si>
    <t>Miễn thuế — đối lập với nghĩa vụ đóng thuế. (Theo title/meta, chưa đọc bài.)</t>
  </si>
  <si>
    <t>thuế hộ kinh doanh</t>
  </si>
  <si>
    <t>https://techcombank.com/thong-tin/blog/tra-cuu-han-muc-the-tin-dung</t>
  </si>
  <si>
    <t>Truy thu khi đóng thuế sai. (Theo title/meta, chưa đọc bài.)</t>
  </si>
  <si>
    <t>nghĩa vụ thuế hộ kinh doanh</t>
  </si>
  <si>
    <t>https://techcombank.com/thong-tin/blog/thue-ho-kinh-doanh-2025</t>
  </si>
  <si>
    <t>Nhắc: nạp tiền.</t>
  </si>
  <si>
    <t>Cập nhật quy định HKD — chèn ở đoạn thuế. (Theo title/meta, chưa đọc bài.)</t>
  </si>
  <si>
    <t>https://techcombank.com/thong-tin/blog/nhuong-quyen-la-gi</t>
  </si>
  <si>
    <t>Nhượng quyền là một mô hình kinh doanh. (Theo title/meta, chưa đọc bài.)</t>
  </si>
  <si>
    <t>mô hình kinh doanh là gì</t>
  </si>
  <si>
    <t>https://techcombank.com/thong-tin/blog/the-atm-gan-chip</t>
  </si>
  <si>
    <t>https://techcombank.com/thong-tin/blog/kinh-doanh-online</t>
  </si>
  <si>
    <t>Kinh doanh online — chọn mô hình. (Theo title/meta, chưa đọc bài.)</t>
  </si>
  <si>
    <t>mô hình kinh doanh</t>
  </si>
  <si>
    <t>Mô hình One-Stop Shop. (Theo title/meta, chưa đọc bài.)</t>
  </si>
  <si>
    <t>https://techcombank.com/thong-tin/blog/ma-pin-the-atm</t>
  </si>
  <si>
    <t>https://techcombank.com/thong-tin/blog/cach-tao-ma-qr</t>
  </si>
  <si>
    <t>Tạo xong mã QR → gửi cho người khác. (Theo title/meta, chưa đọc bài.)</t>
  </si>
  <si>
    <t>gửi mã QR ngân hàng</t>
  </si>
  <si>
    <t>https://techcombank.com/thong-tin/blog/in-ma-qr-ngan-hang</t>
  </si>
  <si>
    <t>https://techcombank.com/thong-tin/blog/cach-kich-hoat-the-atm</t>
  </si>
  <si>
    <t>https://techcombank.com/thong-tin/blog/atm-la-gi</t>
  </si>
  <si>
    <t>In mã QR — dạng chia sẻ khác. (Theo title/meta, chưa đọc bài.)</t>
  </si>
  <si>
    <t>cách gửi mã QR ngân hàng</t>
  </si>
  <si>
    <t>https://techcombank.com/thong-tin/blog/lo-ma-qr-ngan-hang-co-sao-khong</t>
  </si>
  <si>
    <t>https://techcombank.com/thong-tin/blog/chuyen-doi-the-atm</t>
  </si>
  <si>
    <t>Gửi mã QR có an toàn không. (Theo title/meta, chưa đọc bài.)</t>
  </si>
  <si>
    <t>https://techcombank.com/thong-tin/blog/lam-ma-qr-ngan-hang-co-mat-phi-khong</t>
  </si>
  <si>
    <t>Phí làm mã QR — dẫn sang cách lấy/gửi. (Theo title/meta, chưa đọc bài.)</t>
  </si>
  <si>
    <t>Lỗi mã QR khi gửi/nhận. (Theo title/meta, chưa đọc bài.)</t>
  </si>
  <si>
    <t>https://techcombank.com/thong-tin/blog/the-visa-ao-la-gi</t>
  </si>
  <si>
    <t>https://techcombank.com/thong-tin/blog/the-atm-tu</t>
  </si>
  <si>
    <t>HKD cần gì ở TK — sát chủ đề. (Theo title/meta, chưa đọc bài.)</t>
  </si>
  <si>
    <t>mở tài khoản hộ kinh doanh</t>
  </si>
  <si>
    <t>https://techcombank.com/thong-tin/blog/thanh-lap-ho-kinh-doanh-ca-the</t>
  </si>
  <si>
    <t>Thành lập HKD xong → mở TK. (Theo title/meta, chưa đọc bài.)</t>
  </si>
  <si>
    <t>cách mở tài khoản hộ kinh doanh</t>
  </si>
  <si>
    <t>Khai báo TK với thuế — cần có TK HKD. (Theo title/meta, chưa đọc bài.)</t>
  </si>
  <si>
    <t>tài khoản hộ kinh doanh</t>
  </si>
  <si>
    <t>https://techcombank.com/thong-tin/blog/ho-kinh-doanh-ca-the</t>
  </si>
  <si>
    <t>Định nghĩa HKD cá thể. (Theo title/meta, chưa đọc bài.)</t>
  </si>
  <si>
    <t>https://techcombank.com/thong-tin/blog/cach-dang-ky-ma-so-thue-ho-kinh-doanh-online</t>
  </si>
  <si>
    <t>Sao kê lương là một dạng sao kê TK — dẫn sang hướng dẫn sao kê chung.</t>
  </si>
  <si>
    <t>Đăng ký MST HKD — bước liền kề. (Theo title/meta, chưa đọc bài.)</t>
  </si>
  <si>
    <t>Bài anh em cho DN; chèn câu dẫn cho TK cá nhân.</t>
  </si>
  <si>
    <t>Hồ sơ vay qua lương cần sao kê TK.</t>
  </si>
  <si>
    <t>Cơ quan thuế có thể yêu cầu sao kê — chèn ở đoạn đó nếu có. (Liên quan yếu – bản chặt đã loại.)</t>
  </si>
  <si>
    <t>Kê khai cần tính số thuế trước. (Theo title/meta, chưa đọc bài.)</t>
  </si>
  <si>
    <t>https://techcombank.com/thong-tin/blog/ghi-chep-chi-tieu</t>
  </si>
  <si>
    <t>cách tính thuế hộ kinh doanh nhỏ lẻ</t>
  </si>
  <si>
    <t>Dùng sao kê để đối chiếu chi tiêu. (Liên quan yếu – bản chặt đã loại.)</t>
  </si>
  <si>
    <t>https://techcombank.com/thong-tin/blog/ma-mcc</t>
  </si>
  <si>
    <t>Kiểm tra số thuế → đối chiếu cách tính. (Theo title/meta, chưa đọc bài.)</t>
  </si>
  <si>
    <t>cách tính thuế hộ kinh doanh</t>
  </si>
  <si>
    <t>Nhắc: chi tiêu.</t>
  </si>
  <si>
    <t>Thuế TMĐT cho HKD — tính theo tỷ lệ doanh thu. (Theo title/meta, chưa đọc bài.)</t>
  </si>
  <si>
    <t>https://techcombank.com/thong-tin/blog/vi-tra-sau</t>
  </si>
  <si>
    <t>https://techcombank.com/thong-tin/blog/uu-dai-the-tin-dung-techcombank-signature</t>
  </si>
  <si>
    <t>Chính sách thuế mới cho HKD. (Theo title/meta, chưa đọc bài.)</t>
  </si>
  <si>
    <t>Tổng quan HKD — chèn ở đoạn nghĩa vụ thuế. (Theo title/meta, chưa đọc bài.)</t>
  </si>
  <si>
    <t>https://techcombank.com/thong-tin/blog/loi-ich-cua-viec-tiet-kiem-tien</t>
  </si>
  <si>
    <t>Secured Lending</t>
  </si>
  <si>
    <t>https://techcombank.com/thong-tin/blog/du-no-la-gi</t>
  </si>
  <si>
    <t>https://techcombank.com/thong-tin/blog/app-mua-truoc-tra-sau</t>
  </si>
  <si>
    <t>Dư nợ là cơ sở tính lãi. (Theo title/meta, chưa đọc bài.)</t>
  </si>
  <si>
    <t>cách tính lãi vay ngân hàng</t>
  </si>
  <si>
    <t>https://techcombank.com/thong-tin/blog/tiet-kiem-khi-di-du-lich</t>
  </si>
  <si>
    <t>https://techcombank.com/thong-tin/blog/an-han-no-goc-la-gi</t>
  </si>
  <si>
    <t>https://techcombank.com/thong-tin/blog/cho-vay-tieu-dung-la-gi</t>
  </si>
  <si>
    <t>Ân hạn gốc thay đổi cách tính lãi. (Theo title/meta, chưa đọc bài.)</t>
  </si>
  <si>
    <t>cách tính lãi suất vay ngân hàng</t>
  </si>
  <si>
    <t>https://techcombank.com/thong-tin/blog/lai-suat-tha-noi</t>
  </si>
  <si>
    <t>https://techcombank.com/thong-tin/blog/phan-mem-lap-ke-hoach-tai-chinh-ca-nhan</t>
  </si>
  <si>
    <t>Lãi thả nổi/cố định → cách tính khác nhau. (Theo title/meta, chưa đọc bài.)</t>
  </si>
  <si>
    <t>https://techcombank.com/thong-tin/blog/mo-the-tin-dung-han-muc-cao</t>
  </si>
  <si>
    <t>công thức tính lãi vay</t>
  </si>
  <si>
    <t>https://techcombank.com/thong-tin/blog/cong-thuc-tinh-lai-suat-thuc</t>
  </si>
  <si>
    <t>Công thức lãi suất thực — cùng chủ đề tính lãi. (Theo title/meta, chưa đọc bài.)</t>
  </si>
  <si>
    <t>tính lãi vay theo dư nợ giảm dần</t>
  </si>
  <si>
    <t>https://techcombank.com/thong-tin/blog/app-quan-ly-chi-tieu</t>
  </si>
  <si>
    <t>https://techcombank.com/thong-tin/blog/vay-tra-gop</t>
  </si>
  <si>
    <t>Vay trả góp — chèn ở đoạn chi phí lãi. (Theo title/meta, chưa đọc bài.)</t>
  </si>
  <si>
    <t>Nhắc: sao kê.</t>
  </si>
  <si>
    <t>https://techcombank.com/thong-tin/blog/nang-han-muc-tin-dung</t>
  </si>
  <si>
    <t>Hạn mức vay sổ đỏ — anh em trực tiếp. (Theo title/meta, chưa đọc bài.)</t>
  </si>
  <si>
    <t>lãi suất vay thế chấp sổ đỏ</t>
  </si>
  <si>
    <t>https://techcombank.com/thong-tin/blog/vay-the-chap-so-hong</t>
  </si>
  <si>
    <t>Sổ hồng ~ sổ đỏ, cùng nhu cầu. (Theo title/meta, chưa đọc bài.)</t>
  </si>
  <si>
    <t>vay thế chấp sổ đỏ</t>
  </si>
  <si>
    <t>https://techcombank.com/thong-tin/blog/kinh-nghiem-vay-the-chap-ngan-hang</t>
  </si>
  <si>
    <t>Kinh nghiệm vay lãi tối ưu. (Theo title/meta, chưa đọc bài.)</t>
  </si>
  <si>
    <t>lãi suất vay thế chấp sổ hồng</t>
  </si>
  <si>
    <t>Nhắc: chứng minh thu nhập.</t>
  </si>
  <si>
    <t>Chọn ngân hàng — lãi suất là tiêu chí. (Theo title/meta, chưa đọc bài.)</t>
  </si>
  <si>
    <t>vay thế chấp sổ đỏ ngân hàng</t>
  </si>
  <si>
    <t>https://techcombank.com/thong-tin/blog/ung-dung-cong-nghe</t>
  </si>
  <si>
    <t>https://techcombank.com/thong-tin/blog/vay-the-chap-la-gi</t>
  </si>
  <si>
    <t>https://techcombank.com/thong-tin/blog/vay-tien-online</t>
  </si>
  <si>
    <t>Định nghĩa — chèn ở đoạn tài sản là sổ đỏ. (Theo title/meta, chưa đọc bài.)</t>
  </si>
  <si>
    <t>https://techcombank.com/thong-tin/blog/the-visa-co-may-loai</t>
  </si>
  <si>
    <t>https://techcombank.com/thong-tin/blog/quy-trinh-tat-toan-khoan-vay-the-chap</t>
  </si>
  <si>
    <t>Tất toán xong → xóa thế chấp. (Theo title/meta, chưa đọc bài.)</t>
  </si>
  <si>
    <t>thủ tục xóa thế chấp</t>
  </si>
  <si>
    <t>https://techcombank.com/thong-tin/blog/6-chiec-lo-tai-chinh-ca-nhan</t>
  </si>
  <si>
    <t>https://techcombank.com/thong-tin/blog/tat-toan</t>
  </si>
  <si>
    <t>https://techcombank.com/thong-tin/blog/hu-chi-tieu</t>
  </si>
  <si>
    <t>Tất toán khoản vay → bước giải chấp. (Theo title/meta, chưa đọc bài.)</t>
  </si>
  <si>
    <t>hồ sơ thủ tục xóa thế chấp</t>
  </si>
  <si>
    <t>https://techcombank.com/thong-tin/blog/the-chap-la-gi</t>
  </si>
  <si>
    <t>https://techcombank.com/thong-tin/blog/ngan-hang-so</t>
  </si>
  <si>
    <t>Định nghĩa thế chấp; chèn ở đoạn kết thúc thế chấp. (Theo title/meta, chưa đọc bài.)</t>
  </si>
  <si>
    <t>https://techcombank.com/thong-tin/blog/the-tin-dung-phu-la-gi</t>
  </si>
  <si>
    <t>xóa thế chấp sổ đỏ</t>
  </si>
  <si>
    <t>Nhắc: lịch sử giao dịch.</t>
  </si>
  <si>
    <t>TD</t>
  </si>
  <si>
    <t>https://techcombank.com/thong-tin/blog/nen-gui-tiet-kiem-6-thang-hay-1-nam</t>
  </si>
  <si>
    <t>https://techcombank.com/thong-tin/blog/vay-the-chap-khong-chung-minh-thu-nhap</t>
  </si>
  <si>
    <t>So kỳ hạn để lãi cao — cần bảng lãi suất. (Theo title/meta, chưa đọc bài.)</t>
  </si>
  <si>
    <t>https://techcombank.com/thong-tin/blog/han-muc-tra-gop-the-tin-dung</t>
  </si>
  <si>
    <t>lãi suất tiết kiệm</t>
  </si>
  <si>
    <t>https://techcombank.com/thong-tin/blog/tai-sao-gui-tiet-kiem-online-lai-suat-cao-hon</t>
  </si>
  <si>
    <t>https://techcombank.com/thong-tin/blog/the-debit</t>
  </si>
  <si>
    <t>So lãi online/quầy. (Theo title/meta, chưa đọc bài.)</t>
  </si>
  <si>
    <t>lãi suất gửi tiết kiệm</t>
  </si>
  <si>
    <t>https://techcombank.com/thong-tin/blog/co-nen-gui-tiet-kiem-ngan-hang</t>
  </si>
  <si>
    <t>Quyết định gửi dựa trên lãi suất hiện tại. (Theo title/meta, chưa đọc bài.)</t>
  </si>
  <si>
    <t>lãi suất tiết kiệm các ngân hàng</t>
  </si>
  <si>
    <t>https://techcombank.com/thong-tin/blog/tien-gui-co-ky-han</t>
  </si>
  <si>
    <t>https://techcombank.com/thong-tin/blog/thanh-toan-khi-du-lich-hong-kong</t>
  </si>
  <si>
    <t>Top ngân hàng lãi suất hấp dẫn. (Theo title/meta, chưa đọc bài.)</t>
  </si>
  <si>
    <t>https://techcombank.com/thong-tin/blog/thanh-toan-khi-du-lich-singapore</t>
  </si>
  <si>
    <t>https://techcombank.com/thong-tin/blog/so-sanh-gui-tiet-kiem-online-va-tai-quay</t>
  </si>
  <si>
    <t>https://techcombank.com/thong-tin/blog/vnd-to-myr</t>
  </si>
  <si>
    <t>So sánh lãi suất, kỳ hạn hôm nay. (Theo title/meta, chưa đọc bài.)</t>
  </si>
  <si>
    <t>https://techcombank.com/thong-tin/blog/lai-kep-ngan-hang</t>
  </si>
  <si>
    <t>Lãi kép và công thức tính. (Theo title/meta, chưa đọc bài.)</t>
  </si>
  <si>
    <t>cách tính lãi suất tiền gửi tiết kiệm</t>
  </si>
  <si>
    <t>https://techcombank.com/thong-tin/blog/gui-tiet-kiem-lay-lai-hang-thang</t>
  </si>
  <si>
    <t>Nhận lãi hàng tháng — cách tính khác lãi cuối kỳ. (Theo title/meta, chưa đọc bài.)</t>
  </si>
  <si>
    <t>công thức tính lãi tiết kiệm</t>
  </si>
  <si>
    <t>Ý nghĩa số 88 — một dãy số phát lộc; dẫn sang bài tổng hợp.</t>
  </si>
  <si>
    <t>Có mục cách tính lãi (theo title). (Theo title/meta, chưa đọc bài.)</t>
  </si>
  <si>
    <t>https://techcombank.com/thong-tin/blog/tien-gui-khong-ky-han</t>
  </si>
  <si>
    <t>Ý nghĩa 6868 — cùng chủ đề con số lộc phát.</t>
  </si>
  <si>
    <t>Có mục cách tính lãi không kỳ hạn. (Theo title/meta, chưa đọc bài.)</t>
  </si>
  <si>
    <t>https://techcombank.com/thong-tin/blog/dao-han-la-gi</t>
  </si>
  <si>
    <t>Gợi ý dãy số TK đẹp phát tài phát lộc — sát chủ đề.</t>
  </si>
  <si>
    <t>Cách chọn số TK phát tài — dẫn sang danh sách dãy số.</t>
  </si>
  <si>
    <t>Đáo hạn và cách tính. (Theo title/meta, chưa đọc bài.)</t>
  </si>
  <si>
    <t>Lì xì số đẹp phát tài — chèn ở đoạn ý nghĩa con số.</t>
  </si>
  <si>
    <t>Nhắc: số đẹp, tài khoản số.</t>
  </si>
  <si>
    <t>https://techcombank.com/thong-tin/blog/li-xi-tet</t>
  </si>
  <si>
    <t>https://techcombank.com/thong-tin/blog/tat-toan-so-tiet-kiem</t>
  </si>
  <si>
    <t>Nhắc: lộc.</t>
  </si>
  <si>
    <t>https://techcombank.com/thong-tin/blog/sinh-loi-rinh-loc</t>
  </si>
  <si>
    <t>Tất toán trước hạn = rút trước hạn. (Theo title/meta, chưa đọc bài.)</t>
  </si>
  <si>
    <t>rút tiền tiết kiệm trước thời hạn</t>
  </si>
  <si>
    <t>https://techcombank.com/thong-tin/blog/gui-tiet-kiem-online-co-rut-truoc-han-duoc-khong</t>
  </si>
  <si>
    <t>Cùng câu hỏi cho tiết kiệm online. (Theo title/meta, chưa đọc bài.)</t>
  </si>
  <si>
    <t>rút tiết kiệm trước hạn</t>
  </si>
  <si>
    <t>https://techcombank.com/thong-tin/blog/vay-thau-chi-bang-so-tiet-kiem</t>
  </si>
  <si>
    <t>Nhắc: phát tài, lộc.</t>
  </si>
  <si>
    <t>Nhắc: ý nghĩa số, lộc.</t>
  </si>
  <si>
    <t>Phương án thay cho rút trước hạn. (Theo title/meta, chưa đọc bài.)</t>
  </si>
  <si>
    <t>Nhắc: phát lộc, phát tài, ý nghĩa số, lộc.</t>
  </si>
  <si>
    <t>https://techcombank.com/thong-tin/blog/mat-so-tiet-kiem</t>
  </si>
  <si>
    <t>Mất sổ — chèn ở đoạn rút tiền. (Theo title/meta, chưa đọc bài.)</t>
  </si>
  <si>
    <t>https://techcombank.com/thong-tin/blog/gui-them-tien-vao-so-tiet-kiem</t>
  </si>
  <si>
    <t>Các thao tác với sổ tiết kiệm. (Theo title/meta, chưa đọc bài.)</t>
  </si>
  <si>
    <t>https://techcombank.com/thong-tin/blog/mo-so-tiet-kiem-can-bao-nhieu-tien</t>
  </si>
  <si>
    <t>Mở sổ cần bao nhiêu tiền. (Theo title/meta, chưa đọc bài.)</t>
  </si>
  <si>
    <t>sổ tiết kiệm ngân hàng</t>
  </si>
  <si>
    <t>TK tiết kiệm ~ sổ tiết kiệm. (Theo title/meta, chưa đọc bài.)</t>
  </si>
  <si>
    <t>sổ tiết kiệm</t>
  </si>
  <si>
    <t>Tra cứu nợ thuế TNCN — cùng nhóm tra cứu.</t>
  </si>
  <si>
    <t>Mất sổ — cần hiểu sổ. (Theo title/meta, chưa đọc bài.)</t>
  </si>
  <si>
    <t>Gửi thêm vào sổ. (Theo title/meta, chưa đọc bài.)</t>
  </si>
  <si>
    <t>Có MST rồi thì kiểm tra thuế TNCN theo MST.</t>
  </si>
  <si>
    <t>https://techcombank.com/thong-tin/blog/quy-trinh-gui-tien-tiet-kiem</t>
  </si>
  <si>
    <t>eTax Mobile là kênh kiểm tra thuế TNCN.</t>
  </si>
  <si>
    <t>Trước khi hoàn thuế cần kiểm tra số thuế đã nộp.</t>
  </si>
  <si>
    <t>Quy trình gửi tiết kiệm tại quầy. (Theo title/meta, chưa đọc bài.)</t>
  </si>
  <si>
    <t>Kiểm tra số thuế đã khấu trừ trước khi quyết toán.</t>
  </si>
  <si>
    <t>https://techcombank.com/thong-tin/blog/cach-tiet-kiem-tien-theo-tuan</t>
  </si>
  <si>
    <t>Nhắc: nợ thuế, etax.</t>
  </si>
  <si>
    <t>Cách tiết kiệm theo tuần — dẫn sang 11 cách. (Theo title/meta, chưa đọc bài.)</t>
  </si>
  <si>
    <t>cách tiết kiệm tiền</t>
  </si>
  <si>
    <t>https://techcombank.com/thong-tin/blog/tiet-kiem-tien-moi-ngay</t>
  </si>
  <si>
    <t>Tiết kiệm theo ngày. (Theo title/meta, chưa đọc bài.)</t>
  </si>
  <si>
    <t>cách tiết kiệm tiền hiệu quả</t>
  </si>
  <si>
    <t>Tiết kiệm tiền lương. (Theo title/meta, chưa đọc bài.)</t>
  </si>
  <si>
    <t>Nhắc: thu nhập cá nhân, tncn, etax.</t>
  </si>
  <si>
    <t>Lợi ích tiết kiệm → cách làm. (Theo title/meta, chưa đọc bài.)</t>
  </si>
  <si>
    <t>https://techcombank.com/thong-tin/blog/the-nao-la-tiet-kiem</t>
  </si>
  <si>
    <t>Thực hành tiết kiệm. (Theo title/meta, chưa đọc bài.)</t>
  </si>
  <si>
    <t>https://techcombank.com/thong-tin/blog/co-nen-gui-tiet-kiem-online</t>
  </si>
  <si>
    <t>Lý do nên gửi → đối chiếu rủi ro. (Theo title/meta, chưa đọc bài.)</t>
  </si>
  <si>
    <t>rủi ro khi gửi tiết kiệm online</t>
  </si>
  <si>
    <t>https://techcombank.com/thong-tin/blog/gui-tiet-kiem-online-bi-mat-tien</t>
  </si>
  <si>
    <t>Mất tiền gửi online — rủi ro cụ thể. (Theo title/meta, chưa đọc bài.)</t>
  </si>
  <si>
    <t>gửi tiết kiệm online có an toàn không</t>
  </si>
  <si>
    <t>https://techcombank.com/thong-tin/blog/kinh-nghiem-gui-tiet-kiem-online</t>
  </si>
  <si>
    <t>Kinh nghiệm gửi an toàn. (Theo title/meta, chưa đọc bài.)</t>
  </si>
  <si>
    <t>https://techcombank.com/thong-tin/blog/cach-gui-tiet-kiem-online</t>
  </si>
  <si>
    <t>Hướng dẫn gửi — chèn lưu ý rủi ro. (Theo title/meta, chưa đọc bài.)</t>
  </si>
  <si>
    <t>https://techcombank.com/thong-tin/blog/rui-ro-khi-gui-tiet-kiem-ngan-hang</t>
  </si>
  <si>
    <t>Bài anh em (rủi ro chung). (Theo title/meta, chưa đọc bài.)</t>
  </si>
  <si>
    <t>Tool</t>
  </si>
  <si>
    <t>https://techcombank.com/thong-tin/blog/vay-100-trieu</t>
  </si>
  <si>
    <t>Mật khẩu đi cùng tên đăng nhập — bài anh em trực tiếp.</t>
  </si>
  <si>
    <t>Vay 100 triệu — dùng công cụ tính tiền trả. (Theo title/meta, chưa đọc bài.)</t>
  </si>
  <si>
    <t>công cụ tính lãi vay</t>
  </si>
  <si>
    <t>https://techcombank.com/thong-tin/blog/vay-200-trieu</t>
  </si>
  <si>
    <t>Đăng nhập Internet Banking cần tên đăng nhập.</t>
  </si>
  <si>
    <t>Vay 200 triệu trả góp — người đọc cần tính số tiền trả hàng tháng. (Theo title/meta, chưa đọc bài.)</t>
  </si>
  <si>
    <t>công cụ tính lãi suất vay ngân hàng</t>
  </si>
  <si>
    <t>Bảo vệ TK — giữ bí mật tên đăng nhập/mật khẩu.</t>
  </si>
  <si>
    <t>https://techcombank.com/thong-tin/blog/vay-300-trieu</t>
  </si>
  <si>
    <t>Vay 300 triệu trả góp — người đọc cần tính số tiền trả hàng tháng. (Theo title/meta, chưa đọc bài.)</t>
  </si>
  <si>
    <t>bảng tính lãi suất vay</t>
  </si>
  <si>
    <t>Đăng nhập + OTP; chèn ở đoạn bước đăng nhập.</t>
  </si>
  <si>
    <t>Vay trả góp — tính số tiền trả. (Theo title/meta, chưa đọc bài.)</t>
  </si>
  <si>
    <t>Mất SĐT ảnh hưởng lấy lại thông tin đăng nhập.</t>
  </si>
  <si>
    <t>https://techcombank.com/thong-tin/blog/dang-vay-tra-gop-co-vay-them-duoc-khong</t>
  </si>
  <si>
    <t>Nhắc: mobile banking.</t>
  </si>
  <si>
    <t>Vay thêm → tính lại khả năng trả. (Theo title/meta, chưa đọc bài.)</t>
  </si>
  <si>
    <t>Nhắc: internet banking.</t>
  </si>
  <si>
    <t>https://techcombank.com/thong-tin/blog/thanh-toan-ve-may-bay-online</t>
  </si>
  <si>
    <t>https://techcombank.com/thong-tin/blog/cach-tiet-kiem-100-trieu-1-nam</t>
  </si>
  <si>
    <t>Mục tiêu 100 triệu — tính lãi tích lũy. (Theo title/meta, chưa đọc bài.)</t>
  </si>
  <si>
    <t>công cụ tính lãi tiết kiệm</t>
  </si>
  <si>
    <t>https://techcombank.com/thong-tin/blog/the-visa-co-can-mat-khau-khong</t>
  </si>
  <si>
    <t>So sánh gửi tiết kiệm 50 triệu — cần tính lãi. (Theo title/meta, chưa đọc bài.)</t>
  </si>
  <si>
    <t>bảng tính lãi suất tiết kiệm</t>
  </si>
  <si>
    <t>https://techcombank.com/thong-tin/blog/gui-tiet-kiem-tich-luy-la-gi</t>
  </si>
  <si>
    <t>Nhắc: mật khẩu.</t>
  </si>
  <si>
    <t>Tiết kiệm tích lũy — tính lãi. (Theo title/meta, chưa đọc bài.)</t>
  </si>
  <si>
    <t>Nhắc: bảo vệ tài khoản.</t>
  </si>
  <si>
    <t>Trước khi gửi, tính lãi dự kiến. (Theo title/meta, chưa đọc bài.)</t>
  </si>
  <si>
    <t>https://techcombank.com/thong-tin/blog/nen-de-tien-trong-the-hay-gui-tiet-kiem</t>
  </si>
  <si>
    <t>So sánh lãi — dùng công cụ. (Theo title/meta, chưa đọc bài.)</t>
  </si>
  <si>
    <t>Unsecured Loan</t>
  </si>
  <si>
    <t>https://techcombank.com/thong-tin/blog/ma-otp-la-gi</t>
  </si>
  <si>
    <t>Vay online — app là kênh chính. (Theo title/meta, chưa đọc bài.)</t>
  </si>
  <si>
    <t>app vay tiền nhanh</t>
  </si>
  <si>
    <t>Bài chưa có trong file crawl: kiểm tra link cũ khi mở bài. Anchor "vay tiền online" của trang đích 68 trùng chủ đề chính bài này — không dùng anchor đó tại đây; cân nhắc rủi ro ăn thịt từ khóa giữa vay-tien-online và app-vay-tien-nhanh.</t>
  </si>
  <si>
    <t>https://techcombank.com/thong-tin/blog/vay-ngan-hang-chi-can-cccd</t>
  </si>
  <si>
    <t>Nhắc: otp.</t>
  </si>
  <si>
    <t>Vay chỉ cần CCCD — trùng nhu cầu. (Theo title/meta, chưa đọc bài.)</t>
  </si>
  <si>
    <t>app vay tiền chỉ cần CCCD</t>
  </si>
  <si>
    <t>https://techcombank.com/thong-tin/blog/vay-30-trieu</t>
  </si>
  <si>
    <t>Vay nhanh 24/24. (Theo title/meta, chưa đọc bài.)</t>
  </si>
  <si>
    <t>vay tiền online</t>
  </si>
  <si>
    <t>https://techcombank.com/thong-tin/blog/vay-50-trieu</t>
  </si>
  <si>
    <t>Nhắc: internet banking, mobile banking.</t>
  </si>
  <si>
    <t>Vay online 3 phút. (Theo title/meta, chưa đọc bài.)</t>
  </si>
  <si>
    <t>https://techcombank.com/thong-tin/blog/vay-sieu-toc</t>
  </si>
  <si>
    <t>Vay siêu tốc. (Theo title/meta, chưa đọc bài.)</t>
  </si>
  <si>
    <t>https://techcombank.com/thong-tin/blog/lai-suat-la-gi</t>
  </si>
  <si>
    <t>Lãi suất là gì → lãi suất vay hiện nay. (Theo title/meta, chưa đọc bài.)</t>
  </si>
  <si>
    <t>lãi suất vay ngân hàng</t>
  </si>
  <si>
    <t>https://techcombank.com/thong-tin/blog/thanh-toan-tra-gop-qua-the-tin-dung</t>
  </si>
  <si>
    <t>Lãi vay tiêu dùng — một phần lãi vay ngân hàng. (Theo title/meta, chưa đọc bài.)</t>
  </si>
  <si>
    <t>lãi suất vay ngân hàng mới nhất</t>
  </si>
  <si>
    <t>Lãi vay tín chấp — anh em. (Theo title/meta, chưa đọc bài.)</t>
  </si>
  <si>
    <t>Nhắc: đăng nhập.</t>
  </si>
  <si>
    <t>Điều kiện vay — chèn ở đoạn chi phí vay. (Theo title/meta, chưa đọc bài.)</t>
  </si>
  <si>
    <t>https://techcombank.com/thong-tin/blog/thanh-toan-tien-nuoc-online</t>
  </si>
  <si>
    <t>https://techcombank.com/thong-tin/blog/lai-suat-qua-han</t>
  </si>
  <si>
    <t>Lãi quá hạn so với lãi vay thông thường. (Theo title/meta, chưa đọc bài.)</t>
  </si>
  <si>
    <t>https://techcombank.com/thong-tin/blog/mobile-banking-la-gi</t>
  </si>
  <si>
    <t>https://techcombank.com/thong-tin/blog/han-muc-thau-chi-la-gi</t>
  </si>
  <si>
    <t>Hạn mức thấu chi. (Theo title/meta, chưa đọc bài.)</t>
  </si>
  <si>
    <t>vay thấu chi là gì</t>
  </si>
  <si>
    <t>https://techcombank.com/thong-tin/blog/lai-suat-vay-thau-chi</t>
  </si>
  <si>
    <t>Lãi suất thấu chi. (Theo title/meta, chưa đọc bài.)</t>
  </si>
  <si>
    <t>vay thấu chi</t>
  </si>
  <si>
    <t>https://techcombank.com/thong-tin/blog/thoi-han-vay-thau-chi</t>
  </si>
  <si>
    <t>Thời hạn thấu chi. (Theo title/meta, chưa đọc bài.)</t>
  </si>
  <si>
    <t>https://techcombank.com/thong-tin/blog/tra-no-vay-thau-chi-nhu-the-nao</t>
  </si>
  <si>
    <t>Trả nợ thấu chi. (Theo title/meta, chưa đọc bài.)</t>
  </si>
  <si>
    <t>https://techcombank.com/thong-tin/blog/vay-han-muc-la-gi</t>
  </si>
  <si>
    <t>Hỏi tiền vào TK có bị tính thuế — liên quan trực tiếp thuế TNCN.</t>
  </si>
  <si>
    <t>Vay hạn mức — gần với thấu chi. (Theo title/meta, chưa đọc bài.)</t>
  </si>
  <si>
    <t>Nợ thuế TNCN — người đọc cần hiểu thuế TNCN là gì.</t>
  </si>
  <si>
    <t>mức đóng thuế thu nhập cá nhân</t>
  </si>
  <si>
    <t>Lương hưu và thuế TNCN; chèn ở đoạn thu nhập. (Liên quan yếu – bản chặt đã loại.)</t>
  </si>
  <si>
    <t>Thu nhập từ lương là đối tượng chịu thuế TNCN. (Liên quan yếu – bản chặt đã loại.)</t>
  </si>
  <si>
    <t>Trước khi làm thẻ cần kiểm tra nợ xấu. (Theo title/meta, chưa đọc bài.)</t>
  </si>
  <si>
    <t>kiểm tra nợ xấu</t>
  </si>
  <si>
    <t>https://techcombank.com/thong-tin/blog/no-xau-mo-the-tin-dung-duoc-khong</t>
  </si>
  <si>
    <t>Nợ xấu có mở thẻ tín dụng được không — cần kiểm tra nợ xấu trước khi mở thẻ. (Theo title/meta, chưa đọc bài.)</t>
  </si>
  <si>
    <t>tra cứu nợ xấu</t>
  </si>
  <si>
    <t>https://techcombank.com/thong-tin/blog/vay-tin-chap-no-xau</t>
  </si>
  <si>
    <t>Nhắc: thuế cá nhân.</t>
  </si>
  <si>
    <t>Có mục cách kiểm tra (theo title). (Theo title/meta, chưa đọc bài.)</t>
  </si>
  <si>
    <t>Nhắc: thu nhập cá nhân, tncn, lương.</t>
  </si>
  <si>
    <t>Kiểm tra trước khi vay thế chấp. (Theo title/meta, chưa đọc bài.)</t>
  </si>
  <si>
    <t>Nợ nhóm 2 — kiểm tra nhóm nợ. (Theo title/meta, chưa đọc bài.)</t>
  </si>
  <si>
    <t>https://techcombank.com/thong-tin/blog/vay-tin-chap-la-gi</t>
  </si>
  <si>
    <t>Định nghĩa → chọn nơi vay. (Theo title/meta, chưa đọc bài.)</t>
  </si>
  <si>
    <t>nên vay tín chấp ở đâu</t>
  </si>
  <si>
    <t>https://techcombank.com/thong-tin/blog/ho-so-vay-tin-chap</t>
  </si>
  <si>
    <t>Hồ sơ vay → nơi nộp. (Theo title/meta, chưa đọc bài.)</t>
  </si>
  <si>
    <t>Bài anh em — người đọc cần hướng dẫn rút tiền QR cơ bản.</t>
  </si>
  <si>
    <t>https://techcombank.com/thong-tin/blog/vay-tin-chap-toi-da-duoc-bao-nhieu</t>
  </si>
  <si>
    <t>Các cách rút tiền ATM — QR là một cách.</t>
  </si>
  <si>
    <t>Thẻ lỗi không rút được → giải pháp rút bằng QR.</t>
  </si>
  <si>
    <t>Hạn mức khác nhau giữa ngân hàng. (Theo title/meta, chưa đọc bài.)</t>
  </si>
  <si>
    <t>Bị nuốt thẻ → vẫn rút được tiền bằng QR.</t>
  </si>
  <si>
    <t>https://techcombank.com/thong-tin/blog/vay-tin-chap-va-vay-the-chap</t>
  </si>
  <si>
    <t>Tìm ATM; chèn ở đoạn ATM hỗ trợ rút QR.</t>
  </si>
  <si>
    <t>https://techcombank.com/thong-tin/blog/quet-ma-qr-techcombank</t>
  </si>
  <si>
    <t>Chọn hình thức → chọn nơi vay. (Theo title/meta, chưa đọc bài.)</t>
  </si>
  <si>
    <t>Nhắc: mã qr.</t>
  </si>
  <si>
    <t>So lãi suất các ngân hàng. (Theo title/meta, chưa đọc bài.)</t>
  </si>
  <si>
    <t>Nợ nhóm 2 — giải thích nợ xấu. (Theo title/meta, chưa đọc bài.)</t>
  </si>
  <si>
    <t>nợ xấu là gì</t>
  </si>
  <si>
    <t>Nợ nhóm 3 là nợ xấu. (Theo title/meta, chưa đọc bài.)</t>
  </si>
  <si>
    <t>nợ xấu</t>
  </si>
  <si>
    <t>https://techcombank.com/thong-tin/blog/du-no-tin-dung-la-gi</t>
  </si>
  <si>
    <t>https://techcombank.com/thong-tin/blog/tao-ma-qr-thanh-toan-cho-cua-hang</t>
  </si>
  <si>
    <t>Dư nợ — chèn ở đoạn chất lượng dư nợ. (Theo title/meta, chưa đọc bài.)</t>
  </si>
  <si>
    <t>Quá hạn thẻ có thể thành nợ xấu. (Theo title/meta, chưa đọc bài.)</t>
  </si>
  <si>
    <t>https://techcombank.com/thong-tin/blog/pos</t>
  </si>
  <si>
    <t>https://techcombank.com/thong-tin/blog/vay-the-chap-khong-tra-duoc</t>
  </si>
  <si>
    <t>https://techcombank.com/thong-tin/blog/softpos</t>
  </si>
  <si>
    <t>Bài anh em (thế chấp). (Theo title/meta, chưa đọc bài.)</t>
  </si>
  <si>
    <t>vay tín chấp không trả được có sao không</t>
  </si>
  <si>
    <t>Lãi quá hạn khi không trả được. (Theo title/meta, chưa đọc bài.)</t>
  </si>
  <si>
    <t>Nợ quá hạn tương tự. (Theo title/meta, chưa đọc bài.)</t>
  </si>
  <si>
    <t>Định nghĩa — chèn ở đoạn rủi ro. (Theo title/meta, chưa đọc bài.)</t>
  </si>
  <si>
    <t>Nhắc: rút tiền.</t>
  </si>
  <si>
    <t>Wealth</t>
  </si>
  <si>
    <t>https://techcombank.com/thong-tin/blog/chung-chi-quy</t>
  </si>
  <si>
    <t>Chứng chỉ quỹ là gì → phương pháp đầu tư. (Theo title/meta, chưa đọc bài.)</t>
  </si>
  <si>
    <t>phương pháp đầu tư chứng chỉ quỹ</t>
  </si>
  <si>
    <t>Hướng dẫn mua → phương pháp. (Theo title/meta, chưa đọc bài.)</t>
  </si>
  <si>
    <t>cách đầu tư chứng chỉ quỹ</t>
  </si>
  <si>
    <t>https://techcombank.com/thong-tin/blog/dau-tu-quy-mo</t>
  </si>
  <si>
    <t>Nhắc: rút tiền, atm.</t>
  </si>
  <si>
    <t>https://techcombank.com/thong-tin/blog/ma-qr-lam-gia-duoc-khong</t>
  </si>
  <si>
    <t>Đầu tư quỹ mở cho người mới. (Theo title/meta, chưa đọc bài.)</t>
  </si>
  <si>
    <t>đầu tư chứng chỉ quỹ cho người mới</t>
  </si>
  <si>
    <t>https://techcombank.com/thong-tin/blog/app-theo-doi-chung-chi-quy</t>
  </si>
  <si>
    <t>App theo dõi CCQ. (Theo title/meta, chưa đọc bài.)</t>
  </si>
  <si>
    <t>https://techcombank.com/thong-tin/blog/ma-qr-techcombank</t>
  </si>
  <si>
    <t>https://techcombank.com/thong-tin/blog/chung-chi-quy-va-co-phieu</t>
  </si>
  <si>
    <t>So sánh CCQ với cổ phiếu. (Theo title/meta, chưa đọc bài.)</t>
  </si>
  <si>
    <t>https://techcombank.com/thong-tin/blog/so-sanh-ma-qr-va-ma-vach</t>
  </si>
  <si>
    <t>https://techcombank.com/thong-tin/blog/qr-code-doanh-nghiep</t>
  </si>
  <si>
    <t>https://techcombank.com/thong-tin/blog/thanh-toan-bang-ma-qr</t>
  </si>
  <si>
    <t>https://techcombank.com/thong-tin/blog/qr-dong</t>
  </si>
  <si>
    <t>https://techcombank.com/thong-tin/blog/thanh-toan-ma-qr-tro-thanh-phuong-thuc-duoc-ua-chuong-va-trien-khai-manh-me</t>
  </si>
  <si>
    <t>https://techcombank.com/thong-tin/blog/qr-code-phuong-thuc-thanh-toan-toi-uu-trong-ky-nguyen-so</t>
  </si>
  <si>
    <t>https://techcombank.com/thong-tin/blog/rut-tien-bao-hiem-nhan-tho-khi-het-han</t>
  </si>
  <si>
    <t>Nhắc: atm, mã qr.</t>
  </si>
  <si>
    <t>https://techcombank.com/thong-tin/blog/cach-su-dung-the-ghi-no</t>
  </si>
  <si>
    <t>https://techcombank.com/thong-tin/blog/the-ghi-no-co-rut-tien-duoc-khong</t>
  </si>
  <si>
    <t>Xác thực sinh trắc học yêu cầu quét NFC chip CCCD.</t>
  </si>
  <si>
    <t>Liên kết VNeID cần quét chip CCCD.</t>
  </si>
  <si>
    <t>eKYC dùng NFC CCCD để định danh.</t>
  </si>
  <si>
    <t>Định danh mức 2 cần quét CCCD gắn chip.</t>
  </si>
  <si>
    <t>Mở TK online có bước quét NFC CCCD.</t>
  </si>
  <si>
    <t>https://techcombank.com/thong-tin/blog/tra-cuu-ma-so-thue-ho-kinh-doanh</t>
  </si>
  <si>
    <t>Nhắc: cccd, căn cước.</t>
  </si>
  <si>
    <t>Nhắc: cccd, định danh.</t>
  </si>
  <si>
    <t>Nhắc: cccd.</t>
  </si>
  <si>
    <t>Bài dấu chân carbon nhắc lợi ích xanh của thẻ Visa Eco.</t>
  </si>
  <si>
    <t>Điểm danh sản phẩm xanh ngành ngân hàng — Eco Card là ví dụ.</t>
  </si>
  <si>
    <t>Lối sống xanh → thẻ xanh.</t>
  </si>
  <si>
    <t>Thẻ Visa Debit — Eco Card là một loại Visa Debit.</t>
  </si>
  <si>
    <t>https://techcombank.com/thong-tin/blog/tieu-dung-xanh</t>
  </si>
  <si>
    <t>Tiêu dùng xanh; chèn ở đoạn giải pháp thanh toán xanh. (Liên quan yếu – bản chặt đã loại.)</t>
  </si>
  <si>
    <t>Nhắc: bền vững.</t>
  </si>
  <si>
    <t>Nhắc: thẻ ghi nợ.</t>
  </si>
  <si>
    <t>https://techcombank.com/thong-tin/blog/luu-y-khi-chuyen-doi-tu-ho-kinh-doanh-len-doanh-nghiep</t>
  </si>
  <si>
    <t>https://techcombank.com/thong-tin/blog/cach-quan-ly-tai-san</t>
  </si>
  <si>
    <t>https://techcombank.com/thong-tin/blog/mr-eco</t>
  </si>
  <si>
    <t>Nhắc: eco.</t>
  </si>
  <si>
    <t>https://techcombank.com/thong-tin/blog/dat-xe-xanh-sm</t>
  </si>
  <si>
    <t>Nhắc: xanh.</t>
  </si>
  <si>
    <t>https://techcombank.com/thong-tin/blog/thuc-day-thi-truong-the-noi-dia-va-xu-huong-thanh-toan-tuong-lai</t>
  </si>
  <si>
    <t>https://techcombank.com/thong-tin/blog/ngan-hang-so-cho-doanh-nghiep</t>
  </si>
  <si>
    <t>https://techcombank.com/thong-tin/blog/voucher-xanh-sm</t>
  </si>
  <si>
    <t>https://techcombank.com/thong-tin/blog/bao-hiem-pin-xe-dien</t>
  </si>
  <si>
    <t>https://techcombank.com/thong-tin/blog/phan-bo-tai-san</t>
  </si>
  <si>
    <t>https://techcombank.com/thong-tin/blog/xu-huong-tieu-dung</t>
  </si>
  <si>
    <t>https://techcombank.com/thong-tin/blog/cach-lam-the-ngan-hang-chay-quang-cao-facebook</t>
  </si>
  <si>
    <t>https://techcombank.com/thong-tin/blog/the-ghi-no-va-the-tin-dung</t>
  </si>
  <si>
    <t>https://techcombank.com/thong-tin/blog/khau-vi-nha-dau-tu-tpdn-thay-doi-the-nao-sau-nhung-bien-dong-vua-qua</t>
  </si>
  <si>
    <t>https://techcombank.com/thong-tin/blog/gia-tri-tai-san-rong</t>
  </si>
  <si>
    <t>https://techcombank.com/thong-tin/blog/the-ghi-no-la-gi</t>
  </si>
  <si>
    <t>https://techcombank.com/thong-tin/blog/mo-the-ghi-no</t>
  </si>
  <si>
    <t>https://techcombank.com/thong-tin/blog/the-tin-dung-techcombank-visa-eco</t>
  </si>
  <si>
    <t>Nhắc: eco, xanh, carbon, bền vững.</t>
  </si>
  <si>
    <t>https://techcombank.com/thong-tin/blog/the-ghi-no-noi-dia</t>
  </si>
  <si>
    <t>https://techcombank.com/thong-tin/blog/giao-thong-xanh</t>
  </si>
  <si>
    <t>https://techcombank.com/thong-tin/blog/tich-luy-tai-san</t>
  </si>
  <si>
    <t>https://techcombank.com/thong-tin/blog/ke-hoach-huu-tri</t>
  </si>
  <si>
    <t>https://techcombank.com/thong-tin/blog/tieu-dung-ben-vung</t>
  </si>
  <si>
    <t>Nhắc: xanh, bền vững.</t>
  </si>
  <si>
    <t>https://techcombank.com/thong-tin/blog/ngan-hang-xanh</t>
  </si>
  <si>
    <t>https://techcombank.com/thong-tin/blog/esg</t>
  </si>
  <si>
    <t>https://techcombank.com/thong-tin/blog/dau-tu-dai-han</t>
  </si>
  <si>
    <t>https://techcombank.com/thong-tin/blog/chuyen-doi-xanh</t>
  </si>
  <si>
    <t>https://techcombank.com/thong-tin/blog/lap-ke-hoach-chi-tieu-ca-nhan</t>
  </si>
  <si>
    <t>tra cứu cic miễn phí</t>
  </si>
  <si>
    <t>Điểm tín dụng CIC — cần hiểu CIC là gì.</t>
  </si>
  <si>
    <t>tra cứu cic</t>
  </si>
  <si>
    <t>Lịch sử tín dụng lưu tại CIC.</t>
  </si>
  <si>
    <t>kiểm tra cic</t>
  </si>
  <si>
    <t>Nợ nhóm 3 bao lâu xóa trên CIC.</t>
  </si>
  <si>
    <t>cic là gì</t>
  </si>
  <si>
    <t>Nợ cần chú ý được ghi nhận trên CIC.</t>
  </si>
  <si>
    <t>Nợ nhóm 2 — tra trên CIC.</t>
  </si>
  <si>
    <t>Nhắc: lịch sử tín dụng.</t>
  </si>
  <si>
    <t>Nhắc: cic, nợ xấu.</t>
  </si>
  <si>
    <t>https://techcombank.com/thong-tin/blog/no-xau</t>
  </si>
  <si>
    <t>Nhắc: nợ xấu.</t>
  </si>
  <si>
    <t>Nhắc: điểm tín dụng.</t>
  </si>
  <si>
    <t>https://techcombank.com/thong-tin/blog/spaylater</t>
  </si>
  <si>
    <t>Nhắc: cic.</t>
  </si>
  <si>
    <t>https://techcombank.com/thong-tin/blog/luu-y-khi-su-dung-the-tin-dung</t>
  </si>
  <si>
    <t>Nhắc: nợ xấu, điểm tín dụng.</t>
  </si>
  <si>
    <t>Bài phí rút tiền — người đọc cần cách rút.</t>
  </si>
  <si>
    <t>quẹt thẻ tín dụng lấy tiền mặt</t>
  </si>
  <si>
    <t>Thẻ Visa rút tiền được không — dẫn sang hướng dẫn rút từ thẻ tín dụng.</t>
  </si>
  <si>
    <t>Nhu cầu lấy tiền mặt từ thẻ tín dụng tương tự.</t>
  </si>
  <si>
    <t>Hạn mức rút tiền mặt là một phần hạn mức thẻ.</t>
  </si>
  <si>
    <t>Rút tiền mặt phát sinh lãi ngay — chèn ở đoạn khi nào phát sinh lãi.</t>
  </si>
  <si>
    <t>Nhắc: tiền mặt.</t>
  </si>
  <si>
    <t>https://techcombank.com/thong-tin/blog/vi-dien-tu</t>
  </si>
  <si>
    <t>https://techcombank.com/thong-tin/blog/thanh-toan-khong-dung-tien-mat</t>
  </si>
  <si>
    <t>Nhắc: rút tiền, tiền mặt.</t>
  </si>
  <si>
    <t>Nhắc: hạn mức thẻ.</t>
  </si>
  <si>
    <t>https://techcombank.com/thong-tin/blog/ty-le-thanh-toan-khong-dung-tien-mat-trong-linh-vuc-y-te-con-han-che</t>
  </si>
  <si>
    <t>https://techcombank.com/thong-tin/blog/thanh-toan-khong-dung-tien-mat-tro-thanh-xu-huong-tang-truong-chong-mat</t>
  </si>
  <si>
    <t>https://techcombank.com/thong-tin/blog/vay-tien-mat</t>
  </si>
  <si>
    <t>https://techcombank.com/thong-tin/blog/xu-huong-thanh-toan-khong-dung-tien-mat-tai-viet-nam</t>
  </si>
  <si>
    <t>https://techcombank.com/thong-tin/blog/thanh-toan-khong-tien-mat-trong-nganh-giao-duc-co-hoi-va-thach-thuc</t>
  </si>
  <si>
    <t>https://techcombank.com/thong-tin/blog/the-he-tre-day-manh-xu-huong-thanh-toan-khong-dung-tien-mat</t>
  </si>
  <si>
    <t>Định nghĩa thẻ tín dụng → nhu cầu làm thẻ.</t>
  </si>
  <si>
    <t>Một cách mở thẻ — dẫn sang hướng dẫn đầy đủ.</t>
  </si>
  <si>
    <t>Phí làm thẻ — đi kèm thủ tục làm thẻ.</t>
  </si>
  <si>
    <t>Điều kiện mở thẻ — sát chủ đề.</t>
  </si>
  <si>
    <t>Quyết định dùng thẻ → bước làm thẻ.</t>
  </si>
  <si>
    <t>Nhắc: thẻ tín dụng.</t>
  </si>
  <si>
    <t>Nhắc: thẻ tín dụng, mở thẻ.</t>
  </si>
  <si>
    <t>https://techcombank.com/thong-tin/blog/uu-dai-mua-ve-may-bay-bang-the-tin-dung</t>
  </si>
  <si>
    <t>https://techcombank.com/thong-tin/blog/mat-the-tin-dung-co-bi-mat-tien-khong</t>
  </si>
  <si>
    <t>https://techcombank.com/thong-tin/blog/so-cvv-la-gi</t>
  </si>
  <si>
    <t>Nhắc: mở thẻ.</t>
  </si>
  <si>
    <t>https://techcombank.com/thong-tin/blog/mua-iphone-17</t>
  </si>
  <si>
    <t>https://techcombank.com/thong-tin/blog/mua-truoc-tra-sau</t>
  </si>
  <si>
    <t>Nhắc: mở thẻ, làm thẻ.</t>
  </si>
  <si>
    <t>https://techcombank.com/thong-tin/blog/the-napas-la-gi</t>
  </si>
  <si>
    <t>https://techcombank.com/thong-tin/blog/ma-buu-chinh-the-tin-dung</t>
  </si>
  <si>
    <t>https://techcombank.com/thong-tin/blog/the-tin-dung-quoc-te</t>
  </si>
  <si>
    <t>URL</t>
  </si>
  <si>
    <t>https://techcombank.com/thong-tin/blog/the-tin-dung-den</t>
  </si>
  <si>
    <t>https://techcombank.com/thong-tin/blog/dao-han-the-tin-dung</t>
  </si>
  <si>
    <t>thấu chi là gì</t>
  </si>
  <si>
    <t>vay thấu chi là như nào</t>
  </si>
  <si>
    <t>https://techcombank.com/thong-tin/blog/thanh-toan-online-bang-the-tin-dung</t>
  </si>
  <si>
    <t>lãi suất vay ngân hàng hiện nay</t>
  </si>
  <si>
    <t>lãi suất cho vay ngân hàng</t>
  </si>
  <si>
    <t>lãi vay ngân hàng hiện nay</t>
  </si>
  <si>
    <t>lãi suất vay ngân hàng hôm nay</t>
  </si>
  <si>
    <t>lãi suất ngân hàng</t>
  </si>
  <si>
    <t>lãi suất ngân hàng hôm nay</t>
  </si>
  <si>
    <t>lãi suất ngân hàng nào cao nhất</t>
  </si>
  <si>
    <t>lãi suất ngân hàng hiện nay</t>
  </si>
  <si>
    <t>lãi suất tiền gửi ngân hàng</t>
  </si>
  <si>
    <t>lãi suất gửi tiết kiệm ngân hàng</t>
  </si>
  <si>
    <t>lãi suất ngân hàng tiền gửi</t>
  </si>
  <si>
    <t>https://techcombank.com/thong-tin/blog/3d-secure</t>
  </si>
  <si>
    <t>cách tính lãi suất vay</t>
  </si>
  <si>
    <t>cách tính lãi suất tiết kiệm ngân hàng</t>
  </si>
  <si>
    <t>cách tính lãi suất ngân hàng</t>
  </si>
  <si>
    <t>tính lãi suất ngân hàng</t>
  </si>
  <si>
    <t>tính lãi suất tiết kiệm</t>
  </si>
  <si>
    <t>https://techcombank.com/thong-tin/blog/the-tin-dung-ao</t>
  </si>
  <si>
    <t>https://techcombank.com/thong-tin/blog/tra-gop-shopee</t>
  </si>
  <si>
    <t>vay nhanh</t>
  </si>
  <si>
    <t>vay</t>
  </si>
  <si>
    <t>vay tiền</t>
  </si>
  <si>
    <t>vay tiền online chuyển khoản ngay</t>
  </si>
  <si>
    <t>app vay</t>
  </si>
  <si>
    <t>vay tiền app</t>
  </si>
  <si>
    <t>app vay tiền</t>
  </si>
  <si>
    <t>app vay nhanh</t>
  </si>
  <si>
    <t>https://techcombank.com/thong-tin/blog/cach-dang-ky-the-visa</t>
  </si>
  <si>
    <t>tính lãi suất vay ngân hàng</t>
  </si>
  <si>
    <t>tính lãi vay ngân hàng</t>
  </si>
  <si>
    <t>bảng tính lãi suất vay ngân hàng</t>
  </si>
  <si>
    <t>https://techcombank.com/thong-tin/blog/tra-gop-lazada</t>
  </si>
  <si>
    <t>https://techcombank.com/thong-tin/blog/the-tin-dung-co-ma-pin-khong</t>
  </si>
  <si>
    <t>https://techcombank.com/thong-tin/blog/the-tin-dung-noi-dia</t>
  </si>
  <si>
    <t>https://techcombank.com/thong-tin/blog/lam-ho-so-tra-gop-dien-thoai</t>
  </si>
  <si>
    <t>https://techcombank.com/thong-tin/blog/tra-gop-qua-the-tin-dung</t>
  </si>
  <si>
    <t>https://techcombank.com/thong-tin/blog/kich-hoat-the-tin-dung-techcombank</t>
  </si>
  <si>
    <t>https://techcombank.com/thong-tin/blog/the-tin-dung-vip</t>
  </si>
  <si>
    <t>https://techcombank.com/thong-tin/blog/so-luong-the-tin-dung-noi-dia-dang-luu-hanh-da-tang-42-so-voi-cung-ky-nam-2022</t>
  </si>
  <si>
    <t>https://techcombank.com/thong-tin/blog/uu-dai-mua-iphone-18</t>
  </si>
  <si>
    <t>https://techcombank.com/thong-tin/blog/so-the-tin-dung</t>
  </si>
  <si>
    <t>https://techcombank.com/thong-tin/blog/sang-ngang-the-tin-dung</t>
  </si>
  <si>
    <t>So sánh thẻ tín dụng Techcombank — Everyday nên được nhắc.</t>
  </si>
  <si>
    <t>Chương trình hoàn tiền thẻ tín dụng Techcombank.</t>
  </si>
  <si>
    <t>Top ưu đãi thẻ tín dụng; chèn ở mục Techcombank.</t>
  </si>
  <si>
    <t>Phân loại thẻ — chèn ví dụ thẻ hoàn tiền.</t>
  </si>
  <si>
    <t>Lợi ích thẻ tín dụng — hoàn tiền là một lợi ích.</t>
  </si>
  <si>
    <t>Nhắc: thẻ tín dụng, hoàn tiền.</t>
  </si>
  <si>
    <t>Nhắc: hoàn tiền.</t>
  </si>
  <si>
    <t>Nhắc: hoàn tiền, cashback.</t>
  </si>
  <si>
    <t>Nhắc: thẻ tín dụng, hoàn tiền, cashback.</t>
  </si>
  <si>
    <t>Title nhắc 'hoàn tiền' khi trả tiền điện bằng thẻ tín dụng.</t>
  </si>
  <si>
    <t>Cashback thẻ thanh toán (ghi nợ) — so sánh với thẻ tín dụng hoàn tiền.</t>
  </si>
  <si>
    <t>Ưu đãi mở thẻ — hoàn tiền là ưu đãi phổ biến.</t>
  </si>
  <si>
    <t>Top thẻ đáng mở — chèn ở tiêu chí chọn thẻ.</t>
  </si>
  <si>
    <t>Dùng thẻ tiết kiệm — tận dụng hoàn tiền.</t>
  </si>
  <si>
    <t>Nhắc: thẻ tín dụng, ưu đãi thẻ.</t>
  </si>
  <si>
    <t>Nhắc: hoàn tiền, thẻ tín dụng.</t>
  </si>
  <si>
    <t>Nhắc: hoàn tiền, thẻ tín dụng, ưu đãi thẻ.</t>
  </si>
  <si>
    <t>Không muốn trả phí thường niên → hủy thẻ.</t>
  </si>
  <si>
    <t>Không dùng thẻ vẫn mất phí → nên hủy.</t>
  </si>
  <si>
    <t>Khóa vs hủy thẻ — đối chiếu trực tiếp.</t>
  </si>
  <si>
    <t>Thẻ bị khóa — chèn ở đoạn phân biệt khóa/hủy.</t>
  </si>
  <si>
    <t>Thẻ hết hạn: gia hạn hoặc hủy.</t>
  </si>
  <si>
    <t>Nhắc: thẻ tín dụng, phí thường niên.</t>
  </si>
  <si>
    <t>Lịch sử tín dụng quyết định xếp hạng tín dụng.</t>
  </si>
  <si>
    <t>Điều kiện vay — xếp hạng tín dụng là một yếu tố.</t>
  </si>
  <si>
    <t>Nợ xấu làm giảm xếp hạng.</t>
  </si>
  <si>
    <t>https://techcombank.com/thong-tin/blog/tin-dung-la-gi</t>
  </si>
  <si>
    <t>Định nghĩa tín dụng; chèn ở đoạn đánh giá người vay. (Liên quan yếu – bản chặt đã loại.)</t>
  </si>
  <si>
    <t>Dư nợ ảnh hưởng xếp hạng tín dụng. (Liên quan yếu – bản chặt đã loại.)</t>
  </si>
  <si>
    <t>https://techcombank.com/thong-tin/blog/vay-san-xuat-kinh-doanh</t>
  </si>
  <si>
    <t>Nhắc: điều kiện vay.</t>
  </si>
  <si>
    <t>Nhắc: lịch sử tín dụng, nợ xấu.</t>
  </si>
  <si>
    <t>Nhắc: điểm tín dụng, cic.</t>
  </si>
  <si>
    <t>Nhắc: lịch sử tín dụng, cic, nợ xấu.</t>
  </si>
  <si>
    <t>Nhắc: lịch sử tín dụng, cic.</t>
  </si>
  <si>
    <t>Nhắc: điểm tín dụng, nợ xấu.</t>
  </si>
  <si>
    <t>https://techcombank.com/thong-tin/blog/mua-nha-tra-gop-dua-truoc-100-trieu</t>
  </si>
  <si>
    <t>Nhắc: lịch sử tín dụng, điều kiện vay.</t>
  </si>
  <si>
    <t>https://techcombank.com/thong-tin/blog/co-100-trieu-co-mua-nen-mua-tra-gop</t>
  </si>
  <si>
    <t>https://techcombank.com/thong-tin/blog/vay-20-trieu</t>
  </si>
  <si>
    <t>Thanh toán tối thiểu — liên quan trực tiếp cách trả dư nợ.</t>
  </si>
  <si>
    <t>Quá hạn → hướng dẫn các kênh thanh toán để không trễ.</t>
  </si>
  <si>
    <t>Sao kê ghi số tiền và hạn thanh toán.</t>
  </si>
  <si>
    <t>Nợ quá hạn — cần cách trả nợ thẻ.</t>
  </si>
  <si>
    <t>Miễn lãi khi thanh toán đúng hạn.</t>
  </si>
  <si>
    <t>Nhắc: dư nợ, quá hạn.</t>
  </si>
  <si>
    <t>https://techcombank.com/thong-tin/blog/lai-suat-ngan-hang-cho-vay-xay-nha</t>
  </si>
  <si>
    <t>Nhắc: dư nợ.</t>
  </si>
  <si>
    <t>https://techcombank.com/thong-tin/blog/vay-tin-chap-theo-luong</t>
  </si>
  <si>
    <t>Nhắc: quá hạn.</t>
  </si>
  <si>
    <t>So sánh CD và tiết kiệm — cần định nghĩa CD.</t>
  </si>
  <si>
    <t>Câu hỏi bản chất CD.</t>
  </si>
  <si>
    <t>Lý do nên mua CD → dẫn về bài tổng quan.</t>
  </si>
  <si>
    <t>Tính an toàn của CD.</t>
  </si>
  <si>
    <t>Kênh sinh lời cho tiền nhàn rỗi — CD là một kênh.</t>
  </si>
  <si>
    <t>https://techcombank.com/thong-tin/blog/chuyen-doi-so-ho-kinh-doanh</t>
  </si>
  <si>
    <t>Nhắc: tiền nhàn rỗi.</t>
  </si>
  <si>
    <t>Nhắc: gửi tiết kiệm.</t>
  </si>
  <si>
    <t>https://techcombank.com/thong-tin/blog/gui-tiet-kiem-theo-ngay</t>
  </si>
  <si>
    <t>https://techcombank.com/thong-tin/blog/gui-tiet-kiem-vang</t>
  </si>
  <si>
    <t>https://techcombank.com/thong-tin/blog/nen-gui-tiet-kiem-thong-thuong-hay-tich-luy</t>
  </si>
  <si>
    <t>https://techcombank.com/thong-tin/blog/chung-chi-tien-gui-co-duoc-bao-hiem-khong</t>
  </si>
  <si>
    <t>Nhắc: chứng chỉ tiền gửi.</t>
  </si>
  <si>
    <t>https://techcombank.com/thong-tin/blog/quan-ly-tai-chinh-cho-dan-van-phong</t>
  </si>
  <si>
    <t>https://techcombank.com/thong-tin/blog/chung-chi-quy-va-chung-khoan</t>
  </si>
  <si>
    <t>Nhắc: kênh đầu tư.</t>
  </si>
  <si>
    <t>https://techcombank.com/thong-tin/blog/gui-tiet-kiem-ngan-hang-van-la-lua-chon-an-toan-trong-thoi-ky-kinh-te-con-nhieu-bien-dong</t>
  </si>
  <si>
    <t>Nhắc: kênh đầu tư, gửi tiết kiệm.</t>
  </si>
  <si>
    <t>https://techcombank.com/thong-tin/blog/dau-tu-trai-phieu-doanh-nghiep-dung-ham-lai-suat-cao</t>
  </si>
  <si>
    <t>https://techcombank.com/thong-tin/blog/dau-tu-ngan-han</t>
  </si>
  <si>
    <t>https://techcombank.com/thong-tin/blog/chon-kenh-dau-tu-an-toan-trong-boi-canh-thi-truong-bien-dong</t>
  </si>
  <si>
    <t>https://techcombank.com/thong-tin/blog/gui-tiet-kiem-online-quay-vong-ca-goc-va-lai</t>
  </si>
  <si>
    <t>https://techcombank.com/thong-tin/blog/cach-tiet-kiem-tien-sinh-loi</t>
  </si>
  <si>
    <t>https://techcombank.com/thong-tin/blog/gui-tiet-kiem-usd</t>
  </si>
  <si>
    <t>Tính lợi nhuận CD cần mức lãi suất.</t>
  </si>
  <si>
    <t>Tất toán ảnh hưởng lợi suất — chèn ở đoạn lãi suất.</t>
  </si>
  <si>
    <t>Rút trước hạn mất lãi suất — chèn ở đoạn lãi.</t>
  </si>
  <si>
    <t>Giá chuyển nhượng phụ thuộc lãi suất.</t>
  </si>
  <si>
    <t>Chèn ở đoạn so sánh lợi ích. (Liên quan yếu – bản chặt đã loại.)</t>
  </si>
  <si>
    <t>Nhắc: lãi suất tiết kiệm.</t>
  </si>
  <si>
    <t>Bài tổng quan tiền Trung Quốc — dẫn sang quy đổi 1 tệ.</t>
  </si>
  <si>
    <t>Bài anh em mệnh giá 1 vạn tệ.</t>
  </si>
  <si>
    <t>Bài anh em mệnh giá 1000 tệ.</t>
  </si>
  <si>
    <t>Du lịch Trung Quốc cần quy đổi tệ.</t>
  </si>
  <si>
    <t>Nhắc: tệ.</t>
  </si>
  <si>
    <t>https://techcombank.com/thong-tin/blog/quy-dinh-ve-mua-ban-ngoai-te-cua-doanh-nghiep</t>
  </si>
  <si>
    <t>Nhắc: trung quốc.</t>
  </si>
  <si>
    <t>https://techcombank.com/thong-tin/blog/phi-chuyen-doi-ngoai-te</t>
  </si>
  <si>
    <t>Xu hướng tỷ giá USD — người đọc cần tỷ giá hiện tại.</t>
  </si>
  <si>
    <t>Mua USD cần biết 1 USD bằng bao nhiêu VND.</t>
  </si>
  <si>
    <t>Bài anh em (cent = 1/100 USD).</t>
  </si>
  <si>
    <t>Tiết kiệm USD — quy đổi sang VND.</t>
  </si>
  <si>
    <t>Chuyển tiền từ Mỹ — quy đổi USD.</t>
  </si>
  <si>
    <t>https://techcombank.com/thong-tin/blog/vang-my-ky</t>
  </si>
  <si>
    <t>Nhắc: mỹ.</t>
  </si>
  <si>
    <t>Nhắc: usd.</t>
  </si>
  <si>
    <t>Nhắc: đô la, tiền đô.</t>
  </si>
  <si>
    <t>Nhắc: đô la.</t>
  </si>
  <si>
    <t>Nhắc: tiền đô.</t>
  </si>
  <si>
    <t>Du lịch Nhật cần biết mệnh giá tiền Nhật.</t>
  </si>
  <si>
    <t>Chuyển tiền từ Nhật — liên quan tiền Yên.</t>
  </si>
  <si>
    <t>Bài quy đổi 1 Yên dẫn về tổng quan tiền Nhật.</t>
  </si>
  <si>
    <t>Bài 1 Man dẫn về mệnh giá tiền Nhật.</t>
  </si>
  <si>
    <t>https://techcombank.com/thong-tin/blog/cach-tiet-kiem-tien-cua-nguoi-nhat</t>
  </si>
  <si>
    <t>Chủ đề người Nhật; chỉ chèn nếu có nhắc tiền Yên. (Liên quan yếu – bản chặt đã loại.)</t>
  </si>
  <si>
    <t>https://techcombank.com/thong-tin/blog/chixmax</t>
  </si>
  <si>
    <t>Nhắc: nhật bản.</t>
  </si>
  <si>
    <t>Nhắc: yên nhật, jpy, 1000 yên.</t>
  </si>
  <si>
    <t>Bài anh em mệnh giá 1000 Yên.</t>
  </si>
  <si>
    <t>Bài tổng quan tiền Nhật — đoạn tỷ giá dẫn sang quy đổi 1 Yên.</t>
  </si>
  <si>
    <t>1 Man = 10.000 Yên — dẫn sang tỷ giá 1 Yên.</t>
  </si>
  <si>
    <t>Chuyển tiền từ Nhật — quy đổi JPY/VND.</t>
  </si>
  <si>
    <t>Bài anh em mệnh giá 1 triệu Won.</t>
  </si>
  <si>
    <t>Bài anh em 1000 Won.</t>
  </si>
  <si>
    <t>Du lịch Hàn Quốc cần quy đổi Won.</t>
  </si>
  <si>
    <t>Chuyển tiền Hàn về VN — tỷ giá Won.</t>
  </si>
  <si>
    <t>So sánh tỷ giá các ngân hàng — chèn ở mục KRW.</t>
  </si>
  <si>
    <t>Bài anh em 1 vạn Đài tệ.</t>
  </si>
  <si>
    <t>Định nghĩa ngoại tệ; chèn ví dụ Đài tệ.</t>
  </si>
  <si>
    <t>Bảng tỷ giá — chèn ở mục TWD.</t>
  </si>
  <si>
    <t>Mua ngoại tệ đi du lịch — chèn ví dụ Đài Loan.</t>
  </si>
  <si>
    <t>https://techcombank.com/thong-tin/blog/shang-chi</t>
  </si>
  <si>
    <t>Nhắc: đài loan.</t>
  </si>
  <si>
    <t>Tổng quan tiền Nhật — đoạn mệnh giá 10.000 Yên dẫn sang 1 Man.</t>
  </si>
  <si>
    <t>Bài 1 Yên — chèn ở đoạn quy đổi mệnh giá lớn.</t>
  </si>
  <si>
    <t>Bài 1000 Yên — dẫn sang 1 Man.</t>
  </si>
  <si>
    <t>Người lao động Nhật hay tính lương theo 'man'.</t>
  </si>
  <si>
    <t>Du lịch Nhật; chèn ở đoạn chuẩn bị tiền mặt.</t>
  </si>
  <si>
    <t>Du lịch Thái cần biết tiền Thái.</t>
  </si>
  <si>
    <t>Thanh toán QR ở Thái — liên quan quy đổi Baht.</t>
  </si>
  <si>
    <t>Mua ngoại tệ đi du lịch — ví dụ Baht.</t>
  </si>
  <si>
    <t>Checklist du lịch — mục đổi tiền.</t>
  </si>
  <si>
    <t>Thanh toán thẻ quốc tế khi du lịch — chèn ở đoạn tiền mặt.</t>
  </si>
  <si>
    <t>Bài 1 USD — chèn ở đoạn quy đổi số tiền lớn.</t>
  </si>
  <si>
    <t>Ngưỡng tài sản 'triệu đô' của HNWI.</t>
  </si>
  <si>
    <t>Tỷ giá USD — ví dụ quy đổi 1 triệu đô.</t>
  </si>
  <si>
    <t>Net worth — ví dụ tài sản triệu đô. (Liên quan yếu – bản chặt đã loại.)</t>
  </si>
  <si>
    <t>Nhắc: usd, đô.</t>
  </si>
  <si>
    <t>Nhắc: đô.</t>
  </si>
  <si>
    <t>https://techcombank.com/thong-tin/blog/tien-singapore</t>
  </si>
  <si>
    <t>https://techcombank.com/thong-tin/blog/1-do-uc-bang-bao-nhieu-tien-viet</t>
  </si>
  <si>
    <t>Bài 1 Won có bảng quy đổi 1.000 Won (theo meta).</t>
  </si>
  <si>
    <t>Bài anh em mệnh giá.</t>
  </si>
  <si>
    <t>Du lịch Hàn — giá món đồ thường tính nghìn Won.</t>
  </si>
  <si>
    <t>Chuyển tiền Hàn — quy đổi.</t>
  </si>
  <si>
    <t>Kiều hối là tiền từ nước ngoài về.</t>
  </si>
  <si>
    <t>Một kênh nhận tiền từ nước ngoài.</t>
  </si>
  <si>
    <t>Nhận tiền quốc tế cần mã SWIFT.</t>
  </si>
  <si>
    <t>Trường hợp cụ thể từ Mỹ.</t>
  </si>
  <si>
    <t>Remittance = chuyển tiền quốc tế.</t>
  </si>
  <si>
    <t>https://techcombank.com/thong-tin/blog/thanh-toan-quoc-te</t>
  </si>
  <si>
    <t>Nhắc: quốc tế.</t>
  </si>
  <si>
    <t>https://techcombank.com/thong-tin/blog/bao-hiem-du-lich-quoc-te-nao-tot</t>
  </si>
  <si>
    <t>https://techcombank.com/thong-tin/blog/bib-techcombank</t>
  </si>
  <si>
    <t>Nhắc: quốc tế, swift.</t>
  </si>
  <si>
    <t>https://techcombank.com/thong-tin/blog/app-ngan-hang-co-dung-duoc-o-nuoc-ngoai</t>
  </si>
  <si>
    <t>Nhắc: nước ngoài.</t>
  </si>
  <si>
    <t>https://techcombank.com/thong-tin/blog/the-visa-co-thanh-toan-quoc-te-duoc-khong</t>
  </si>
  <si>
    <t>Nhắc: nước ngoài, quốc tế.</t>
  </si>
  <si>
    <t>https://techcombank.com/thong-tin/blog/nen-lam-the-visa-hay-noi-dia</t>
  </si>
  <si>
    <t>https://techcombank.com/thong-tin/blog/vay-du-hoc</t>
  </si>
  <si>
    <t>https://techcombank.com/thong-tin/blog/gia-ca-phe-hom-nay</t>
  </si>
  <si>
    <t>https://techcombank.com/thong-tin/blog/gui-tien-du-hoc</t>
  </si>
  <si>
    <t>Nhắc: kiều hối.</t>
  </si>
  <si>
    <t>Điều kiện mua USD → nơi mua.</t>
  </si>
  <si>
    <t>Hạn mức mua ngoại tệ → nơi đổi.</t>
  </si>
  <si>
    <t>So sánh tỷ giá → chọn nơi đổi.</t>
  </si>
  <si>
    <t>Checklist đi nước ngoài — đổi tiền.</t>
  </si>
  <si>
    <t>Bài quy đổi USD — chèn ở đoạn đổi tiền.</t>
  </si>
  <si>
    <t>Nhắc: ngoại tệ.</t>
  </si>
  <si>
    <t>Nhắc: tỷ giá.</t>
  </si>
  <si>
    <t>Nhắc: đổi tiền.</t>
  </si>
  <si>
    <t>https://techcombank.com/thong-tin/blog/dinar-kuwait</t>
  </si>
  <si>
    <t>Nhắc: ngoại tệ, tỷ giá.</t>
  </si>
  <si>
    <t>Nhắc: đổi tiền, đô, tỷ giá.</t>
  </si>
  <si>
    <t>Nhắc: đổi tiền, tỷ giá.</t>
  </si>
  <si>
    <t>Nhắc: usd, tỷ giá.</t>
  </si>
  <si>
    <t>Nhắc: đổi tiền, usd, tỷ giá.</t>
  </si>
  <si>
    <t>https://techcombank.com/thong-tin/blog/100-riel-bang-bao-nhieu-tien-viet-nam</t>
  </si>
  <si>
    <t>https://techcombank.com/thong-tin/blog/tien-malaysia</t>
  </si>
  <si>
    <t>https://techcombank.com/thong-tin/blog/tien-indonesia</t>
  </si>
  <si>
    <t>Nhắc: đổi tiền, usd, đô, tỷ giá.</t>
  </si>
  <si>
    <t>https://techcombank.com/thong-tin/blog/cach-tinh-ty-gia-ky-han</t>
  </si>
  <si>
    <t>https://techcombank.com/thong-tin/blog/bien-dong-ty-gia-voi-doanh-nghiep-sme</t>
  </si>
  <si>
    <t>https://techcombank.com/thong-tin/blog/1-euro-bang-bao-nhieu-tien-viet</t>
  </si>
  <si>
    <t>https://techcombank.com/thong-tin/blog/ty-gia-hoi-doai-la-gi</t>
  </si>
  <si>
    <t>Cân nhắc vay mua nhà — ví dụ khoản vay 1 tỷ.</t>
  </si>
  <si>
    <t>Thủ tục vay mua nhà — câu hỏi trả mỗi tháng bao nhiêu.</t>
  </si>
  <si>
    <t>Kinh nghiệm tránh áp lực trả nợ hàng tháng.</t>
  </si>
  <si>
    <t>Vay mua chung cư thường ở mức ~1 tỷ.</t>
  </si>
  <si>
    <t>Lãi suất thế chấp → số tiền trả hàng tháng.</t>
  </si>
  <si>
    <t>Meta description bài đích (vay-ngan-hang-1-ty) đang lệch nội dung — nên sửa.</t>
  </si>
  <si>
    <t>https://techcombank.com/thong-tin/blog/thu-tuc-vay-von-kinh-doanh-nho</t>
  </si>
  <si>
    <t>Nhắc: vay thế chấp.</t>
  </si>
  <si>
    <t>https://techcombank.com/thong-tin/blog/cac-hinh-thuc-vay-von-ngan-hang</t>
  </si>
  <si>
    <t>https://techcombank.com/thong-tin/blog/vay-the-chap-kinh-doanh</t>
  </si>
  <si>
    <t>Nhắc: trả góp.</t>
  </si>
  <si>
    <t>https://techcombank.com/thong-tin/blog/vay-the-chap-so-bao-hiem-xa-hoi</t>
  </si>
  <si>
    <t>https://techcombank.com/thong-tin/blog/thanh-toan-phi-quan-ly-chung-cu</t>
  </si>
  <si>
    <t>Nhắc: chung cư.</t>
  </si>
  <si>
    <t>https://techcombank.com/thong-tin/blog/rui-ro-khi-vay-the-chap-ngan-hang</t>
  </si>
  <si>
    <t>https://techcombank.com/thong-tin/blog/chuyen-gia-du-doan-gia-bat-dong-san-2025-va-cac-no-luc-tu-ngan-hang</t>
  </si>
  <si>
    <t>Nhắc: mua nhà.</t>
  </si>
  <si>
    <t>https://techcombank.com/thong-tin/blog/vay-mua-nha-tra-gop</t>
  </si>
  <si>
    <t>Nhắc: vay mua nhà, mua nhà, trả góp.</t>
  </si>
  <si>
    <t>https://techcombank.com/thong-tin/blog/vay-40-trieu</t>
  </si>
  <si>
    <t>https://techcombank.com/thong-tin/blog/tra-gop-hoc-phi</t>
  </si>
  <si>
    <t>https://techcombank.com/thong-tin/blog/bi-quyet-tiet-kiem-tien-mua-nha</t>
  </si>
  <si>
    <t>Nhắc: vay mua nhà, mua nhà.</t>
  </si>
  <si>
    <t>Nhắc: vay thế chấp, trả góp.</t>
  </si>
  <si>
    <t>https://techcombank.com/thong-tin/blog/vay-15-trieu</t>
  </si>
  <si>
    <t>https://techcombank.com/thong-tin/blog/vay-mua-nha-o-xa-hoi</t>
  </si>
  <si>
    <t>https://techcombank.com/thong-tin/blog/kinh-nghiem-vay-tien-ngan-hang-xay-nha</t>
  </si>
  <si>
    <t>https://techcombank.com/thong-tin/blog/giai-ngan-vay-the-chap</t>
  </si>
  <si>
    <t>https://techcombank.com/thong-tin/blog/phi-vay-the-chap</t>
  </si>
  <si>
    <t>https://techcombank.com/thong-tin/blog/vay-the-chap-toi-da-duoc-bao-nhieu</t>
  </si>
  <si>
    <t>https://techcombank.com/thong-tin/blog/vay-mua-dien-thoai</t>
  </si>
  <si>
    <t>https://techcombank.com/thong-tin/blog/vay-the-chap-hop-dong-mua-ban-can-ho</t>
  </si>
  <si>
    <t>Đặt vé máy bay online — Traveloka là kênh đặt vé.</t>
  </si>
  <si>
    <t>Săn vé rẻ — dùng voucher Traveloka.</t>
  </si>
  <si>
    <t>Đổi điểm U-Point trên OneU — voucher Traveloka là quà đổi.</t>
  </si>
  <si>
    <t>Tích điểm đổi quà — ví dụ voucher Traveloka.</t>
  </si>
  <si>
    <t>Tiết kiệm khi du lịch — dùng voucher. (Liên quan yếu – bản chặt đã loại.)</t>
  </si>
  <si>
    <t>https://techcombank.com/thong-tin/blog/giam-gia-be</t>
  </si>
  <si>
    <t>Nhắc: u-point, oneu.</t>
  </si>
  <si>
    <t>https://techcombank.com/thong-tin/blog/4p-pizza</t>
  </si>
  <si>
    <t>Nhắc: u-point.</t>
  </si>
  <si>
    <t>https://techcombank.com/thong-tin/blog/doi-dam-bay</t>
  </si>
  <si>
    <t>Nhắc: du lịch, u-point, oneu.</t>
  </si>
  <si>
    <t>https://techcombank.com/thong-tin/blog/voucher-the-coffee-house</t>
  </si>
  <si>
    <t>Nhắc: oneu.</t>
  </si>
  <si>
    <t>https://techcombank.com/thong-tin/blog/yakimono</t>
  </si>
  <si>
    <t>https://techcombank.com/thong-tin/blog/kichi-kichi</t>
  </si>
  <si>
    <t>https://techcombank.com/thong-tin/blog/ma-giam-gia-shopee</t>
  </si>
  <si>
    <t>https://techcombank.com/thong-tin/blog/voucher-starbucks</t>
  </si>
  <si>
    <t>https://techcombank.com/thong-tin/blog/voucher-cgv</t>
  </si>
  <si>
    <t>https://techcombank.com/thong-tin/blog/cua-hang-tien-loi</t>
  </si>
  <si>
    <t>https://techcombank.com/thong-tin/blog/voucher-highland</t>
  </si>
  <si>
    <t>https://techcombank.com/thong-tin/blog/ma-giam-xanh-sm</t>
  </si>
  <si>
    <t>https://techcombank.com/thong-tin/blog/voucher-kfc</t>
  </si>
  <si>
    <t>https://techcombank.com/thong-tin/blog/voucher-grab</t>
  </si>
  <si>
    <t>https://techcombank.com/thong-tin/blog/tous-les-jours</t>
  </si>
  <si>
    <t>https://techcombank.com/thong-tin/blog/woomaster</t>
  </si>
  <si>
    <t>https://techcombank.com/thong-tin/blog/diem-loyalty-la-gi</t>
  </si>
  <si>
    <t>Nhắc: vé máy bay.</t>
  </si>
  <si>
    <t>https://techcombank.com/thong-tin/blog/dac-san-hai-phong</t>
  </si>
  <si>
    <t>Nhắc: du lịch.</t>
  </si>
  <si>
    <t>https://techcombank.com/thong-tin/blog/dac-san-ha-long</t>
  </si>
  <si>
    <t>https://techcombank.com/thong-tin/blog/minigame-world-cup</t>
  </si>
  <si>
    <t>https://techcombank.com/thong-tin/blog/voucher-winmart</t>
  </si>
  <si>
    <t>https://techcombank.com/thong-tin/blog/bao-hiem-hanh-ly</t>
  </si>
  <si>
    <t>https://techcombank.com/thong-tin/blog/dac-san-da-nang</t>
  </si>
  <si>
    <t>https://techcombank.com/thong-tin/blog/dac-san-nha-trang</t>
  </si>
  <si>
    <t>https://techcombank.com/thong-tin/blog/ban-do-du-lich</t>
  </si>
  <si>
    <t>Nhắc: du lịch, oneu.</t>
  </si>
  <si>
    <t>https://techcombank.com/thong-tin/blog/voucher-jollibee</t>
  </si>
  <si>
    <t>https://techcombank.com/thong-tin/blog/voucher-the-pizza-company</t>
  </si>
  <si>
    <t>https://techcombank.com/thong-tin/blog/ma-giam-gia-phela</t>
  </si>
  <si>
    <t>https://techcombank.com/thong-tin/blog/voucher-golden-gate</t>
  </si>
  <si>
    <t>https://techcombank.com/thong-tin/blog/voucher-coopmart</t>
  </si>
  <si>
    <t>https://techcombank.com/thong-tin/blog/ma-giam-gia-al-frescos</t>
  </si>
  <si>
    <t>https://techcombank.com/thong-tin/blog/voucher-katinat</t>
  </si>
  <si>
    <t>https://techcombank.com/thong-tin/blog/oneu</t>
  </si>
  <si>
    <t>https://techcombank.com/thong-tin/blog/chuong-trinh-khach-hang-than-thiet</t>
  </si>
  <si>
    <t>Có mục 'mức thuế phải đóng' (theo title).</t>
  </si>
  <si>
    <t>Thuế khoán là cách đóng thuế của HKD.</t>
  </si>
  <si>
    <t>Miễn thuế — đối lập với nghĩa vụ đóng thuế.</t>
  </si>
  <si>
    <t>Truy thu khi đóng thuế sai.</t>
  </si>
  <si>
    <t>Cập nhật quy định HKD — chèn ở đoạn thuế.</t>
  </si>
  <si>
    <t>Nhắc: thuế.</t>
  </si>
  <si>
    <t>Nhắc: hộ kinh doanh, thuế.</t>
  </si>
  <si>
    <t>Nhắc: hộ kinh doanh.</t>
  </si>
  <si>
    <t>https://techcombank.com/thong-tin/blog/loi-ich-khi-ho-kinh-doanh-chuyen-len-doanh-nghiep</t>
  </si>
  <si>
    <t>https://techcombank.com/thong-tin/blog/tiem-nang-chuyen-doi-tu-ho-kinh-doanh-len-doanh-nghiep-sme</t>
  </si>
  <si>
    <t>https://techcombank.com/thong-tin/blog/lai-suat-vay-kinh-doanh</t>
  </si>
  <si>
    <t>https://techcombank.com/thong-tin/blog/khoi-nghiep-truoc-chinh-sach-thue-moi</t>
  </si>
  <si>
    <t>https://techcombank.com/thong-tin/blog/chuyen-doi-ho-kinh-doanh-len-doanh-nghiep</t>
  </si>
  <si>
    <t>https://techcombank.com/thong-tin/blog/nen-thanh-lap-ho-kinh-doanh-ke-khai-hay-doanh-nghiep</t>
  </si>
  <si>
    <t>https://techcombank.com/thong-tin/blog/due-diligence</t>
  </si>
  <si>
    <t>https://techcombank.com/thong-tin/blog/vay-tin-chap-ho-kinh-doanh</t>
  </si>
  <si>
    <t>https://techcombank.com/thong-tin/blog/cac-sai-lam-pho-bien-khi-chuyen-doi-ho-kinh-doanh-len-sme</t>
  </si>
  <si>
    <t>https://techcombank.com/thong-tin/blog/giay-phep-kinh-doanh</t>
  </si>
  <si>
    <t>https://techcombank.com/thong-tin/blog/dang-ky-kinh-doanh-la-gi</t>
  </si>
  <si>
    <t>https://techcombank.com/thong-tin/blog/thay-doi-dia-chi-ho-kinh-doanh</t>
  </si>
  <si>
    <t>https://techcombank.com/thong-tin/blog/barcode-la-gi</t>
  </si>
  <si>
    <t>https://techcombank.com/thong-tin/blog/dang-ky-thue-ho-kinh-doanh-ca-the-online</t>
  </si>
  <si>
    <t>Nhắc: hộ kinh doanh, thuế khoán, thuế.</t>
  </si>
  <si>
    <t>https://techcombank.com/thong-tin/blog/luat-thuong-mai-dien-tu</t>
  </si>
  <si>
    <t>https://techcombank.com/thong-tin/blog/dong-ma-so-thue-ho-kinh-doanh</t>
  </si>
  <si>
    <t>https://techcombank.com/thong-tin/blog/kinh-nghiem-chuyen-doi-tu-ho-kinh-doanh-len-doanh-nghiep</t>
  </si>
  <si>
    <t>https://techcombank.com/thong-tin/blog/top-phan-mem-ban-hang</t>
  </si>
  <si>
    <t>https://techcombank.com/thong-tin/blog/phat-cham-dang-ky-thue-ho-kinh-doanh</t>
  </si>
  <si>
    <t>Nhượng quyền là một mô hình kinh doanh.</t>
  </si>
  <si>
    <t>Kinh doanh online — chọn mô hình.</t>
  </si>
  <si>
    <t>Mô hình One-Stop Shop.</t>
  </si>
  <si>
    <t>https://techcombank.com/thong-tin/blog/cac-loai-hinh-doanh-nghiep</t>
  </si>
  <si>
    <t>Loại hình DN ≠ mô hình KD nhưng có thể dẫn câu ngắn. (Liên quan yếu – bản chặt đã loại.)</t>
  </si>
  <si>
    <t>https://techcombank.com/thong-tin/blog/merchant-la-gi</t>
  </si>
  <si>
    <t>Merchant — mô hình bán lẻ. (Liên quan yếu – bản chặt đã loại.)</t>
  </si>
  <si>
    <t>Nhắc: khởi nghiệp.</t>
  </si>
  <si>
    <t>Nhắc: kinh doanh online.</t>
  </si>
  <si>
    <t>https://techcombank.com/thong-tin/blog/quan-ly-chuoi-cua-hang</t>
  </si>
  <si>
    <t>Nhắc: chuỗi cửa hàng.</t>
  </si>
  <si>
    <t>https://techcombank.com/thong-tin/blog/giai-phap-quan-ly-chuoi-cua-hang</t>
  </si>
  <si>
    <t>https://techcombank.com/thong-tin/blog/vay-kinh-doanh-online</t>
  </si>
  <si>
    <t>https://techcombank.com/thong-tin/blog/quan-ly-chi-phi-doanh-nghiep</t>
  </si>
  <si>
    <t>Nhắc: mô hình.</t>
  </si>
  <si>
    <t>Tạo xong mã QR → gửi cho người khác.</t>
  </si>
  <si>
    <t>In mã QR — dạng chia sẻ khác.</t>
  </si>
  <si>
    <t>Gửi mã QR có an toàn không.</t>
  </si>
  <si>
    <t>Phí làm mã QR — dẫn sang cách lấy/gửi.</t>
  </si>
  <si>
    <t>Lỗi mã QR khi gửi/nhận.</t>
  </si>
  <si>
    <t>Nhắc: mã qr, qr.</t>
  </si>
  <si>
    <t>Nhắc: qr.</t>
  </si>
  <si>
    <t>HKD cần gì ở TK — sát chủ đề.</t>
  </si>
  <si>
    <t>Thành lập HKD xong → mở TK.</t>
  </si>
  <si>
    <t>Khai báo TK với thuế — cần có TK HKD.</t>
  </si>
  <si>
    <t>Định nghĩa HKD cá thể.</t>
  </si>
  <si>
    <t>Đăng ký MST HKD — bước liền kề.</t>
  </si>
  <si>
    <t>Kê khai cần tính số thuế trước.</t>
  </si>
  <si>
    <t>Kiểm tra số thuế → đối chiếu cách tính.</t>
  </si>
  <si>
    <t>Thuế TMĐT cho HKD — tính theo tỷ lệ doanh thu.</t>
  </si>
  <si>
    <t>Chính sách thuế mới cho HKD.</t>
  </si>
  <si>
    <t>Tổng quan HKD — chèn ở đoạn nghĩa vụ thuế.</t>
  </si>
  <si>
    <t>Nhắc: hộ kinh doanh, thuế khoán.</t>
  </si>
  <si>
    <t>Nhắc: hộ kinh doanh, kê khai thuế.</t>
  </si>
  <si>
    <t>Dư nợ là cơ sở tính lãi.</t>
  </si>
  <si>
    <t>Ân hạn gốc thay đổi cách tính lãi.</t>
  </si>
  <si>
    <t>Lãi thả nổi/cố định → cách tính khác nhau.</t>
  </si>
  <si>
    <t>Công thức lãi suất thực — cùng chủ đề tính lãi.</t>
  </si>
  <si>
    <t>Vay trả góp — chèn ở đoạn chi phí lãi.</t>
  </si>
  <si>
    <t>Nhắc: lãi suất vay.</t>
  </si>
  <si>
    <t>Nhắc: khoản vay.</t>
  </si>
  <si>
    <t>Nhắc: lãi vay.</t>
  </si>
  <si>
    <t>https://techcombank.com/thong-tin/blog/thanh-toan-khoan-vay</t>
  </si>
  <si>
    <t>Nhắc: lãi vay, lãi suất vay.</t>
  </si>
  <si>
    <t>https://techcombank.com/thong-tin/blog/thu-tuc-vay-von-ngan-hang-de-xay-nha</t>
  </si>
  <si>
    <t>Nhắc: dư nợ, trả góp.</t>
  </si>
  <si>
    <t>Nhắc: dư nợ, khoản vay.</t>
  </si>
  <si>
    <t>Nhắc: trả góp, khoản vay.</t>
  </si>
  <si>
    <t>Nhắc: lãi suất vay, dư nợ.</t>
  </si>
  <si>
    <t>https://techcombank.com/thong-tin/blog/quy-trinh-cho-vay-tieu-dung</t>
  </si>
  <si>
    <t>https://techcombank.com/thong-tin/blog/lai-suat-cho-vay-doanh-nghiep</t>
  </si>
  <si>
    <t>Hạn mức vay sổ đỏ — anh em trực tiếp.</t>
  </si>
  <si>
    <t>Sổ hồng ~ sổ đỏ, cùng nhu cầu.</t>
  </si>
  <si>
    <t>Kinh nghiệm vay lãi tối ưu.</t>
  </si>
  <si>
    <t>Chọn ngân hàng — lãi suất là tiêu chí.</t>
  </si>
  <si>
    <t>Định nghĩa — chèn ở đoạn tài sản là sổ đỏ.</t>
  </si>
  <si>
    <t>https://techcombank.com/thong-tin/blog/vay-von-doanh-nghiep-khong-the-chap</t>
  </si>
  <si>
    <t>Nhắc: thế chấp.</t>
  </si>
  <si>
    <t>https://techcombank.com/thong-tin/blog/vay-ngan-han</t>
  </si>
  <si>
    <t>Nhắc: thế chấp, sổ đỏ.</t>
  </si>
  <si>
    <t>https://techcombank.com/thong-tin/blog/cac-hinh-thuc-cho-vay-tieu-dung</t>
  </si>
  <si>
    <t>Tất toán xong → xóa thế chấp.</t>
  </si>
  <si>
    <t>Tất toán khoản vay → bước giải chấp.</t>
  </si>
  <si>
    <t>Định nghĩa thế chấp; chèn ở đoạn kết thúc thế chấp.</t>
  </si>
  <si>
    <t>thủ tục giải chấp sổ đỏ</t>
  </si>
  <si>
    <t>Xử lý tài sản thế chấp — đối lập với xóa thế chấp. (Liên quan yếu – bản chặt đã loại.)</t>
  </si>
  <si>
    <t>Vòng đời khoản vay thế chấp. (Liên quan yếu – bản chặt đã loại.)</t>
  </si>
  <si>
    <t>Nhắc: tất toán.</t>
  </si>
  <si>
    <t>So kỳ hạn để lãi cao — cần bảng lãi suất.</t>
  </si>
  <si>
    <t>So lãi online/quầy.</t>
  </si>
  <si>
    <t>Quyết định gửi dựa trên lãi suất hiện tại.</t>
  </si>
  <si>
    <t>Top ngân hàng lãi suất hấp dẫn.</t>
  </si>
  <si>
    <t>So sánh lãi suất, kỳ hạn hôm nay.</t>
  </si>
  <si>
    <t>Nhắc: kỳ hạn.</t>
  </si>
  <si>
    <t>https://techcombank.com/thong-tin/blog/gia-cao-su</t>
  </si>
  <si>
    <t>https://techcombank.com/thong-tin/blog/casa-la-gi</t>
  </si>
  <si>
    <t>Nhắc: lãi suất tiết kiệm, lãi suất gửi tiết kiệm, gửi tiết kiệm.</t>
  </si>
  <si>
    <t>https://techcombank.com/thong-tin/blog/xu-huong-dau-tu-trai-phieu-ky-han-duoi-mot-nam-lua-chon-an-toan-khi-thi-truong-bien-dong</t>
  </si>
  <si>
    <t>Nhắc: gửi tiết kiệm, kỳ hạn.</t>
  </si>
  <si>
    <t>Nhắc: lãi suất gửi tiết kiệm, gửi tiết kiệm.</t>
  </si>
  <si>
    <t>Lãi kép và công thức tính.</t>
  </si>
  <si>
    <t>Nhận lãi hàng tháng — cách tính khác lãi cuối kỳ.</t>
  </si>
  <si>
    <t>Có mục cách tính lãi (theo title).</t>
  </si>
  <si>
    <t>Có mục cách tính lãi không kỳ hạn.</t>
  </si>
  <si>
    <t>Đáo hạn và cách tính.</t>
  </si>
  <si>
    <t>Nhắc: tính lãi.</t>
  </si>
  <si>
    <t>Nhắc: lãi suất tiết kiệm, gửi tiết kiệm.</t>
  </si>
  <si>
    <t>Nhắc: lãi kép.</t>
  </si>
  <si>
    <t>Tất toán trước hạn = rút trước hạn.</t>
  </si>
  <si>
    <t>Cùng câu hỏi cho tiết kiệm online.</t>
  </si>
  <si>
    <t>Phương án thay cho rút trước hạn.</t>
  </si>
  <si>
    <t>Mất sổ — chèn ở đoạn rút tiền.</t>
  </si>
  <si>
    <t>Các thao tác với sổ tiết kiệm.</t>
  </si>
  <si>
    <t>Nhắc: sổ tiết kiệm.</t>
  </si>
  <si>
    <t>Nhắc: tất toán, trước hạn, sổ tiết kiệm.</t>
  </si>
  <si>
    <t>Nhắc: trước hạn.</t>
  </si>
  <si>
    <t>Nhắc: tất toán, trước hạn.</t>
  </si>
  <si>
    <t>Mở sổ cần bao nhiêu tiền.</t>
  </si>
  <si>
    <t>TK tiết kiệm ~ sổ tiết kiệm.</t>
  </si>
  <si>
    <t>Mất sổ — cần hiểu sổ.</t>
  </si>
  <si>
    <t>Gửi thêm vào sổ.</t>
  </si>
  <si>
    <t>Quy trình gửi tiết kiệm tại quầy.</t>
  </si>
  <si>
    <t>Nhắc: tài khoản tiết kiệm.</t>
  </si>
  <si>
    <t>Nhắc: sổ tiết kiệm, gửi tiết kiệm.</t>
  </si>
  <si>
    <t>Cách tiết kiệm theo tuần — dẫn sang 11 cách.</t>
  </si>
  <si>
    <t>Tiết kiệm theo ngày.</t>
  </si>
  <si>
    <t>Tiết kiệm tiền lương.</t>
  </si>
  <si>
    <t>Lợi ích tiết kiệm → cách làm.</t>
  </si>
  <si>
    <t>Thực hành tiết kiệm.</t>
  </si>
  <si>
    <t>Nhắc: tài chính cá nhân.</t>
  </si>
  <si>
    <t>Nhắc: quản lý tài chính.</t>
  </si>
  <si>
    <t>https://techcombank.com/thong-tin/blog/ke-hoach-tai-chinh</t>
  </si>
  <si>
    <t>Nhắc: tài chính cá nhân, quản lý tài chính.</t>
  </si>
  <si>
    <t>Nhắc: chi tiêu, quản lý tài chính.</t>
  </si>
  <si>
    <t>https://techcombank.com/thong-tin/blog/tinh-thanh-khoan-la-gi</t>
  </si>
  <si>
    <t>https://techcombank.com/thong-tin/blog/loi-ich-cua-ngan-hang-so-voi-sme</t>
  </si>
  <si>
    <t>https://techcombank.com/thong-tin/blog/npv-la-gi</t>
  </si>
  <si>
    <t>https://techcombank.com/thong-tin/blog/quan-ly-tai-chinh-doanh-nghiep-nho</t>
  </si>
  <si>
    <t>https://techcombank.com/thong-tin/blog/tai-san-va-tieu-san-la-gi</t>
  </si>
  <si>
    <t>Nhắc: tiết kiệm tiền.</t>
  </si>
  <si>
    <t>https://techcombank.com/thong-tin/blog/lam-phat-la-gi</t>
  </si>
  <si>
    <t>Nhắc: tiết kiệm tiền, chi tiêu.</t>
  </si>
  <si>
    <t>https://techcombank.com/thong-tin/blog/phan-mem-quan-ly-tai-chinh-doanh-nghiep</t>
  </si>
  <si>
    <t>https://techcombank.com/thong-tin/blog/lap-ke-hoach-tai-chinh-ca-nhan</t>
  </si>
  <si>
    <t>Nhắc: chi tiêu, tài chính cá nhân, quản lý tài chính.</t>
  </si>
  <si>
    <t>https://techcombank.com/thong-tin/blog/nguyen-tac-quan-ly-tai-chinh-ca-nhan</t>
  </si>
  <si>
    <t>https://techcombank.com/thong-tin/blog/quy-du-phong-tai-chinh-la-gi</t>
  </si>
  <si>
    <t>https://techcombank.com/thong-tin/blog/nhung-kho-khan-khi-tiet-kiem-tien</t>
  </si>
  <si>
    <t>https://techcombank.com/thong-tin/blog/bang-can-doi-tai-chinh</t>
  </si>
  <si>
    <t>https://techcombank.com/thong-tin/blog/ly-do-ngan-hang-so-tro-thanh-cong-cu-tai-chinh-hang-dau-cua-gioi-tre</t>
  </si>
  <si>
    <t>https://techcombank.com/thong-tin/blog/dau-tu-tai-chinh-ca-nhan</t>
  </si>
  <si>
    <t>https://techcombank.com/thong-tin/blog/cach-quan-ly-tai-chinh-kinh-doanh</t>
  </si>
  <si>
    <t>Lý do nên gửi → đối chiếu rủi ro.</t>
  </si>
  <si>
    <t>Mất tiền gửi online — rủi ro cụ thể.</t>
  </si>
  <si>
    <t>Kinh nghiệm gửi an toàn.</t>
  </si>
  <si>
    <t>Hướng dẫn gửi — chèn lưu ý rủi ro.</t>
  </si>
  <si>
    <t>Bài anh em (rủi ro chung).</t>
  </si>
  <si>
    <t>Nhắc: rủi ro.</t>
  </si>
  <si>
    <t>https://techcombank.com/thong-tin/blog/cho-vay-hop-von-la-gi</t>
  </si>
  <si>
    <t>Nhắc: tiết kiệm online.</t>
  </si>
  <si>
    <t>Nhắc: mất tiền.</t>
  </si>
  <si>
    <t>https://techcombank.com/thong-tin/blog/cac-chung-chi-quy-o-viet-nam</t>
  </si>
  <si>
    <t>https://techcombank.com/thong-tin/blog/tactical-asset-allocation</t>
  </si>
  <si>
    <t>Vay 100 triệu — dùng công cụ tính tiền trả.</t>
  </si>
  <si>
    <t>Vay 200 triệu trả góp — người đọc cần tính số tiền trả hàng tháng.</t>
  </si>
  <si>
    <t>Vay 300 triệu trả góp — người đọc cần tính số tiền trả hàng tháng.</t>
  </si>
  <si>
    <t>Vay trả góp — tính số tiền trả.</t>
  </si>
  <si>
    <t>Vay thêm → tính lại khả năng trả.</t>
  </si>
  <si>
    <t>Mục tiêu 100 triệu — tính lãi tích lũy.</t>
  </si>
  <si>
    <t>So sánh gửi tiết kiệm 50 triệu — cần tính lãi.</t>
  </si>
  <si>
    <t>Tiết kiệm tích lũy — tính lãi.</t>
  </si>
  <si>
    <t>Trước khi gửi, tính lãi dự kiến.</t>
  </si>
  <si>
    <t>So sánh lãi — dùng công cụ.</t>
  </si>
  <si>
    <t>Nhắc: tích lũy.</t>
  </si>
  <si>
    <t>Nhắc: gửi tiết kiệm, tích lũy.</t>
  </si>
  <si>
    <t>Nhắc: tính lãi, lãi suất tiết kiệm, gửi tiết kiệm.</t>
  </si>
  <si>
    <t>Nhắc: tính lãi, gửi tiết kiệm, tích lũy.</t>
  </si>
  <si>
    <t>Vay online — app là kênh chính.</t>
  </si>
  <si>
    <t>Anchor "vay tiền online" của trang đích 68 trùng chủ đề chính bài này — không dùng anchor đó tại đây; cân nhắc rủi ro ăn thịt từ khóa giữa vay-tien-online và app-vay-tien-nhanh.</t>
  </si>
  <si>
    <t>Vay chỉ cần CCCD — trùng nhu cầu.</t>
  </si>
  <si>
    <t>Vay nhanh 24/24.</t>
  </si>
  <si>
    <t>Vay online 3 phút.</t>
  </si>
  <si>
    <t>Vay siêu tốc.</t>
  </si>
  <si>
    <t>Nhắc: vay online.</t>
  </si>
  <si>
    <t>Nhắc: vay tiền.</t>
  </si>
  <si>
    <t>Nhắc: vay tiền, vay tiền mặt.</t>
  </si>
  <si>
    <t>Nhắc: vay nhanh.</t>
  </si>
  <si>
    <t>Lãi suất là gì → lãi suất vay hiện nay.</t>
  </si>
  <si>
    <t>Lãi vay tiêu dùng — một phần lãi vay ngân hàng.</t>
  </si>
  <si>
    <t>Lãi vay tín chấp — anh em.</t>
  </si>
  <si>
    <t>Điều kiện vay — chèn ở đoạn chi phí vay.</t>
  </si>
  <si>
    <t>Lãi quá hạn so với lãi vay thông thường.</t>
  </si>
  <si>
    <t>Nhắc: lãi suất cho vay.</t>
  </si>
  <si>
    <t>Hạn mức thấu chi.</t>
  </si>
  <si>
    <t>Lãi suất thấu chi.</t>
  </si>
  <si>
    <t>Thời hạn thấu chi.</t>
  </si>
  <si>
    <t>Trả nợ thấu chi.</t>
  </si>
  <si>
    <t>Vay hạn mức — gần với thấu chi.</t>
  </si>
  <si>
    <t>Nhắc: thấu chi.</t>
  </si>
  <si>
    <t>Trước khi làm thẻ cần kiểm tra nợ xấu.</t>
  </si>
  <si>
    <t>Nợ xấu có mở thẻ tín dụng được không — cần kiểm tra nợ xấu trước khi mở thẻ.</t>
  </si>
  <si>
    <t>Có mục cách kiểm tra (theo title).</t>
  </si>
  <si>
    <t>Kiểm tra trước khi vay thế chấp.</t>
  </si>
  <si>
    <t>Nợ nhóm 2 — kiểm tra nhóm nợ.</t>
  </si>
  <si>
    <t>Nhắc: nợ xấu, nợ nhóm.</t>
  </si>
  <si>
    <t>Nhắc: nợ xấu, cic, nợ nhóm.</t>
  </si>
  <si>
    <t>Định nghĩa → chọn nơi vay.</t>
  </si>
  <si>
    <t>Hồ sơ vay → nơi nộp.</t>
  </si>
  <si>
    <t>Hạn mức khác nhau giữa ngân hàng.</t>
  </si>
  <si>
    <t>Chọn hình thức → chọn nơi vay.</t>
  </si>
  <si>
    <t>So lãi suất các ngân hàng.</t>
  </si>
  <si>
    <t>Nhắc: tín chấp.</t>
  </si>
  <si>
    <t>https://techcombank.com/thong-tin/blog/vay-tin-chap-cho-doanh-nghiep-moi-thanh-lap</t>
  </si>
  <si>
    <t>https://techcombank.com/thong-tin/blog/tin-chap-doanh-nghiep</t>
  </si>
  <si>
    <t>Nhắc: vay tiêu dùng.</t>
  </si>
  <si>
    <t>https://techcombank.com/thong-tin/blog/nhu-cau-vay-tieu-dung-cua-nguoi-viet-du-kien-tang-manh-trong-thoi-gian-toi</t>
  </si>
  <si>
    <t>Nhắc: tín chấp, vay tiêu dùng.</t>
  </si>
  <si>
    <t>Nhắc: tín chấp, vay tiền.</t>
  </si>
  <si>
    <t>Nhắc: vay tiêu dùng, vay tiền.</t>
  </si>
  <si>
    <t>Nợ nhóm 2 — giải thích nợ xấu.</t>
  </si>
  <si>
    <t>Nợ nhóm 3 là nợ xấu.</t>
  </si>
  <si>
    <t>Dư nợ — chèn ở đoạn chất lượng dư nợ.</t>
  </si>
  <si>
    <t>Quá hạn thẻ có thể thành nợ xấu.</t>
  </si>
  <si>
    <t>Bài trùng chủ đề — nếu giữ cả 2 thì cần đọc kỹ để tránh cannibal. (Liên quan yếu – bản chặt đã loại.)</t>
  </si>
  <si>
    <t>Bài anh em (thế chấp).</t>
  </si>
  <si>
    <t>Lãi quá hạn khi không trả được.</t>
  </si>
  <si>
    <t>Nợ quá hạn tương tự.</t>
  </si>
  <si>
    <t>Định nghĩa — chèn ở đoạn rủi ro.</t>
  </si>
  <si>
    <t>Tất toán — đối lập với không trả được. (Liên quan yếu – bản chặt đã loại.)</t>
  </si>
  <si>
    <t>Nhắc: tín chấp, nợ xấu.</t>
  </si>
  <si>
    <t>Chứng chỉ quỹ là gì → phương pháp đầu tư.</t>
  </si>
  <si>
    <t>Hướng dẫn mua → phương pháp.</t>
  </si>
  <si>
    <t>Đầu tư quỹ mở cho người mới.</t>
  </si>
  <si>
    <t>App theo dõi CCQ.</t>
  </si>
  <si>
    <t>So sánh CCQ với cổ phiếu.</t>
  </si>
  <si>
    <t>https://techcombank.com/thong-tin/blog/wacc-la-gi</t>
  </si>
  <si>
    <t>Nhắc: đầu tư.</t>
  </si>
  <si>
    <t>https://techcombank.com/thong-tin/blog/thi-truong-trai-phieu-co-hoi-dau-tu-trai-phieu-vang-du-lai-suat-thap</t>
  </si>
  <si>
    <t>https://techcombank.com/thong-tin/blog/y-concert</t>
  </si>
  <si>
    <t>https://techcombank.com/thong-tin/blog/5-trieu-mua-duoc-bao-nhieu-vang</t>
  </si>
  <si>
    <t>https://techcombank.com/thong-tin/blog/vang-24k</t>
  </si>
  <si>
    <t>https://techcombank.com/thong-tin/blog/chien-luoc-dau-tu</t>
  </si>
  <si>
    <t>https://techcombank.com/thong-tin/blog/thoi-gian-khop-lech-chung-chi-quy</t>
  </si>
  <si>
    <t>Nhắc: chứng chỉ quỹ, quỹ mở, đầu tư.</t>
  </si>
  <si>
    <t>https://techcombank.com/thong-tin/blog/techcom-securities-nhung-buoc-tien-phong-tren-san-thu-cap</t>
  </si>
  <si>
    <t>Nhắc: chứng chỉ quỹ, đầu tư.</t>
  </si>
  <si>
    <t>https://techcombank.com/thong-tin/blog/bao-hiem-lien-ket-dau-tu</t>
  </si>
  <si>
    <t>https://techcombank.com/thong-tin/blog/nghich-ly-nha-dau-tu-che-trai-phieu-lai-suat-cao-ua-ma-an-toan-du-lai-suat-thap-hon-05-1</t>
  </si>
  <si>
    <t>https://techcombank.com/thong-tin/blog/anh-sang-cuoi-duong-ham-xuat-hien-trai-phieu-doanh-nghiep-tot-va-an-toan-se-duoc-nha-dau-tu-chon</t>
  </si>
  <si>
    <t>https://techcombank.com/thong-tin/blog/vang-giam</t>
  </si>
  <si>
    <t>https://techcombank.com/thong-tin/blog/bang-gia-chung-chi-quy</t>
  </si>
  <si>
    <t>https://techcombank.com/thong-tin/blog/chung-chi-quy-dong</t>
  </si>
  <si>
    <t>https://techcombank.com/thong-tin/blog/bao-hiem-sinh-ky-la-gi</t>
  </si>
  <si>
    <t>https://techcombank.com/thong-tin/blog/chung-chi-quy-mo-va-dong</t>
  </si>
  <si>
    <t>https://techcombank.com/thong-tin/blog/bi-quyet-lua-chon-trai-phieu-an-toan-cho-nha-dau-tu</t>
  </si>
  <si>
    <t>https://techcombank.com/thong-tin/blog/bao-hiem-tu-ky-la-gi</t>
  </si>
  <si>
    <t>https://techcombank.com/thong-tin/blog/quan-ly-danh-muc-dau-tu</t>
  </si>
  <si>
    <t>https://techcombank.com/thong-tin/blog/fdi</t>
  </si>
  <si>
    <t>https://techcombank.com/thong-tin/blog/cach-dau-tu</t>
  </si>
  <si>
    <t>https://techcombank.com/thong-tin/blog/du-bao-gia-vang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</si>
</sst>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4">
    <font>
      <sz val="10.0"/>
      <color rgb="FF000000"/>
      <name val="Arial"/>
      <scheme val="minor"/>
    </font>
    <font>
      <b/>
      <color rgb="FFFFFFFF"/>
      <name val="Arial"/>
    </font>
    <font>
      <b/>
      <sz val="13.0"/>
      <color theme="1"/>
      <name val="Arial"/>
    </font>
    <font>
      <b/>
      <sz val="11.0"/>
      <color theme="1"/>
      <name val="Arial"/>
    </font>
    <font>
      <sz val="11.0"/>
      <color theme="1"/>
      <name val="Arial"/>
    </font>
    <font>
      <color theme="1"/>
      <name val="Arial"/>
      <scheme val="minor"/>
    </font>
    <font>
      <sz val="10.0"/>
      <color theme="1"/>
      <name val="Arial"/>
    </font>
    <font>
      <u/>
      <color rgb="FF0000FF"/>
    </font>
    <font>
      <u/>
      <sz val="10.0"/>
      <color rgb="FF0000FF"/>
      <name val="Arial"/>
    </font>
    <font>
      <b/>
      <color theme="1"/>
      <name val="Arial"/>
    </font>
    <font>
      <u/>
      <sz val="10.0"/>
      <color rgb="FF0000FF"/>
      <name val="Arial"/>
    </font>
    <font>
      <u/>
      <sz val="10.0"/>
      <color rgb="FF0000FF"/>
      <name val="Arial"/>
    </font>
    <font>
      <u/>
      <sz val="10.0"/>
      <color rgb="FF0000FF"/>
      <name val="Arial"/>
    </font>
    <font>
      <b/>
      <color theme="1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990000"/>
        <bgColor rgb="FF990000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30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shrinkToFit="0" vertical="center" wrapText="1"/>
    </xf>
    <xf borderId="0" fillId="0" fontId="2" numFmtId="0" xfId="0" applyAlignment="1" applyFont="1">
      <alignment readingOrder="0" shrinkToFit="0" vertical="top" wrapText="1"/>
    </xf>
    <xf borderId="0" fillId="0" fontId="3" numFmtId="0" xfId="0" applyAlignment="1" applyFont="1">
      <alignment readingOrder="0" shrinkToFit="0" vertical="center" wrapText="1"/>
    </xf>
    <xf borderId="0" fillId="0" fontId="4" numFmtId="0" xfId="0" applyAlignment="1" applyFont="1">
      <alignment readingOrder="0" shrinkToFit="0" vertical="center" wrapText="1"/>
    </xf>
    <xf borderId="0" fillId="0" fontId="5" numFmtId="0" xfId="0" applyAlignment="1" applyFont="1">
      <alignment readingOrder="0"/>
    </xf>
    <xf borderId="0" fillId="0" fontId="5" numFmtId="0" xfId="0" applyAlignment="1" applyFont="1">
      <alignment horizontal="center" readingOrder="0"/>
    </xf>
    <xf borderId="0" fillId="0" fontId="6" numFmtId="0" xfId="0" applyAlignment="1" applyFont="1">
      <alignment readingOrder="0" shrinkToFit="0" vertical="top" wrapText="1"/>
    </xf>
    <xf borderId="0" fillId="0" fontId="6" numFmtId="0" xfId="0" applyAlignment="1" applyFont="1">
      <alignment shrinkToFit="0" vertical="top" wrapText="1"/>
    </xf>
    <xf borderId="0" fillId="0" fontId="7" numFmtId="0" xfId="0" applyAlignment="1" applyFont="1">
      <alignment readingOrder="0"/>
    </xf>
    <xf borderId="0" fillId="0" fontId="8" numFmtId="0" xfId="0" applyAlignment="1" applyFont="1">
      <alignment readingOrder="0" shrinkToFit="0" vertical="top" wrapText="1"/>
    </xf>
    <xf borderId="0" fillId="0" fontId="6" numFmtId="0" xfId="0" applyAlignment="1" applyFont="1">
      <alignment horizontal="center" shrinkToFit="0" vertical="top" wrapText="1"/>
    </xf>
    <xf borderId="0" fillId="0" fontId="6" numFmtId="0" xfId="0" applyAlignment="1" applyFont="1">
      <alignment horizontal="center" readingOrder="0" shrinkToFit="0" vertical="top" wrapText="1"/>
    </xf>
    <xf borderId="0" fillId="0" fontId="6" numFmtId="0" xfId="0" applyAlignment="1" applyFont="1">
      <alignment readingOrder="0" shrinkToFit="0" vertical="top" wrapText="1"/>
    </xf>
    <xf borderId="0" fillId="3" fontId="9" numFmtId="0" xfId="0" applyAlignment="1" applyFill="1" applyFont="1">
      <alignment horizontal="center" readingOrder="0" shrinkToFit="0" vertical="top" wrapText="1"/>
    </xf>
    <xf borderId="0" fillId="4" fontId="6" numFmtId="0" xfId="0" applyAlignment="1" applyFill="1" applyFont="1">
      <alignment horizontal="center" shrinkToFit="0" vertical="center" wrapText="0"/>
    </xf>
    <xf borderId="0" fillId="4" fontId="6" numFmtId="0" xfId="0" applyAlignment="1" applyFill="1" applyFont="1">
      <alignment shrinkToFit="0" vertical="center" wrapText="0"/>
    </xf>
    <xf borderId="0" fillId="4" fontId="6" numFmtId="0" xfId="0" applyAlignment="1" applyFill="1" applyFont="1">
      <alignment readingOrder="0" shrinkToFit="0" vertical="center" wrapText="0"/>
    </xf>
    <xf borderId="0" fillId="3" fontId="9" numFmtId="0" xfId="0" applyAlignment="1" applyFill="1" applyFont="1">
      <alignment readingOrder="0" shrinkToFit="0" vertical="top" wrapText="1"/>
    </xf>
    <xf borderId="0" fillId="4" fontId="6" numFmtId="0" xfId="0" applyAlignment="1" applyFill="1" applyFont="1">
      <alignment horizontal="center" readingOrder="0" shrinkToFit="0" vertical="center" wrapText="0"/>
    </xf>
    <xf borderId="0" fillId="4" fontId="6" numFmtId="0" xfId="0" applyAlignment="1" applyFill="1" applyFont="1">
      <alignment readingOrder="0" shrinkToFit="0" vertical="center" wrapText="0"/>
    </xf>
    <xf borderId="0" fillId="4" fontId="10" numFmtId="0" xfId="0" applyAlignment="1" applyFill="1" applyFont="1">
      <alignment shrinkToFit="0" vertical="center" wrapText="0"/>
    </xf>
    <xf borderId="0" fillId="0" fontId="5" numFmtId="0" xfId="0" applyAlignment="1" applyFont="1">
      <alignment horizontal="center"/>
    </xf>
    <xf borderId="0" fillId="0" fontId="11" numFmtId="0" xfId="0" applyAlignment="1" applyFont="1">
      <alignment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3" fontId="9" numFmtId="0" xfId="0" applyAlignment="1" applyFill="1" applyFont="1">
      <alignment horizontal="center" shrinkToFit="0" vertical="top" wrapText="1"/>
    </xf>
    <xf borderId="0" fillId="3" fontId="9" numFmtId="0" xfId="0" applyAlignment="1" applyFill="1" applyFont="1">
      <alignment shrinkToFit="0" vertical="top" wrapText="1"/>
    </xf>
    <xf borderId="0" fillId="0" fontId="12" numFmtId="0" xfId="0" applyAlignment="1" applyFont="1">
      <alignment shrinkToFit="0" vertical="top" wrapText="1"/>
    </xf>
    <xf borderId="0" fillId="0" fontId="6" numFmtId="0" xfId="0" applyAlignment="1" applyFont="1">
      <alignment shrinkToFit="0" vertical="center" wrapText="1"/>
    </xf>
    <xf borderId="0" fillId="0" fontId="13" numFmtId="0" xfId="0" applyAlignment="1" applyFont="1">
      <alignment readingOrder="0"/>
    </xf>
  </cellXfs>
  <cellStyles count="1">
    <cellStyle xfId="0" name="Normal" builtinId="0"/>
  </cellStyles>
  <dxfs count="8">
    <dxf>
      <font/>
      <fill>
        <patternFill patternType="solid">
          <fgColor rgb="FFCEE2F2"/>
          <bgColor rgb="FFCEE2F2"/>
        </patternFill>
      </fill>
      <border/>
    </dxf>
    <dxf>
      <font/>
      <fill>
        <patternFill patternType="solid">
          <fgColor rgb="FFD8EAD3"/>
          <bgColor rgb="FFD8EAD3"/>
        </patternFill>
      </fill>
      <border/>
    </dxf>
    <dxf>
      <font>
        <b/>
      </font>
      <fill>
        <patternFill patternType="solid">
          <fgColor rgb="FFF9C67F"/>
          <bgColor rgb="FFF9C67F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7EAD2"/>
          <bgColor rgb="FFD7EAD2"/>
        </patternFill>
      </fill>
      <border/>
    </dxf>
    <dxf>
      <font/>
      <fill>
        <patternFill patternType="solid">
          <fgColor rgb="FFCEE1F1"/>
          <bgColor rgb="FFCEE1F1"/>
        </patternFill>
      </fill>
      <border/>
    </dxf>
    <dxf>
      <font/>
      <fill>
        <patternFill patternType="solid">
          <fgColor rgb="FFFFF1CC"/>
          <bgColor rgb="FFFFF1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392" Type="http://schemas.openxmlformats.org/officeDocument/2006/relationships/hyperlink" Target="https://techcombank.com/thong-tin/blog/quy-gia-dinh" TargetMode="External"/><Relationship Id="rId391" Type="http://schemas.openxmlformats.org/officeDocument/2006/relationships/hyperlink" Target="https://techcombank.com/thong-tin/blog/mo-tai-khoan-ngan-hang-bang-so-dien-thoai" TargetMode="External"/><Relationship Id="rId390" Type="http://schemas.openxmlformats.org/officeDocument/2006/relationships/hyperlink" Target="https://techcombank.com/thong-tin/blog/mo-tai-khoan-tiet-kiem-cho-con" TargetMode="External"/><Relationship Id="rId1" Type="http://schemas.openxmlformats.org/officeDocument/2006/relationships/hyperlink" Target="https://techcombank.com/thong-tin/blog/vay-mua-xe-tra-gop-ngan-hang-nao-tot-nhat" TargetMode="External"/><Relationship Id="rId2" Type="http://schemas.openxmlformats.org/officeDocument/2006/relationships/hyperlink" Target="https://techcombank.com/thong-tin/blog/co-nen-mua-o-to-tra-gop" TargetMode="External"/><Relationship Id="rId3" Type="http://schemas.openxmlformats.org/officeDocument/2006/relationships/hyperlink" Target="https://techcombank.com/thong-tin/blog/thu-tuc-mua-xe-tra-gop" TargetMode="External"/><Relationship Id="rId4" Type="http://schemas.openxmlformats.org/officeDocument/2006/relationships/hyperlink" Target="https://techcombank.com/thong-tin/blog/nen-mua-xe-tra-gop-hay-tra-thang" TargetMode="External"/><Relationship Id="rId2180" Type="http://schemas.openxmlformats.org/officeDocument/2006/relationships/hyperlink" Target="https://techcombank.com/thong-tin/blog/ngoai-hoi-la-gi" TargetMode="External"/><Relationship Id="rId2181" Type="http://schemas.openxmlformats.org/officeDocument/2006/relationships/hyperlink" Target="https://techcombank.com/thong-tin/blog/cach-tinh-ty-gia-ky-han" TargetMode="External"/><Relationship Id="rId2182" Type="http://schemas.openxmlformats.org/officeDocument/2006/relationships/hyperlink" Target="https://techcombank.com/thong-tin/blog/bien-dong-ty-gia-voi-doanh-nghiep-sme" TargetMode="External"/><Relationship Id="rId2183" Type="http://schemas.openxmlformats.org/officeDocument/2006/relationships/hyperlink" Target="https://techcombank.com/thong-tin/blog/vay-100-trieu" TargetMode="External"/><Relationship Id="rId9" Type="http://schemas.openxmlformats.org/officeDocument/2006/relationships/hyperlink" Target="https://techcombank.com/thong-tin/blog/cach-nop-thue-dien-tu" TargetMode="External"/><Relationship Id="rId385" Type="http://schemas.openxmlformats.org/officeDocument/2006/relationships/hyperlink" Target="https://techcombank.com/thong-tin/blog/the-debit-cho-con" TargetMode="External"/><Relationship Id="rId2184" Type="http://schemas.openxmlformats.org/officeDocument/2006/relationships/hyperlink" Target="https://techcombank.com/thong-tin/blog/vay-200-trieu" TargetMode="External"/><Relationship Id="rId384" Type="http://schemas.openxmlformats.org/officeDocument/2006/relationships/hyperlink" Target="https://techcombank.com/thong-tin/blog/lam-the-tin-dung-co-mat-phi-khong" TargetMode="External"/><Relationship Id="rId2185" Type="http://schemas.openxmlformats.org/officeDocument/2006/relationships/hyperlink" Target="https://techcombank.com/thong-tin/blog/vay-300-trieu" TargetMode="External"/><Relationship Id="rId383" Type="http://schemas.openxmlformats.org/officeDocument/2006/relationships/hyperlink" Target="https://techcombank.com/thong-tin/blog/lam-the-visa-online" TargetMode="External"/><Relationship Id="rId2186" Type="http://schemas.openxmlformats.org/officeDocument/2006/relationships/hyperlink" Target="https://techcombank.com/thong-tin/blog/vay-tra-gop" TargetMode="External"/><Relationship Id="rId382" Type="http://schemas.openxmlformats.org/officeDocument/2006/relationships/hyperlink" Target="https://techcombank.com/thong-tin/blog/the-mastercard-la-gi" TargetMode="External"/><Relationship Id="rId2187" Type="http://schemas.openxmlformats.org/officeDocument/2006/relationships/hyperlink" Target="https://techcombank.com/thong-tin/blog/dang-vay-tra-gop-co-vay-them-duoc-khong" TargetMode="External"/><Relationship Id="rId5" Type="http://schemas.openxmlformats.org/officeDocument/2006/relationships/hyperlink" Target="https://techcombank.com/thong-tin/blog/vay-the-chap-xe-o-to-cu" TargetMode="External"/><Relationship Id="rId389" Type="http://schemas.openxmlformats.org/officeDocument/2006/relationships/hyperlink" Target="https://techcombank.com/thong-tin/blog/the-debit-cho-con" TargetMode="External"/><Relationship Id="rId2188" Type="http://schemas.openxmlformats.org/officeDocument/2006/relationships/hyperlink" Target="https://techcombank.com/thong-tin/blog/lai-suat-vay-kinh-doanh" TargetMode="External"/><Relationship Id="rId6" Type="http://schemas.openxmlformats.org/officeDocument/2006/relationships/hyperlink" Target="https://techcombank.com/thong-tin/blog/mua-bao-hiem-o-to-dien" TargetMode="External"/><Relationship Id="rId388" Type="http://schemas.openxmlformats.org/officeDocument/2006/relationships/hyperlink" Target="https://techcombank.com/thong-tin/blog/thanh-toan-hoc-phi-online" TargetMode="External"/><Relationship Id="rId2189" Type="http://schemas.openxmlformats.org/officeDocument/2006/relationships/hyperlink" Target="https://techcombank.com/thong-tin/blog/cac-hinh-thuc-vay-von-ngan-hang" TargetMode="External"/><Relationship Id="rId7" Type="http://schemas.openxmlformats.org/officeDocument/2006/relationships/hyperlink" Target="https://techcombank.com/thong-tin/blog/mua-bao-hiem-o-to" TargetMode="External"/><Relationship Id="rId387" Type="http://schemas.openxmlformats.org/officeDocument/2006/relationships/hyperlink" Target="https://techcombank.com/thong-tin/blog/dieu-kien-vay-the-chap" TargetMode="External"/><Relationship Id="rId8" Type="http://schemas.openxmlformats.org/officeDocument/2006/relationships/hyperlink" Target="https://techcombank.com/thong-tin/blog/lien-ket-tai-khoan-ngan-hang-voi-etax-mobile" TargetMode="External"/><Relationship Id="rId386" Type="http://schemas.openxmlformats.org/officeDocument/2006/relationships/hyperlink" Target="https://techcombank.com/thong-tin/blog/lam-the-thanh-toan-quoc-te" TargetMode="External"/><Relationship Id="rId381" Type="http://schemas.openxmlformats.org/officeDocument/2006/relationships/hyperlink" Target="https://techcombank.com/thong-tin/blog/vay-sinh-vien" TargetMode="External"/><Relationship Id="rId380" Type="http://schemas.openxmlformats.org/officeDocument/2006/relationships/hyperlink" Target="https://techcombank.com/thong-tin/blog/shopeepay-la-gi" TargetMode="External"/><Relationship Id="rId379" Type="http://schemas.openxmlformats.org/officeDocument/2006/relationships/hyperlink" Target="https://techcombank.com/thong-tin/blog/lam-the-tin-dung" TargetMode="External"/><Relationship Id="rId2170" Type="http://schemas.openxmlformats.org/officeDocument/2006/relationships/hyperlink" Target="https://techcombank.com/thong-tin/blog/tra-no-vay-thau-chi-nhu-the-nao" TargetMode="External"/><Relationship Id="rId2171" Type="http://schemas.openxmlformats.org/officeDocument/2006/relationships/hyperlink" Target="https://techcombank.com/thong-tin/blog/luu-y-khi-su-dung-the-tin-dung" TargetMode="External"/><Relationship Id="rId2172" Type="http://schemas.openxmlformats.org/officeDocument/2006/relationships/hyperlink" Target="https://techcombank.com/thong-tin/blog/tactical-asset-allocation" TargetMode="External"/><Relationship Id="rId374" Type="http://schemas.openxmlformats.org/officeDocument/2006/relationships/hyperlink" Target="https://techcombank.com/thong-tin/blog/lam-the-visa-o-dau" TargetMode="External"/><Relationship Id="rId2173" Type="http://schemas.openxmlformats.org/officeDocument/2006/relationships/hyperlink" Target="https://techcombank.com/thong-tin/blog/gui-tiet-kiem-online-co-rut-truoc-han-duoc-khong" TargetMode="External"/><Relationship Id="rId373" Type="http://schemas.openxmlformats.org/officeDocument/2006/relationships/hyperlink" Target="https://techcombank.com/thong-tin/blog/co-nen-dung-the-tin-dung-khong" TargetMode="External"/><Relationship Id="rId2174" Type="http://schemas.openxmlformats.org/officeDocument/2006/relationships/hyperlink" Target="https://techcombank.com/thong-tin/blog/cach-bao-ve-tai-khoan" TargetMode="External"/><Relationship Id="rId372" Type="http://schemas.openxmlformats.org/officeDocument/2006/relationships/hyperlink" Target="https://techcombank.com/thong-tin/blog/cach-chon-so-tai-khoan-dep" TargetMode="External"/><Relationship Id="rId2175" Type="http://schemas.openxmlformats.org/officeDocument/2006/relationships/hyperlink" Target="https://techcombank.com/thong-tin/blog/dau-co-va-dau-tu" TargetMode="External"/><Relationship Id="rId371" Type="http://schemas.openxmlformats.org/officeDocument/2006/relationships/hyperlink" Target="https://techcombank.com/thong-tin/blog/the-visa-de-lam-gi" TargetMode="External"/><Relationship Id="rId2176" Type="http://schemas.openxmlformats.org/officeDocument/2006/relationships/hyperlink" Target="https://techcombank.com/thong-tin/blog/gui-tiet-kiem-online-quay-vong-ca-goc-va-lai" TargetMode="External"/><Relationship Id="rId378" Type="http://schemas.openxmlformats.org/officeDocument/2006/relationships/hyperlink" Target="https://techcombank.com/thong-tin/blog/lam-the-visa-mat-bao-lau" TargetMode="External"/><Relationship Id="rId2177" Type="http://schemas.openxmlformats.org/officeDocument/2006/relationships/hyperlink" Target="https://techcombank.com/thong-tin/blog/cac-loai-hinh-bao-hiem-nhan-tho" TargetMode="External"/><Relationship Id="rId377" Type="http://schemas.openxmlformats.org/officeDocument/2006/relationships/hyperlink" Target="https://techcombank.com/thong-tin/blog/mo-tai-khoan-tiet-kiem-cho-con" TargetMode="External"/><Relationship Id="rId2178" Type="http://schemas.openxmlformats.org/officeDocument/2006/relationships/hyperlink" Target="https://techcombank.com/thong-tin/blog/so-sanh-gui-tiet-kiem-online-va-tai-quay" TargetMode="External"/><Relationship Id="rId376" Type="http://schemas.openxmlformats.org/officeDocument/2006/relationships/hyperlink" Target="https://techcombank.com/thong-tin/blog/no-xau-co-lam-the-visa-duoc-khong" TargetMode="External"/><Relationship Id="rId2179" Type="http://schemas.openxmlformats.org/officeDocument/2006/relationships/hyperlink" Target="https://techcombank.com/thong-tin/blog/vay-tin-chap-khong-tra-duoc-co-sao-khong" TargetMode="External"/><Relationship Id="rId375" Type="http://schemas.openxmlformats.org/officeDocument/2006/relationships/hyperlink" Target="https://techcombank.com/thong-tin/blog/mo-tai-khoan-ngan-hang-duoi-18-tuoi" TargetMode="External"/><Relationship Id="rId2190" Type="http://schemas.openxmlformats.org/officeDocument/2006/relationships/hyperlink" Target="https://techcombank.com/thong-tin/blog/loi-nhuan" TargetMode="External"/><Relationship Id="rId2191" Type="http://schemas.openxmlformats.org/officeDocument/2006/relationships/hyperlink" Target="https://techcombank.com/thong-tin/blog/co-nen-mua-o-to-tra-gop" TargetMode="External"/><Relationship Id="rId2192" Type="http://schemas.openxmlformats.org/officeDocument/2006/relationships/hyperlink" Target="https://techcombank.com/thong-tin/blog/thanh-toan-khoan-vay" TargetMode="External"/><Relationship Id="rId2193" Type="http://schemas.openxmlformats.org/officeDocument/2006/relationships/hyperlink" Target="https://techcombank.com/thong-tin/blog/kiem-tra-no-xau" TargetMode="External"/><Relationship Id="rId2194" Type="http://schemas.openxmlformats.org/officeDocument/2006/relationships/hyperlink" Target="https://techcombank.com/thong-tin/blog/mua-truoc-tra-sau" TargetMode="External"/><Relationship Id="rId396" Type="http://schemas.openxmlformats.org/officeDocument/2006/relationships/hyperlink" Target="https://techcombank.com/thong-tin/blog/cho-vay-kinh-doanh-ho-gia-dinh" TargetMode="External"/><Relationship Id="rId2195" Type="http://schemas.openxmlformats.org/officeDocument/2006/relationships/hyperlink" Target="https://techcombank.com/thong-tin/blog/the-visa-de-lam-gi" TargetMode="External"/><Relationship Id="rId395" Type="http://schemas.openxmlformats.org/officeDocument/2006/relationships/hyperlink" Target="https://techcombank.com/thong-tin/blog/the-he-ke-can" TargetMode="External"/><Relationship Id="rId2196" Type="http://schemas.openxmlformats.org/officeDocument/2006/relationships/hyperlink" Target="https://techcombank.com/thong-tin/blog/rui-ro-khi-vay-the-chap-ngan-hang" TargetMode="External"/><Relationship Id="rId394" Type="http://schemas.openxmlformats.org/officeDocument/2006/relationships/hyperlink" Target="https://techcombank.com/thong-tin/blog/tap-doan-thanh-quang-khoi-sac-kinh-doanh-nho-nguon-von-vay-tin-dung-techcombank-tren-nen-tang-misa-lending" TargetMode="External"/><Relationship Id="rId2197" Type="http://schemas.openxmlformats.org/officeDocument/2006/relationships/hyperlink" Target="https://techcombank.com/thong-tin/blog/vay-tin-chap-va-vay-the-chap" TargetMode="External"/><Relationship Id="rId393" Type="http://schemas.openxmlformats.org/officeDocument/2006/relationships/hyperlink" Target="https://techcombank.com/thong-tin/blog/dao-tao-the-he-ke-can" TargetMode="External"/><Relationship Id="rId2198" Type="http://schemas.openxmlformats.org/officeDocument/2006/relationships/hyperlink" Target="https://techcombank.com/thong-tin/blog/lai-suat-vay-the-chap" TargetMode="External"/><Relationship Id="rId2199" Type="http://schemas.openxmlformats.org/officeDocument/2006/relationships/hyperlink" Target="https://techcombank.com/thong-tin/blog/tat-toan" TargetMode="External"/><Relationship Id="rId399" Type="http://schemas.openxmlformats.org/officeDocument/2006/relationships/hyperlink" Target="https://techcombank.com/thong-tin/blog/mo-tai-khoan-ngan-hang-cho-tre-em" TargetMode="External"/><Relationship Id="rId398" Type="http://schemas.openxmlformats.org/officeDocument/2006/relationships/hyperlink" Target="https://techcombank.com/thong-tin/blog/bao-hiem-suc-khoe-la-gi" TargetMode="External"/><Relationship Id="rId397" Type="http://schemas.openxmlformats.org/officeDocument/2006/relationships/hyperlink" Target="https://techcombank.com/thong-tin/blog/cach-tiet-kiem-tien-hieu-qua-cho-gia-dinh" TargetMode="External"/><Relationship Id="rId1730" Type="http://schemas.openxmlformats.org/officeDocument/2006/relationships/hyperlink" Target="https://techcombank.com/thong-tin/blog/thanh-lap-ho-kinh-doanh-ca-the" TargetMode="External"/><Relationship Id="rId1731" Type="http://schemas.openxmlformats.org/officeDocument/2006/relationships/hyperlink" Target="https://techcombank.com/thong-tin/blog/thue-ho-kinh-doanh-2025" TargetMode="External"/><Relationship Id="rId1732" Type="http://schemas.openxmlformats.org/officeDocument/2006/relationships/hyperlink" Target="https://techcombank.com/thong-tin/blog/cach-tao-ma-qr" TargetMode="External"/><Relationship Id="rId1733" Type="http://schemas.openxmlformats.org/officeDocument/2006/relationships/hyperlink" Target="https://techcombank.com/thong-tin/blog/loi-ich-khi-ho-kinh-doanh-chuyen-len-doanh-nghiep" TargetMode="External"/><Relationship Id="rId1734" Type="http://schemas.openxmlformats.org/officeDocument/2006/relationships/hyperlink" Target="https://techcombank.com/thong-tin/blog/tiem-nang-chuyen-doi-tu-ho-kinh-doanh-len-doanh-nghiep-sme" TargetMode="External"/><Relationship Id="rId1735" Type="http://schemas.openxmlformats.org/officeDocument/2006/relationships/hyperlink" Target="https://techcombank.com/thong-tin/blog/lai-suat-vay-kinh-doanh" TargetMode="External"/><Relationship Id="rId1736" Type="http://schemas.openxmlformats.org/officeDocument/2006/relationships/hyperlink" Target="https://techcombank.com/thong-tin/blog/chuyen-doi-ho-kinh-doanh-len-doanh-nghiep" TargetMode="External"/><Relationship Id="rId1737" Type="http://schemas.openxmlformats.org/officeDocument/2006/relationships/hyperlink" Target="https://techcombank.com/thong-tin/blog/thanh-toan-khong-dung-tien-mat" TargetMode="External"/><Relationship Id="rId1738" Type="http://schemas.openxmlformats.org/officeDocument/2006/relationships/hyperlink" Target="https://techcombank.com/thong-tin/blog/mo-tai-khoan-ho-kinh-doanh" TargetMode="External"/><Relationship Id="rId1739" Type="http://schemas.openxmlformats.org/officeDocument/2006/relationships/hyperlink" Target="https://techcombank.com/thong-tin/blog/nen-thanh-lap-ho-kinh-doanh-ke-khai-hay-doanh-nghiep" TargetMode="External"/><Relationship Id="rId1720" Type="http://schemas.openxmlformats.org/officeDocument/2006/relationships/hyperlink" Target="https://techcombank.com/thong-tin/blog/dieu-kien-vay-von-ngan-hang" TargetMode="External"/><Relationship Id="rId1721" Type="http://schemas.openxmlformats.org/officeDocument/2006/relationships/hyperlink" Target="https://techcombank.com/thong-tin/blog/phat-cham-dang-ky-thue-ho-kinh-doanh" TargetMode="External"/><Relationship Id="rId1722" Type="http://schemas.openxmlformats.org/officeDocument/2006/relationships/hyperlink" Target="https://techcombank.com/thong-tin/blog/phan-mem-xuat-hoa-don-dien-tu" TargetMode="External"/><Relationship Id="rId1723" Type="http://schemas.openxmlformats.org/officeDocument/2006/relationships/hyperlink" Target="https://techcombank.com/thong-tin/blog/cach-lam-the-ngan-hang-chay-quang-cao-facebook" TargetMode="External"/><Relationship Id="rId1724" Type="http://schemas.openxmlformats.org/officeDocument/2006/relationships/hyperlink" Target="https://techcombank.com/thong-tin/blog/ke-khai-thue-ho-kinh-doanh-ca-the-online" TargetMode="External"/><Relationship Id="rId1725" Type="http://schemas.openxmlformats.org/officeDocument/2006/relationships/hyperlink" Target="https://techcombank.com/thong-tin/blog/kiem-tra-thue-ho-kinh-doanh" TargetMode="External"/><Relationship Id="rId1726" Type="http://schemas.openxmlformats.org/officeDocument/2006/relationships/hyperlink" Target="https://techcombank.com/thong-tin/blog/thue-thuong-mai-dien-tu" TargetMode="External"/><Relationship Id="rId1727" Type="http://schemas.openxmlformats.org/officeDocument/2006/relationships/hyperlink" Target="https://techcombank.com/thong-tin/blog/chinh-sach-thue-moi" TargetMode="External"/><Relationship Id="rId1728" Type="http://schemas.openxmlformats.org/officeDocument/2006/relationships/hyperlink" Target="https://techcombank.com/thong-tin/blog/ho-kinh-doanh-ca-the" TargetMode="External"/><Relationship Id="rId1729" Type="http://schemas.openxmlformats.org/officeDocument/2006/relationships/hyperlink" Target="https://techcombank.com/thong-tin/blog/ho-kinh-doanh-la-gi" TargetMode="External"/><Relationship Id="rId1752" Type="http://schemas.openxmlformats.org/officeDocument/2006/relationships/hyperlink" Target="https://techcombank.com/thong-tin/blog/luu-y-khi-chuyen-doi-tu-ho-kinh-doanh-len-doanh-nghiep" TargetMode="External"/><Relationship Id="rId1753" Type="http://schemas.openxmlformats.org/officeDocument/2006/relationships/hyperlink" Target="https://techcombank.com/thong-tin/blog/barcode-la-gi" TargetMode="External"/><Relationship Id="rId1754" Type="http://schemas.openxmlformats.org/officeDocument/2006/relationships/hyperlink" Target="https://techcombank.com/thong-tin/blog/tra-cuu-ma-so-thue-ho-kinh-doanh" TargetMode="External"/><Relationship Id="rId1755" Type="http://schemas.openxmlformats.org/officeDocument/2006/relationships/hyperlink" Target="https://techcombank.com/thong-tin/blog/dang-ky-thue-ho-kinh-doanh-ca-the-online" TargetMode="External"/><Relationship Id="rId1756" Type="http://schemas.openxmlformats.org/officeDocument/2006/relationships/hyperlink" Target="https://techcombank.com/thong-tin/blog/chuyen-doi-so-ho-kinh-doanh" TargetMode="External"/><Relationship Id="rId1757" Type="http://schemas.openxmlformats.org/officeDocument/2006/relationships/hyperlink" Target="https://techcombank.com/thong-tin/blog/hoa-don-dien-tu" TargetMode="External"/><Relationship Id="rId1758" Type="http://schemas.openxmlformats.org/officeDocument/2006/relationships/hyperlink" Target="https://techcombank.com/thong-tin/blog/luat-thuong-mai-dien-tu" TargetMode="External"/><Relationship Id="rId1759" Type="http://schemas.openxmlformats.org/officeDocument/2006/relationships/hyperlink" Target="https://techcombank.com/thong-tin/blog/vay-the-chap-kinh-doanh" TargetMode="External"/><Relationship Id="rId808" Type="http://schemas.openxmlformats.org/officeDocument/2006/relationships/hyperlink" Target="https://techcombank.com/thong-tin/blog/the-debit-cho-con" TargetMode="External"/><Relationship Id="rId807" Type="http://schemas.openxmlformats.org/officeDocument/2006/relationships/hyperlink" Target="https://techcombank.com/thong-tin/blog/no-the-tin-dung-qua-han" TargetMode="External"/><Relationship Id="rId806" Type="http://schemas.openxmlformats.org/officeDocument/2006/relationships/hyperlink" Target="https://techcombank.com/thong-tin/blog/no-xau-mo-the-tin-dung-duoc-khong" TargetMode="External"/><Relationship Id="rId805" Type="http://schemas.openxmlformats.org/officeDocument/2006/relationships/hyperlink" Target="https://techcombank.com/thong-tin/blog/the-tin-dung-bi-khoa" TargetMode="External"/><Relationship Id="rId809" Type="http://schemas.openxmlformats.org/officeDocument/2006/relationships/hyperlink" Target="https://techcombank.com/thong-tin/blog/luu-y-khi-su-dung-the-tin-dung" TargetMode="External"/><Relationship Id="rId800" Type="http://schemas.openxmlformats.org/officeDocument/2006/relationships/hyperlink" Target="https://techcombank.com/thong-tin/blog/han-muc-the-tin-dung" TargetMode="External"/><Relationship Id="rId804" Type="http://schemas.openxmlformats.org/officeDocument/2006/relationships/hyperlink" Target="https://techcombank.com/thong-tin/blog/kich-hoat-the-tin-dung-techcombank" TargetMode="External"/><Relationship Id="rId803" Type="http://schemas.openxmlformats.org/officeDocument/2006/relationships/hyperlink" Target="https://techcombank.com/thong-tin/blog/tra-gop-qua-the-tin-dung" TargetMode="External"/><Relationship Id="rId802" Type="http://schemas.openxmlformats.org/officeDocument/2006/relationships/hyperlink" Target="https://techcombank.com/thong-tin/blog/the-tin-dung-mien-lai-55-ngay" TargetMode="External"/><Relationship Id="rId801" Type="http://schemas.openxmlformats.org/officeDocument/2006/relationships/hyperlink" Target="https://techcombank.com/thong-tin/blog/nang-han-muc-tin-dung" TargetMode="External"/><Relationship Id="rId1750" Type="http://schemas.openxmlformats.org/officeDocument/2006/relationships/hyperlink" Target="https://techcombank.com/thong-tin/blog/cach-dang-ky-ma-so-thue-ho-kinh-doanh-online" TargetMode="External"/><Relationship Id="rId1751" Type="http://schemas.openxmlformats.org/officeDocument/2006/relationships/hyperlink" Target="https://techcombank.com/thong-tin/blog/nhung-ho-kinh-doanh-duoc-mien-thue" TargetMode="External"/><Relationship Id="rId1741" Type="http://schemas.openxmlformats.org/officeDocument/2006/relationships/hyperlink" Target="https://techcombank.com/thong-tin/blog/tra-cuu-no-thue-ho-kinh-doanh" TargetMode="External"/><Relationship Id="rId1742" Type="http://schemas.openxmlformats.org/officeDocument/2006/relationships/hyperlink" Target="https://techcombank.com/thong-tin/blog/lien-ket-tai-khoan-ngan-hang-voi-etax-mobile" TargetMode="External"/><Relationship Id="rId1743" Type="http://schemas.openxmlformats.org/officeDocument/2006/relationships/hyperlink" Target="https://techcombank.com/thong-tin/blog/thu-tuc-vay-von-kinh-doanh-nho" TargetMode="External"/><Relationship Id="rId1744" Type="http://schemas.openxmlformats.org/officeDocument/2006/relationships/hyperlink" Target="https://techcombank.com/thong-tin/blog/truy-thu-thue-ho-kinh-doanh" TargetMode="External"/><Relationship Id="rId1745" Type="http://schemas.openxmlformats.org/officeDocument/2006/relationships/hyperlink" Target="https://techcombank.com/thong-tin/blog/cac-sai-lam-pho-bien-khi-chuyen-doi-ho-kinh-doanh-len-sme" TargetMode="External"/><Relationship Id="rId1746" Type="http://schemas.openxmlformats.org/officeDocument/2006/relationships/hyperlink" Target="https://techcombank.com/thong-tin/blog/giay-phep-kinh-doanh" TargetMode="External"/><Relationship Id="rId1747" Type="http://schemas.openxmlformats.org/officeDocument/2006/relationships/hyperlink" Target="https://techcombank.com/thong-tin/blog/chuyen-doi-hoa-don-dien-tu" TargetMode="External"/><Relationship Id="rId1748" Type="http://schemas.openxmlformats.org/officeDocument/2006/relationships/hyperlink" Target="https://techcombank.com/thong-tin/blog/dang-ky-kinh-doanh-la-gi" TargetMode="External"/><Relationship Id="rId1749" Type="http://schemas.openxmlformats.org/officeDocument/2006/relationships/hyperlink" Target="https://techcombank.com/thong-tin/blog/thay-doi-dia-chi-ho-kinh-doanh" TargetMode="External"/><Relationship Id="rId1740" Type="http://schemas.openxmlformats.org/officeDocument/2006/relationships/hyperlink" Target="https://techcombank.com/thong-tin/blog/vay-tin-chap-ho-kinh-doanh" TargetMode="External"/><Relationship Id="rId1710" Type="http://schemas.openxmlformats.org/officeDocument/2006/relationships/hyperlink" Target="https://techcombank.com/thong-tin/blog/hoa-don-dien-tu-ho-kinh-doanh" TargetMode="External"/><Relationship Id="rId1711" Type="http://schemas.openxmlformats.org/officeDocument/2006/relationships/hyperlink" Target="https://techcombank.com/thong-tin/blog/thue-khoan-ho-kinh-doanh-la-gi" TargetMode="External"/><Relationship Id="rId1712" Type="http://schemas.openxmlformats.org/officeDocument/2006/relationships/hyperlink" Target="https://techcombank.com/thong-tin/blog/ho-kinh-doanh-dong-thue-nhu-nao" TargetMode="External"/><Relationship Id="rId1713" Type="http://schemas.openxmlformats.org/officeDocument/2006/relationships/hyperlink" Target="https://techcombank.com/thong-tin/blog/dong-ma-so-thue-ho-kinh-doanh" TargetMode="External"/><Relationship Id="rId1714" Type="http://schemas.openxmlformats.org/officeDocument/2006/relationships/hyperlink" Target="https://techcombank.com/thong-tin/blog/one-stop-shop" TargetMode="External"/><Relationship Id="rId1715" Type="http://schemas.openxmlformats.org/officeDocument/2006/relationships/hyperlink" Target="https://techcombank.com/thong-tin/blog/thue-phi-co-dinh-khi-chuyen-doi-tu-ho-kinh-doanh-len-doanh-nghiep" TargetMode="External"/><Relationship Id="rId1716" Type="http://schemas.openxmlformats.org/officeDocument/2006/relationships/hyperlink" Target="https://techcombank.com/thong-tin/blog/tim-hieu-ve-chinh-sach-thue-moi" TargetMode="External"/><Relationship Id="rId1717" Type="http://schemas.openxmlformats.org/officeDocument/2006/relationships/hyperlink" Target="https://techcombank.com/thong-tin/blog/may-tinh-tien" TargetMode="External"/><Relationship Id="rId1718" Type="http://schemas.openxmlformats.org/officeDocument/2006/relationships/hyperlink" Target="https://techcombank.com/thong-tin/blog/kinh-nghiem-chuyen-doi-tu-ho-kinh-doanh-len-doanh-nghiep" TargetMode="External"/><Relationship Id="rId1719" Type="http://schemas.openxmlformats.org/officeDocument/2006/relationships/hyperlink" Target="https://techcombank.com/thong-tin/blog/top-phan-mem-ban-hang" TargetMode="External"/><Relationship Id="rId1700" Type="http://schemas.openxmlformats.org/officeDocument/2006/relationships/hyperlink" Target="https://techcombank.com/thong-tin/blog/barcode-la-gi" TargetMode="External"/><Relationship Id="rId1701" Type="http://schemas.openxmlformats.org/officeDocument/2006/relationships/hyperlink" Target="https://techcombank.com/thong-tin/blog/tra-cuu-ma-so-thue-ho-kinh-doanh" TargetMode="External"/><Relationship Id="rId1702" Type="http://schemas.openxmlformats.org/officeDocument/2006/relationships/hyperlink" Target="https://techcombank.com/thong-tin/blog/dang-ky-thue-ho-kinh-doanh-ca-the-online" TargetMode="External"/><Relationship Id="rId1703" Type="http://schemas.openxmlformats.org/officeDocument/2006/relationships/hyperlink" Target="https://techcombank.com/thong-tin/blog/chuyen-doi-so-ho-kinh-doanh" TargetMode="External"/><Relationship Id="rId1704" Type="http://schemas.openxmlformats.org/officeDocument/2006/relationships/hyperlink" Target="https://techcombank.com/thong-tin/blog/chinh-sach-thue-moi" TargetMode="External"/><Relationship Id="rId1705" Type="http://schemas.openxmlformats.org/officeDocument/2006/relationships/hyperlink" Target="https://techcombank.com/thong-tin/blog/hoa-don-dien-tu" TargetMode="External"/><Relationship Id="rId1706" Type="http://schemas.openxmlformats.org/officeDocument/2006/relationships/hyperlink" Target="https://techcombank.com/thong-tin/blog/luat-thuong-mai-dien-tu" TargetMode="External"/><Relationship Id="rId1707" Type="http://schemas.openxmlformats.org/officeDocument/2006/relationships/hyperlink" Target="https://techcombank.com/thong-tin/blog/ke-khai-thue-ho-kinh-doanh-ca-the-online" TargetMode="External"/><Relationship Id="rId1708" Type="http://schemas.openxmlformats.org/officeDocument/2006/relationships/hyperlink" Target="https://techcombank.com/thong-tin/blog/vay-the-chap-kinh-doanh" TargetMode="External"/><Relationship Id="rId1709" Type="http://schemas.openxmlformats.org/officeDocument/2006/relationships/hyperlink" Target="https://techcombank.com/thong-tin/blog/thue-thuong-mai-dien-tu" TargetMode="External"/><Relationship Id="rId40" Type="http://schemas.openxmlformats.org/officeDocument/2006/relationships/hyperlink" Target="https://techcombank.com/thong-tin/blog/thue-thuong-mai-dien-tu" TargetMode="External"/><Relationship Id="rId1334" Type="http://schemas.openxmlformats.org/officeDocument/2006/relationships/hyperlink" Target="https://techcombank.com/thong-tin/blog/bao-hiem-du-lich-quoc-te-nao-tot" TargetMode="External"/><Relationship Id="rId1335" Type="http://schemas.openxmlformats.org/officeDocument/2006/relationships/hyperlink" Target="https://techcombank.com/thong-tin/blog/ma-buu-chinh-the-tin-dung" TargetMode="External"/><Relationship Id="rId42" Type="http://schemas.openxmlformats.org/officeDocument/2006/relationships/hyperlink" Target="https://techcombank.com/thong-tin/blog/thue-thu-nhap-doanh-nghiep" TargetMode="External"/><Relationship Id="rId1336" Type="http://schemas.openxmlformats.org/officeDocument/2006/relationships/hyperlink" Target="https://techcombank.com/thong-tin/blog/the-tin-dung-quoc-te" TargetMode="External"/><Relationship Id="rId41" Type="http://schemas.openxmlformats.org/officeDocument/2006/relationships/hyperlink" Target="https://techcombank.com/thong-tin/blog/ho-kinh-doanh-dong-thue-nhu-nao" TargetMode="External"/><Relationship Id="rId1337" Type="http://schemas.openxmlformats.org/officeDocument/2006/relationships/hyperlink" Target="https://techcombank.com/thong-tin/blog/bib-techcombank" TargetMode="External"/><Relationship Id="rId44" Type="http://schemas.openxmlformats.org/officeDocument/2006/relationships/hyperlink" Target="https://techcombank.com/thong-tin/blog/ke-khai-thue-doanh-nghiep" TargetMode="External"/><Relationship Id="rId1338" Type="http://schemas.openxmlformats.org/officeDocument/2006/relationships/hyperlink" Target="https://techcombank.com/thong-tin/blog/the-ghi-no-noi-dia" TargetMode="External"/><Relationship Id="rId43" Type="http://schemas.openxmlformats.org/officeDocument/2006/relationships/hyperlink" Target="https://techcombank.com/thong-tin/blog/quyet-toan-thue-doanh-nghiep" TargetMode="External"/><Relationship Id="rId1339" Type="http://schemas.openxmlformats.org/officeDocument/2006/relationships/hyperlink" Target="https://techcombank.com/thong-tin/blog/iban-la-gi" TargetMode="External"/><Relationship Id="rId46" Type="http://schemas.openxmlformats.org/officeDocument/2006/relationships/hyperlink" Target="https://techcombank.com/thong-tin/blog/tien-chuyen-vao-tai-khoan-co-bi-tinh-thue-khong" TargetMode="External"/><Relationship Id="rId45" Type="http://schemas.openxmlformats.org/officeDocument/2006/relationships/hyperlink" Target="https://techcombank.com/thong-tin/blog/tra-cuu-no-thue-doanh-nghiep" TargetMode="External"/><Relationship Id="rId745" Type="http://schemas.openxmlformats.org/officeDocument/2006/relationships/hyperlink" Target="https://techcombank.com/thong-tin/blog/mat-the-tin-dung-co-bi-mat-tien-khong" TargetMode="External"/><Relationship Id="rId744" Type="http://schemas.openxmlformats.org/officeDocument/2006/relationships/hyperlink" Target="https://techcombank.com/thong-tin/blog/uu-dai-mua-ve-may-bay-bang-the-tin-dung" TargetMode="External"/><Relationship Id="rId743" Type="http://schemas.openxmlformats.org/officeDocument/2006/relationships/hyperlink" Target="https://techcombank.com/thong-tin/blog/the-tin-dung-mien-phi-thuong-nien" TargetMode="External"/><Relationship Id="rId742" Type="http://schemas.openxmlformats.org/officeDocument/2006/relationships/hyperlink" Target="https://techcombank.com/thong-tin/blog/cac-loai-the-tin-dung" TargetMode="External"/><Relationship Id="rId749" Type="http://schemas.openxmlformats.org/officeDocument/2006/relationships/hyperlink" Target="https://techcombank.com/thong-tin/blog/cach-lam-the-ngan-hang-chay-quang-cao-facebook" TargetMode="External"/><Relationship Id="rId748" Type="http://schemas.openxmlformats.org/officeDocument/2006/relationships/hyperlink" Target="https://techcombank.com/thong-tin/blog/the-tin-dung-nao-nhieu-uu-dai-nhat" TargetMode="External"/><Relationship Id="rId747" Type="http://schemas.openxmlformats.org/officeDocument/2006/relationships/hyperlink" Target="https://techcombank.com/thong-tin/blog/lam-the-atm-co-mat-phi-khong" TargetMode="External"/><Relationship Id="rId746" Type="http://schemas.openxmlformats.org/officeDocument/2006/relationships/hyperlink" Target="https://techcombank.com/thong-tin/blog/so-cvv-la-gi" TargetMode="External"/><Relationship Id="rId48" Type="http://schemas.openxmlformats.org/officeDocument/2006/relationships/hyperlink" Target="https://techcombank.com/thong-tin/blog/thue-thu-nhap-ca-nhan" TargetMode="External"/><Relationship Id="rId47" Type="http://schemas.openxmlformats.org/officeDocument/2006/relationships/hyperlink" Target="https://techcombank.com/thong-tin/blog/cach-tinh-thue-thu-nhap-ca-nhan-2025" TargetMode="External"/><Relationship Id="rId49" Type="http://schemas.openxmlformats.org/officeDocument/2006/relationships/hyperlink" Target="https://techcombank.com/thong-tin/blog/kiem-tra-thue-thu-nhap-ca-nhan" TargetMode="External"/><Relationship Id="rId741" Type="http://schemas.openxmlformats.org/officeDocument/2006/relationships/hyperlink" Target="https://techcombank.com/thong-tin/blog/uu-dai-the-tin-dung-techcombank-signature" TargetMode="External"/><Relationship Id="rId1330" Type="http://schemas.openxmlformats.org/officeDocument/2006/relationships/hyperlink" Target="https://techcombank.com/thong-tin/blog/ma-swift-ngan-hang" TargetMode="External"/><Relationship Id="rId740" Type="http://schemas.openxmlformats.org/officeDocument/2006/relationships/hyperlink" Target="https://techcombank.com/thong-tin/blog/mm-yy-la-gi" TargetMode="External"/><Relationship Id="rId1331" Type="http://schemas.openxmlformats.org/officeDocument/2006/relationships/hyperlink" Target="https://techcombank.com/thong-tin/blog/chuyen-tien-tu-my-ve-viet-nam" TargetMode="External"/><Relationship Id="rId1332" Type="http://schemas.openxmlformats.org/officeDocument/2006/relationships/hyperlink" Target="https://techcombank.com/thong-tin/blog/remittance-la-gi" TargetMode="External"/><Relationship Id="rId1333" Type="http://schemas.openxmlformats.org/officeDocument/2006/relationships/hyperlink" Target="https://techcombank.com/thong-tin/blog/thanh-toan-quoc-te" TargetMode="External"/><Relationship Id="rId1323" Type="http://schemas.openxmlformats.org/officeDocument/2006/relationships/hyperlink" Target="https://techcombank.com/thong-tin/blog/1-do-uc-bang-bao-nhieu-tien-viet" TargetMode="External"/><Relationship Id="rId1324" Type="http://schemas.openxmlformats.org/officeDocument/2006/relationships/hyperlink" Target="https://techcombank.com/thong-tin/blog/1-won-bang-bao-nhieu-tien-viet" TargetMode="External"/><Relationship Id="rId31" Type="http://schemas.openxmlformats.org/officeDocument/2006/relationships/hyperlink" Target="https://techcombank.com/thong-tin/blog/ke-khai-thue-ho-kinh-doanh-ca-the-online" TargetMode="External"/><Relationship Id="rId1325" Type="http://schemas.openxmlformats.org/officeDocument/2006/relationships/hyperlink" Target="https://techcombank.com/thong-tin/blog/1-trieu-won-bang-bao-nhieu-tien-viet" TargetMode="External"/><Relationship Id="rId30" Type="http://schemas.openxmlformats.org/officeDocument/2006/relationships/hyperlink" Target="https://techcombank.com/thong-tin/blog/quyet-toan-thue-thu-nhap-ca-nhan" TargetMode="External"/><Relationship Id="rId1326" Type="http://schemas.openxmlformats.org/officeDocument/2006/relationships/hyperlink" Target="https://techcombank.com/thong-tin/blog/thanh-toan-khi-du-lich-han-quoc" TargetMode="External"/><Relationship Id="rId33" Type="http://schemas.openxmlformats.org/officeDocument/2006/relationships/hyperlink" Target="https://techcombank.com/thong-tin/blog/nop-thue-hai-quan" TargetMode="External"/><Relationship Id="rId1327" Type="http://schemas.openxmlformats.org/officeDocument/2006/relationships/hyperlink" Target="https://techcombank.com/thong-tin/blog/chuyen-tien-tu-han-sang-viet-nam" TargetMode="External"/><Relationship Id="rId32" Type="http://schemas.openxmlformats.org/officeDocument/2006/relationships/hyperlink" Target="https://techcombank.com/thong-tin/blog/hoan-thue-thu-nhap-ca-nhan" TargetMode="External"/><Relationship Id="rId1328" Type="http://schemas.openxmlformats.org/officeDocument/2006/relationships/hyperlink" Target="https://techcombank.com/thong-tin/blog/kieu-hoi-la-gi" TargetMode="External"/><Relationship Id="rId35" Type="http://schemas.openxmlformats.org/officeDocument/2006/relationships/hyperlink" Target="https://techcombank.com/thong-tin/blog/tra-cuu-no-thue-hai-quan" TargetMode="External"/><Relationship Id="rId1329" Type="http://schemas.openxmlformats.org/officeDocument/2006/relationships/hyperlink" Target="https://techcombank.com/thong-tin/blog/nhan-tien-western-union" TargetMode="External"/><Relationship Id="rId34" Type="http://schemas.openxmlformats.org/officeDocument/2006/relationships/hyperlink" Target="https://techcombank.com/thong-tin/blog/hoan-thue-doanh-nghiep" TargetMode="External"/><Relationship Id="rId739" Type="http://schemas.openxmlformats.org/officeDocument/2006/relationships/hyperlink" Target="https://techcombank.com/thong-tin/blog/tai-khoan-doanh-nghiep-co-the-khong" TargetMode="External"/><Relationship Id="rId734" Type="http://schemas.openxmlformats.org/officeDocument/2006/relationships/hyperlink" Target="https://techcombank.com/thong-tin/blog/the-tin-dung-la-gi" TargetMode="External"/><Relationship Id="rId733" Type="http://schemas.openxmlformats.org/officeDocument/2006/relationships/hyperlink" Target="https://techcombank.com/thong-tin/blog/tien-gui-co-ky-han" TargetMode="External"/><Relationship Id="rId732" Type="http://schemas.openxmlformats.org/officeDocument/2006/relationships/hyperlink" Target="https://techcombank.com/thong-tin/blog/the-ghi-no-co-rut-tien-duoc-khong" TargetMode="External"/><Relationship Id="rId731" Type="http://schemas.openxmlformats.org/officeDocument/2006/relationships/hyperlink" Target="https://techcombank.com/thong-tin/blog/cach-su-dung-the-ghi-no" TargetMode="External"/><Relationship Id="rId738" Type="http://schemas.openxmlformats.org/officeDocument/2006/relationships/hyperlink" Target="https://techcombank.com/thong-tin/blog/co-nen-dung-the-tin-dung-khong" TargetMode="External"/><Relationship Id="rId737" Type="http://schemas.openxmlformats.org/officeDocument/2006/relationships/hyperlink" Target="https://techcombank.com/thong-tin/blog/mo-the-tin-dung-khong-can-chung-minh-thu-nhap" TargetMode="External"/><Relationship Id="rId736" Type="http://schemas.openxmlformats.org/officeDocument/2006/relationships/hyperlink" Target="https://techcombank.com/thong-tin/blog/lam-the-tin-dung-co-mat-phi-khong" TargetMode="External"/><Relationship Id="rId735" Type="http://schemas.openxmlformats.org/officeDocument/2006/relationships/hyperlink" Target="https://techcombank.com/thong-tin/blog/mo-the-tin-dung-chi-can-cccd" TargetMode="External"/><Relationship Id="rId37" Type="http://schemas.openxmlformats.org/officeDocument/2006/relationships/hyperlink" Target="https://techcombank.com/thong-tin/blog/truy-thu-thue-ho-kinh-doanh" TargetMode="External"/><Relationship Id="rId36" Type="http://schemas.openxmlformats.org/officeDocument/2006/relationships/hyperlink" Target="https://techcombank.com/thong-tin/blog/tra-cuu-no-thue-ho-kinh-doanh" TargetMode="External"/><Relationship Id="rId39" Type="http://schemas.openxmlformats.org/officeDocument/2006/relationships/hyperlink" Target="https://techcombank.com/thong-tin/blog/tra-cuu-no-thue-ca-nhan" TargetMode="External"/><Relationship Id="rId38" Type="http://schemas.openxmlformats.org/officeDocument/2006/relationships/hyperlink" Target="https://techcombank.com/thong-tin/blog/kiem-tra-thue-ho-kinh-doanh" TargetMode="External"/><Relationship Id="rId730" Type="http://schemas.openxmlformats.org/officeDocument/2006/relationships/hyperlink" Target="https://techcombank.com/thong-tin/blog/dang-vay-tra-gop-co-vay-them-duoc-khong" TargetMode="External"/><Relationship Id="rId1320" Type="http://schemas.openxmlformats.org/officeDocument/2006/relationships/hyperlink" Target="https://techcombank.com/thong-tin/blog/chuyen-tien-di-uc" TargetMode="External"/><Relationship Id="rId1321" Type="http://schemas.openxmlformats.org/officeDocument/2006/relationships/hyperlink" Target="https://techcombank.com/thong-tin/blog/chuyen-tien-tu-my-ve-viet-nam" TargetMode="External"/><Relationship Id="rId1322" Type="http://schemas.openxmlformats.org/officeDocument/2006/relationships/hyperlink" Target="https://techcombank.com/thong-tin/blog/1-cent-bang-bao-nhieu-tien-viet" TargetMode="External"/><Relationship Id="rId1356" Type="http://schemas.openxmlformats.org/officeDocument/2006/relationships/hyperlink" Target="https://techcombank.com/thong-tin/blog/gia-ca-phe-hom-nay" TargetMode="External"/><Relationship Id="rId2203" Type="http://schemas.openxmlformats.org/officeDocument/2006/relationships/hyperlink" Target="https://techcombank.com/thong-tin/blog/vay-mua-nha-tra-gop" TargetMode="External"/><Relationship Id="rId1357" Type="http://schemas.openxmlformats.org/officeDocument/2006/relationships/hyperlink" Target="https://techcombank.com/thong-tin/blog/gui-tien-du-hoc" TargetMode="External"/><Relationship Id="rId2204" Type="http://schemas.openxmlformats.org/officeDocument/2006/relationships/hyperlink" Target="https://techcombank.com/thong-tin/blog/quy-trinh-tat-toan-khoan-vay-the-chap" TargetMode="External"/><Relationship Id="rId20" Type="http://schemas.openxmlformats.org/officeDocument/2006/relationships/hyperlink" Target="https://techcombank.com/thong-tin/blog/thue-thu-nhap-doanh-nghiep" TargetMode="External"/><Relationship Id="rId1358" Type="http://schemas.openxmlformats.org/officeDocument/2006/relationships/hyperlink" Target="https://techcombank.com/thong-tin/blog/chuyen-tien-tro-cap-than-nhan-o-nuoc-ngoai" TargetMode="External"/><Relationship Id="rId2205" Type="http://schemas.openxmlformats.org/officeDocument/2006/relationships/hyperlink" Target="https://techcombank.com/thong-tin/blog/vay-40-trieu" TargetMode="External"/><Relationship Id="rId1359" Type="http://schemas.openxmlformats.org/officeDocument/2006/relationships/hyperlink" Target="https://techcombank.com/thong-tin/blog/tien-singapore" TargetMode="External"/><Relationship Id="rId2206" Type="http://schemas.openxmlformats.org/officeDocument/2006/relationships/hyperlink" Target="https://techcombank.com/thong-tin/blog/thu-tuc-mua-xe-tra-gop" TargetMode="External"/><Relationship Id="rId22" Type="http://schemas.openxmlformats.org/officeDocument/2006/relationships/hyperlink" Target="https://techcombank.com/thong-tin/blog/tra-cuu-no-thue-doanh-nghiep" TargetMode="External"/><Relationship Id="rId2207" Type="http://schemas.openxmlformats.org/officeDocument/2006/relationships/hyperlink" Target="https://techcombank.com/thong-tin/blog/vay-ngan-hang-chi-can-cccd" TargetMode="External"/><Relationship Id="rId21" Type="http://schemas.openxmlformats.org/officeDocument/2006/relationships/hyperlink" Target="https://techcombank.com/thong-tin/blog/ke-khai-thue-doanh-nghiep" TargetMode="External"/><Relationship Id="rId2208" Type="http://schemas.openxmlformats.org/officeDocument/2006/relationships/hyperlink" Target="https://techcombank.com/thong-tin/blog/tra-gop-shopee" TargetMode="External"/><Relationship Id="rId24" Type="http://schemas.openxmlformats.org/officeDocument/2006/relationships/hyperlink" Target="https://techcombank.com/thong-tin/blog/tien-chuyen-vao-tai-khoan-co-bi-tinh-thue-khong" TargetMode="External"/><Relationship Id="rId2209" Type="http://schemas.openxmlformats.org/officeDocument/2006/relationships/hyperlink" Target="https://techcombank.com/thong-tin/blog/tra-gop-hoc-phi" TargetMode="External"/><Relationship Id="rId23" Type="http://schemas.openxmlformats.org/officeDocument/2006/relationships/hyperlink" Target="https://techcombank.com/thong-tin/blog/nop-thue-hai-quan" TargetMode="External"/><Relationship Id="rId767" Type="http://schemas.openxmlformats.org/officeDocument/2006/relationships/hyperlink" Target="https://techcombank.com/thong-tin/blog/vay-ngan-hang-1-ty-moi-thang-tra-bao-nhieu" TargetMode="External"/><Relationship Id="rId766" Type="http://schemas.openxmlformats.org/officeDocument/2006/relationships/hyperlink" Target="https://techcombank.com/thong-tin/blog/phi-rut-tien-mat-the-tin-dung" TargetMode="External"/><Relationship Id="rId765" Type="http://schemas.openxmlformats.org/officeDocument/2006/relationships/hyperlink" Target="https://techcombank.com/thong-tin/blog/qua-han-thanh-toan-the-tin-dung-1-ngay" TargetMode="External"/><Relationship Id="rId764" Type="http://schemas.openxmlformats.org/officeDocument/2006/relationships/hyperlink" Target="https://techcombank.com/thong-tin/blog/lam-the-visa-o-dau" TargetMode="External"/><Relationship Id="rId769" Type="http://schemas.openxmlformats.org/officeDocument/2006/relationships/hyperlink" Target="https://techcombank.com/thong-tin/blog/the-tin-dung-den" TargetMode="External"/><Relationship Id="rId768" Type="http://schemas.openxmlformats.org/officeDocument/2006/relationships/hyperlink" Target="https://techcombank.com/thong-tin/blog/cach-thanh-toan-the-tin-dung" TargetMode="External"/><Relationship Id="rId26" Type="http://schemas.openxmlformats.org/officeDocument/2006/relationships/hyperlink" Target="https://techcombank.com/thong-tin/blog/kiem-tra-thue-thu-nhap-ca-nhan" TargetMode="External"/><Relationship Id="rId25" Type="http://schemas.openxmlformats.org/officeDocument/2006/relationships/hyperlink" Target="https://techcombank.com/thong-tin/blog/cach-tinh-thue-thu-nhap-ca-nhan-2025" TargetMode="External"/><Relationship Id="rId28" Type="http://schemas.openxmlformats.org/officeDocument/2006/relationships/hyperlink" Target="https://techcombank.com/thong-tin/blog/han-muc-vay-the-chap-so-do" TargetMode="External"/><Relationship Id="rId1350" Type="http://schemas.openxmlformats.org/officeDocument/2006/relationships/hyperlink" Target="https://techcombank.com/thong-tin/blog/nen-lam-the-visa-hay-noi-dia" TargetMode="External"/><Relationship Id="rId27" Type="http://schemas.openxmlformats.org/officeDocument/2006/relationships/hyperlink" Target="https://techcombank.com/thong-tin/blog/lai-suat-vay-the-chap-so-do" TargetMode="External"/><Relationship Id="rId1351" Type="http://schemas.openxmlformats.org/officeDocument/2006/relationships/hyperlink" Target="https://techcombank.com/thong-tin/blog/dinh-cu-chau-au" TargetMode="External"/><Relationship Id="rId763" Type="http://schemas.openxmlformats.org/officeDocument/2006/relationships/hyperlink" Target="https://techcombank.com/thong-tin/blog/the-tin-dung-quoc-te" TargetMode="External"/><Relationship Id="rId1352" Type="http://schemas.openxmlformats.org/officeDocument/2006/relationships/hyperlink" Target="https://techcombank.com/thong-tin/blog/vay-du-hoc" TargetMode="External"/><Relationship Id="rId29" Type="http://schemas.openxmlformats.org/officeDocument/2006/relationships/hyperlink" Target="https://techcombank.com/thong-tin/blog/lien-ket-tai-khoan-ngan-hang-voi-etax-mobile" TargetMode="External"/><Relationship Id="rId762" Type="http://schemas.openxmlformats.org/officeDocument/2006/relationships/hyperlink" Target="https://techcombank.com/thong-tin/blog/ma-buu-chinh-the-tin-dung" TargetMode="External"/><Relationship Id="rId1353" Type="http://schemas.openxmlformats.org/officeDocument/2006/relationships/hyperlink" Target="https://techcombank.com/thong-tin/blog/di-du-lich-nuoc-ngoai-can-chuan-bi-gi" TargetMode="External"/><Relationship Id="rId2200" Type="http://schemas.openxmlformats.org/officeDocument/2006/relationships/hyperlink" Target="https://techcombank.com/thong-tin/blog/dao-han-la-gi" TargetMode="External"/><Relationship Id="rId761" Type="http://schemas.openxmlformats.org/officeDocument/2006/relationships/hyperlink" Target="https://techcombank.com/thong-tin/blog/the-napas-la-gi" TargetMode="External"/><Relationship Id="rId1354" Type="http://schemas.openxmlformats.org/officeDocument/2006/relationships/hyperlink" Target="https://techcombank.com/thong-tin/blog/thu-tuc-chuyen-tien-ra-nuoc-ngoai" TargetMode="External"/><Relationship Id="rId2201" Type="http://schemas.openxmlformats.org/officeDocument/2006/relationships/hyperlink" Target="https://techcombank.com/thong-tin/blog/vay-mua-xe-tra-gop-ngan-hang-nao-tot-nhat" TargetMode="External"/><Relationship Id="rId760" Type="http://schemas.openxmlformats.org/officeDocument/2006/relationships/hyperlink" Target="https://techcombank.com/thong-tin/blog/lam-the-atm-bao-lau-co" TargetMode="External"/><Relationship Id="rId1355" Type="http://schemas.openxmlformats.org/officeDocument/2006/relationships/hyperlink" Target="https://techcombank.com/thong-tin/blog/gui-tien-sang-nuoc-ngoai" TargetMode="External"/><Relationship Id="rId2202" Type="http://schemas.openxmlformats.org/officeDocument/2006/relationships/hyperlink" Target="https://techcombank.com/thong-tin/blog/lai-suat-vay-thau-chi" TargetMode="External"/><Relationship Id="rId1345" Type="http://schemas.openxmlformats.org/officeDocument/2006/relationships/hyperlink" Target="https://techcombank.com/thong-tin/blog/the-visa-co-thanh-toan-quoc-te-duoc-khong" TargetMode="External"/><Relationship Id="rId1346" Type="http://schemas.openxmlformats.org/officeDocument/2006/relationships/hyperlink" Target="https://techcombank.com/thong-tin/blog/chuyen-tien-dinh-cu" TargetMode="External"/><Relationship Id="rId1347" Type="http://schemas.openxmlformats.org/officeDocument/2006/relationships/hyperlink" Target="https://techcombank.com/thong-tin/blog/thanh-toan-bang-the-quoc-te" TargetMode="External"/><Relationship Id="rId1348" Type="http://schemas.openxmlformats.org/officeDocument/2006/relationships/hyperlink" Target="https://techcombank.com/thong-tin/blog/han-muc-mua-ngoai-te-khi-di-du-lich" TargetMode="External"/><Relationship Id="rId11" Type="http://schemas.openxmlformats.org/officeDocument/2006/relationships/hyperlink" Target="https://techcombank.com/thong-tin/blog/quyet-toan-thue-thu-nhap-ca-nhan" TargetMode="External"/><Relationship Id="rId1349" Type="http://schemas.openxmlformats.org/officeDocument/2006/relationships/hyperlink" Target="https://techcombank.com/thong-tin/blog/ngoai-te-la-gi" TargetMode="External"/><Relationship Id="rId10" Type="http://schemas.openxmlformats.org/officeDocument/2006/relationships/hyperlink" Target="https://techcombank.com/thong-tin/blog/ho-so-thu-tuc-xoa-the-chap" TargetMode="External"/><Relationship Id="rId13" Type="http://schemas.openxmlformats.org/officeDocument/2006/relationships/hyperlink" Target="https://techcombank.com/thong-tin/blog/tra-cuu-no-thue-ho-kinh-doanh" TargetMode="External"/><Relationship Id="rId12" Type="http://schemas.openxmlformats.org/officeDocument/2006/relationships/hyperlink" Target="https://techcombank.com/thong-tin/blog/tra-cuu-no-thue-hai-quan" TargetMode="External"/><Relationship Id="rId756" Type="http://schemas.openxmlformats.org/officeDocument/2006/relationships/hyperlink" Target="https://techcombank.com/thong-tin/blog/the-visa-de-lam-gi" TargetMode="External"/><Relationship Id="rId755" Type="http://schemas.openxmlformats.org/officeDocument/2006/relationships/hyperlink" Target="https://techcombank.com/thong-tin/blog/tra-cuu-han-muc-the-tin-dung" TargetMode="External"/><Relationship Id="rId754" Type="http://schemas.openxmlformats.org/officeDocument/2006/relationships/hyperlink" Target="https://techcombank.com/thong-tin/blog/mua-truoc-tra-sau" TargetMode="External"/><Relationship Id="rId753" Type="http://schemas.openxmlformats.org/officeDocument/2006/relationships/hyperlink" Target="https://techcombank.com/thong-tin/blog/the-visa-co-can-mat-khau-khong" TargetMode="External"/><Relationship Id="rId759" Type="http://schemas.openxmlformats.org/officeDocument/2006/relationships/hyperlink" Target="https://techcombank.com/thong-tin/blog/cach-huy-the-tin-dung" TargetMode="External"/><Relationship Id="rId758" Type="http://schemas.openxmlformats.org/officeDocument/2006/relationships/hyperlink" Target="https://techcombank.com/thong-tin/blog/the-tin-dung-het-han" TargetMode="External"/><Relationship Id="rId757" Type="http://schemas.openxmlformats.org/officeDocument/2006/relationships/hyperlink" Target="https://techcombank.com/thong-tin/blog/the-ghi-no-va-the-tin-dung" TargetMode="External"/><Relationship Id="rId15" Type="http://schemas.openxmlformats.org/officeDocument/2006/relationships/hyperlink" Target="https://techcombank.com/thong-tin/blog/kiem-tra-thue-ho-kinh-doanh" TargetMode="External"/><Relationship Id="rId14" Type="http://schemas.openxmlformats.org/officeDocument/2006/relationships/hyperlink" Target="https://techcombank.com/thong-tin/blog/truy-thu-thue-ho-kinh-doanh" TargetMode="External"/><Relationship Id="rId17" Type="http://schemas.openxmlformats.org/officeDocument/2006/relationships/hyperlink" Target="https://techcombank.com/thong-tin/blog/hoan-thue-thu-nhap-ca-nhan" TargetMode="External"/><Relationship Id="rId16" Type="http://schemas.openxmlformats.org/officeDocument/2006/relationships/hyperlink" Target="https://techcombank.com/thong-tin/blog/tra-cuu-no-thue-ca-nhan" TargetMode="External"/><Relationship Id="rId1340" Type="http://schemas.openxmlformats.org/officeDocument/2006/relationships/hyperlink" Target="https://techcombank.com/thong-tin/blog/the-tin-dung-noi-dia" TargetMode="External"/><Relationship Id="rId19" Type="http://schemas.openxmlformats.org/officeDocument/2006/relationships/hyperlink" Target="https://techcombank.com/thong-tin/blog/thue-thuong-mai-dien-tu" TargetMode="External"/><Relationship Id="rId752" Type="http://schemas.openxmlformats.org/officeDocument/2006/relationships/hyperlink" Target="https://techcombank.com/thong-tin/blog/cach-lam-the-atm" TargetMode="External"/><Relationship Id="rId1341" Type="http://schemas.openxmlformats.org/officeDocument/2006/relationships/hyperlink" Target="https://techcombank.com/thong-tin/blog/app-ngan-hang-co-dung-duoc-o-nuoc-ngoai" TargetMode="External"/><Relationship Id="rId18" Type="http://schemas.openxmlformats.org/officeDocument/2006/relationships/hyperlink" Target="https://techcombank.com/thong-tin/blog/ke-khai-thue-ho-kinh-doanh-ca-the-online" TargetMode="External"/><Relationship Id="rId751" Type="http://schemas.openxmlformats.org/officeDocument/2006/relationships/hyperlink" Target="https://techcombank.com/thong-tin/blog/mua-iphone-17" TargetMode="External"/><Relationship Id="rId1342" Type="http://schemas.openxmlformats.org/officeDocument/2006/relationships/hyperlink" Target="https://techcombank.com/thong-tin/blog/cashback-the-thanh-toan" TargetMode="External"/><Relationship Id="rId750" Type="http://schemas.openxmlformats.org/officeDocument/2006/relationships/hyperlink" Target="https://techcombank.com/thong-tin/blog/eco-card" TargetMode="External"/><Relationship Id="rId1343" Type="http://schemas.openxmlformats.org/officeDocument/2006/relationships/hyperlink" Target="https://techcombank.com/thong-tin/blog/lam-the-thanh-toan-quoc-te" TargetMode="External"/><Relationship Id="rId1344" Type="http://schemas.openxmlformats.org/officeDocument/2006/relationships/hyperlink" Target="https://techcombank.com/thong-tin/blog/the-ghi-no-visa-la-gi" TargetMode="External"/><Relationship Id="rId84" Type="http://schemas.openxmlformats.org/officeDocument/2006/relationships/hyperlink" Target="https://techcombank.com/thong-tin/blog/cach-tinh-thue-ho-kinh-doanh-nho-le" TargetMode="External"/><Relationship Id="rId1774" Type="http://schemas.openxmlformats.org/officeDocument/2006/relationships/hyperlink" Target="https://techcombank.com/thong-tin/blog/phan-mem-xuat-hoa-don-dien-tu" TargetMode="External"/><Relationship Id="rId83" Type="http://schemas.openxmlformats.org/officeDocument/2006/relationships/hyperlink" Target="https://techcombank.com/thong-tin/blog/cach-tra-cuu-hoa-don-dien-tu" TargetMode="External"/><Relationship Id="rId1775" Type="http://schemas.openxmlformats.org/officeDocument/2006/relationships/hyperlink" Target="https://techcombank.com/thong-tin/blog/cach-lam-the-ngan-hang-chay-quang-cao-facebook" TargetMode="External"/><Relationship Id="rId86" Type="http://schemas.openxmlformats.org/officeDocument/2006/relationships/hyperlink" Target="https://techcombank.com/thong-tin/blog/hoa-don-dien-tu" TargetMode="External"/><Relationship Id="rId1776" Type="http://schemas.openxmlformats.org/officeDocument/2006/relationships/hyperlink" Target="https://techcombank.com/thong-tin/blog/ho-kinh-doanh-can-gi-o-tai-khoan-ngan-hang" TargetMode="External"/><Relationship Id="rId85" Type="http://schemas.openxmlformats.org/officeDocument/2006/relationships/hyperlink" Target="https://techcombank.com/thong-tin/blog/nhung-ho-kinh-doanh-duoc-mien-thue" TargetMode="External"/><Relationship Id="rId1777" Type="http://schemas.openxmlformats.org/officeDocument/2006/relationships/hyperlink" Target="https://techcombank.com/thong-tin/blog/du-no-la-gi" TargetMode="External"/><Relationship Id="rId88" Type="http://schemas.openxmlformats.org/officeDocument/2006/relationships/hyperlink" Target="https://techcombank.com/thong-tin/blog/hoa-don-dien-tu-ho-kinh-doanh" TargetMode="External"/><Relationship Id="rId1778" Type="http://schemas.openxmlformats.org/officeDocument/2006/relationships/hyperlink" Target="https://techcombank.com/thong-tin/blog/an-han-no-goc-la-gi" TargetMode="External"/><Relationship Id="rId87" Type="http://schemas.openxmlformats.org/officeDocument/2006/relationships/hyperlink" Target="https://techcombank.com/thong-tin/blog/voucher-phuc-long" TargetMode="External"/><Relationship Id="rId1779" Type="http://schemas.openxmlformats.org/officeDocument/2006/relationships/hyperlink" Target="https://techcombank.com/thong-tin/blog/lai-suat-tha-noi" TargetMode="External"/><Relationship Id="rId89" Type="http://schemas.openxmlformats.org/officeDocument/2006/relationships/hyperlink" Target="https://techcombank.com/thong-tin/blog/ho-kinh-doanh-dong-thue-nhu-nao" TargetMode="External"/><Relationship Id="rId709" Type="http://schemas.openxmlformats.org/officeDocument/2006/relationships/hyperlink" Target="https://techcombank.com/thong-tin/blog/cach-su-dung-tai-khoan-cong-ty" TargetMode="External"/><Relationship Id="rId708" Type="http://schemas.openxmlformats.org/officeDocument/2006/relationships/hyperlink" Target="https://techcombank.com/thong-tin/blog/cdm" TargetMode="External"/><Relationship Id="rId707" Type="http://schemas.openxmlformats.org/officeDocument/2006/relationships/hyperlink" Target="https://techcombank.com/thong-tin/blog/rut-tien-mat-tu-tai-khoan-doanh-nghiep" TargetMode="External"/><Relationship Id="rId706" Type="http://schemas.openxmlformats.org/officeDocument/2006/relationships/hyperlink" Target="https://techcombank.com/thong-tin/blog/thanh-toan-khong-dung-tien-mat" TargetMode="External"/><Relationship Id="rId80" Type="http://schemas.openxmlformats.org/officeDocument/2006/relationships/hyperlink" Target="https://techcombank.com/thong-tin/blog/hoan-thue-doanh-nghiep" TargetMode="External"/><Relationship Id="rId82" Type="http://schemas.openxmlformats.org/officeDocument/2006/relationships/hyperlink" Target="https://techcombank.com/thong-tin/blog/thue-thuong-mai-dien-tu" TargetMode="External"/><Relationship Id="rId81" Type="http://schemas.openxmlformats.org/officeDocument/2006/relationships/hyperlink" Target="https://techcombank.com/thong-tin/blog/chuyen-doi-hoa-don-dien-tu" TargetMode="External"/><Relationship Id="rId701" Type="http://schemas.openxmlformats.org/officeDocument/2006/relationships/hyperlink" Target="https://techcombank.com/thong-tin/blog/han-muc-the-tin-dung" TargetMode="External"/><Relationship Id="rId700" Type="http://schemas.openxmlformats.org/officeDocument/2006/relationships/hyperlink" Target="https://techcombank.com/thong-tin/blog/the-tin-dung-co-chuyen-khoan-duoc-khong" TargetMode="External"/><Relationship Id="rId705" Type="http://schemas.openxmlformats.org/officeDocument/2006/relationships/hyperlink" Target="https://techcombank.com/thong-tin/blog/tra-luong-tien-mat" TargetMode="External"/><Relationship Id="rId704" Type="http://schemas.openxmlformats.org/officeDocument/2006/relationships/hyperlink" Target="https://techcombank.com/thong-tin/blog/vi-dien-tu" TargetMode="External"/><Relationship Id="rId703" Type="http://schemas.openxmlformats.org/officeDocument/2006/relationships/hyperlink" Target="https://techcombank.com/thong-tin/blog/nop-tien-mat-vao-tai-khoan-cong-ty" TargetMode="External"/><Relationship Id="rId702" Type="http://schemas.openxmlformats.org/officeDocument/2006/relationships/hyperlink" Target="https://techcombank.com/thong-tin/blog/lai-suat-the-tin-dung" TargetMode="External"/><Relationship Id="rId1770" Type="http://schemas.openxmlformats.org/officeDocument/2006/relationships/hyperlink" Target="https://techcombank.com/thong-tin/blog/kinh-nghiem-chuyen-doi-tu-ho-kinh-doanh-len-doanh-nghiep" TargetMode="External"/><Relationship Id="rId1771" Type="http://schemas.openxmlformats.org/officeDocument/2006/relationships/hyperlink" Target="https://techcombank.com/thong-tin/blog/top-phan-mem-ban-hang" TargetMode="External"/><Relationship Id="rId1772" Type="http://schemas.openxmlformats.org/officeDocument/2006/relationships/hyperlink" Target="https://techcombank.com/thong-tin/blog/dieu-kien-vay-von-ngan-hang" TargetMode="External"/><Relationship Id="rId1773" Type="http://schemas.openxmlformats.org/officeDocument/2006/relationships/hyperlink" Target="https://techcombank.com/thong-tin/blog/phat-cham-dang-ky-thue-ho-kinh-doanh" TargetMode="External"/><Relationship Id="rId73" Type="http://schemas.openxmlformats.org/officeDocument/2006/relationships/hyperlink" Target="https://techcombank.com/thong-tin/blog/mua-chung-chi-quy" TargetMode="External"/><Relationship Id="rId1763" Type="http://schemas.openxmlformats.org/officeDocument/2006/relationships/hyperlink" Target="https://techcombank.com/thong-tin/blog/ho-kinh-doanh-dong-thue-nhu-nao" TargetMode="External"/><Relationship Id="rId72" Type="http://schemas.openxmlformats.org/officeDocument/2006/relationships/hyperlink" Target="https://techcombank.com/thong-tin/blog/danh-muc-dau-tu" TargetMode="External"/><Relationship Id="rId1764" Type="http://schemas.openxmlformats.org/officeDocument/2006/relationships/hyperlink" Target="https://techcombank.com/thong-tin/blog/dong-ma-so-thue-ho-kinh-doanh" TargetMode="External"/><Relationship Id="rId75" Type="http://schemas.openxmlformats.org/officeDocument/2006/relationships/hyperlink" Target="https://techcombank.com/thong-tin/blog/dau-co-va-dau-tu" TargetMode="External"/><Relationship Id="rId1765" Type="http://schemas.openxmlformats.org/officeDocument/2006/relationships/hyperlink" Target="https://techcombank.com/thong-tin/blog/one-stop-shop" TargetMode="External"/><Relationship Id="rId74" Type="http://schemas.openxmlformats.org/officeDocument/2006/relationships/hyperlink" Target="https://techcombank.com/thong-tin/blog/cach-tinh-loi-nhuan-chung-chi-tien-gui" TargetMode="External"/><Relationship Id="rId1766" Type="http://schemas.openxmlformats.org/officeDocument/2006/relationships/hyperlink" Target="https://techcombank.com/thong-tin/blog/thue-phi-co-dinh-khi-chuyen-doi-tu-ho-kinh-doanh-len-doanh-nghiep" TargetMode="External"/><Relationship Id="rId77" Type="http://schemas.openxmlformats.org/officeDocument/2006/relationships/hyperlink" Target="https://techcombank.com/thong-tin/blog/toi-uu-hoa-chi-phi-trong-doanh-nghiep" TargetMode="External"/><Relationship Id="rId1767" Type="http://schemas.openxmlformats.org/officeDocument/2006/relationships/hyperlink" Target="https://techcombank.com/thong-tin/blog/tim-hieu-ve-chinh-sach-thue-moi" TargetMode="External"/><Relationship Id="rId76" Type="http://schemas.openxmlformats.org/officeDocument/2006/relationships/hyperlink" Target="https://techcombank.com/thong-tin/blog/co-50-trieu-nen-mua-vang-hay-gui-tiet-kiem" TargetMode="External"/><Relationship Id="rId1768" Type="http://schemas.openxmlformats.org/officeDocument/2006/relationships/hyperlink" Target="https://techcombank.com/thong-tin/blog/may-tinh-tien" TargetMode="External"/><Relationship Id="rId79" Type="http://schemas.openxmlformats.org/officeDocument/2006/relationships/hyperlink" Target="https://techcombank.com/thong-tin/blog/ke-khai-thue-doanh-nghiep" TargetMode="External"/><Relationship Id="rId1769" Type="http://schemas.openxmlformats.org/officeDocument/2006/relationships/hyperlink" Target="https://techcombank.com/thong-tin/blog/ke-khai-thue-doanh-nghiep" TargetMode="External"/><Relationship Id="rId78" Type="http://schemas.openxmlformats.org/officeDocument/2006/relationships/hyperlink" Target="https://techcombank.com/thong-tin/blog/ngoai-hoi-la-gi" TargetMode="External"/><Relationship Id="rId71" Type="http://schemas.openxmlformats.org/officeDocument/2006/relationships/hyperlink" Target="https://techcombank.com/thong-tin/blog/ho-kinh-doanh-can-gi-o-tai-khoan-ngan-hang" TargetMode="External"/><Relationship Id="rId70" Type="http://schemas.openxmlformats.org/officeDocument/2006/relationships/hyperlink" Target="https://techcombank.com/thong-tin/blog/lai-suat-chung-chi-quy" TargetMode="External"/><Relationship Id="rId1760" Type="http://schemas.openxmlformats.org/officeDocument/2006/relationships/hyperlink" Target="https://techcombank.com/thong-tin/blog/khai-bao-tai-khoan-ngan-hang-voi-co-quan-thue" TargetMode="External"/><Relationship Id="rId1761" Type="http://schemas.openxmlformats.org/officeDocument/2006/relationships/hyperlink" Target="https://techcombank.com/thong-tin/blog/hoa-don-dien-tu-ho-kinh-doanh" TargetMode="External"/><Relationship Id="rId1762" Type="http://schemas.openxmlformats.org/officeDocument/2006/relationships/hyperlink" Target="https://techcombank.com/thong-tin/blog/thue-khoan-ho-kinh-doanh-la-gi" TargetMode="External"/><Relationship Id="rId62" Type="http://schemas.openxmlformats.org/officeDocument/2006/relationships/hyperlink" Target="https://techcombank.com/thong-tin/blog/thi-truong-trai-phieu-am-tro-lai-nha-dau-tu-san-sang-cho-nhung-co-hoi-sinh-loi-moi" TargetMode="External"/><Relationship Id="rId1312" Type="http://schemas.openxmlformats.org/officeDocument/2006/relationships/hyperlink" Target="https://techcombank.com/thong-tin/blog/high-net-worth-client-va-ultra-high-net-worth-client" TargetMode="External"/><Relationship Id="rId1796" Type="http://schemas.openxmlformats.org/officeDocument/2006/relationships/hyperlink" Target="https://techcombank.com/thong-tin/blog/vay-mua-xe-tra-gop-ngan-hang-nao-tot-nhat" TargetMode="External"/><Relationship Id="rId61" Type="http://schemas.openxmlformats.org/officeDocument/2006/relationships/hyperlink" Target="https://techcombank.com/thong-tin/blog/tim-hieu-ve-chinh-sach-thue-moi" TargetMode="External"/><Relationship Id="rId1313" Type="http://schemas.openxmlformats.org/officeDocument/2006/relationships/hyperlink" Target="https://techcombank.com/thong-tin/blog/xu-huong-ty-gia-usd" TargetMode="External"/><Relationship Id="rId1797" Type="http://schemas.openxmlformats.org/officeDocument/2006/relationships/hyperlink" Target="https://techcombank.com/thong-tin/blog/lai-suat-vay-thau-chi" TargetMode="External"/><Relationship Id="rId64" Type="http://schemas.openxmlformats.org/officeDocument/2006/relationships/hyperlink" Target="https://techcombank.com/thong-tin/blog/tra-cuu-no-thue-doanh-nghiep" TargetMode="External"/><Relationship Id="rId1314" Type="http://schemas.openxmlformats.org/officeDocument/2006/relationships/hyperlink" Target="https://techcombank.com/thong-tin/blog/gia-tri-tai-san-rong" TargetMode="External"/><Relationship Id="rId1798" Type="http://schemas.openxmlformats.org/officeDocument/2006/relationships/hyperlink" Target="https://techcombank.com/thong-tin/blog/vay-mua-nha-tra-gop" TargetMode="External"/><Relationship Id="rId63" Type="http://schemas.openxmlformats.org/officeDocument/2006/relationships/hyperlink" Target="https://techcombank.com/thong-tin/blog/ke-khai-thue-doanh-nghiep" TargetMode="External"/><Relationship Id="rId1315" Type="http://schemas.openxmlformats.org/officeDocument/2006/relationships/hyperlink" Target="https://techcombank.com/thong-tin/blog/lai-suat-gui-tiet-kiem-usd" TargetMode="External"/><Relationship Id="rId1799" Type="http://schemas.openxmlformats.org/officeDocument/2006/relationships/hyperlink" Target="https://techcombank.com/thong-tin/blog/cach-thanh-toan-the-tin-dung" TargetMode="External"/><Relationship Id="rId66" Type="http://schemas.openxmlformats.org/officeDocument/2006/relationships/hyperlink" Target="https://techcombank.com/thong-tin/blog/quan-ly-tai-chinh-doanh-nghiep-la-gi" TargetMode="External"/><Relationship Id="rId1316" Type="http://schemas.openxmlformats.org/officeDocument/2006/relationships/hyperlink" Target="https://techcombank.com/thong-tin/blog/gui-tiet-kiem-usd" TargetMode="External"/><Relationship Id="rId65" Type="http://schemas.openxmlformats.org/officeDocument/2006/relationships/hyperlink" Target="https://techcombank.com/thong-tin/blog/kinh-nghiem-mua-vang-tich-tru" TargetMode="External"/><Relationship Id="rId1317" Type="http://schemas.openxmlformats.org/officeDocument/2006/relationships/hyperlink" Target="https://techcombank.com/thong-tin/blog/doi-tien-do-o-dau" TargetMode="External"/><Relationship Id="rId68" Type="http://schemas.openxmlformats.org/officeDocument/2006/relationships/hyperlink" Target="https://techcombank.com/thong-tin/blog/gia-chung-chi-quy-la-gi" TargetMode="External"/><Relationship Id="rId1318" Type="http://schemas.openxmlformats.org/officeDocument/2006/relationships/hyperlink" Target="https://techcombank.com/thong-tin/blog/dieu-kien-mua-usd-tu-ngan-hang" TargetMode="External"/><Relationship Id="rId67" Type="http://schemas.openxmlformats.org/officeDocument/2006/relationships/hyperlink" Target="https://techcombank.com/thong-tin/blog/nha-dau-tu-giao-dich-trai-phieu-truc-tuyen-tang-manh-tro-lai" TargetMode="External"/><Relationship Id="rId1319" Type="http://schemas.openxmlformats.org/officeDocument/2006/relationships/hyperlink" Target="https://techcombank.com/thong-tin/blog/tien-singapore" TargetMode="External"/><Relationship Id="rId729" Type="http://schemas.openxmlformats.org/officeDocument/2006/relationships/hyperlink" Target="https://techcombank.com/thong-tin/blog/cay-atm-gan-day" TargetMode="External"/><Relationship Id="rId728" Type="http://schemas.openxmlformats.org/officeDocument/2006/relationships/hyperlink" Target="https://techcombank.com/thong-tin/blog/the-he-tre-day-manh-xu-huong-thanh-toan-khong-dung-tien-mat" TargetMode="External"/><Relationship Id="rId60" Type="http://schemas.openxmlformats.org/officeDocument/2006/relationships/hyperlink" Target="https://techcombank.com/thong-tin/blog/thue-doanh-nghiep" TargetMode="External"/><Relationship Id="rId723" Type="http://schemas.openxmlformats.org/officeDocument/2006/relationships/hyperlink" Target="https://techcombank.com/thong-tin/blog/xu-huong-thanh-toan-khong-dung-tien-mat-tai-viet-nam" TargetMode="External"/><Relationship Id="rId722" Type="http://schemas.openxmlformats.org/officeDocument/2006/relationships/hyperlink" Target="https://techcombank.com/thong-tin/blog/nang-han-muc-tin-dung" TargetMode="External"/><Relationship Id="rId721" Type="http://schemas.openxmlformats.org/officeDocument/2006/relationships/hyperlink" Target="https://techcombank.com/thong-tin/blog/cach-su-dung-the-tin-dung" TargetMode="External"/><Relationship Id="rId720" Type="http://schemas.openxmlformats.org/officeDocument/2006/relationships/hyperlink" Target="https://techcombank.com/thong-tin/blog/the-tin-dung-la-gi" TargetMode="External"/><Relationship Id="rId727" Type="http://schemas.openxmlformats.org/officeDocument/2006/relationships/hyperlink" Target="https://techcombank.com/thong-tin/blog/thanh-toan-khong-tien-mat-trong-nganh-giao-duc-co-hoi-va-thach-thuc" TargetMode="External"/><Relationship Id="rId726" Type="http://schemas.openxmlformats.org/officeDocument/2006/relationships/hyperlink" Target="https://techcombank.com/thong-tin/blog/cach-su-dung-the-visa-techcombank" TargetMode="External"/><Relationship Id="rId725" Type="http://schemas.openxmlformats.org/officeDocument/2006/relationships/hyperlink" Target="https://techcombank.com/thong-tin/blog/rut-tien-bao-hiem-nhan-tho-khi-het-han" TargetMode="External"/><Relationship Id="rId724" Type="http://schemas.openxmlformats.org/officeDocument/2006/relationships/hyperlink" Target="https://techcombank.com/thong-tin/blog/cach-rut-tien-atm" TargetMode="External"/><Relationship Id="rId69" Type="http://schemas.openxmlformats.org/officeDocument/2006/relationships/hyperlink" Target="https://techcombank.com/thong-tin/blog/lai-suat-tiet-kiem" TargetMode="External"/><Relationship Id="rId1790" Type="http://schemas.openxmlformats.org/officeDocument/2006/relationships/hyperlink" Target="https://techcombank.com/thong-tin/blog/the-visa-de-lam-gi" TargetMode="External"/><Relationship Id="rId1791" Type="http://schemas.openxmlformats.org/officeDocument/2006/relationships/hyperlink" Target="https://techcombank.com/thong-tin/blog/rui-ro-khi-vay-the-chap-ngan-hang" TargetMode="External"/><Relationship Id="rId1792" Type="http://schemas.openxmlformats.org/officeDocument/2006/relationships/hyperlink" Target="https://techcombank.com/thong-tin/blog/vay-tin-chap-va-vay-the-chap" TargetMode="External"/><Relationship Id="rId1793" Type="http://schemas.openxmlformats.org/officeDocument/2006/relationships/hyperlink" Target="https://techcombank.com/thong-tin/blog/lai-suat-vay-the-chap" TargetMode="External"/><Relationship Id="rId1310" Type="http://schemas.openxmlformats.org/officeDocument/2006/relationships/hyperlink" Target="https://techcombank.com/thong-tin/blog/thanh-toan-bang-the-quoc-te" TargetMode="External"/><Relationship Id="rId1794" Type="http://schemas.openxmlformats.org/officeDocument/2006/relationships/hyperlink" Target="https://techcombank.com/thong-tin/blog/tat-toan" TargetMode="External"/><Relationship Id="rId1311" Type="http://schemas.openxmlformats.org/officeDocument/2006/relationships/hyperlink" Target="https://techcombank.com/thong-tin/blog/1-dong-do-la-my-bang-bao-nhieu-tien-viet-nam" TargetMode="External"/><Relationship Id="rId1795" Type="http://schemas.openxmlformats.org/officeDocument/2006/relationships/hyperlink" Target="https://techcombank.com/thong-tin/blog/dao-han-la-gi" TargetMode="External"/><Relationship Id="rId51" Type="http://schemas.openxmlformats.org/officeDocument/2006/relationships/hyperlink" Target="https://techcombank.com/thong-tin/blog/nhung-chi-phi-khong-duoc-tru-khi-tinh-thue-tndn" TargetMode="External"/><Relationship Id="rId1301" Type="http://schemas.openxmlformats.org/officeDocument/2006/relationships/hyperlink" Target="https://techcombank.com/thong-tin/blog/1000-yen-bang-bao-nhieu-tien-viet" TargetMode="External"/><Relationship Id="rId1785" Type="http://schemas.openxmlformats.org/officeDocument/2006/relationships/hyperlink" Target="https://techcombank.com/thong-tin/blog/co-nen-mua-o-to-tra-gop" TargetMode="External"/><Relationship Id="rId50" Type="http://schemas.openxmlformats.org/officeDocument/2006/relationships/hyperlink" Target="https://techcombank.com/thong-tin/blog/nop-thue-dat-qua-ngan-hang" TargetMode="External"/><Relationship Id="rId1302" Type="http://schemas.openxmlformats.org/officeDocument/2006/relationships/hyperlink" Target="https://techcombank.com/thong-tin/blog/chuyen-tien-tu-nhat-ve-viet-nam" TargetMode="External"/><Relationship Id="rId1786" Type="http://schemas.openxmlformats.org/officeDocument/2006/relationships/hyperlink" Target="https://techcombank.com/thong-tin/blog/thanh-toan-khoan-vay" TargetMode="External"/><Relationship Id="rId53" Type="http://schemas.openxmlformats.org/officeDocument/2006/relationships/hyperlink" Target="https://techcombank.com/thong-tin/blog/doanh-nghiep-moi-thanh-lap-duoc-uu-dai-gi" TargetMode="External"/><Relationship Id="rId1303" Type="http://schemas.openxmlformats.org/officeDocument/2006/relationships/hyperlink" Target="https://techcombank.com/thong-tin/blog/thanh-toan-khi-du-lich-nhat-ban" TargetMode="External"/><Relationship Id="rId1787" Type="http://schemas.openxmlformats.org/officeDocument/2006/relationships/hyperlink" Target="https://techcombank.com/thong-tin/blog/vay-300-trieu" TargetMode="External"/><Relationship Id="rId52" Type="http://schemas.openxmlformats.org/officeDocument/2006/relationships/hyperlink" Target="https://techcombank.com/thong-tin/blog/quyet-toan-thue-doanh-nghiep" TargetMode="External"/><Relationship Id="rId1304" Type="http://schemas.openxmlformats.org/officeDocument/2006/relationships/hyperlink" Target="https://techcombank.com/thong-tin/blog/chixmax" TargetMode="External"/><Relationship Id="rId1788" Type="http://schemas.openxmlformats.org/officeDocument/2006/relationships/hyperlink" Target="https://techcombank.com/thong-tin/blog/kiem-tra-no-xau" TargetMode="External"/><Relationship Id="rId55" Type="http://schemas.openxmlformats.org/officeDocument/2006/relationships/hyperlink" Target="https://techcombank.com/thong-tin/blog/hoan-thue-doanh-nghiep" TargetMode="External"/><Relationship Id="rId1305" Type="http://schemas.openxmlformats.org/officeDocument/2006/relationships/hyperlink" Target="https://techcombank.com/thong-tin/blog/han-muc-mua-ngoai-te-khi-di-du-lich" TargetMode="External"/><Relationship Id="rId1789" Type="http://schemas.openxmlformats.org/officeDocument/2006/relationships/hyperlink" Target="https://techcombank.com/thong-tin/blog/mua-truoc-tra-sau" TargetMode="External"/><Relationship Id="rId54" Type="http://schemas.openxmlformats.org/officeDocument/2006/relationships/hyperlink" Target="https://techcombank.com/thong-tin/blog/loi-nhuan" TargetMode="External"/><Relationship Id="rId1306" Type="http://schemas.openxmlformats.org/officeDocument/2006/relationships/hyperlink" Target="https://techcombank.com/thong-tin/blog/thanh-toan-khi-du-lich-thai-lan" TargetMode="External"/><Relationship Id="rId57" Type="http://schemas.openxmlformats.org/officeDocument/2006/relationships/hyperlink" Target="https://techcombank.com/thong-tin/blog/giai-dap-ve-thue-doanh-nghiep" TargetMode="External"/><Relationship Id="rId1307" Type="http://schemas.openxmlformats.org/officeDocument/2006/relationships/hyperlink" Target="https://techcombank.com/thong-tin/blog/thanh-toan-qr-thai-lan" TargetMode="External"/><Relationship Id="rId56" Type="http://schemas.openxmlformats.org/officeDocument/2006/relationships/hyperlink" Target="https://techcombank.com/thong-tin/blog/cach-tinh-thue-thu-nhap-doanh-nghiep" TargetMode="External"/><Relationship Id="rId1308" Type="http://schemas.openxmlformats.org/officeDocument/2006/relationships/hyperlink" Target="https://techcombank.com/thong-tin/blog/han-muc-mua-ngoai-te-khi-di-du-lich" TargetMode="External"/><Relationship Id="rId1309" Type="http://schemas.openxmlformats.org/officeDocument/2006/relationships/hyperlink" Target="https://techcombank.com/thong-tin/blog/di-du-lich-nuoc-ngoai-can-chuan-bi-gi" TargetMode="External"/><Relationship Id="rId719" Type="http://schemas.openxmlformats.org/officeDocument/2006/relationships/hyperlink" Target="https://techcombank.com/thong-tin/blog/vay-tien-mat" TargetMode="External"/><Relationship Id="rId718" Type="http://schemas.openxmlformats.org/officeDocument/2006/relationships/hyperlink" Target="https://techcombank.com/thong-tin/blog/bi-nuot-the-atm-phai-lam-sao" TargetMode="External"/><Relationship Id="rId717" Type="http://schemas.openxmlformats.org/officeDocument/2006/relationships/hyperlink" Target="https://techcombank.com/thong-tin/blog/thanh-toan-khong-dung-tien-mat-tro-thanh-xu-huong-tang-truong-chong-mat" TargetMode="External"/><Relationship Id="rId712" Type="http://schemas.openxmlformats.org/officeDocument/2006/relationships/hyperlink" Target="https://techcombank.com/thong-tin/blog/the-visa-de-lam-gi" TargetMode="External"/><Relationship Id="rId711" Type="http://schemas.openxmlformats.org/officeDocument/2006/relationships/hyperlink" Target="https://techcombank.com/thong-tin/blog/tra-cuu-han-muc-the-tin-dung" TargetMode="External"/><Relationship Id="rId710" Type="http://schemas.openxmlformats.org/officeDocument/2006/relationships/hyperlink" Target="https://techcombank.com/thong-tin/blog/rut-tien-bang-ma-qr-khac-ngan-hang-duoc-khong" TargetMode="External"/><Relationship Id="rId716" Type="http://schemas.openxmlformats.org/officeDocument/2006/relationships/hyperlink" Target="https://techcombank.com/thong-tin/blog/ty-le-thanh-toan-khong-dung-tien-mat-trong-linh-vuc-y-te-con-han-che" TargetMode="External"/><Relationship Id="rId715" Type="http://schemas.openxmlformats.org/officeDocument/2006/relationships/hyperlink" Target="https://techcombank.com/thong-tin/blog/rut-tien-bang-ma-qr-la-gi-cach-thuc-hien-nhu-the-nao" TargetMode="External"/><Relationship Id="rId714" Type="http://schemas.openxmlformats.org/officeDocument/2006/relationships/hyperlink" Target="https://techcombank.com/thong-tin/blog/rut-tien-tiet-kiem-truoc-thoi-han" TargetMode="External"/><Relationship Id="rId713" Type="http://schemas.openxmlformats.org/officeDocument/2006/relationships/hyperlink" Target="https://techcombank.com/thong-tin/blog/the-atm-khong-rut-duoc-tien" TargetMode="External"/><Relationship Id="rId59" Type="http://schemas.openxmlformats.org/officeDocument/2006/relationships/hyperlink" Target="https://techcombank.com/thong-tin/blog/kiem-tra-ma-so-thue-doanh-nghiep" TargetMode="External"/><Relationship Id="rId58" Type="http://schemas.openxmlformats.org/officeDocument/2006/relationships/hyperlink" Target="https://techcombank.com/thong-tin/blog/loi-nhuan-rong" TargetMode="External"/><Relationship Id="rId1780" Type="http://schemas.openxmlformats.org/officeDocument/2006/relationships/hyperlink" Target="https://techcombank.com/thong-tin/blog/cong-thuc-tinh-lai-suat-thuc" TargetMode="External"/><Relationship Id="rId1781" Type="http://schemas.openxmlformats.org/officeDocument/2006/relationships/hyperlink" Target="https://techcombank.com/thong-tin/blog/vay-tra-gop" TargetMode="External"/><Relationship Id="rId1782" Type="http://schemas.openxmlformats.org/officeDocument/2006/relationships/hyperlink" Target="https://techcombank.com/thong-tin/blog/lai-suat-vay-kinh-doanh" TargetMode="External"/><Relationship Id="rId1783" Type="http://schemas.openxmlformats.org/officeDocument/2006/relationships/hyperlink" Target="https://techcombank.com/thong-tin/blog/cac-hinh-thuc-vay-von-ngan-hang" TargetMode="External"/><Relationship Id="rId1300" Type="http://schemas.openxmlformats.org/officeDocument/2006/relationships/hyperlink" Target="https://techcombank.com/thong-tin/blog/1-yen-bang-bao-nhieu-tien-viet-nam" TargetMode="External"/><Relationship Id="rId1784" Type="http://schemas.openxmlformats.org/officeDocument/2006/relationships/hyperlink" Target="https://techcombank.com/thong-tin/blog/loi-nhuan" TargetMode="External"/><Relationship Id="rId2269" Type="http://schemas.openxmlformats.org/officeDocument/2006/relationships/hyperlink" Target="https://techcombank.com/thong-tin/blog/mo-tai-khoan-tiet-kiem-cho-con" TargetMode="External"/><Relationship Id="rId349" Type="http://schemas.openxmlformats.org/officeDocument/2006/relationships/hyperlink" Target="https://techcombank.com/thong-tin/blog/cach-nhan-tien-tu-nuoc-ngoai-ve-viet-nam" TargetMode="External"/><Relationship Id="rId348" Type="http://schemas.openxmlformats.org/officeDocument/2006/relationships/hyperlink" Target="https://techcombank.com/thong-tin/blog/chuyen-tien-tu-duc-ve-viet-nam" TargetMode="External"/><Relationship Id="rId347" Type="http://schemas.openxmlformats.org/officeDocument/2006/relationships/hyperlink" Target="https://techcombank.com/thong-tin/blog/gui-tien-sang-nuoc-ngoai" TargetMode="External"/><Relationship Id="rId346" Type="http://schemas.openxmlformats.org/officeDocument/2006/relationships/hyperlink" Target="https://techcombank.com/thong-tin/blog/thu-tuc-chuyen-tien-ra-nuoc-ngoai" TargetMode="External"/><Relationship Id="rId2260" Type="http://schemas.openxmlformats.org/officeDocument/2006/relationships/hyperlink" Target="https://techcombank.com/thong-tin/blog/qua-han-thanh-toan-the-tin-dung-1-ngay" TargetMode="External"/><Relationship Id="rId341" Type="http://schemas.openxmlformats.org/officeDocument/2006/relationships/hyperlink" Target="https://techcombank.com/thong-tin/blog/the-ghi-no-co-chuyen-khoan-duoc-khong" TargetMode="External"/><Relationship Id="rId2261" Type="http://schemas.openxmlformats.org/officeDocument/2006/relationships/hyperlink" Target="https://techcombank.com/thong-tin/blog/co-nen-gui-tiet-kiem-ngan-hang" TargetMode="External"/><Relationship Id="rId340" Type="http://schemas.openxmlformats.org/officeDocument/2006/relationships/hyperlink" Target="https://techcombank.com/thong-tin/blog/cach-chuyen-tien-qua-ma-qr-techcombank" TargetMode="External"/><Relationship Id="rId2262" Type="http://schemas.openxmlformats.org/officeDocument/2006/relationships/hyperlink" Target="https://techcombank.com/thong-tin/blog/lai-suat-tiet-kiem" TargetMode="External"/><Relationship Id="rId2263" Type="http://schemas.openxmlformats.org/officeDocument/2006/relationships/hyperlink" Target="https://techcombank.com/thong-tin/blog/co-nen-gui-tiet-kiem-online" TargetMode="External"/><Relationship Id="rId2264" Type="http://schemas.openxmlformats.org/officeDocument/2006/relationships/hyperlink" Target="https://techcombank.com/thong-tin/blog/gui-tiet-kiem-ngan-hang-van-la-lua-chon-an-toan-trong-thoi-ky-kinh-te-con-nhieu-bien-dong" TargetMode="External"/><Relationship Id="rId345" Type="http://schemas.openxmlformats.org/officeDocument/2006/relationships/hyperlink" Target="https://techcombank.com/thong-tin/blog/tai-khoan-cong-ty-co-chuyen-online-duoc-khong" TargetMode="External"/><Relationship Id="rId2265" Type="http://schemas.openxmlformats.org/officeDocument/2006/relationships/hyperlink" Target="https://techcombank.com/thong-tin/blog/cach-gui-tiet-kiem-online" TargetMode="External"/><Relationship Id="rId344" Type="http://schemas.openxmlformats.org/officeDocument/2006/relationships/hyperlink" Target="https://techcombank.com/thong-tin/blog/cam-nang-dinh-cu-my" TargetMode="External"/><Relationship Id="rId2266" Type="http://schemas.openxmlformats.org/officeDocument/2006/relationships/hyperlink" Target="https://techcombank.com/thong-tin/blog/gui-tien-ngan-hang-co-an-toan-khong" TargetMode="External"/><Relationship Id="rId343" Type="http://schemas.openxmlformats.org/officeDocument/2006/relationships/hyperlink" Target="https://techcombank.com/thong-tin/blog/dinh-cu-chau-au" TargetMode="External"/><Relationship Id="rId2267" Type="http://schemas.openxmlformats.org/officeDocument/2006/relationships/hyperlink" Target="https://techcombank.com/thong-tin/blog/dau-tu-trai-phieu-doanh-nghiep-dung-ham-lai-suat-cao" TargetMode="External"/><Relationship Id="rId342" Type="http://schemas.openxmlformats.org/officeDocument/2006/relationships/hyperlink" Target="https://techcombank.com/thong-tin/blog/chuyen-tien-dinh-cu" TargetMode="External"/><Relationship Id="rId2268" Type="http://schemas.openxmlformats.org/officeDocument/2006/relationships/hyperlink" Target="https://techcombank.com/thong-tin/blog/nen-gui-tiet-kiem-6-thang-hay-1-nam" TargetMode="External"/><Relationship Id="rId2258" Type="http://schemas.openxmlformats.org/officeDocument/2006/relationships/hyperlink" Target="https://techcombank.com/thong-tin/blog/lai-suat-vay-thau-chi" TargetMode="External"/><Relationship Id="rId2259" Type="http://schemas.openxmlformats.org/officeDocument/2006/relationships/hyperlink" Target="https://techcombank.com/thong-tin/blog/tien-gui-khong-ky-han" TargetMode="External"/><Relationship Id="rId338" Type="http://schemas.openxmlformats.org/officeDocument/2006/relationships/hyperlink" Target="https://techcombank.com/thong-tin/blog/xac-thuc-sinh-trac-hoc-khi-chuyen-tien" TargetMode="External"/><Relationship Id="rId337" Type="http://schemas.openxmlformats.org/officeDocument/2006/relationships/hyperlink" Target="https://techcombank.com/thong-tin/blog/mo-tai-khoan-ngan-hang-co-mat-phi-khong" TargetMode="External"/><Relationship Id="rId336" Type="http://schemas.openxmlformats.org/officeDocument/2006/relationships/hyperlink" Target="https://techcombank.com/thong-tin/blog/vi-dien-tu-la-gi" TargetMode="External"/><Relationship Id="rId335" Type="http://schemas.openxmlformats.org/officeDocument/2006/relationships/hyperlink" Target="https://techcombank.com/thong-tin/blog/ma-swift-ngan-hang" TargetMode="External"/><Relationship Id="rId339" Type="http://schemas.openxmlformats.org/officeDocument/2006/relationships/hyperlink" Target="https://techcombank.com/thong-tin/blog/app-vay-tien-nhanh" TargetMode="External"/><Relationship Id="rId330" Type="http://schemas.openxmlformats.org/officeDocument/2006/relationships/hyperlink" Target="https://techcombank.com/thong-tin/blog/the-tin-dung-co-chuyen-khoan-duoc-khong" TargetMode="External"/><Relationship Id="rId2250" Type="http://schemas.openxmlformats.org/officeDocument/2006/relationships/hyperlink" Target="https://techcombank.com/thong-tin/blog/diem-loyalty-la-gi" TargetMode="External"/><Relationship Id="rId2251" Type="http://schemas.openxmlformats.org/officeDocument/2006/relationships/hyperlink" Target="https://techcombank.com/thong-tin/blog/techcombank-oneu" TargetMode="External"/><Relationship Id="rId2252" Type="http://schemas.openxmlformats.org/officeDocument/2006/relationships/hyperlink" Target="https://techcombank.com/thong-tin/blog/gui-tiet-kiem-theo-ngay" TargetMode="External"/><Relationship Id="rId2253" Type="http://schemas.openxmlformats.org/officeDocument/2006/relationships/hyperlink" Target="https://techcombank.com/thong-tin/blog/gui-tiet-kiem-vang" TargetMode="External"/><Relationship Id="rId334" Type="http://schemas.openxmlformats.org/officeDocument/2006/relationships/hyperlink" Target="https://techcombank.com/thong-tin/blog/cach-su-dung-the-visa-techcombank" TargetMode="External"/><Relationship Id="rId2254" Type="http://schemas.openxmlformats.org/officeDocument/2006/relationships/hyperlink" Target="https://techcombank.com/thong-tin/blog/nen-gui-tiet-kiem-thong-thuong-hay-tich-luy" TargetMode="External"/><Relationship Id="rId333" Type="http://schemas.openxmlformats.org/officeDocument/2006/relationships/hyperlink" Target="https://techcombank.com/thong-tin/blog/cach-chuyen-khoan-bang-dien-thoai" TargetMode="External"/><Relationship Id="rId2255" Type="http://schemas.openxmlformats.org/officeDocument/2006/relationships/hyperlink" Target="https://techcombank.com/thong-tin/blog/tai-sao-gui-tiet-kiem-online-lai-suat-cao-hon" TargetMode="External"/><Relationship Id="rId332" Type="http://schemas.openxmlformats.org/officeDocument/2006/relationships/hyperlink" Target="https://techcombank.com/thong-tin/blog/nguoi-duoc-bao-hiem-la-gi" TargetMode="External"/><Relationship Id="rId2256" Type="http://schemas.openxmlformats.org/officeDocument/2006/relationships/hyperlink" Target="https://techcombank.com/thong-tin/blog/rui-ro-khi-vay-the-chap-ngan-hang" TargetMode="External"/><Relationship Id="rId331" Type="http://schemas.openxmlformats.org/officeDocument/2006/relationships/hyperlink" Target="https://techcombank.com/thong-tin/blog/iban-la-gi" TargetMode="External"/><Relationship Id="rId2257" Type="http://schemas.openxmlformats.org/officeDocument/2006/relationships/hyperlink" Target="https://techcombank.com/thong-tin/blog/lai-kep-ngan-hang" TargetMode="External"/><Relationship Id="rId370" Type="http://schemas.openxmlformats.org/officeDocument/2006/relationships/hyperlink" Target="https://techcombank.com/thong-tin/blog/sai-lam-ve-tai-chinh-ca-nhan" TargetMode="External"/><Relationship Id="rId369" Type="http://schemas.openxmlformats.org/officeDocument/2006/relationships/hyperlink" Target="https://techcombank.com/thong-tin/blog/lam-the-atm-co-mat-phi-khong" TargetMode="External"/><Relationship Id="rId368" Type="http://schemas.openxmlformats.org/officeDocument/2006/relationships/hyperlink" Target="https://techcombank.com/thong-tin/blog/li-xi-so-dep" TargetMode="External"/><Relationship Id="rId2280" Type="http://schemas.openxmlformats.org/officeDocument/2006/relationships/hyperlink" Target="https://techcombank.com/thong-tin/blog/gui-tiet-kiem-ngoai-te" TargetMode="External"/><Relationship Id="rId2281" Type="http://schemas.openxmlformats.org/officeDocument/2006/relationships/hyperlink" Target="https://techcombank.com/thong-tin/blog/lai-suat-ngan-hang-cho-vay-xay-nha" TargetMode="External"/><Relationship Id="rId2282" Type="http://schemas.openxmlformats.org/officeDocument/2006/relationships/hyperlink" Target="https://techcombank.com/thong-tin/blog/rui-ro-khi-gui-tiet-kiem-ngan-hang" TargetMode="External"/><Relationship Id="rId363" Type="http://schemas.openxmlformats.org/officeDocument/2006/relationships/hyperlink" Target="https://techcombank.com/thong-tin/blog/cach-lam-the-atm" TargetMode="External"/><Relationship Id="rId2283" Type="http://schemas.openxmlformats.org/officeDocument/2006/relationships/hyperlink" Target="https://techcombank.com/thong-tin/blog/gui-tiet-kiem-hang-thang" TargetMode="External"/><Relationship Id="rId362" Type="http://schemas.openxmlformats.org/officeDocument/2006/relationships/hyperlink" Target="https://techcombank.com/thong-tin/blog/hoc-sinh-sinh-vien-nen-lam-the-ngan-hang-nao" TargetMode="External"/><Relationship Id="rId2284" Type="http://schemas.openxmlformats.org/officeDocument/2006/relationships/hyperlink" Target="https://techcombank.com/thong-tin/blog/cach-tiet-kiem-tien" TargetMode="External"/><Relationship Id="rId361" Type="http://schemas.openxmlformats.org/officeDocument/2006/relationships/hyperlink" Target="https://techcombank.com/thong-tin/blog/mo-tai-khoan-ngan-hang-cho-tre-em" TargetMode="External"/><Relationship Id="rId2285" Type="http://schemas.openxmlformats.org/officeDocument/2006/relationships/hyperlink" Target="https://techcombank.com/thong-tin/blog/tra-no-vay-thau-chi-nhu-the-nao" TargetMode="External"/><Relationship Id="rId360" Type="http://schemas.openxmlformats.org/officeDocument/2006/relationships/hyperlink" Target="https://techcombank.com/thong-tin/blog/1000-yen-bang-bao-nhieu-tien-viet" TargetMode="External"/><Relationship Id="rId2286" Type="http://schemas.openxmlformats.org/officeDocument/2006/relationships/hyperlink" Target="https://techcombank.com/thong-tin/blog/rut-tien-bao-hiem-nhan-tho-khi-het-han" TargetMode="External"/><Relationship Id="rId367" Type="http://schemas.openxmlformats.org/officeDocument/2006/relationships/hyperlink" Target="https://techcombank.com/thong-tin/blog/the-he-ke-can" TargetMode="External"/><Relationship Id="rId2287" Type="http://schemas.openxmlformats.org/officeDocument/2006/relationships/hyperlink" Target="https://techcombank.com/thong-tin/blog/cach-tinh-lai-vay-ngan-hang" TargetMode="External"/><Relationship Id="rId366" Type="http://schemas.openxmlformats.org/officeDocument/2006/relationships/hyperlink" Target="https://techcombank.com/thong-tin/blog/tap-doan-thanh-quang-khoi-sac-kinh-doanh-nho-nguon-von-vay-tin-dung-techcombank-tren-nen-tang-misa-lending" TargetMode="External"/><Relationship Id="rId2288" Type="http://schemas.openxmlformats.org/officeDocument/2006/relationships/hyperlink" Target="https://techcombank.com/thong-tin/blog/gui-tiet-kiem-online-bi-mat-tien" TargetMode="External"/><Relationship Id="rId365" Type="http://schemas.openxmlformats.org/officeDocument/2006/relationships/hyperlink" Target="https://techcombank.com/thong-tin/blog/lam-the-atm-bao-lau-co" TargetMode="External"/><Relationship Id="rId2289" Type="http://schemas.openxmlformats.org/officeDocument/2006/relationships/hyperlink" Target="https://techcombank.com/thong-tin/blog/kinh-nghiem-gui-tiet-kiem-online" TargetMode="External"/><Relationship Id="rId364" Type="http://schemas.openxmlformats.org/officeDocument/2006/relationships/hyperlink" Target="https://techcombank.com/thong-tin/blog/1-nguoi-co-the-lam-duoc-bao-nhieu-the-atm" TargetMode="External"/><Relationship Id="rId95" Type="http://schemas.openxmlformats.org/officeDocument/2006/relationships/hyperlink" Target="https://techcombank.com/thong-tin/blog/the-tin-dung-co-chuyen-khoan-duoc-khong" TargetMode="External"/><Relationship Id="rId94" Type="http://schemas.openxmlformats.org/officeDocument/2006/relationships/hyperlink" Target="https://techcombank.com/thong-tin/blog/phan-mem-xuat-hoa-don-dien-tu" TargetMode="External"/><Relationship Id="rId97" Type="http://schemas.openxmlformats.org/officeDocument/2006/relationships/hyperlink" Target="https://techcombank.com/thong-tin/blog/tra-cuu-hoa-don-nuoc" TargetMode="External"/><Relationship Id="rId96" Type="http://schemas.openxmlformats.org/officeDocument/2006/relationships/hyperlink" Target="https://techcombank.com/thong-tin/blog/app-dong-tien-dien-online" TargetMode="External"/><Relationship Id="rId99" Type="http://schemas.openxmlformats.org/officeDocument/2006/relationships/hyperlink" Target="https://techcombank.com/thong-tin/blog/thanh-toan-hoa-don-tieu-dung" TargetMode="External"/><Relationship Id="rId98" Type="http://schemas.openxmlformats.org/officeDocument/2006/relationships/hyperlink" Target="https://techcombank.com/thong-tin/blog/tra-cuu-hoa-don-tien-dien" TargetMode="External"/><Relationship Id="rId91" Type="http://schemas.openxmlformats.org/officeDocument/2006/relationships/hyperlink" Target="https://techcombank.com/thong-tin/blog/one-stop-shop" TargetMode="External"/><Relationship Id="rId90" Type="http://schemas.openxmlformats.org/officeDocument/2006/relationships/hyperlink" Target="https://techcombank.com/thong-tin/blog/thue-doanh-nghiep" TargetMode="External"/><Relationship Id="rId93" Type="http://schemas.openxmlformats.org/officeDocument/2006/relationships/hyperlink" Target="https://techcombank.com/thong-tin/blog/may-tinh-tien" TargetMode="External"/><Relationship Id="rId92" Type="http://schemas.openxmlformats.org/officeDocument/2006/relationships/hyperlink" Target="https://techcombank.com/thong-tin/blog/tim-hieu-ve-chinh-sach-thue-moi" TargetMode="External"/><Relationship Id="rId359" Type="http://schemas.openxmlformats.org/officeDocument/2006/relationships/hyperlink" Target="https://techcombank.com/thong-tin/blog/tien-trung-quoc" TargetMode="External"/><Relationship Id="rId358" Type="http://schemas.openxmlformats.org/officeDocument/2006/relationships/hyperlink" Target="https://techcombank.com/thong-tin/blog/1000-won-bang-bao-nhieu-tien-viet" TargetMode="External"/><Relationship Id="rId357" Type="http://schemas.openxmlformats.org/officeDocument/2006/relationships/hyperlink" Target="https://techcombank.com/thong-tin/blog/chuyen-tien-tu-my-ve-viet-nam" TargetMode="External"/><Relationship Id="rId2270" Type="http://schemas.openxmlformats.org/officeDocument/2006/relationships/hyperlink" Target="https://techcombank.com/thong-tin/blog/lai-suat-the-tin-dung" TargetMode="External"/><Relationship Id="rId2271" Type="http://schemas.openxmlformats.org/officeDocument/2006/relationships/hyperlink" Target="https://techcombank.com/thong-tin/blog/quy-gia-dinh" TargetMode="External"/><Relationship Id="rId352" Type="http://schemas.openxmlformats.org/officeDocument/2006/relationships/hyperlink" Target="https://techcombank.com/thong-tin/blog/chuyen-tien-tu-nhat-ve-viet-nam" TargetMode="External"/><Relationship Id="rId2272" Type="http://schemas.openxmlformats.org/officeDocument/2006/relationships/hyperlink" Target="https://techcombank.com/thong-tin/blog/lai-suat-vay-the-chap-so-do" TargetMode="External"/><Relationship Id="rId351" Type="http://schemas.openxmlformats.org/officeDocument/2006/relationships/hyperlink" Target="https://techcombank.com/thong-tin/blog/chuyen-tien-tu-han-sang-viet-nam" TargetMode="External"/><Relationship Id="rId2273" Type="http://schemas.openxmlformats.org/officeDocument/2006/relationships/hyperlink" Target="https://techcombank.com/thong-tin/blog/gui-tiet-kiem-lay-lai-hang-thang" TargetMode="External"/><Relationship Id="rId350" Type="http://schemas.openxmlformats.org/officeDocument/2006/relationships/hyperlink" Target="https://techcombank.com/thong-tin/blog/chuyen-tien-tro-cap-than-nhan-o-nuoc-ngoai" TargetMode="External"/><Relationship Id="rId2274" Type="http://schemas.openxmlformats.org/officeDocument/2006/relationships/hyperlink" Target="https://techcombank.com/thong-tin/blog/rui-ro-khi-gui-tiet-kiem-online" TargetMode="External"/><Relationship Id="rId2275" Type="http://schemas.openxmlformats.org/officeDocument/2006/relationships/hyperlink" Target="https://techcombank.com/thong-tin/blog/tich-luy-tai-san" TargetMode="External"/><Relationship Id="rId356" Type="http://schemas.openxmlformats.org/officeDocument/2006/relationships/hyperlink" Target="https://techcombank.com/thong-tin/blog/tien-lao" TargetMode="External"/><Relationship Id="rId2276" Type="http://schemas.openxmlformats.org/officeDocument/2006/relationships/hyperlink" Target="https://techcombank.com/thong-tin/blog/cach-tinh-lai-suat-tien-gui-tiet-kiem" TargetMode="External"/><Relationship Id="rId355" Type="http://schemas.openxmlformats.org/officeDocument/2006/relationships/hyperlink" Target="https://techcombank.com/thong-tin/blog/chuyen-tien-di-uc" TargetMode="External"/><Relationship Id="rId2277" Type="http://schemas.openxmlformats.org/officeDocument/2006/relationships/hyperlink" Target="https://techcombank.com/thong-tin/blog/lai-suat-tha-noi" TargetMode="External"/><Relationship Id="rId354" Type="http://schemas.openxmlformats.org/officeDocument/2006/relationships/hyperlink" Target="https://techcombank.com/thong-tin/blog/tien-nhat" TargetMode="External"/><Relationship Id="rId2278" Type="http://schemas.openxmlformats.org/officeDocument/2006/relationships/hyperlink" Target="https://techcombank.com/thong-tin/blog/lai-suat-vay-tieu-dung" TargetMode="External"/><Relationship Id="rId353" Type="http://schemas.openxmlformats.org/officeDocument/2006/relationships/hyperlink" Target="https://techcombank.com/thong-tin/blog/tien-thai-lan" TargetMode="External"/><Relationship Id="rId2279" Type="http://schemas.openxmlformats.org/officeDocument/2006/relationships/hyperlink" Target="https://techcombank.com/thong-tin/blog/chon-kenh-dau-tu-an-toan-trong-boi-canh-thi-truong-bien-dong" TargetMode="External"/><Relationship Id="rId1378" Type="http://schemas.openxmlformats.org/officeDocument/2006/relationships/hyperlink" Target="https://techcombank.com/thong-tin/blog/gui-tien-du-hoc" TargetMode="External"/><Relationship Id="rId2225" Type="http://schemas.openxmlformats.org/officeDocument/2006/relationships/hyperlink" Target="https://techcombank.com/thong-tin/blog/cach-su-dung-the-visa-techcombank" TargetMode="External"/><Relationship Id="rId1379" Type="http://schemas.openxmlformats.org/officeDocument/2006/relationships/hyperlink" Target="https://techcombank.com/thong-tin/blog/ngoai-hoi-la-gi" TargetMode="External"/><Relationship Id="rId2226" Type="http://schemas.openxmlformats.org/officeDocument/2006/relationships/hyperlink" Target="https://techcombank.com/thong-tin/blog/lai-suat-vay-ngan-hang" TargetMode="External"/><Relationship Id="rId2227" Type="http://schemas.openxmlformats.org/officeDocument/2006/relationships/hyperlink" Target="https://techcombank.com/thong-tin/blog/du-no-tin-dung-la-gi" TargetMode="External"/><Relationship Id="rId2228" Type="http://schemas.openxmlformats.org/officeDocument/2006/relationships/hyperlink" Target="https://techcombank.com/thong-tin/blog/mua-nha-tra-gop-dua-truoc-100-trieu" TargetMode="External"/><Relationship Id="rId2229" Type="http://schemas.openxmlformats.org/officeDocument/2006/relationships/hyperlink" Target="https://techcombank.com/thong-tin/blog/vay-han-muc-la-gi" TargetMode="External"/><Relationship Id="rId305" Type="http://schemas.openxmlformats.org/officeDocument/2006/relationships/hyperlink" Target="https://techcombank.com/thong-tin/blog/lai-suat-vay-ngan-hang" TargetMode="External"/><Relationship Id="rId789" Type="http://schemas.openxmlformats.org/officeDocument/2006/relationships/hyperlink" Target="https://techcombank.com/thong-tin/blog/thanh-toan-tra-gop-qua-the-tin-dung" TargetMode="External"/><Relationship Id="rId304" Type="http://schemas.openxmlformats.org/officeDocument/2006/relationships/hyperlink" Target="https://techcombank.com/thong-tin/blog/the-tin-dung-mien-lai-55-ngay" TargetMode="External"/><Relationship Id="rId788" Type="http://schemas.openxmlformats.org/officeDocument/2006/relationships/hyperlink" Target="https://techcombank.com/thong-tin/blog/cach-dang-ky-the-visa" TargetMode="External"/><Relationship Id="rId303" Type="http://schemas.openxmlformats.org/officeDocument/2006/relationships/hyperlink" Target="https://techcombank.com/thong-tin/blog/gui-tiet-kiem-ngoai-te" TargetMode="External"/><Relationship Id="rId787" Type="http://schemas.openxmlformats.org/officeDocument/2006/relationships/hyperlink" Target="https://techcombank.com/thong-tin/blog/thanh-toan-tien-dien-bang-the-tin-dung" TargetMode="External"/><Relationship Id="rId302" Type="http://schemas.openxmlformats.org/officeDocument/2006/relationships/hyperlink" Target="https://techcombank.com/thong-tin/blog/hoc-sinh-sinh-vien-nen-lam-the-ngan-hang-nao" TargetMode="External"/><Relationship Id="rId786" Type="http://schemas.openxmlformats.org/officeDocument/2006/relationships/hyperlink" Target="https://techcombank.com/thong-tin/blog/tra-gop-shopee" TargetMode="External"/><Relationship Id="rId309" Type="http://schemas.openxmlformats.org/officeDocument/2006/relationships/hyperlink" Target="https://techcombank.com/thong-tin/blog/lai-suat-vay-tin-chap" TargetMode="External"/><Relationship Id="rId308" Type="http://schemas.openxmlformats.org/officeDocument/2006/relationships/hyperlink" Target="https://techcombank.com/thong-tin/blog/lai-suat-vay-mua-o-to" TargetMode="External"/><Relationship Id="rId307" Type="http://schemas.openxmlformats.org/officeDocument/2006/relationships/hyperlink" Target="https://techcombank.com/thong-tin/blog/lai-suat-chung-chi-tien-gui-cac-ngan-hang" TargetMode="External"/><Relationship Id="rId306" Type="http://schemas.openxmlformats.org/officeDocument/2006/relationships/hyperlink" Target="https://techcombank.com/thong-tin/blog/mat-the-tin-dung-co-lam-lai-duoc-khong" TargetMode="External"/><Relationship Id="rId781" Type="http://schemas.openxmlformats.org/officeDocument/2006/relationships/hyperlink" Target="https://techcombank.com/thong-tin/blog/lam-the-visa-mat-bao-lau" TargetMode="External"/><Relationship Id="rId1370" Type="http://schemas.openxmlformats.org/officeDocument/2006/relationships/hyperlink" Target="https://techcombank.com/thong-tin/blog/ngoai-te-la-gi" TargetMode="External"/><Relationship Id="rId780" Type="http://schemas.openxmlformats.org/officeDocument/2006/relationships/hyperlink" Target="https://techcombank.com/thong-tin/blog/3d-secure" TargetMode="External"/><Relationship Id="rId1371" Type="http://schemas.openxmlformats.org/officeDocument/2006/relationships/hyperlink" Target="https://techcombank.com/thong-tin/blog/tai-khoan-ngan-hang-la-gi" TargetMode="External"/><Relationship Id="rId1372" Type="http://schemas.openxmlformats.org/officeDocument/2006/relationships/hyperlink" Target="https://techcombank.com/thong-tin/blog/lai-suat-gui-tiet-kiem-usd" TargetMode="External"/><Relationship Id="rId1373" Type="http://schemas.openxmlformats.org/officeDocument/2006/relationships/hyperlink" Target="https://techcombank.com/thong-tin/blog/gui-tiet-kiem-usd" TargetMode="External"/><Relationship Id="rId2220" Type="http://schemas.openxmlformats.org/officeDocument/2006/relationships/hyperlink" Target="https://techcombank.com/thong-tin/blog/vay-mua-nha-o-xa-hoi" TargetMode="External"/><Relationship Id="rId301" Type="http://schemas.openxmlformats.org/officeDocument/2006/relationships/hyperlink" Target="https://techcombank.com/thong-tin/blog/lai-suat-vay-tieu-dung" TargetMode="External"/><Relationship Id="rId785" Type="http://schemas.openxmlformats.org/officeDocument/2006/relationships/hyperlink" Target="https://techcombank.com/thong-tin/blog/thanh-toan-toi-thieu-the-tin-dung" TargetMode="External"/><Relationship Id="rId1374" Type="http://schemas.openxmlformats.org/officeDocument/2006/relationships/hyperlink" Target="https://techcombank.com/thong-tin/blog/gui-tien-sang-nuoc-ngoai" TargetMode="External"/><Relationship Id="rId2221" Type="http://schemas.openxmlformats.org/officeDocument/2006/relationships/hyperlink" Target="https://techcombank.com/thong-tin/blog/kinh-nghiem-vay-tien-ngan-hang-xay-nha" TargetMode="External"/><Relationship Id="rId300" Type="http://schemas.openxmlformats.org/officeDocument/2006/relationships/hyperlink" Target="https://techcombank.com/thong-tin/blog/vay-sinh-vien" TargetMode="External"/><Relationship Id="rId784" Type="http://schemas.openxmlformats.org/officeDocument/2006/relationships/hyperlink" Target="https://techcombank.com/thong-tin/blog/the-tin-dung-ao" TargetMode="External"/><Relationship Id="rId1375" Type="http://schemas.openxmlformats.org/officeDocument/2006/relationships/hyperlink" Target="https://techcombank.com/thong-tin/blog/quy-dinh-ve-mua-ban-ngoai-te-cua-doanh-nghiep" TargetMode="External"/><Relationship Id="rId2222" Type="http://schemas.openxmlformats.org/officeDocument/2006/relationships/hyperlink" Target="https://techcombank.com/thong-tin/blog/vay-tin-chap-theo-luong" TargetMode="External"/><Relationship Id="rId783" Type="http://schemas.openxmlformats.org/officeDocument/2006/relationships/hyperlink" Target="https://techcombank.com/thong-tin/blog/mo-the-tin-dung-co-loi-ich-gi" TargetMode="External"/><Relationship Id="rId1376" Type="http://schemas.openxmlformats.org/officeDocument/2006/relationships/hyperlink" Target="https://techcombank.com/thong-tin/blog/gia-ca-phe-hom-nay" TargetMode="External"/><Relationship Id="rId2223" Type="http://schemas.openxmlformats.org/officeDocument/2006/relationships/hyperlink" Target="https://techcombank.com/thong-tin/blog/tra-gop-qua-the-tin-dung" TargetMode="External"/><Relationship Id="rId782" Type="http://schemas.openxmlformats.org/officeDocument/2006/relationships/hyperlink" Target="https://techcombank.com/thong-tin/blog/lai-suat-the-tin-dung" TargetMode="External"/><Relationship Id="rId1377" Type="http://schemas.openxmlformats.org/officeDocument/2006/relationships/hyperlink" Target="https://techcombank.com/thong-tin/blog/chuyen-tien-tu-duc-ve-viet-nam" TargetMode="External"/><Relationship Id="rId2224" Type="http://schemas.openxmlformats.org/officeDocument/2006/relationships/hyperlink" Target="https://techcombank.com/thong-tin/blog/cach-tinh-lai-vay-ngan-hang" TargetMode="External"/><Relationship Id="rId1367" Type="http://schemas.openxmlformats.org/officeDocument/2006/relationships/hyperlink" Target="https://techcombank.com/thong-tin/blog/1-trieu-do-bang-bao-nhieu-tien-viet" TargetMode="External"/><Relationship Id="rId2214" Type="http://schemas.openxmlformats.org/officeDocument/2006/relationships/hyperlink" Target="https://techcombank.com/thong-tin/blog/vay-15-trieu" TargetMode="External"/><Relationship Id="rId1368" Type="http://schemas.openxmlformats.org/officeDocument/2006/relationships/hyperlink" Target="https://techcombank.com/thong-tin/blog/gui-tiet-kiem-ngoai-te" TargetMode="External"/><Relationship Id="rId2215" Type="http://schemas.openxmlformats.org/officeDocument/2006/relationships/hyperlink" Target="https://techcombank.com/thong-tin/blog/lai-suat-vay-tieu-dung" TargetMode="External"/><Relationship Id="rId1369" Type="http://schemas.openxmlformats.org/officeDocument/2006/relationships/hyperlink" Target="https://techcombank.com/thong-tin/blog/chuyen-tien-dinh-cu" TargetMode="External"/><Relationship Id="rId2216" Type="http://schemas.openxmlformats.org/officeDocument/2006/relationships/hyperlink" Target="https://techcombank.com/thong-tin/blog/lam-ho-so-tra-gop-dien-thoai" TargetMode="External"/><Relationship Id="rId2217" Type="http://schemas.openxmlformats.org/officeDocument/2006/relationships/hyperlink" Target="https://techcombank.com/thong-tin/blog/vay-30-trieu" TargetMode="External"/><Relationship Id="rId2218" Type="http://schemas.openxmlformats.org/officeDocument/2006/relationships/hyperlink" Target="https://techcombank.com/thong-tin/blog/thu-tuc-vay-von-ngan-hang-de-xay-nha" TargetMode="External"/><Relationship Id="rId2219" Type="http://schemas.openxmlformats.org/officeDocument/2006/relationships/hyperlink" Target="https://techcombank.com/thong-tin/blog/cach-su-dung-the-tin-dung" TargetMode="External"/><Relationship Id="rId778" Type="http://schemas.openxmlformats.org/officeDocument/2006/relationships/hyperlink" Target="https://techcombank.com/thong-tin/blog/mo-the-tin-dung-han-muc-cao" TargetMode="External"/><Relationship Id="rId777" Type="http://schemas.openxmlformats.org/officeDocument/2006/relationships/hyperlink" Target="https://techcombank.com/thong-tin/blog/the-tin-dung-techcombank-visa-eco" TargetMode="External"/><Relationship Id="rId776" Type="http://schemas.openxmlformats.org/officeDocument/2006/relationships/hyperlink" Target="https://techcombank.com/thong-tin/blog/the-tin-dung-co-chuyen-khoan-duoc-khong" TargetMode="External"/><Relationship Id="rId775" Type="http://schemas.openxmlformats.org/officeDocument/2006/relationships/hyperlink" Target="https://techcombank.com/thong-tin/blog/uu-dai-mo-the-tin-dung" TargetMode="External"/><Relationship Id="rId779" Type="http://schemas.openxmlformats.org/officeDocument/2006/relationships/hyperlink" Target="https://techcombank.com/thong-tin/blog/uu-dai-the-tin-dung" TargetMode="External"/><Relationship Id="rId770" Type="http://schemas.openxmlformats.org/officeDocument/2006/relationships/hyperlink" Target="https://techcombank.com/thong-tin/blog/the-ghi-no-la-gi" TargetMode="External"/><Relationship Id="rId1360" Type="http://schemas.openxmlformats.org/officeDocument/2006/relationships/hyperlink" Target="https://techcombank.com/thong-tin/blog/chuyen-tien-di-uc" TargetMode="External"/><Relationship Id="rId1361" Type="http://schemas.openxmlformats.org/officeDocument/2006/relationships/hyperlink" Target="https://techcombank.com/thong-tin/blog/1000-yen-bang-bao-nhieu-tien-viet" TargetMode="External"/><Relationship Id="rId1362" Type="http://schemas.openxmlformats.org/officeDocument/2006/relationships/hyperlink" Target="https://techcombank.com/thong-tin/blog/xu-huong-ty-gia-usd" TargetMode="External"/><Relationship Id="rId774" Type="http://schemas.openxmlformats.org/officeDocument/2006/relationships/hyperlink" Target="https://techcombank.com/thong-tin/blog/thanh-toan-online-bang-the-tin-dung" TargetMode="External"/><Relationship Id="rId1363" Type="http://schemas.openxmlformats.org/officeDocument/2006/relationships/hyperlink" Target="https://techcombank.com/thong-tin/blog/dieu-kien-mua-usd-tu-ngan-hang" TargetMode="External"/><Relationship Id="rId2210" Type="http://schemas.openxmlformats.org/officeDocument/2006/relationships/hyperlink" Target="https://techcombank.com/thong-tin/blog/thanh-toan-tra-gop-qua-the-tin-dung" TargetMode="External"/><Relationship Id="rId773" Type="http://schemas.openxmlformats.org/officeDocument/2006/relationships/hyperlink" Target="https://techcombank.com/thong-tin/blog/mo-the-ghi-no" TargetMode="External"/><Relationship Id="rId1364" Type="http://schemas.openxmlformats.org/officeDocument/2006/relationships/hyperlink" Target="https://techcombank.com/thong-tin/blog/han-muc-mua-ngoai-te-khi-di-du-lich" TargetMode="External"/><Relationship Id="rId2211" Type="http://schemas.openxmlformats.org/officeDocument/2006/relationships/hyperlink" Target="https://techcombank.com/thong-tin/blog/tra-gop-lazada" TargetMode="External"/><Relationship Id="rId772" Type="http://schemas.openxmlformats.org/officeDocument/2006/relationships/hyperlink" Target="https://techcombank.com/thong-tin/blog/no-xau-co-lam-the-visa-duoc-khong" TargetMode="External"/><Relationship Id="rId1365" Type="http://schemas.openxmlformats.org/officeDocument/2006/relationships/hyperlink" Target="https://techcombank.com/thong-tin/blog/ty-gia-cac-ngan-hang" TargetMode="External"/><Relationship Id="rId2212" Type="http://schemas.openxmlformats.org/officeDocument/2006/relationships/hyperlink" Target="https://techcombank.com/thong-tin/blog/lai-suat-vay-the-chap-so-do" TargetMode="External"/><Relationship Id="rId771" Type="http://schemas.openxmlformats.org/officeDocument/2006/relationships/hyperlink" Target="https://techcombank.com/thong-tin/blog/dao-han-the-tin-dung" TargetMode="External"/><Relationship Id="rId1366" Type="http://schemas.openxmlformats.org/officeDocument/2006/relationships/hyperlink" Target="https://techcombank.com/thong-tin/blog/di-du-lich-nuoc-ngoai-can-chuan-bi-gi" TargetMode="External"/><Relationship Id="rId2213" Type="http://schemas.openxmlformats.org/officeDocument/2006/relationships/hyperlink" Target="https://techcombank.com/thong-tin/blog/nen-mua-xe-tra-gop-hay-tra-thang" TargetMode="External"/><Relationship Id="rId2247" Type="http://schemas.openxmlformats.org/officeDocument/2006/relationships/hyperlink" Target="https://techcombank.com/thong-tin/blog/nen-de-tien-trong-the-hay-gui-tiet-kiem" TargetMode="External"/><Relationship Id="rId2248" Type="http://schemas.openxmlformats.org/officeDocument/2006/relationships/hyperlink" Target="https://techcombank.com/thong-tin/blog/lai-suat-vay-kinh-doanh" TargetMode="External"/><Relationship Id="rId2249" Type="http://schemas.openxmlformats.org/officeDocument/2006/relationships/hyperlink" Target="https://techcombank.com/thong-tin/blog/cong-thuc-tinh-lai-suat-thuc" TargetMode="External"/><Relationship Id="rId327" Type="http://schemas.openxmlformats.org/officeDocument/2006/relationships/hyperlink" Target="https://techcombank.com/thong-tin/blog/loa-ting-ting" TargetMode="External"/><Relationship Id="rId326" Type="http://schemas.openxmlformats.org/officeDocument/2006/relationships/hyperlink" Target="https://techcombank.com/thong-tin/blog/cach-tao-ma-qr-code-mien-phi" TargetMode="External"/><Relationship Id="rId325" Type="http://schemas.openxmlformats.org/officeDocument/2006/relationships/hyperlink" Target="https://techcombank.com/thong-tin/blog/cach-su-dung-tai-khoan-cong-ty" TargetMode="External"/><Relationship Id="rId324" Type="http://schemas.openxmlformats.org/officeDocument/2006/relationships/hyperlink" Target="https://techcombank.com/thong-tin/blog/cdm" TargetMode="External"/><Relationship Id="rId329" Type="http://schemas.openxmlformats.org/officeDocument/2006/relationships/hyperlink" Target="https://techcombank.com/thong-tin/blog/uu-diem-cua-blockchain" TargetMode="External"/><Relationship Id="rId1390" Type="http://schemas.openxmlformats.org/officeDocument/2006/relationships/hyperlink" Target="https://techcombank.com/thong-tin/blog/chuyen-tien-tu-my-ve-viet-nam" TargetMode="External"/><Relationship Id="rId328" Type="http://schemas.openxmlformats.org/officeDocument/2006/relationships/hyperlink" Target="https://techcombank.com/thong-tin/blog/cach-lay-lai-tien-da-chuyen-khoan-khi-bi-lua" TargetMode="External"/><Relationship Id="rId1391" Type="http://schemas.openxmlformats.org/officeDocument/2006/relationships/hyperlink" Target="https://techcombank.com/thong-tin/blog/1000-won-bang-bao-nhieu-tien-viet" TargetMode="External"/><Relationship Id="rId1392" Type="http://schemas.openxmlformats.org/officeDocument/2006/relationships/hyperlink" Target="https://techcombank.com/thong-tin/blog/tien-dai-loan" TargetMode="External"/><Relationship Id="rId1393" Type="http://schemas.openxmlformats.org/officeDocument/2006/relationships/hyperlink" Target="https://techcombank.com/thong-tin/blog/tien-trung-quoc" TargetMode="External"/><Relationship Id="rId2240" Type="http://schemas.openxmlformats.org/officeDocument/2006/relationships/hyperlink" Target="https://techcombank.com/thong-tin/blog/vay-mua-dien-thoai" TargetMode="External"/><Relationship Id="rId1394" Type="http://schemas.openxmlformats.org/officeDocument/2006/relationships/hyperlink" Target="https://techcombank.com/thong-tin/blog/1-van-te-bang-bao-nhieu-tien-viet" TargetMode="External"/><Relationship Id="rId2241" Type="http://schemas.openxmlformats.org/officeDocument/2006/relationships/hyperlink" Target="https://techcombank.com/thong-tin/blog/vay-the-chap-hop-dong-mua-ban-can-ho" TargetMode="External"/><Relationship Id="rId1395" Type="http://schemas.openxmlformats.org/officeDocument/2006/relationships/hyperlink" Target="https://techcombank.com/thong-tin/blog/1-cent-bang-bao-nhieu-tien-viet" TargetMode="External"/><Relationship Id="rId2242" Type="http://schemas.openxmlformats.org/officeDocument/2006/relationships/hyperlink" Target="https://techcombank.com/thong-tin/blog/lai-suat-cho-vay-doanh-nghiep" TargetMode="External"/><Relationship Id="rId323" Type="http://schemas.openxmlformats.org/officeDocument/2006/relationships/hyperlink" Target="https://techcombank.com/thong-tin/blog/remittance-la-gi" TargetMode="External"/><Relationship Id="rId1396" Type="http://schemas.openxmlformats.org/officeDocument/2006/relationships/hyperlink" Target="https://techcombank.com/thong-tin/blog/1000-te-bang-bao-nhieu-tien-viet" TargetMode="External"/><Relationship Id="rId2243" Type="http://schemas.openxmlformats.org/officeDocument/2006/relationships/hyperlink" Target="https://techcombank.com/thong-tin/blog/cach-tiet-kiem-100-trieu-1-nam" TargetMode="External"/><Relationship Id="rId322" Type="http://schemas.openxmlformats.org/officeDocument/2006/relationships/hyperlink" Target="https://techcombank.com/thong-tin/blog/luu-y-khi-chuyen-tien-vao-tai-khoan-cong-ty" TargetMode="External"/><Relationship Id="rId1397" Type="http://schemas.openxmlformats.org/officeDocument/2006/relationships/hyperlink" Target="https://techcombank.com/thong-tin/blog/100-riel-bang-bao-nhieu-tien-viet-nam" TargetMode="External"/><Relationship Id="rId2244" Type="http://schemas.openxmlformats.org/officeDocument/2006/relationships/hyperlink" Target="https://techcombank.com/thong-tin/blog/co-50-trieu-nen-mua-vang-hay-gui-tiet-kiem" TargetMode="External"/><Relationship Id="rId321" Type="http://schemas.openxmlformats.org/officeDocument/2006/relationships/hyperlink" Target="https://techcombank.com/thong-tin/blog/ma-qr-ngan-hang-khong-hop-le" TargetMode="External"/><Relationship Id="rId1398" Type="http://schemas.openxmlformats.org/officeDocument/2006/relationships/hyperlink" Target="https://techcombank.com/thong-tin/blog/tien-malaysia" TargetMode="External"/><Relationship Id="rId2245" Type="http://schemas.openxmlformats.org/officeDocument/2006/relationships/hyperlink" Target="https://techcombank.com/thong-tin/blog/gui-tiet-kiem-tich-luy-la-gi" TargetMode="External"/><Relationship Id="rId320" Type="http://schemas.openxmlformats.org/officeDocument/2006/relationships/hyperlink" Target="https://techcombank.com/thong-tin/blog/loa-thong-bao-chuyen-khoan" TargetMode="External"/><Relationship Id="rId1399" Type="http://schemas.openxmlformats.org/officeDocument/2006/relationships/hyperlink" Target="https://techcombank.com/thong-tin/blog/tien-indonesia" TargetMode="External"/><Relationship Id="rId2246" Type="http://schemas.openxmlformats.org/officeDocument/2006/relationships/hyperlink" Target="https://techcombank.com/thong-tin/blog/quy-trinh-gui-tien-tiet-kiem" TargetMode="External"/><Relationship Id="rId1389" Type="http://schemas.openxmlformats.org/officeDocument/2006/relationships/hyperlink" Target="https://techcombank.com/thong-tin/blog/tien-lao" TargetMode="External"/><Relationship Id="rId2236" Type="http://schemas.openxmlformats.org/officeDocument/2006/relationships/hyperlink" Target="https://techcombank.com/thong-tin/blog/quy-trinh-cho-vay-tieu-dung" TargetMode="External"/><Relationship Id="rId2237" Type="http://schemas.openxmlformats.org/officeDocument/2006/relationships/hyperlink" Target="https://techcombank.com/thong-tin/blog/vay-20-trieu" TargetMode="External"/><Relationship Id="rId2238" Type="http://schemas.openxmlformats.org/officeDocument/2006/relationships/hyperlink" Target="https://techcombank.com/thong-tin/blog/kinh-nghiem-vay-tien-mua-nha" TargetMode="External"/><Relationship Id="rId2239" Type="http://schemas.openxmlformats.org/officeDocument/2006/relationships/hyperlink" Target="https://techcombank.com/thong-tin/blog/vay-tin-chap-la-gi" TargetMode="External"/><Relationship Id="rId316" Type="http://schemas.openxmlformats.org/officeDocument/2006/relationships/hyperlink" Target="https://techcombank.com/thong-tin/blog/chuyen-khoan-lien-ngan-hang" TargetMode="External"/><Relationship Id="rId315" Type="http://schemas.openxmlformats.org/officeDocument/2006/relationships/hyperlink" Target="https://techcombank.com/thong-tin/blog/cach-chuyen-tien" TargetMode="External"/><Relationship Id="rId799" Type="http://schemas.openxmlformats.org/officeDocument/2006/relationships/hyperlink" Target="https://techcombank.com/thong-tin/blog/cach-su-dung-the-tin-dung" TargetMode="External"/><Relationship Id="rId314" Type="http://schemas.openxmlformats.org/officeDocument/2006/relationships/hyperlink" Target="https://techcombank.com/thong-tin/blog/ty-gia-la-gi" TargetMode="External"/><Relationship Id="rId798" Type="http://schemas.openxmlformats.org/officeDocument/2006/relationships/hyperlink" Target="https://techcombank.com/thong-tin/blog/lam-the-visa-online" TargetMode="External"/><Relationship Id="rId313" Type="http://schemas.openxmlformats.org/officeDocument/2006/relationships/hyperlink" Target="https://techcombank.com/thong-tin/blog/ty-gia-cac-ngan-hang" TargetMode="External"/><Relationship Id="rId797" Type="http://schemas.openxmlformats.org/officeDocument/2006/relationships/hyperlink" Target="https://techcombank.com/thong-tin/blog/hoc-sinh-sinh-vien-nen-lam-the-ngan-hang-nao" TargetMode="External"/><Relationship Id="rId319" Type="http://schemas.openxmlformats.org/officeDocument/2006/relationships/hyperlink" Target="https://techcombank.com/thong-tin/blog/ngan-hang-thu-huong-la-gi" TargetMode="External"/><Relationship Id="rId318" Type="http://schemas.openxmlformats.org/officeDocument/2006/relationships/hyperlink" Target="https://techcombank.com/thong-tin/blog/chuyen-nham-tien-co-lay-lai-duoc-khong" TargetMode="External"/><Relationship Id="rId317" Type="http://schemas.openxmlformats.org/officeDocument/2006/relationships/hyperlink" Target="https://techcombank.com/thong-tin/blog/ma-giao-dich-la-gi" TargetMode="External"/><Relationship Id="rId1380" Type="http://schemas.openxmlformats.org/officeDocument/2006/relationships/hyperlink" Target="https://techcombank.com/thong-tin/blog/dinar-kuwait" TargetMode="External"/><Relationship Id="rId792" Type="http://schemas.openxmlformats.org/officeDocument/2006/relationships/hyperlink" Target="https://techcombank.com/thong-tin/blog/cic-la-gi" TargetMode="External"/><Relationship Id="rId1381" Type="http://schemas.openxmlformats.org/officeDocument/2006/relationships/hyperlink" Target="https://techcombank.com/thong-tin/blog/phi-chuyen-doi-ngoai-te" TargetMode="External"/><Relationship Id="rId791" Type="http://schemas.openxmlformats.org/officeDocument/2006/relationships/hyperlink" Target="https://techcombank.com/thong-tin/blog/the-tin-dung-co-ma-pin-khong" TargetMode="External"/><Relationship Id="rId1382" Type="http://schemas.openxmlformats.org/officeDocument/2006/relationships/hyperlink" Target="https://techcombank.com/thong-tin/blog/chuyen-tien-tu-han-sang-viet-nam" TargetMode="External"/><Relationship Id="rId790" Type="http://schemas.openxmlformats.org/officeDocument/2006/relationships/hyperlink" Target="https://techcombank.com/thong-tin/blog/tra-gop-lazada" TargetMode="External"/><Relationship Id="rId1383" Type="http://schemas.openxmlformats.org/officeDocument/2006/relationships/hyperlink" Target="https://techcombank.com/thong-tin/blog/chuyen-tien-tu-nhat-ve-viet-nam" TargetMode="External"/><Relationship Id="rId2230" Type="http://schemas.openxmlformats.org/officeDocument/2006/relationships/hyperlink" Target="https://techcombank.com/thong-tin/blog/lai-suat-vay-mua-o-to" TargetMode="External"/><Relationship Id="rId1384" Type="http://schemas.openxmlformats.org/officeDocument/2006/relationships/hyperlink" Target="https://techcombank.com/thong-tin/blog/tien-singapore" TargetMode="External"/><Relationship Id="rId2231" Type="http://schemas.openxmlformats.org/officeDocument/2006/relationships/hyperlink" Target="https://techcombank.com/thong-tin/blog/no-xau-nhom-2" TargetMode="External"/><Relationship Id="rId312" Type="http://schemas.openxmlformats.org/officeDocument/2006/relationships/hyperlink" Target="https://techcombank.com/thong-tin/blog/viet-kieu-co-mo-duoc-tai-khoan-ngan-hang-khong" TargetMode="External"/><Relationship Id="rId796" Type="http://schemas.openxmlformats.org/officeDocument/2006/relationships/hyperlink" Target="https://techcombank.com/thong-tin/blog/lam-ho-so-tra-gop-dien-thoai" TargetMode="External"/><Relationship Id="rId1385" Type="http://schemas.openxmlformats.org/officeDocument/2006/relationships/hyperlink" Target="https://techcombank.com/thong-tin/blog/tien-thai-lan" TargetMode="External"/><Relationship Id="rId2232" Type="http://schemas.openxmlformats.org/officeDocument/2006/relationships/hyperlink" Target="https://techcombank.com/thong-tin/blog/lai-suat-vay-tin-chap" TargetMode="External"/><Relationship Id="rId311" Type="http://schemas.openxmlformats.org/officeDocument/2006/relationships/hyperlink" Target="https://techcombank.com/thong-tin/blog/vip-ngan-hang" TargetMode="External"/><Relationship Id="rId795" Type="http://schemas.openxmlformats.org/officeDocument/2006/relationships/hyperlink" Target="https://techcombank.com/thong-tin/blog/the-tin-dung-noi-dia" TargetMode="External"/><Relationship Id="rId1386" Type="http://schemas.openxmlformats.org/officeDocument/2006/relationships/hyperlink" Target="https://techcombank.com/thong-tin/blog/tien-nhat" TargetMode="External"/><Relationship Id="rId2233" Type="http://schemas.openxmlformats.org/officeDocument/2006/relationships/hyperlink" Target="https://techcombank.com/thong-tin/blog/co-100-trieu-co-mua-nen-mua-tra-gop" TargetMode="External"/><Relationship Id="rId310" Type="http://schemas.openxmlformats.org/officeDocument/2006/relationships/hyperlink" Target="https://techcombank.com/thong-tin/blog/bao-hiem-vat-chat-xe-o-to" TargetMode="External"/><Relationship Id="rId794" Type="http://schemas.openxmlformats.org/officeDocument/2006/relationships/hyperlink" Target="https://techcombank.com/thong-tin/blog/sao-ke-the-tin-dung-la-gi" TargetMode="External"/><Relationship Id="rId1387" Type="http://schemas.openxmlformats.org/officeDocument/2006/relationships/hyperlink" Target="https://techcombank.com/thong-tin/blog/1-man-bang-bao-nhieu-tien-viet" TargetMode="External"/><Relationship Id="rId2234" Type="http://schemas.openxmlformats.org/officeDocument/2006/relationships/hyperlink" Target="https://techcombank.com/thong-tin/blog/bao-hiem-vat-chat-xe-o-to" TargetMode="External"/><Relationship Id="rId793" Type="http://schemas.openxmlformats.org/officeDocument/2006/relationships/hyperlink" Target="https://techcombank.com/thong-tin/blog/the-mastercard-la-gi" TargetMode="External"/><Relationship Id="rId1388" Type="http://schemas.openxmlformats.org/officeDocument/2006/relationships/hyperlink" Target="https://techcombank.com/thong-tin/blog/chuyen-tien-di-uc" TargetMode="External"/><Relationship Id="rId2235" Type="http://schemas.openxmlformats.org/officeDocument/2006/relationships/hyperlink" Target="https://techcombank.com/thong-tin/blog/han-muc-tra-gop-the-tin-dung" TargetMode="External"/><Relationship Id="rId297" Type="http://schemas.openxmlformats.org/officeDocument/2006/relationships/hyperlink" Target="https://techcombank.com/thong-tin/blog/uu-dai-mo-the-tin-dung" TargetMode="External"/><Relationship Id="rId296" Type="http://schemas.openxmlformats.org/officeDocument/2006/relationships/hyperlink" Target="https://techcombank.com/thong-tin/blog/lai-suat-tiet-kiem" TargetMode="External"/><Relationship Id="rId295" Type="http://schemas.openxmlformats.org/officeDocument/2006/relationships/hyperlink" Target="https://techcombank.com/thong-tin/blog/lam-the-visa-o-dau" TargetMode="External"/><Relationship Id="rId294" Type="http://schemas.openxmlformats.org/officeDocument/2006/relationships/hyperlink" Target="https://techcombank.com/thong-tin/blog/vay-mua-xe-tra-gop-ngan-hang-nao-tot-nhat" TargetMode="External"/><Relationship Id="rId299" Type="http://schemas.openxmlformats.org/officeDocument/2006/relationships/hyperlink" Target="https://techcombank.com/thong-tin/blog/cach-tinh-lai-suat-tien-gui-tiet-kiem" TargetMode="External"/><Relationship Id="rId298" Type="http://schemas.openxmlformats.org/officeDocument/2006/relationships/hyperlink" Target="https://techcombank.com/thong-tin/blog/app-ngan-hang" TargetMode="External"/><Relationship Id="rId271" Type="http://schemas.openxmlformats.org/officeDocument/2006/relationships/hyperlink" Target="https://techcombank.com/thong-tin/blog/so-du-tai-khoan-thanh-toan" TargetMode="External"/><Relationship Id="rId270" Type="http://schemas.openxmlformats.org/officeDocument/2006/relationships/hyperlink" Target="https://techcombank.com/thong-tin/blog/tai-khoan-ngan-hang-duoi-50k-co-bi-khoa-khong" TargetMode="External"/><Relationship Id="rId269" Type="http://schemas.openxmlformats.org/officeDocument/2006/relationships/hyperlink" Target="https://techcombank.com/thong-tin/blog/gui-tiet-kiem-hang-thang" TargetMode="External"/><Relationship Id="rId264" Type="http://schemas.openxmlformats.org/officeDocument/2006/relationships/hyperlink" Target="https://techcombank.com/thong-tin/blog/mo-tai-khoan-ngan-hang-trung-so-dien-thoai" TargetMode="External"/><Relationship Id="rId263" Type="http://schemas.openxmlformats.org/officeDocument/2006/relationships/hyperlink" Target="https://techcombank.com/thong-tin/blog/tai-khoan-ngan-hang-con-0-dong-co-sao-khong" TargetMode="External"/><Relationship Id="rId262" Type="http://schemas.openxmlformats.org/officeDocument/2006/relationships/hyperlink" Target="https://techcombank.com/thong-tin/blog/ho-kinh-doanh-can-gi-o-tai-khoan-ngan-hang" TargetMode="External"/><Relationship Id="rId261" Type="http://schemas.openxmlformats.org/officeDocument/2006/relationships/hyperlink" Target="https://techcombank.com/thong-tin/blog/mo-tai-khoan-tiet-kiem-cho-con" TargetMode="External"/><Relationship Id="rId268" Type="http://schemas.openxmlformats.org/officeDocument/2006/relationships/hyperlink" Target="https://techcombank.com/thong-tin/blog/99999-co-y-nghia-gi" TargetMode="External"/><Relationship Id="rId267" Type="http://schemas.openxmlformats.org/officeDocument/2006/relationships/hyperlink" Target="https://techcombank.com/thong-tin/blog/nho-nguoi-than-mo-tai-khoan-ngan-hang" TargetMode="External"/><Relationship Id="rId266" Type="http://schemas.openxmlformats.org/officeDocument/2006/relationships/hyperlink" Target="https://techcombank.com/thong-tin/blog/so-the-ngan-hang" TargetMode="External"/><Relationship Id="rId265" Type="http://schemas.openxmlformats.org/officeDocument/2006/relationships/hyperlink" Target="https://techcombank.com/thong-tin/blog/tai-khoan-ngan-hang-bi-khoa" TargetMode="External"/><Relationship Id="rId260" Type="http://schemas.openxmlformats.org/officeDocument/2006/relationships/hyperlink" Target="https://techcombank.com/thong-tin/blog/mat-so-dien-thoai-dang-ky-tai-khoan-ngan-hang" TargetMode="External"/><Relationship Id="rId259" Type="http://schemas.openxmlformats.org/officeDocument/2006/relationships/hyperlink" Target="https://techcombank.com/thong-tin/blog/mo-tai-khoan-ngan-hang-duoi-18-tuoi" TargetMode="External"/><Relationship Id="rId258" Type="http://schemas.openxmlformats.org/officeDocument/2006/relationships/hyperlink" Target="https://techcombank.com/thong-tin/blog/mau-mo-tai-khoan-doanh-nghiep-techcombank" TargetMode="External"/><Relationship Id="rId2290" Type="http://schemas.openxmlformats.org/officeDocument/2006/relationships/hyperlink" Target="https://techcombank.com/thong-tin/blog/vay-thau-chi-bang-so-tiet-kiem" TargetMode="External"/><Relationship Id="rId2291" Type="http://schemas.openxmlformats.org/officeDocument/2006/relationships/hyperlink" Target="https://techcombank.com/thong-tin/blog/lai-suat-vay-ngan-hang" TargetMode="External"/><Relationship Id="rId2292" Type="http://schemas.openxmlformats.org/officeDocument/2006/relationships/hyperlink" Target="https://techcombank.com/thong-tin/blog/gui-tiet-kiem-online-co-rut-truoc-han-duoc-khong" TargetMode="External"/><Relationship Id="rId2293" Type="http://schemas.openxmlformats.org/officeDocument/2006/relationships/hyperlink" Target="https://techcombank.com/thong-tin/blog/gui-tiet-kiem-online-quay-vong-ca-goc-va-lai" TargetMode="External"/><Relationship Id="rId253" Type="http://schemas.openxmlformats.org/officeDocument/2006/relationships/hyperlink" Target="https://techcombank.com/thong-tin/blog/88-la-gi" TargetMode="External"/><Relationship Id="rId2294" Type="http://schemas.openxmlformats.org/officeDocument/2006/relationships/hyperlink" Target="https://techcombank.com/thong-tin/blog/chung-chi-tien-gui-khac-gi-so-tiet-kiem" TargetMode="External"/><Relationship Id="rId252" Type="http://schemas.openxmlformats.org/officeDocument/2006/relationships/hyperlink" Target="https://techcombank.com/thong-tin/blog/tai-khoan-ngan-hang-chua-toi-da-bao-nhieu-tien" TargetMode="External"/><Relationship Id="rId2295" Type="http://schemas.openxmlformats.org/officeDocument/2006/relationships/hyperlink" Target="https://techcombank.com/thong-tin/blog/tich-diem-doi-qua" TargetMode="External"/><Relationship Id="rId251" Type="http://schemas.openxmlformats.org/officeDocument/2006/relationships/hyperlink" Target="https://techcombank.com/thong-tin/blog/lo-so-tai-khoan-ngan-hang-co-sao-khong" TargetMode="External"/><Relationship Id="rId2296" Type="http://schemas.openxmlformats.org/officeDocument/2006/relationships/hyperlink" Target="https://techcombank.com/thong-tin/blog/so-sanh-gui-tiet-kiem-online-va-tai-quay" TargetMode="External"/><Relationship Id="rId250" Type="http://schemas.openxmlformats.org/officeDocument/2006/relationships/hyperlink" Target="https://techcombank.com/thong-tin/blog/cach-lien-ket-tai-khoan-ngan-hang-voi-vneid" TargetMode="External"/><Relationship Id="rId2297" Type="http://schemas.openxmlformats.org/officeDocument/2006/relationships/hyperlink" Target="https://techcombank.com/thong-tin/blog/lai-suat-vay-tin-chap" TargetMode="External"/><Relationship Id="rId257" Type="http://schemas.openxmlformats.org/officeDocument/2006/relationships/hyperlink" Target="https://techcombank.com/thong-tin/blog/cach-dong-tien-dien-qua-tai-khoan-ngan-hang" TargetMode="External"/><Relationship Id="rId2298" Type="http://schemas.openxmlformats.org/officeDocument/2006/relationships/hyperlink" Target="https://techcombank.com/thong-tin/blog/cach-tiet-kiem-tien-sinh-loi" TargetMode="External"/><Relationship Id="rId256" Type="http://schemas.openxmlformats.org/officeDocument/2006/relationships/hyperlink" Target="https://techcombank.com/thong-tin/blog/cach-chon-so-tai-khoan-dep" TargetMode="External"/><Relationship Id="rId2299" Type="http://schemas.openxmlformats.org/officeDocument/2006/relationships/hyperlink" Target="https://techcombank.com/thong-tin/blog/vay-20-trieu" TargetMode="External"/><Relationship Id="rId255" Type="http://schemas.openxmlformats.org/officeDocument/2006/relationships/hyperlink" Target="https://techcombank.com/thong-tin/blog/thue-thu-nhap-ca-nhan" TargetMode="External"/><Relationship Id="rId254" Type="http://schemas.openxmlformats.org/officeDocument/2006/relationships/hyperlink" Target="https://techcombank.com/thong-tin/blog/dang-ky-nhieu-tai-khoan-ngan-hang-co-sao-khong" TargetMode="External"/><Relationship Id="rId293" Type="http://schemas.openxmlformats.org/officeDocument/2006/relationships/hyperlink" Target="https://techcombank.com/thong-tin/blog/su-hop-tac-cua-ngan-hang-va-fintech-tren-hanh-trinh-chuyen-doi-so" TargetMode="External"/><Relationship Id="rId292" Type="http://schemas.openxmlformats.org/officeDocument/2006/relationships/hyperlink" Target="https://techcombank.com/thong-tin/blog/nen-vay-the-chap-ngan-hang-nao" TargetMode="External"/><Relationship Id="rId291" Type="http://schemas.openxmlformats.org/officeDocument/2006/relationships/hyperlink" Target="https://techcombank.com/thong-tin/blog/nen-vay-tin-chap-o-dau" TargetMode="External"/><Relationship Id="rId290" Type="http://schemas.openxmlformats.org/officeDocument/2006/relationships/hyperlink" Target="https://techcombank.com/thong-tin/blog/dieu-kien-vay-von-ngan-hang" TargetMode="External"/><Relationship Id="rId286" Type="http://schemas.openxmlformats.org/officeDocument/2006/relationships/hyperlink" Target="https://techcombank.com/thong-tin/blog/gui-tien-ngan-hang-co-an-toan-khong" TargetMode="External"/><Relationship Id="rId285" Type="http://schemas.openxmlformats.org/officeDocument/2006/relationships/hyperlink" Target="https://techcombank.com/thong-tin/blog/app-ngan-hang-uy-tin" TargetMode="External"/><Relationship Id="rId284" Type="http://schemas.openxmlformats.org/officeDocument/2006/relationships/hyperlink" Target="https://techcombank.com/thong-tin/blog/viet-kieu-co-mo-duoc-tai-khoan-ngan-hang-khong" TargetMode="External"/><Relationship Id="rId283" Type="http://schemas.openxmlformats.org/officeDocument/2006/relationships/hyperlink" Target="https://techcombank.com/thong-tin/blog/chi-phi-mo-tai-khoan-ngan-hang-cho-cong-ty" TargetMode="External"/><Relationship Id="rId289" Type="http://schemas.openxmlformats.org/officeDocument/2006/relationships/hyperlink" Target="https://techcombank.com/thong-tin/blog/gia-tri-thuong-hieu" TargetMode="External"/><Relationship Id="rId288" Type="http://schemas.openxmlformats.org/officeDocument/2006/relationships/hyperlink" Target="https://techcombank.com/thong-tin/blog/gio-lam-viec-ngan-hang" TargetMode="External"/><Relationship Id="rId287" Type="http://schemas.openxmlformats.org/officeDocument/2006/relationships/hyperlink" Target="https://techcombank.com/thong-tin/blog/nen-mo-tai-khoan-ngan-hang-nao-cho-doanh-nghiep" TargetMode="External"/><Relationship Id="rId282" Type="http://schemas.openxmlformats.org/officeDocument/2006/relationships/hyperlink" Target="https://techcombank.com/thong-tin/blog/vip-ngan-hang" TargetMode="External"/><Relationship Id="rId281" Type="http://schemas.openxmlformats.org/officeDocument/2006/relationships/hyperlink" Target="https://techcombank.com/thong-tin/blog/so-tai-khoan-ngan-hang" TargetMode="External"/><Relationship Id="rId280" Type="http://schemas.openxmlformats.org/officeDocument/2006/relationships/hyperlink" Target="https://techcombank.com/thong-tin/blog/tai-khoan-tiet-kiem" TargetMode="External"/><Relationship Id="rId275" Type="http://schemas.openxmlformats.org/officeDocument/2006/relationships/hyperlink" Target="https://techcombank.com/thong-tin/blog/cach-bao-ve-tai-khoan" TargetMode="External"/><Relationship Id="rId274" Type="http://schemas.openxmlformats.org/officeDocument/2006/relationships/hyperlink" Target="https://techcombank.com/thong-tin/blog/ten-dang-nhap-tai-khoan-ngan-hang-la-gi" TargetMode="External"/><Relationship Id="rId273" Type="http://schemas.openxmlformats.org/officeDocument/2006/relationships/hyperlink" Target="https://techcombank.com/thong-tin/blog/chi-tra-luong-huu" TargetMode="External"/><Relationship Id="rId272" Type="http://schemas.openxmlformats.org/officeDocument/2006/relationships/hyperlink" Target="https://techcombank.com/thong-tin/blog/mo-tai-khoan-ngan-hang-bang-so-dien-thoai" TargetMode="External"/><Relationship Id="rId279" Type="http://schemas.openxmlformats.org/officeDocument/2006/relationships/hyperlink" Target="https://techcombank.com/thong-tin/blog/bao-nhieu-tuoi-duoc-mo-tai-khoan-ngan-hang" TargetMode="External"/><Relationship Id="rId278" Type="http://schemas.openxmlformats.org/officeDocument/2006/relationships/hyperlink" Target="https://techcombank.com/thong-tin/blog/thanh-toan-tra-sau-viettel-bang-tai-khoan-ngan-hang" TargetMode="External"/><Relationship Id="rId277" Type="http://schemas.openxmlformats.org/officeDocument/2006/relationships/hyperlink" Target="https://techcombank.com/thong-tin/blog/cach-kiem-tra-tai-khoan-ngan-hang" TargetMode="External"/><Relationship Id="rId276" Type="http://schemas.openxmlformats.org/officeDocument/2006/relationships/hyperlink" Target="https://techcombank.com/thong-tin/blog/cach-sao-ke-tai-khoan-ngan-hang" TargetMode="External"/><Relationship Id="rId1851" Type="http://schemas.openxmlformats.org/officeDocument/2006/relationships/hyperlink" Target="https://techcombank.com/thong-tin/blog/cac-hinh-thuc-vay-von-ngan-hang" TargetMode="External"/><Relationship Id="rId1852" Type="http://schemas.openxmlformats.org/officeDocument/2006/relationships/hyperlink" Target="https://techcombank.com/thong-tin/blog/vay-san-xuat-kinh-doanh" TargetMode="External"/><Relationship Id="rId1853" Type="http://schemas.openxmlformats.org/officeDocument/2006/relationships/hyperlink" Target="https://techcombank.com/thong-tin/blog/vay-the-chap-kinh-doanh" TargetMode="External"/><Relationship Id="rId1854" Type="http://schemas.openxmlformats.org/officeDocument/2006/relationships/hyperlink" Target="https://techcombank.com/thong-tin/blog/vay-the-chap-khong-tra-duoc" TargetMode="External"/><Relationship Id="rId1855" Type="http://schemas.openxmlformats.org/officeDocument/2006/relationships/hyperlink" Target="https://techcombank.com/thong-tin/blog/vay-the-chap-so-bao-hiem-xa-hoi" TargetMode="External"/><Relationship Id="rId1856" Type="http://schemas.openxmlformats.org/officeDocument/2006/relationships/hyperlink" Target="https://techcombank.com/thong-tin/blog/rui-ro-khi-vay-the-chap-ngan-hang" TargetMode="External"/><Relationship Id="rId1857" Type="http://schemas.openxmlformats.org/officeDocument/2006/relationships/hyperlink" Target="https://techcombank.com/thong-tin/blog/vay-tin-chap-va-vay-the-chap" TargetMode="External"/><Relationship Id="rId1858" Type="http://schemas.openxmlformats.org/officeDocument/2006/relationships/hyperlink" Target="https://techcombank.com/thong-tin/blog/lai-suat-vay-the-chap" TargetMode="External"/><Relationship Id="rId1859" Type="http://schemas.openxmlformats.org/officeDocument/2006/relationships/hyperlink" Target="https://techcombank.com/thong-tin/blog/quy-trinh-tat-toan-khoan-vay-the-chap" TargetMode="External"/><Relationship Id="rId1850" Type="http://schemas.openxmlformats.org/officeDocument/2006/relationships/hyperlink" Target="https://techcombank.com/thong-tin/blog/thu-tuc-vay-von-kinh-doanh-nho" TargetMode="External"/><Relationship Id="rId1840" Type="http://schemas.openxmlformats.org/officeDocument/2006/relationships/hyperlink" Target="https://techcombank.com/thong-tin/blog/vay-mua-dien-thoai" TargetMode="External"/><Relationship Id="rId1841" Type="http://schemas.openxmlformats.org/officeDocument/2006/relationships/hyperlink" Target="https://techcombank.com/thong-tin/blog/vay-the-chap-hop-dong-mua-ban-can-ho" TargetMode="External"/><Relationship Id="rId1842" Type="http://schemas.openxmlformats.org/officeDocument/2006/relationships/hyperlink" Target="https://techcombank.com/thong-tin/blog/lai-suat-cho-vay-doanh-nghiep" TargetMode="External"/><Relationship Id="rId1843" Type="http://schemas.openxmlformats.org/officeDocument/2006/relationships/hyperlink" Target="https://techcombank.com/thong-tin/blog/han-muc-vay-the-chap-so-do" TargetMode="External"/><Relationship Id="rId1844" Type="http://schemas.openxmlformats.org/officeDocument/2006/relationships/hyperlink" Target="https://techcombank.com/thong-tin/blog/vay-the-chap-so-hong" TargetMode="External"/><Relationship Id="rId1845" Type="http://schemas.openxmlformats.org/officeDocument/2006/relationships/hyperlink" Target="https://techcombank.com/thong-tin/blog/kinh-nghiem-vay-the-chap-ngan-hang" TargetMode="External"/><Relationship Id="rId1846" Type="http://schemas.openxmlformats.org/officeDocument/2006/relationships/hyperlink" Target="https://techcombank.com/thong-tin/blog/nen-vay-the-chap-ngan-hang-nao" TargetMode="External"/><Relationship Id="rId1847" Type="http://schemas.openxmlformats.org/officeDocument/2006/relationships/hyperlink" Target="https://techcombank.com/thong-tin/blog/vay-the-chap-la-gi" TargetMode="External"/><Relationship Id="rId1848" Type="http://schemas.openxmlformats.org/officeDocument/2006/relationships/hyperlink" Target="https://techcombank.com/thong-tin/blog/vay-von-doanh-nghiep-khong-the-chap" TargetMode="External"/><Relationship Id="rId1849" Type="http://schemas.openxmlformats.org/officeDocument/2006/relationships/hyperlink" Target="https://techcombank.com/thong-tin/blog/vay-ngan-han" TargetMode="External"/><Relationship Id="rId1873" Type="http://schemas.openxmlformats.org/officeDocument/2006/relationships/hyperlink" Target="https://techcombank.com/thong-tin/blog/vay-tra-gop" TargetMode="External"/><Relationship Id="rId1874" Type="http://schemas.openxmlformats.org/officeDocument/2006/relationships/hyperlink" Target="https://techcombank.com/thong-tin/blog/vay-the-chap-hop-dong-mua-ban-can-ho" TargetMode="External"/><Relationship Id="rId1875" Type="http://schemas.openxmlformats.org/officeDocument/2006/relationships/hyperlink" Target="https://techcombank.com/thong-tin/blog/quy-trinh-tat-toan-khoan-vay-the-chap" TargetMode="External"/><Relationship Id="rId1876" Type="http://schemas.openxmlformats.org/officeDocument/2006/relationships/hyperlink" Target="https://techcombank.com/thong-tin/blog/tat-toan" TargetMode="External"/><Relationship Id="rId1877" Type="http://schemas.openxmlformats.org/officeDocument/2006/relationships/hyperlink" Target="https://techcombank.com/thong-tin/blog/the-chap-la-gi" TargetMode="External"/><Relationship Id="rId1878" Type="http://schemas.openxmlformats.org/officeDocument/2006/relationships/hyperlink" Target="https://techcombank.com/thong-tin/blog/vay-the-chap-khong-tra-duoc" TargetMode="External"/><Relationship Id="rId1879" Type="http://schemas.openxmlformats.org/officeDocument/2006/relationships/hyperlink" Target="https://techcombank.com/thong-tin/blog/giai-ngan-vay-the-chap" TargetMode="External"/><Relationship Id="rId1870" Type="http://schemas.openxmlformats.org/officeDocument/2006/relationships/hyperlink" Target="https://techcombank.com/thong-tin/blog/lai-suat-vay-mua-o-to" TargetMode="External"/><Relationship Id="rId1871" Type="http://schemas.openxmlformats.org/officeDocument/2006/relationships/hyperlink" Target="https://techcombank.com/thong-tin/blog/the-chap-la-gi" TargetMode="External"/><Relationship Id="rId1872" Type="http://schemas.openxmlformats.org/officeDocument/2006/relationships/hyperlink" Target="https://techcombank.com/thong-tin/blog/vay-the-chap-khong-chung-minh-thu-nhap" TargetMode="External"/><Relationship Id="rId1862" Type="http://schemas.openxmlformats.org/officeDocument/2006/relationships/hyperlink" Target="https://techcombank.com/thong-tin/blog/ho-so-thu-tuc-xoa-the-chap" TargetMode="External"/><Relationship Id="rId1863" Type="http://schemas.openxmlformats.org/officeDocument/2006/relationships/hyperlink" Target="https://techcombank.com/thong-tin/blog/nen-mua-xe-tra-gop-hay-tra-thang" TargetMode="External"/><Relationship Id="rId1864" Type="http://schemas.openxmlformats.org/officeDocument/2006/relationships/hyperlink" Target="https://techcombank.com/thong-tin/blog/giai-ngan-vay-the-chap" TargetMode="External"/><Relationship Id="rId1865" Type="http://schemas.openxmlformats.org/officeDocument/2006/relationships/hyperlink" Target="https://techcombank.com/thong-tin/blog/no-xau-co-vay-the-chap-duoc-khong" TargetMode="External"/><Relationship Id="rId1866" Type="http://schemas.openxmlformats.org/officeDocument/2006/relationships/hyperlink" Target="https://techcombank.com/thong-tin/blog/phi-vay-the-chap" TargetMode="External"/><Relationship Id="rId1867" Type="http://schemas.openxmlformats.org/officeDocument/2006/relationships/hyperlink" Target="https://techcombank.com/thong-tin/blog/cac-hinh-thuc-cho-vay-tieu-dung" TargetMode="External"/><Relationship Id="rId1868" Type="http://schemas.openxmlformats.org/officeDocument/2006/relationships/hyperlink" Target="https://techcombank.com/thong-tin/blog/vay-the-chap-toi-da-duoc-bao-nhieu" TargetMode="External"/><Relationship Id="rId1869" Type="http://schemas.openxmlformats.org/officeDocument/2006/relationships/hyperlink" Target="https://techcombank.com/thong-tin/blog/dieu-kien-vay-the-chap" TargetMode="External"/><Relationship Id="rId1860" Type="http://schemas.openxmlformats.org/officeDocument/2006/relationships/hyperlink" Target="https://techcombank.com/thong-tin/blog/vay-the-chap-xe-o-to-cu" TargetMode="External"/><Relationship Id="rId1861" Type="http://schemas.openxmlformats.org/officeDocument/2006/relationships/hyperlink" Target="https://techcombank.com/thong-tin/blog/vay-the-chap-qua-luong" TargetMode="External"/><Relationship Id="rId1810" Type="http://schemas.openxmlformats.org/officeDocument/2006/relationships/hyperlink" Target="https://techcombank.com/thong-tin/blog/nen-mua-xe-tra-gop-hay-tra-thang" TargetMode="External"/><Relationship Id="rId1811" Type="http://schemas.openxmlformats.org/officeDocument/2006/relationships/hyperlink" Target="https://techcombank.com/thong-tin/blog/vay-15-trieu" TargetMode="External"/><Relationship Id="rId1812" Type="http://schemas.openxmlformats.org/officeDocument/2006/relationships/hyperlink" Target="https://techcombank.com/thong-tin/blog/sao-ke-the-tin-dung-la-gi" TargetMode="External"/><Relationship Id="rId1813" Type="http://schemas.openxmlformats.org/officeDocument/2006/relationships/hyperlink" Target="https://techcombank.com/thong-tin/blog/lai-suat-vay-tieu-dung" TargetMode="External"/><Relationship Id="rId1814" Type="http://schemas.openxmlformats.org/officeDocument/2006/relationships/hyperlink" Target="https://techcombank.com/thong-tin/blog/lam-ho-so-tra-gop-dien-thoai" TargetMode="External"/><Relationship Id="rId1815" Type="http://schemas.openxmlformats.org/officeDocument/2006/relationships/hyperlink" Target="https://techcombank.com/thong-tin/blog/vay-30-trieu" TargetMode="External"/><Relationship Id="rId1816" Type="http://schemas.openxmlformats.org/officeDocument/2006/relationships/hyperlink" Target="https://techcombank.com/thong-tin/blog/thu-tuc-vay-von-ngan-hang-de-xay-nha" TargetMode="External"/><Relationship Id="rId1817" Type="http://schemas.openxmlformats.org/officeDocument/2006/relationships/hyperlink" Target="https://techcombank.com/thong-tin/blog/lai-suat-ngan-hang-cho-vay-xay-nha" TargetMode="External"/><Relationship Id="rId1818" Type="http://schemas.openxmlformats.org/officeDocument/2006/relationships/hyperlink" Target="https://techcombank.com/thong-tin/blog/cach-su-dung-the-tin-dung" TargetMode="External"/><Relationship Id="rId1819" Type="http://schemas.openxmlformats.org/officeDocument/2006/relationships/hyperlink" Target="https://techcombank.com/thong-tin/blog/vay-mua-nha-o-xa-hoi" TargetMode="External"/><Relationship Id="rId1800" Type="http://schemas.openxmlformats.org/officeDocument/2006/relationships/hyperlink" Target="https://techcombank.com/thong-tin/blog/quy-trinh-tat-toan-khoan-vay-the-chap" TargetMode="External"/><Relationship Id="rId1801" Type="http://schemas.openxmlformats.org/officeDocument/2006/relationships/hyperlink" Target="https://techcombank.com/thong-tin/blog/vay-40-trieu" TargetMode="External"/><Relationship Id="rId1802" Type="http://schemas.openxmlformats.org/officeDocument/2006/relationships/hyperlink" Target="https://techcombank.com/thong-tin/blog/thu-tuc-mua-xe-tra-gop" TargetMode="External"/><Relationship Id="rId1803" Type="http://schemas.openxmlformats.org/officeDocument/2006/relationships/hyperlink" Target="https://techcombank.com/thong-tin/blog/vay-100-trieu" TargetMode="External"/><Relationship Id="rId1804" Type="http://schemas.openxmlformats.org/officeDocument/2006/relationships/hyperlink" Target="https://techcombank.com/thong-tin/blog/vay-ngan-hang-chi-can-cccd" TargetMode="External"/><Relationship Id="rId1805" Type="http://schemas.openxmlformats.org/officeDocument/2006/relationships/hyperlink" Target="https://techcombank.com/thong-tin/blog/tra-gop-shopee" TargetMode="External"/><Relationship Id="rId1806" Type="http://schemas.openxmlformats.org/officeDocument/2006/relationships/hyperlink" Target="https://techcombank.com/thong-tin/blog/tra-gop-hoc-phi" TargetMode="External"/><Relationship Id="rId1807" Type="http://schemas.openxmlformats.org/officeDocument/2006/relationships/hyperlink" Target="https://techcombank.com/thong-tin/blog/thanh-toan-tra-gop-qua-the-tin-dung" TargetMode="External"/><Relationship Id="rId1808" Type="http://schemas.openxmlformats.org/officeDocument/2006/relationships/hyperlink" Target="https://techcombank.com/thong-tin/blog/tra-gop-lazada" TargetMode="External"/><Relationship Id="rId1809" Type="http://schemas.openxmlformats.org/officeDocument/2006/relationships/hyperlink" Target="https://techcombank.com/thong-tin/blog/lai-suat-vay-the-chap-so-do" TargetMode="External"/><Relationship Id="rId1830" Type="http://schemas.openxmlformats.org/officeDocument/2006/relationships/hyperlink" Target="https://techcombank.com/thong-tin/blog/no-xau-nhom-2" TargetMode="External"/><Relationship Id="rId1831" Type="http://schemas.openxmlformats.org/officeDocument/2006/relationships/hyperlink" Target="https://techcombank.com/thong-tin/blog/lai-suat-vay-tin-chap" TargetMode="External"/><Relationship Id="rId1832" Type="http://schemas.openxmlformats.org/officeDocument/2006/relationships/hyperlink" Target="https://techcombank.com/thong-tin/blog/co-100-trieu-co-mua-nen-mua-tra-gop" TargetMode="External"/><Relationship Id="rId1833" Type="http://schemas.openxmlformats.org/officeDocument/2006/relationships/hyperlink" Target="https://techcombank.com/thong-tin/blog/dang-vay-tra-gop-co-vay-them-duoc-khong" TargetMode="External"/><Relationship Id="rId1834" Type="http://schemas.openxmlformats.org/officeDocument/2006/relationships/hyperlink" Target="https://techcombank.com/thong-tin/blog/bao-hiem-vat-chat-xe-o-to" TargetMode="External"/><Relationship Id="rId1835" Type="http://schemas.openxmlformats.org/officeDocument/2006/relationships/hyperlink" Target="https://techcombank.com/thong-tin/blog/han-muc-tra-gop-the-tin-dung" TargetMode="External"/><Relationship Id="rId1836" Type="http://schemas.openxmlformats.org/officeDocument/2006/relationships/hyperlink" Target="https://techcombank.com/thong-tin/blog/quy-trinh-cho-vay-tieu-dung" TargetMode="External"/><Relationship Id="rId1837" Type="http://schemas.openxmlformats.org/officeDocument/2006/relationships/hyperlink" Target="https://techcombank.com/thong-tin/blog/vay-20-trieu" TargetMode="External"/><Relationship Id="rId1838" Type="http://schemas.openxmlformats.org/officeDocument/2006/relationships/hyperlink" Target="https://techcombank.com/thong-tin/blog/kinh-nghiem-vay-tien-mua-nha" TargetMode="External"/><Relationship Id="rId1839" Type="http://schemas.openxmlformats.org/officeDocument/2006/relationships/hyperlink" Target="https://techcombank.com/thong-tin/blog/vay-tin-chap-la-gi" TargetMode="External"/><Relationship Id="rId1820" Type="http://schemas.openxmlformats.org/officeDocument/2006/relationships/hyperlink" Target="https://techcombank.com/thong-tin/blog/vay-200-trieu" TargetMode="External"/><Relationship Id="rId1821" Type="http://schemas.openxmlformats.org/officeDocument/2006/relationships/hyperlink" Target="https://techcombank.com/thong-tin/blog/kinh-nghiem-vay-tien-ngan-hang-xay-nha" TargetMode="External"/><Relationship Id="rId1822" Type="http://schemas.openxmlformats.org/officeDocument/2006/relationships/hyperlink" Target="https://techcombank.com/thong-tin/blog/vay-tin-chap-theo-luong" TargetMode="External"/><Relationship Id="rId1823" Type="http://schemas.openxmlformats.org/officeDocument/2006/relationships/hyperlink" Target="https://techcombank.com/thong-tin/blog/tra-gop-qua-the-tin-dung" TargetMode="External"/><Relationship Id="rId1824" Type="http://schemas.openxmlformats.org/officeDocument/2006/relationships/hyperlink" Target="https://techcombank.com/thong-tin/blog/cach-su-dung-the-visa-techcombank" TargetMode="External"/><Relationship Id="rId1825" Type="http://schemas.openxmlformats.org/officeDocument/2006/relationships/hyperlink" Target="https://techcombank.com/thong-tin/blog/lai-suat-vay-ngan-hang" TargetMode="External"/><Relationship Id="rId1826" Type="http://schemas.openxmlformats.org/officeDocument/2006/relationships/hyperlink" Target="https://techcombank.com/thong-tin/blog/du-no-tin-dung-la-gi" TargetMode="External"/><Relationship Id="rId1827" Type="http://schemas.openxmlformats.org/officeDocument/2006/relationships/hyperlink" Target="https://techcombank.com/thong-tin/blog/mua-nha-tra-gop-dua-truoc-100-trieu" TargetMode="External"/><Relationship Id="rId1828" Type="http://schemas.openxmlformats.org/officeDocument/2006/relationships/hyperlink" Target="https://techcombank.com/thong-tin/blog/vay-han-muc-la-gi" TargetMode="External"/><Relationship Id="rId1829" Type="http://schemas.openxmlformats.org/officeDocument/2006/relationships/hyperlink" Target="https://techcombank.com/thong-tin/blog/lai-suat-vay-mua-o-to" TargetMode="External"/><Relationship Id="rId1455" Type="http://schemas.openxmlformats.org/officeDocument/2006/relationships/hyperlink" Target="https://techcombank.com/thong-tin/blog/cach-su-dung-the-tin-dung" TargetMode="External"/><Relationship Id="rId2302" Type="http://schemas.openxmlformats.org/officeDocument/2006/relationships/hyperlink" Target="https://techcombank.com/thong-tin/blog/tien-gui-co-ky-han" TargetMode="External"/><Relationship Id="rId1456" Type="http://schemas.openxmlformats.org/officeDocument/2006/relationships/hyperlink" Target="https://techcombank.com/thong-tin/blog/vay-mua-nha-o-xa-hoi" TargetMode="External"/><Relationship Id="rId2303" Type="http://schemas.openxmlformats.org/officeDocument/2006/relationships/hyperlink" Target="https://techcombank.com/thong-tin/blog/lai-suat-gui-tiet-kiem-usd" TargetMode="External"/><Relationship Id="rId1457" Type="http://schemas.openxmlformats.org/officeDocument/2006/relationships/hyperlink" Target="https://techcombank.com/thong-tin/blog/vay-200-trieu" TargetMode="External"/><Relationship Id="rId2304" Type="http://schemas.openxmlformats.org/officeDocument/2006/relationships/hyperlink" Target="https://techcombank.com/thong-tin/blog/gui-tiet-kiem-usd" TargetMode="External"/><Relationship Id="rId1458" Type="http://schemas.openxmlformats.org/officeDocument/2006/relationships/hyperlink" Target="https://techcombank.com/thong-tin/blog/kinh-nghiem-vay-tien-ngan-hang-xay-nha" TargetMode="External"/><Relationship Id="rId2305" Type="http://schemas.openxmlformats.org/officeDocument/2006/relationships/hyperlink" Target="https://techcombank.com/thong-tin/blog/vay-tien-online" TargetMode="External"/><Relationship Id="rId1459" Type="http://schemas.openxmlformats.org/officeDocument/2006/relationships/hyperlink" Target="https://techcombank.com/thong-tin/blog/giai-ngan-vay-the-chap" TargetMode="External"/><Relationship Id="rId2306" Type="http://schemas.openxmlformats.org/officeDocument/2006/relationships/hyperlink" Target="https://techcombank.com/thong-tin/blog/vay-ngan-hang-chi-can-cccd" TargetMode="External"/><Relationship Id="rId2307" Type="http://schemas.openxmlformats.org/officeDocument/2006/relationships/hyperlink" Target="https://techcombank.com/thong-tin/blog/vay-30-trieu" TargetMode="External"/><Relationship Id="rId2308" Type="http://schemas.openxmlformats.org/officeDocument/2006/relationships/hyperlink" Target="https://techcombank.com/thong-tin/blog/vay-50-trieu" TargetMode="External"/><Relationship Id="rId2309" Type="http://schemas.openxmlformats.org/officeDocument/2006/relationships/hyperlink" Target="https://techcombank.com/thong-tin/blog/vay-sieu-toc" TargetMode="External"/><Relationship Id="rId629" Type="http://schemas.openxmlformats.org/officeDocument/2006/relationships/hyperlink" Target="https://techcombank.com/thong-tin/blog/1-cmnd-dang-ky-duoc-may-tai-khoan-ngan-hang" TargetMode="External"/><Relationship Id="rId624" Type="http://schemas.openxmlformats.org/officeDocument/2006/relationships/hyperlink" Target="https://techcombank.com/thong-tin/blog/kiem-tra-no-xau" TargetMode="External"/><Relationship Id="rId623" Type="http://schemas.openxmlformats.org/officeDocument/2006/relationships/hyperlink" Target="https://techcombank.com/thong-tin/blog/dang-ky-ma-so-thue-ca-nhan" TargetMode="External"/><Relationship Id="rId622" Type="http://schemas.openxmlformats.org/officeDocument/2006/relationships/hyperlink" Target="https://techcombank.com/thong-tin/blog/tra-cuu-ma-so-thue-ho-kinh-doanh" TargetMode="External"/><Relationship Id="rId621" Type="http://schemas.openxmlformats.org/officeDocument/2006/relationships/hyperlink" Target="https://techcombank.com/thong-tin/blog/mo-tai-khoan-ngan-hang-bang-so-dien-thoai" TargetMode="External"/><Relationship Id="rId628" Type="http://schemas.openxmlformats.org/officeDocument/2006/relationships/hyperlink" Target="https://techcombank.com/thong-tin/blog/vay-50-trieu" TargetMode="External"/><Relationship Id="rId627" Type="http://schemas.openxmlformats.org/officeDocument/2006/relationships/hyperlink" Target="https://techcombank.com/thong-tin/blog/mo-the-tin-dung-chi-can-cccd" TargetMode="External"/><Relationship Id="rId626" Type="http://schemas.openxmlformats.org/officeDocument/2006/relationships/hyperlink" Target="https://techcombank.com/thong-tin/blog/vay-ngan-hang-chi-can-cccd" TargetMode="External"/><Relationship Id="rId625" Type="http://schemas.openxmlformats.org/officeDocument/2006/relationships/hyperlink" Target="https://techcombank.com/thong-tin/blog/no-xau-la-gi" TargetMode="External"/><Relationship Id="rId1450" Type="http://schemas.openxmlformats.org/officeDocument/2006/relationships/hyperlink" Target="https://techcombank.com/thong-tin/blog/nen-mua-xe-tra-gop-hay-tra-thang" TargetMode="External"/><Relationship Id="rId620" Type="http://schemas.openxmlformats.org/officeDocument/2006/relationships/hyperlink" Target="https://techcombank.com/thong-tin/blog/cach-dang-ky-dinh-danh-muc-2" TargetMode="External"/><Relationship Id="rId1451" Type="http://schemas.openxmlformats.org/officeDocument/2006/relationships/hyperlink" Target="https://techcombank.com/thong-tin/blog/vay-15-trieu" TargetMode="External"/><Relationship Id="rId1452" Type="http://schemas.openxmlformats.org/officeDocument/2006/relationships/hyperlink" Target="https://techcombank.com/thong-tin/blog/lam-ho-so-tra-gop-dien-thoai" TargetMode="External"/><Relationship Id="rId1453" Type="http://schemas.openxmlformats.org/officeDocument/2006/relationships/hyperlink" Target="https://techcombank.com/thong-tin/blog/vay-the-chap-so-hong" TargetMode="External"/><Relationship Id="rId2300" Type="http://schemas.openxmlformats.org/officeDocument/2006/relationships/hyperlink" Target="https://techcombank.com/thong-tin/blog/vay-tin-chap-la-gi" TargetMode="External"/><Relationship Id="rId1454" Type="http://schemas.openxmlformats.org/officeDocument/2006/relationships/hyperlink" Target="https://techcombank.com/thong-tin/blog/vay-30-trieu" TargetMode="External"/><Relationship Id="rId2301" Type="http://schemas.openxmlformats.org/officeDocument/2006/relationships/hyperlink" Target="https://techcombank.com/thong-tin/blog/tien-nhan-roi-nen-lam-gi" TargetMode="External"/><Relationship Id="rId1444" Type="http://schemas.openxmlformats.org/officeDocument/2006/relationships/hyperlink" Target="https://techcombank.com/thong-tin/blog/tra-gop-shopee" TargetMode="External"/><Relationship Id="rId1445" Type="http://schemas.openxmlformats.org/officeDocument/2006/relationships/hyperlink" Target="https://techcombank.com/thong-tin/blog/tra-gop-hoc-phi" TargetMode="External"/><Relationship Id="rId1446" Type="http://schemas.openxmlformats.org/officeDocument/2006/relationships/hyperlink" Target="https://techcombank.com/thong-tin/blog/thanh-toan-tra-gop-qua-the-tin-dung" TargetMode="External"/><Relationship Id="rId1447" Type="http://schemas.openxmlformats.org/officeDocument/2006/relationships/hyperlink" Target="https://techcombank.com/thong-tin/blog/tra-gop-lazada" TargetMode="External"/><Relationship Id="rId1448" Type="http://schemas.openxmlformats.org/officeDocument/2006/relationships/hyperlink" Target="https://techcombank.com/thong-tin/blog/bi-quyet-tiet-kiem-tien-mua-nha" TargetMode="External"/><Relationship Id="rId1449" Type="http://schemas.openxmlformats.org/officeDocument/2006/relationships/hyperlink" Target="https://techcombank.com/thong-tin/blog/lai-suat-vay-the-chap-so-do" TargetMode="External"/><Relationship Id="rId619" Type="http://schemas.openxmlformats.org/officeDocument/2006/relationships/hyperlink" Target="https://techcombank.com/thong-tin/blog/ekyc-la-gi" TargetMode="External"/><Relationship Id="rId618" Type="http://schemas.openxmlformats.org/officeDocument/2006/relationships/hyperlink" Target="https://techcombank.com/thong-tin/blog/cach-lien-ket-tai-khoan-ngan-hang-voi-vneid" TargetMode="External"/><Relationship Id="rId613" Type="http://schemas.openxmlformats.org/officeDocument/2006/relationships/hyperlink" Target="https://techcombank.com/thong-tin/blog/cach-su-dung-the-ghi-no" TargetMode="External"/><Relationship Id="rId612" Type="http://schemas.openxmlformats.org/officeDocument/2006/relationships/hyperlink" Target="https://techcombank.com/thong-tin/blog/the-visa-co-rut-tien-duoc-khong" TargetMode="External"/><Relationship Id="rId611" Type="http://schemas.openxmlformats.org/officeDocument/2006/relationships/hyperlink" Target="https://techcombank.com/thong-tin/blog/cach-chuyen-tien" TargetMode="External"/><Relationship Id="rId610" Type="http://schemas.openxmlformats.org/officeDocument/2006/relationships/hyperlink" Target="https://techcombank.com/thong-tin/blog/the-atm-tu" TargetMode="External"/><Relationship Id="rId617" Type="http://schemas.openxmlformats.org/officeDocument/2006/relationships/hyperlink" Target="https://techcombank.com/thong-tin/blog/xac-thuc-sinh-trac-hoc-khi-chuyen-tien" TargetMode="External"/><Relationship Id="rId616" Type="http://schemas.openxmlformats.org/officeDocument/2006/relationships/hyperlink" Target="https://techcombank.com/thong-tin/blog/tien-gui-co-ky-han" TargetMode="External"/><Relationship Id="rId615" Type="http://schemas.openxmlformats.org/officeDocument/2006/relationships/hyperlink" Target="https://techcombank.com/thong-tin/blog/the-ghi-no-co-rut-tien-duoc-khong" TargetMode="External"/><Relationship Id="rId614" Type="http://schemas.openxmlformats.org/officeDocument/2006/relationships/hyperlink" Target="https://techcombank.com/thong-tin/blog/cach-chuyen-tien-qua-ma-qr-techcombank" TargetMode="External"/><Relationship Id="rId1440" Type="http://schemas.openxmlformats.org/officeDocument/2006/relationships/hyperlink" Target="https://techcombank.com/thong-tin/blog/vay-40-trieu" TargetMode="External"/><Relationship Id="rId1441" Type="http://schemas.openxmlformats.org/officeDocument/2006/relationships/hyperlink" Target="https://techcombank.com/thong-tin/blog/vay-the-chap-qua-luong" TargetMode="External"/><Relationship Id="rId1442" Type="http://schemas.openxmlformats.org/officeDocument/2006/relationships/hyperlink" Target="https://techcombank.com/thong-tin/blog/thu-tuc-mua-xe-tra-gop" TargetMode="External"/><Relationship Id="rId1443" Type="http://schemas.openxmlformats.org/officeDocument/2006/relationships/hyperlink" Target="https://techcombank.com/thong-tin/blog/vay-100-trieu" TargetMode="External"/><Relationship Id="rId1477" Type="http://schemas.openxmlformats.org/officeDocument/2006/relationships/hyperlink" Target="https://techcombank.com/thong-tin/blog/vay-mua-dien-thoai" TargetMode="External"/><Relationship Id="rId2324" Type="http://schemas.openxmlformats.org/officeDocument/2006/relationships/hyperlink" Target="https://techcombank.com/thong-tin/blog/lai-suat-vay-tin-chap" TargetMode="External"/><Relationship Id="rId1478" Type="http://schemas.openxmlformats.org/officeDocument/2006/relationships/hyperlink" Target="https://techcombank.com/thong-tin/blog/vay-the-chap-hop-dong-mua-ban-can-ho" TargetMode="External"/><Relationship Id="rId2325" Type="http://schemas.openxmlformats.org/officeDocument/2006/relationships/hyperlink" Target="https://techcombank.com/thong-tin/blog/dieu-kien-vay-von-ngan-hang" TargetMode="External"/><Relationship Id="rId1479" Type="http://schemas.openxmlformats.org/officeDocument/2006/relationships/hyperlink" Target="https://techcombank.com/thong-tin/blog/dat-ve-may-bay" TargetMode="External"/><Relationship Id="rId2326" Type="http://schemas.openxmlformats.org/officeDocument/2006/relationships/hyperlink" Target="https://techcombank.com/thong-tin/blog/lai-suat-qua-han" TargetMode="External"/><Relationship Id="rId2327" Type="http://schemas.openxmlformats.org/officeDocument/2006/relationships/hyperlink" Target="https://techcombank.com/thong-tin/blog/lai-suat-vay-kinh-doanh" TargetMode="External"/><Relationship Id="rId2328" Type="http://schemas.openxmlformats.org/officeDocument/2006/relationships/hyperlink" Target="https://techcombank.com/thong-tin/blog/loi-nhuan" TargetMode="External"/><Relationship Id="rId2329" Type="http://schemas.openxmlformats.org/officeDocument/2006/relationships/hyperlink" Target="https://techcombank.com/thong-tin/blog/vay-tin-chap-va-vay-the-chap" TargetMode="External"/><Relationship Id="rId646" Type="http://schemas.openxmlformats.org/officeDocument/2006/relationships/hyperlink" Target="https://techcombank.com/thong-tin/blog/voucher-xanh-sm" TargetMode="External"/><Relationship Id="rId645" Type="http://schemas.openxmlformats.org/officeDocument/2006/relationships/hyperlink" Target="https://techcombank.com/thong-tin/blog/ngan-hang-so-cho-doanh-nghiep" TargetMode="External"/><Relationship Id="rId644" Type="http://schemas.openxmlformats.org/officeDocument/2006/relationships/hyperlink" Target="https://techcombank.com/thong-tin/blog/thuc-day-thi-truong-the-noi-dia-va-xu-huong-thanh-toan-tuong-lai" TargetMode="External"/><Relationship Id="rId643" Type="http://schemas.openxmlformats.org/officeDocument/2006/relationships/hyperlink" Target="https://techcombank.com/thong-tin/blog/dat-xe-xanh-sm" TargetMode="External"/><Relationship Id="rId649" Type="http://schemas.openxmlformats.org/officeDocument/2006/relationships/hyperlink" Target="https://techcombank.com/thong-tin/blog/xu-huong-tieu-dung" TargetMode="External"/><Relationship Id="rId648" Type="http://schemas.openxmlformats.org/officeDocument/2006/relationships/hyperlink" Target="https://techcombank.com/thong-tin/blog/phan-bo-tai-san" TargetMode="External"/><Relationship Id="rId647" Type="http://schemas.openxmlformats.org/officeDocument/2006/relationships/hyperlink" Target="https://techcombank.com/thong-tin/blog/bao-hiem-pin-xe-dien" TargetMode="External"/><Relationship Id="rId1470" Type="http://schemas.openxmlformats.org/officeDocument/2006/relationships/hyperlink" Target="https://techcombank.com/thong-tin/blog/co-100-trieu-co-mua-nen-mua-tra-gop" TargetMode="External"/><Relationship Id="rId1471" Type="http://schemas.openxmlformats.org/officeDocument/2006/relationships/hyperlink" Target="https://techcombank.com/thong-tin/blog/dang-vay-tra-gop-co-vay-them-duoc-khong" TargetMode="External"/><Relationship Id="rId1472" Type="http://schemas.openxmlformats.org/officeDocument/2006/relationships/hyperlink" Target="https://techcombank.com/thong-tin/blog/vay-the-chap-khong-chung-minh-thu-nhap" TargetMode="External"/><Relationship Id="rId642" Type="http://schemas.openxmlformats.org/officeDocument/2006/relationships/hyperlink" Target="https://techcombank.com/thong-tin/blog/mr-eco" TargetMode="External"/><Relationship Id="rId1473" Type="http://schemas.openxmlformats.org/officeDocument/2006/relationships/hyperlink" Target="https://techcombank.com/thong-tin/blog/bao-hiem-vat-chat-xe-o-to" TargetMode="External"/><Relationship Id="rId2320" Type="http://schemas.openxmlformats.org/officeDocument/2006/relationships/hyperlink" Target="https://techcombank.com/thong-tin/blog/vay-the-chap-hop-dong-mua-ban-can-ho" TargetMode="External"/><Relationship Id="rId641" Type="http://schemas.openxmlformats.org/officeDocument/2006/relationships/hyperlink" Target="https://techcombank.com/thong-tin/blog/chinh-sach-thue-moi" TargetMode="External"/><Relationship Id="rId1474" Type="http://schemas.openxmlformats.org/officeDocument/2006/relationships/hyperlink" Target="https://techcombank.com/thong-tin/blog/han-muc-tra-gop-the-tin-dung" TargetMode="External"/><Relationship Id="rId2321" Type="http://schemas.openxmlformats.org/officeDocument/2006/relationships/hyperlink" Target="https://techcombank.com/thong-tin/blog/vay-du-hoc" TargetMode="External"/><Relationship Id="rId640" Type="http://schemas.openxmlformats.org/officeDocument/2006/relationships/hyperlink" Target="https://techcombank.com/thong-tin/blog/cach-quan-ly-tai-san" TargetMode="External"/><Relationship Id="rId1475" Type="http://schemas.openxmlformats.org/officeDocument/2006/relationships/hyperlink" Target="https://techcombank.com/thong-tin/blog/vay-tra-gop" TargetMode="External"/><Relationship Id="rId2322" Type="http://schemas.openxmlformats.org/officeDocument/2006/relationships/hyperlink" Target="https://techcombank.com/thong-tin/blog/lai-suat-la-gi" TargetMode="External"/><Relationship Id="rId1476" Type="http://schemas.openxmlformats.org/officeDocument/2006/relationships/hyperlink" Target="https://techcombank.com/thong-tin/blog/vay-20-trieu" TargetMode="External"/><Relationship Id="rId2323" Type="http://schemas.openxmlformats.org/officeDocument/2006/relationships/hyperlink" Target="https://techcombank.com/thong-tin/blog/lai-suat-vay-tieu-dung" TargetMode="External"/><Relationship Id="rId1466" Type="http://schemas.openxmlformats.org/officeDocument/2006/relationships/hyperlink" Target="https://techcombank.com/thong-tin/blog/vay-the-chap-toi-da-duoc-bao-nhieu" TargetMode="External"/><Relationship Id="rId2313" Type="http://schemas.openxmlformats.org/officeDocument/2006/relationships/hyperlink" Target="https://techcombank.com/thong-tin/blog/vay-tin-chap-toi-da-duoc-bao-nhieu" TargetMode="External"/><Relationship Id="rId1467" Type="http://schemas.openxmlformats.org/officeDocument/2006/relationships/hyperlink" Target="https://techcombank.com/thong-tin/blog/dieu-kien-vay-the-chap" TargetMode="External"/><Relationship Id="rId2314" Type="http://schemas.openxmlformats.org/officeDocument/2006/relationships/hyperlink" Target="https://techcombank.com/thong-tin/blog/kinh-nghiem-vay-tien-ngan-hang-xay-nha" TargetMode="External"/><Relationship Id="rId1468" Type="http://schemas.openxmlformats.org/officeDocument/2006/relationships/hyperlink" Target="https://techcombank.com/thong-tin/blog/lai-suat-vay-mua-o-to" TargetMode="External"/><Relationship Id="rId2315" Type="http://schemas.openxmlformats.org/officeDocument/2006/relationships/hyperlink" Target="https://techcombank.com/thong-tin/blog/lai-suat-vay-ngan-hang" TargetMode="External"/><Relationship Id="rId1469" Type="http://schemas.openxmlformats.org/officeDocument/2006/relationships/hyperlink" Target="https://techcombank.com/thong-tin/blog/the-chap-la-gi" TargetMode="External"/><Relationship Id="rId2316" Type="http://schemas.openxmlformats.org/officeDocument/2006/relationships/hyperlink" Target="https://techcombank.com/thong-tin/blog/dang-vay-tra-gop-co-vay-them-duoc-khong" TargetMode="External"/><Relationship Id="rId2317" Type="http://schemas.openxmlformats.org/officeDocument/2006/relationships/hyperlink" Target="https://techcombank.com/thong-tin/blog/vay-tra-gop" TargetMode="External"/><Relationship Id="rId2318" Type="http://schemas.openxmlformats.org/officeDocument/2006/relationships/hyperlink" Target="https://techcombank.com/thong-tin/blog/quy-trinh-cho-vay-tieu-dung" TargetMode="External"/><Relationship Id="rId2319" Type="http://schemas.openxmlformats.org/officeDocument/2006/relationships/hyperlink" Target="https://techcombank.com/thong-tin/blog/kinh-nghiem-vay-tien-mua-nha" TargetMode="External"/><Relationship Id="rId635" Type="http://schemas.openxmlformats.org/officeDocument/2006/relationships/hyperlink" Target="https://techcombank.com/thong-tin/blog/tieu-dung-xanh" TargetMode="External"/><Relationship Id="rId634" Type="http://schemas.openxmlformats.org/officeDocument/2006/relationships/hyperlink" Target="https://techcombank.com/thong-tin/blog/the-ghi-no-visa-la-gi" TargetMode="External"/><Relationship Id="rId633" Type="http://schemas.openxmlformats.org/officeDocument/2006/relationships/hyperlink" Target="https://techcombank.com/thong-tin/blog/xu-huong-song-xanh" TargetMode="External"/><Relationship Id="rId632" Type="http://schemas.openxmlformats.org/officeDocument/2006/relationships/hyperlink" Target="https://techcombank.com/thong-tin/blog/san-pham-xanh" TargetMode="External"/><Relationship Id="rId639" Type="http://schemas.openxmlformats.org/officeDocument/2006/relationships/hyperlink" Target="https://techcombank.com/thong-tin/blog/luu-y-khi-chuyen-doi-tu-ho-kinh-doanh-len-doanh-nghiep" TargetMode="External"/><Relationship Id="rId638" Type="http://schemas.openxmlformats.org/officeDocument/2006/relationships/hyperlink" Target="https://techcombank.com/thong-tin/blog/loi-nhuan-rong" TargetMode="External"/><Relationship Id="rId637" Type="http://schemas.openxmlformats.org/officeDocument/2006/relationships/hyperlink" Target="https://techcombank.com/thong-tin/blog/tai-khoan-doanh-nghiep-co-the-khong" TargetMode="External"/><Relationship Id="rId636" Type="http://schemas.openxmlformats.org/officeDocument/2006/relationships/hyperlink" Target="https://techcombank.com/thong-tin/blog/tap-doan-thanh-quang-khoi-sac-kinh-doanh-nho-nguon-von-vay-tin-dung-techcombank-tren-nen-tang-misa-lending" TargetMode="External"/><Relationship Id="rId1460" Type="http://schemas.openxmlformats.org/officeDocument/2006/relationships/hyperlink" Target="https://techcombank.com/thong-tin/blog/tra-gop-qua-the-tin-dung" TargetMode="External"/><Relationship Id="rId1461" Type="http://schemas.openxmlformats.org/officeDocument/2006/relationships/hyperlink" Target="https://techcombank.com/thong-tin/blog/cach-su-dung-the-visa-techcombank" TargetMode="External"/><Relationship Id="rId631" Type="http://schemas.openxmlformats.org/officeDocument/2006/relationships/hyperlink" Target="https://techcombank.com/thong-tin/blog/dau-chan-carbon" TargetMode="External"/><Relationship Id="rId1462" Type="http://schemas.openxmlformats.org/officeDocument/2006/relationships/hyperlink" Target="https://techcombank.com/thong-tin/blog/no-xau-co-vay-the-chap-duoc-khong" TargetMode="External"/><Relationship Id="rId630" Type="http://schemas.openxmlformats.org/officeDocument/2006/relationships/hyperlink" Target="https://techcombank.com/thong-tin/blog/app-vay-tien-nhanh" TargetMode="External"/><Relationship Id="rId1463" Type="http://schemas.openxmlformats.org/officeDocument/2006/relationships/hyperlink" Target="https://techcombank.com/thong-tin/blog/han-muc-vay-the-chap-so-do" TargetMode="External"/><Relationship Id="rId2310" Type="http://schemas.openxmlformats.org/officeDocument/2006/relationships/hyperlink" Target="https://techcombank.com/thong-tin/blog/vay-kinh-doanh-online" TargetMode="External"/><Relationship Id="rId1464" Type="http://schemas.openxmlformats.org/officeDocument/2006/relationships/hyperlink" Target="https://techcombank.com/thong-tin/blog/mua-nha-tra-gop-dua-truoc-100-trieu" TargetMode="External"/><Relationship Id="rId2311" Type="http://schemas.openxmlformats.org/officeDocument/2006/relationships/hyperlink" Target="https://techcombank.com/thong-tin/blog/vay-the-chap-qua-luong" TargetMode="External"/><Relationship Id="rId1465" Type="http://schemas.openxmlformats.org/officeDocument/2006/relationships/hyperlink" Target="https://techcombank.com/thong-tin/blog/phi-vay-the-chap" TargetMode="External"/><Relationship Id="rId2312" Type="http://schemas.openxmlformats.org/officeDocument/2006/relationships/hyperlink" Target="https://techcombank.com/thong-tin/blog/vay-tien-mat" TargetMode="External"/><Relationship Id="rId1411" Type="http://schemas.openxmlformats.org/officeDocument/2006/relationships/hyperlink" Target="https://techcombank.com/thong-tin/blog/1-euro-bang-bao-nhieu-tien-viet" TargetMode="External"/><Relationship Id="rId1895" Type="http://schemas.openxmlformats.org/officeDocument/2006/relationships/hyperlink" Target="https://techcombank.com/thong-tin/blog/vay-the-chap-qua-luong" TargetMode="External"/><Relationship Id="rId1412" Type="http://schemas.openxmlformats.org/officeDocument/2006/relationships/hyperlink" Target="https://techcombank.com/thong-tin/blog/1-do-uc-bang-bao-nhieu-tien-viet" TargetMode="External"/><Relationship Id="rId1896" Type="http://schemas.openxmlformats.org/officeDocument/2006/relationships/hyperlink" Target="https://techcombank.com/thong-tin/blog/lai-suat-vay-the-chap-so-do" TargetMode="External"/><Relationship Id="rId1413" Type="http://schemas.openxmlformats.org/officeDocument/2006/relationships/hyperlink" Target="https://techcombank.com/thong-tin/blog/ty-gia-la-gi" TargetMode="External"/><Relationship Id="rId1897" Type="http://schemas.openxmlformats.org/officeDocument/2006/relationships/hyperlink" Target="https://techcombank.com/thong-tin/blog/tat-toan-chung-chi-tien-gui" TargetMode="External"/><Relationship Id="rId1414" Type="http://schemas.openxmlformats.org/officeDocument/2006/relationships/hyperlink" Target="https://techcombank.com/thong-tin/blog/ty-gia-hoi-doai-la-gi" TargetMode="External"/><Relationship Id="rId1898" Type="http://schemas.openxmlformats.org/officeDocument/2006/relationships/hyperlink" Target="https://techcombank.com/thong-tin/blog/nen-mua-xe-tra-gop-hay-tra-thang" TargetMode="External"/><Relationship Id="rId1415" Type="http://schemas.openxmlformats.org/officeDocument/2006/relationships/hyperlink" Target="https://techcombank.com/thong-tin/blog/co-nen-vay-ngan-hang-mua-nha" TargetMode="External"/><Relationship Id="rId1899" Type="http://schemas.openxmlformats.org/officeDocument/2006/relationships/hyperlink" Target="https://techcombank.com/thong-tin/blog/vay-the-chap-so-hong" TargetMode="External"/><Relationship Id="rId1416" Type="http://schemas.openxmlformats.org/officeDocument/2006/relationships/hyperlink" Target="https://techcombank.com/thong-tin/blog/thu-tuc-vay-ngan-hang-mua-nha" TargetMode="External"/><Relationship Id="rId1417" Type="http://schemas.openxmlformats.org/officeDocument/2006/relationships/hyperlink" Target="https://techcombank.com/thong-tin/blog/kinh-nghiem-vay-tien-mua-nha" TargetMode="External"/><Relationship Id="rId1418" Type="http://schemas.openxmlformats.org/officeDocument/2006/relationships/hyperlink" Target="https://techcombank.com/thong-tin/blog/vay-mua-chung-cu" TargetMode="External"/><Relationship Id="rId1419" Type="http://schemas.openxmlformats.org/officeDocument/2006/relationships/hyperlink" Target="https://techcombank.com/thong-tin/blog/lai-suat-vay-the-chap" TargetMode="External"/><Relationship Id="rId1890" Type="http://schemas.openxmlformats.org/officeDocument/2006/relationships/hyperlink" Target="https://techcombank.com/thong-tin/blog/rui-ro-khi-vay-the-chap-ngan-hang" TargetMode="External"/><Relationship Id="rId1891" Type="http://schemas.openxmlformats.org/officeDocument/2006/relationships/hyperlink" Target="https://techcombank.com/thong-tin/blog/vay-tin-chap-va-vay-the-chap" TargetMode="External"/><Relationship Id="rId1892" Type="http://schemas.openxmlformats.org/officeDocument/2006/relationships/hyperlink" Target="https://techcombank.com/thong-tin/blog/lai-suat-vay-the-chap" TargetMode="External"/><Relationship Id="rId1893" Type="http://schemas.openxmlformats.org/officeDocument/2006/relationships/hyperlink" Target="https://techcombank.com/thong-tin/blog/kinh-nghiem-vay-the-chap-ngan-hang" TargetMode="External"/><Relationship Id="rId1410" Type="http://schemas.openxmlformats.org/officeDocument/2006/relationships/hyperlink" Target="https://techcombank.com/thong-tin/blog/bien-dong-ty-gia-voi-doanh-nghiep-sme" TargetMode="External"/><Relationship Id="rId1894" Type="http://schemas.openxmlformats.org/officeDocument/2006/relationships/hyperlink" Target="https://techcombank.com/thong-tin/blog/vay-the-chap-xe-o-to-cu" TargetMode="External"/><Relationship Id="rId1400" Type="http://schemas.openxmlformats.org/officeDocument/2006/relationships/hyperlink" Target="https://techcombank.com/thong-tin/blog/1000-yen-bang-bao-nhieu-tien-viet" TargetMode="External"/><Relationship Id="rId1884" Type="http://schemas.openxmlformats.org/officeDocument/2006/relationships/hyperlink" Target="https://techcombank.com/thong-tin/blog/vay-san-xuat-kinh-doanh" TargetMode="External"/><Relationship Id="rId1401" Type="http://schemas.openxmlformats.org/officeDocument/2006/relationships/hyperlink" Target="https://techcombank.com/thong-tin/blog/xu-huong-ty-gia-usd" TargetMode="External"/><Relationship Id="rId1885" Type="http://schemas.openxmlformats.org/officeDocument/2006/relationships/hyperlink" Target="https://techcombank.com/thong-tin/blog/vay-the-chap-kinh-doanh" TargetMode="External"/><Relationship Id="rId1402" Type="http://schemas.openxmlformats.org/officeDocument/2006/relationships/hyperlink" Target="https://techcombank.com/thong-tin/blog/vnd-to-myr" TargetMode="External"/><Relationship Id="rId1886" Type="http://schemas.openxmlformats.org/officeDocument/2006/relationships/hyperlink" Target="https://techcombank.com/thong-tin/blog/vay-the-chap-so-bao-hiem-xa-hoi" TargetMode="External"/><Relationship Id="rId1403" Type="http://schemas.openxmlformats.org/officeDocument/2006/relationships/hyperlink" Target="https://techcombank.com/thong-tin/blog/1-van-tien-dai-loan-bang-bao-nhieu-tien-viet" TargetMode="External"/><Relationship Id="rId1887" Type="http://schemas.openxmlformats.org/officeDocument/2006/relationships/hyperlink" Target="https://techcombank.com/thong-tin/blog/nen-vay-the-chap-ngan-hang-nao" TargetMode="External"/><Relationship Id="rId1404" Type="http://schemas.openxmlformats.org/officeDocument/2006/relationships/hyperlink" Target="https://techcombank.com/thong-tin/blog/1-dong-do-la-my-bang-bao-nhieu-tien-viet-nam" TargetMode="External"/><Relationship Id="rId1888" Type="http://schemas.openxmlformats.org/officeDocument/2006/relationships/hyperlink" Target="https://techcombank.com/thong-tin/blog/vay-the-chap-la-gi" TargetMode="External"/><Relationship Id="rId1405" Type="http://schemas.openxmlformats.org/officeDocument/2006/relationships/hyperlink" Target="https://techcombank.com/thong-tin/blog/1-won-bang-bao-nhieu-tien-viet" TargetMode="External"/><Relationship Id="rId1889" Type="http://schemas.openxmlformats.org/officeDocument/2006/relationships/hyperlink" Target="https://techcombank.com/thong-tin/blog/tat-toan-so-tiet-kiem" TargetMode="External"/><Relationship Id="rId1406" Type="http://schemas.openxmlformats.org/officeDocument/2006/relationships/hyperlink" Target="https://techcombank.com/thong-tin/blog/1-trieu-won-bang-bao-nhieu-tien-viet" TargetMode="External"/><Relationship Id="rId1407" Type="http://schemas.openxmlformats.org/officeDocument/2006/relationships/hyperlink" Target="https://techcombank.com/thong-tin/blog/1-te-bang-bao-nhieu-tien-viet-nam" TargetMode="External"/><Relationship Id="rId1408" Type="http://schemas.openxmlformats.org/officeDocument/2006/relationships/hyperlink" Target="https://techcombank.com/thong-tin/blog/1-yen-bang-bao-nhieu-tien-viet-nam" TargetMode="External"/><Relationship Id="rId1409" Type="http://schemas.openxmlformats.org/officeDocument/2006/relationships/hyperlink" Target="https://techcombank.com/thong-tin/blog/cach-tinh-ty-gia-ky-han" TargetMode="External"/><Relationship Id="rId1880" Type="http://schemas.openxmlformats.org/officeDocument/2006/relationships/hyperlink" Target="https://techcombank.com/thong-tin/blog/vay-von-doanh-nghiep-khong-the-chap" TargetMode="External"/><Relationship Id="rId1881" Type="http://schemas.openxmlformats.org/officeDocument/2006/relationships/hyperlink" Target="https://techcombank.com/thong-tin/blog/vay-ngan-han" TargetMode="External"/><Relationship Id="rId1882" Type="http://schemas.openxmlformats.org/officeDocument/2006/relationships/hyperlink" Target="https://techcombank.com/thong-tin/blog/thu-tuc-vay-von-kinh-doanh-nho" TargetMode="External"/><Relationship Id="rId1883" Type="http://schemas.openxmlformats.org/officeDocument/2006/relationships/hyperlink" Target="https://techcombank.com/thong-tin/blog/cac-hinh-thuc-vay-von-ngan-hang" TargetMode="External"/><Relationship Id="rId1433" Type="http://schemas.openxmlformats.org/officeDocument/2006/relationships/hyperlink" Target="https://techcombank.com/thong-tin/blog/vay-tin-chap-va-vay-the-chap" TargetMode="External"/><Relationship Id="rId1434" Type="http://schemas.openxmlformats.org/officeDocument/2006/relationships/hyperlink" Target="https://techcombank.com/thong-tin/blog/kinh-nghiem-vay-the-chap-ngan-hang" TargetMode="External"/><Relationship Id="rId1435" Type="http://schemas.openxmlformats.org/officeDocument/2006/relationships/hyperlink" Target="https://techcombank.com/thong-tin/blog/vay-mua-xe-tra-gop-ngan-hang-nao-tot-nhat" TargetMode="External"/><Relationship Id="rId1436" Type="http://schemas.openxmlformats.org/officeDocument/2006/relationships/hyperlink" Target="https://techcombank.com/thong-tin/blog/chuyen-gia-du-doan-gia-bat-dong-san-2025-va-cac-no-luc-tu-ngan-hang" TargetMode="External"/><Relationship Id="rId1437" Type="http://schemas.openxmlformats.org/officeDocument/2006/relationships/hyperlink" Target="https://techcombank.com/thong-tin/blog/vay-mua-nha-tra-gop" TargetMode="External"/><Relationship Id="rId1438" Type="http://schemas.openxmlformats.org/officeDocument/2006/relationships/hyperlink" Target="https://techcombank.com/thong-tin/blog/quy-trinh-tat-toan-khoan-vay-the-chap" TargetMode="External"/><Relationship Id="rId1439" Type="http://schemas.openxmlformats.org/officeDocument/2006/relationships/hyperlink" Target="https://techcombank.com/thong-tin/blog/vay-the-chap-xe-o-to-cu" TargetMode="External"/><Relationship Id="rId609" Type="http://schemas.openxmlformats.org/officeDocument/2006/relationships/hyperlink" Target="https://techcombank.com/thong-tin/blog/rut-tien-mat-tu-the-tin-dung" TargetMode="External"/><Relationship Id="rId608" Type="http://schemas.openxmlformats.org/officeDocument/2006/relationships/hyperlink" Target="https://techcombank.com/thong-tin/blog/so-du-tien-gui-la-gi" TargetMode="External"/><Relationship Id="rId607" Type="http://schemas.openxmlformats.org/officeDocument/2006/relationships/hyperlink" Target="https://techcombank.com/thong-tin/blog/chuyen-doi-the-atm" TargetMode="External"/><Relationship Id="rId602" Type="http://schemas.openxmlformats.org/officeDocument/2006/relationships/hyperlink" Target="https://techcombank.com/thong-tin/blog/cach-kich-hoat-the-atm" TargetMode="External"/><Relationship Id="rId601" Type="http://schemas.openxmlformats.org/officeDocument/2006/relationships/hyperlink" Target="https://techcombank.com/thong-tin/blog/1-nguoi-co-the-lam-duoc-bao-nhieu-the-atm" TargetMode="External"/><Relationship Id="rId600" Type="http://schemas.openxmlformats.org/officeDocument/2006/relationships/hyperlink" Target="https://techcombank.com/thong-tin/blog/cach-su-dung-the-tin-dung" TargetMode="External"/><Relationship Id="rId606" Type="http://schemas.openxmlformats.org/officeDocument/2006/relationships/hyperlink" Target="https://techcombank.com/thong-tin/blog/1-cmnd-dang-ky-duoc-may-tai-khoan-ngan-hang" TargetMode="External"/><Relationship Id="rId605" Type="http://schemas.openxmlformats.org/officeDocument/2006/relationships/hyperlink" Target="https://techcombank.com/thong-tin/blog/atm-la-gi" TargetMode="External"/><Relationship Id="rId604" Type="http://schemas.openxmlformats.org/officeDocument/2006/relationships/hyperlink" Target="https://techcombank.com/thong-tin/blog/cach-su-dung-the-visa-techcombank" TargetMode="External"/><Relationship Id="rId603" Type="http://schemas.openxmlformats.org/officeDocument/2006/relationships/hyperlink" Target="https://techcombank.com/thong-tin/blog/rut-tien-bao-hiem-nhan-tho-khi-het-han" TargetMode="External"/><Relationship Id="rId1430" Type="http://schemas.openxmlformats.org/officeDocument/2006/relationships/hyperlink" Target="https://techcombank.com/thong-tin/blog/vay-the-chap-la-gi" TargetMode="External"/><Relationship Id="rId1431" Type="http://schemas.openxmlformats.org/officeDocument/2006/relationships/hyperlink" Target="https://techcombank.com/thong-tin/blog/the-visa-de-lam-gi" TargetMode="External"/><Relationship Id="rId1432" Type="http://schemas.openxmlformats.org/officeDocument/2006/relationships/hyperlink" Target="https://techcombank.com/thong-tin/blog/rui-ro-khi-vay-the-chap-ngan-hang" TargetMode="External"/><Relationship Id="rId1422" Type="http://schemas.openxmlformats.org/officeDocument/2006/relationships/hyperlink" Target="https://techcombank.com/thong-tin/blog/vay-the-chap-kinh-doanh" TargetMode="External"/><Relationship Id="rId1423" Type="http://schemas.openxmlformats.org/officeDocument/2006/relationships/hyperlink" Target="https://techcombank.com/thong-tin/blog/co-nen-mua-o-to-tra-gop" TargetMode="External"/><Relationship Id="rId1424" Type="http://schemas.openxmlformats.org/officeDocument/2006/relationships/hyperlink" Target="https://techcombank.com/thong-tin/blog/vay-the-chap-khong-tra-duoc" TargetMode="External"/><Relationship Id="rId1425" Type="http://schemas.openxmlformats.org/officeDocument/2006/relationships/hyperlink" Target="https://techcombank.com/thong-tin/blog/vay-the-chap-so-bao-hiem-xa-hoi" TargetMode="External"/><Relationship Id="rId1426" Type="http://schemas.openxmlformats.org/officeDocument/2006/relationships/hyperlink" Target="https://techcombank.com/thong-tin/blog/vay-300-trieu" TargetMode="External"/><Relationship Id="rId1427" Type="http://schemas.openxmlformats.org/officeDocument/2006/relationships/hyperlink" Target="https://techcombank.com/thong-tin/blog/thanh-toan-phi-quan-ly-chung-cu" TargetMode="External"/><Relationship Id="rId1428" Type="http://schemas.openxmlformats.org/officeDocument/2006/relationships/hyperlink" Target="https://techcombank.com/thong-tin/blog/nen-vay-the-chap-ngan-hang-nao" TargetMode="External"/><Relationship Id="rId1429" Type="http://schemas.openxmlformats.org/officeDocument/2006/relationships/hyperlink" Target="https://techcombank.com/thong-tin/blog/mua-truoc-tra-sau" TargetMode="External"/><Relationship Id="rId1420" Type="http://schemas.openxmlformats.org/officeDocument/2006/relationships/hyperlink" Target="https://techcombank.com/thong-tin/blog/thu-tuc-vay-von-kinh-doanh-nho" TargetMode="External"/><Relationship Id="rId1421" Type="http://schemas.openxmlformats.org/officeDocument/2006/relationships/hyperlink" Target="https://techcombank.com/thong-tin/blog/cac-hinh-thuc-vay-von-ngan-hang" TargetMode="External"/><Relationship Id="rId1059" Type="http://schemas.openxmlformats.org/officeDocument/2006/relationships/hyperlink" Target="https://techcombank.com/thong-tin/blog/lich-su-tin-dung" TargetMode="External"/><Relationship Id="rId228" Type="http://schemas.openxmlformats.org/officeDocument/2006/relationships/hyperlink" Target="https://techcombank.com/thong-tin/blog/so-6868" TargetMode="External"/><Relationship Id="rId227" Type="http://schemas.openxmlformats.org/officeDocument/2006/relationships/hyperlink" Target="https://techcombank.com/thong-tin/blog/so-du-tien-gui-la-gi" TargetMode="External"/><Relationship Id="rId226" Type="http://schemas.openxmlformats.org/officeDocument/2006/relationships/hyperlink" Target="https://techcombank.com/thong-tin/blog/so-du-tai-khoan-thanh-toan" TargetMode="External"/><Relationship Id="rId225" Type="http://schemas.openxmlformats.org/officeDocument/2006/relationships/hyperlink" Target="https://techcombank.com/thong-tin/blog/99999-co-y-nghia-gi" TargetMode="External"/><Relationship Id="rId2380" Type="http://schemas.openxmlformats.org/officeDocument/2006/relationships/hyperlink" Target="https://techcombank.com/thong-tin/blog/vay-200-trieu" TargetMode="External"/><Relationship Id="rId229" Type="http://schemas.openxmlformats.org/officeDocument/2006/relationships/hyperlink" Target="https://techcombank.com/thong-tin/blog/y-nghia-so-68" TargetMode="External"/><Relationship Id="rId1050" Type="http://schemas.openxmlformats.org/officeDocument/2006/relationships/hyperlink" Target="https://techcombank.com/thong-tin/blog/so-luong-the-tin-dung-noi-dia-dang-luu-hanh-da-tang-42-so-voi-cung-ky-nam-2022" TargetMode="External"/><Relationship Id="rId2381" Type="http://schemas.openxmlformats.org/officeDocument/2006/relationships/hyperlink" Target="https://techcombank.com/thong-tin/blog/kinh-nghiem-vay-tien-ngan-hang-xay-nha" TargetMode="External"/><Relationship Id="rId220" Type="http://schemas.openxmlformats.org/officeDocument/2006/relationships/hyperlink" Target="https://techcombank.com/thong-tin/blog/day-so-phat-tai-phat-loc" TargetMode="External"/><Relationship Id="rId1051" Type="http://schemas.openxmlformats.org/officeDocument/2006/relationships/hyperlink" Target="https://techcombank.com/thong-tin/blog/no-xau-nhom-2" TargetMode="External"/><Relationship Id="rId2382" Type="http://schemas.openxmlformats.org/officeDocument/2006/relationships/hyperlink" Target="https://techcombank.com/thong-tin/blog/vay-tien-online" TargetMode="External"/><Relationship Id="rId1052" Type="http://schemas.openxmlformats.org/officeDocument/2006/relationships/hyperlink" Target="https://techcombank.com/thong-tin/blog/the-ghi-no-visa-la-gi" TargetMode="External"/><Relationship Id="rId2383" Type="http://schemas.openxmlformats.org/officeDocument/2006/relationships/hyperlink" Target="https://techcombank.com/thong-tin/blog/vay-tin-chap-no-xau" TargetMode="External"/><Relationship Id="rId1053" Type="http://schemas.openxmlformats.org/officeDocument/2006/relationships/hyperlink" Target="https://techcombank.com/thong-tin/blog/uu-dai-mua-iphone-18" TargetMode="External"/><Relationship Id="rId2384" Type="http://schemas.openxmlformats.org/officeDocument/2006/relationships/hyperlink" Target="https://techcombank.com/thong-tin/blog/lai-suat-vay-ngan-hang" TargetMode="External"/><Relationship Id="rId1054" Type="http://schemas.openxmlformats.org/officeDocument/2006/relationships/hyperlink" Target="https://techcombank.com/thong-tin/blog/so-the-tin-dung" TargetMode="External"/><Relationship Id="rId2385" Type="http://schemas.openxmlformats.org/officeDocument/2006/relationships/hyperlink" Target="https://techcombank.com/thong-tin/blog/cac-hinh-thuc-cho-vay-tieu-dung" TargetMode="External"/><Relationship Id="rId224" Type="http://schemas.openxmlformats.org/officeDocument/2006/relationships/hyperlink" Target="https://techcombank.com/thong-tin/blog/so-tai-khoan-dep" TargetMode="External"/><Relationship Id="rId1055" Type="http://schemas.openxmlformats.org/officeDocument/2006/relationships/hyperlink" Target="https://techcombank.com/thong-tin/blog/han-muc-tra-gop-the-tin-dung" TargetMode="External"/><Relationship Id="rId2386" Type="http://schemas.openxmlformats.org/officeDocument/2006/relationships/hyperlink" Target="https://techcombank.com/thong-tin/blog/dang-vay-tra-gop-co-vay-them-duoc-khong" TargetMode="External"/><Relationship Id="rId223" Type="http://schemas.openxmlformats.org/officeDocument/2006/relationships/hyperlink" Target="https://techcombank.com/thong-tin/blog/so-the-ngan-hang" TargetMode="External"/><Relationship Id="rId1056" Type="http://schemas.openxmlformats.org/officeDocument/2006/relationships/hyperlink" Target="https://techcombank.com/thong-tin/blog/the-tin-dung-hoan-tien" TargetMode="External"/><Relationship Id="rId2387" Type="http://schemas.openxmlformats.org/officeDocument/2006/relationships/hyperlink" Target="https://techcombank.com/thong-tin/blog/app-vay-tien-nhanh" TargetMode="External"/><Relationship Id="rId222" Type="http://schemas.openxmlformats.org/officeDocument/2006/relationships/hyperlink" Target="https://techcombank.com/thong-tin/blog/so-8386" TargetMode="External"/><Relationship Id="rId1057" Type="http://schemas.openxmlformats.org/officeDocument/2006/relationships/hyperlink" Target="https://techcombank.com/thong-tin/blog/sang-ngang-the-tin-dung" TargetMode="External"/><Relationship Id="rId2388" Type="http://schemas.openxmlformats.org/officeDocument/2006/relationships/hyperlink" Target="https://techcombank.com/thong-tin/blog/vay-tra-gop" TargetMode="External"/><Relationship Id="rId221" Type="http://schemas.openxmlformats.org/officeDocument/2006/relationships/hyperlink" Target="https://techcombank.com/thong-tin/blog/66666-co-y-nghia-gi" TargetMode="External"/><Relationship Id="rId1058" Type="http://schemas.openxmlformats.org/officeDocument/2006/relationships/hyperlink" Target="https://techcombank.com/thong-tin/blog/tai-khoan-ngan-hang-la-gi" TargetMode="External"/><Relationship Id="rId2389" Type="http://schemas.openxmlformats.org/officeDocument/2006/relationships/hyperlink" Target="https://techcombank.com/thong-tin/blog/quy-trinh-cho-vay-tieu-dung" TargetMode="External"/><Relationship Id="rId1048" Type="http://schemas.openxmlformats.org/officeDocument/2006/relationships/hyperlink" Target="https://techcombank.com/thong-tin/blog/the-tin-dung-phu-la-gi" TargetMode="External"/><Relationship Id="rId2379" Type="http://schemas.openxmlformats.org/officeDocument/2006/relationships/hyperlink" Target="https://techcombank.com/thong-tin/blog/vay-tien-mat" TargetMode="External"/><Relationship Id="rId1049" Type="http://schemas.openxmlformats.org/officeDocument/2006/relationships/hyperlink" Target="https://techcombank.com/thong-tin/blog/rut-tien-mat-tu-the-tin-dung" TargetMode="External"/><Relationship Id="rId217" Type="http://schemas.openxmlformats.org/officeDocument/2006/relationships/hyperlink" Target="https://techcombank.com/thong-tin/blog/lo-so-tai-khoan-ngan-hang-co-sao-khong" TargetMode="External"/><Relationship Id="rId216" Type="http://schemas.openxmlformats.org/officeDocument/2006/relationships/hyperlink" Target="https://techcombank.com/thong-tin/blog/cdm" TargetMode="External"/><Relationship Id="rId215" Type="http://schemas.openxmlformats.org/officeDocument/2006/relationships/hyperlink" Target="https://techcombank.com/thong-tin/blog/co-nen-mua-so-tai-khoan-ngan-hang-dep" TargetMode="External"/><Relationship Id="rId699" Type="http://schemas.openxmlformats.org/officeDocument/2006/relationships/hyperlink" Target="https://techcombank.com/thong-tin/blog/the-visa-co-rut-tien-duoc-khong" TargetMode="External"/><Relationship Id="rId214" Type="http://schemas.openxmlformats.org/officeDocument/2006/relationships/hyperlink" Target="https://techcombank.com/thong-tin/blog/cach-kiem-tra-tai-khoan-ngan-hang-cua-cong-ty" TargetMode="External"/><Relationship Id="rId698" Type="http://schemas.openxmlformats.org/officeDocument/2006/relationships/hyperlink" Target="https://techcombank.com/thong-tin/blog/phi-rut-tien-mat-the-tin-dung" TargetMode="External"/><Relationship Id="rId219" Type="http://schemas.openxmlformats.org/officeDocument/2006/relationships/hyperlink" Target="https://techcombank.com/thong-tin/blog/8868" TargetMode="External"/><Relationship Id="rId218" Type="http://schemas.openxmlformats.org/officeDocument/2006/relationships/hyperlink" Target="https://techcombank.com/thong-tin/blog/cach-chon-so-tai-khoan-dep" TargetMode="External"/><Relationship Id="rId2370" Type="http://schemas.openxmlformats.org/officeDocument/2006/relationships/hyperlink" Target="https://techcombank.com/thong-tin/blog/thu-tuc-vay-von-kinh-doanh-nho" TargetMode="External"/><Relationship Id="rId693" Type="http://schemas.openxmlformats.org/officeDocument/2006/relationships/hyperlink" Target="https://techcombank.com/thong-tin/blog/luu-y-khi-su-dung-the-tin-dung" TargetMode="External"/><Relationship Id="rId1040" Type="http://schemas.openxmlformats.org/officeDocument/2006/relationships/hyperlink" Target="https://techcombank.com/thong-tin/blog/no-xau-mo-the-tin-dung-duoc-khong" TargetMode="External"/><Relationship Id="rId2371" Type="http://schemas.openxmlformats.org/officeDocument/2006/relationships/hyperlink" Target="https://techcombank.com/thong-tin/blog/cac-hinh-thuc-vay-von-ngan-hang" TargetMode="External"/><Relationship Id="rId692" Type="http://schemas.openxmlformats.org/officeDocument/2006/relationships/hyperlink" Target="https://techcombank.com/thong-tin/blog/no-the-tin-dung-qua-han" TargetMode="External"/><Relationship Id="rId1041" Type="http://schemas.openxmlformats.org/officeDocument/2006/relationships/hyperlink" Target="https://techcombank.com/thong-tin/blog/no-the-tin-dung-qua-han" TargetMode="External"/><Relationship Id="rId2372" Type="http://schemas.openxmlformats.org/officeDocument/2006/relationships/hyperlink" Target="https://techcombank.com/thong-tin/blog/vay-san-xuat-kinh-doanh" TargetMode="External"/><Relationship Id="rId691" Type="http://schemas.openxmlformats.org/officeDocument/2006/relationships/hyperlink" Target="https://techcombank.com/thong-tin/blog/no-xau-mo-the-tin-dung-duoc-khong" TargetMode="External"/><Relationship Id="rId1042" Type="http://schemas.openxmlformats.org/officeDocument/2006/relationships/hyperlink" Target="https://techcombank.com/thong-tin/blog/mo-the-tin-dung-chi-can-cccd" TargetMode="External"/><Relationship Id="rId2373" Type="http://schemas.openxmlformats.org/officeDocument/2006/relationships/hyperlink" Target="https://techcombank.com/thong-tin/blog/tin-chap-doanh-nghiep" TargetMode="External"/><Relationship Id="rId690" Type="http://schemas.openxmlformats.org/officeDocument/2006/relationships/hyperlink" Target="https://techcombank.com/thong-tin/blog/the-tin-dung-bi-khoa" TargetMode="External"/><Relationship Id="rId1043" Type="http://schemas.openxmlformats.org/officeDocument/2006/relationships/hyperlink" Target="https://techcombank.com/thong-tin/blog/luu-y-khi-su-dung-the-tin-dung" TargetMode="External"/><Relationship Id="rId2374" Type="http://schemas.openxmlformats.org/officeDocument/2006/relationships/hyperlink" Target="https://techcombank.com/thong-tin/blog/cho-vay-tieu-dung-la-gi" TargetMode="External"/><Relationship Id="rId213" Type="http://schemas.openxmlformats.org/officeDocument/2006/relationships/hyperlink" Target="https://techcombank.com/thong-tin/blog/sms-banking" TargetMode="External"/><Relationship Id="rId697" Type="http://schemas.openxmlformats.org/officeDocument/2006/relationships/hyperlink" Target="https://techcombank.com/thong-tin/blog/dieu-kien-vay-the-chap" TargetMode="External"/><Relationship Id="rId1044" Type="http://schemas.openxmlformats.org/officeDocument/2006/relationships/hyperlink" Target="https://techcombank.com/thong-tin/blog/thoi-gian-hoan-tien-the-tin-dung" TargetMode="External"/><Relationship Id="rId2375" Type="http://schemas.openxmlformats.org/officeDocument/2006/relationships/hyperlink" Target="https://techcombank.com/thong-tin/blog/vay-the-chap-qua-luong" TargetMode="External"/><Relationship Id="rId212" Type="http://schemas.openxmlformats.org/officeDocument/2006/relationships/hyperlink" Target="https://techcombank.com/thong-tin/blog/ma-giao-dich-la-gi" TargetMode="External"/><Relationship Id="rId696" Type="http://schemas.openxmlformats.org/officeDocument/2006/relationships/hyperlink" Target="https://techcombank.com/thong-tin/blog/vay-tin-chap-no-xau" TargetMode="External"/><Relationship Id="rId1045" Type="http://schemas.openxmlformats.org/officeDocument/2006/relationships/hyperlink" Target="https://techcombank.com/thong-tin/blog/mat-the-tin-dung-co-lam-lai-duoc-khong" TargetMode="External"/><Relationship Id="rId2376" Type="http://schemas.openxmlformats.org/officeDocument/2006/relationships/hyperlink" Target="https://techcombank.com/thong-tin/blog/vay-ngan-hang-chi-can-cccd" TargetMode="External"/><Relationship Id="rId211" Type="http://schemas.openxmlformats.org/officeDocument/2006/relationships/hyperlink" Target="https://techcombank.com/thong-tin/blog/so-du-kha-dung" TargetMode="External"/><Relationship Id="rId695" Type="http://schemas.openxmlformats.org/officeDocument/2006/relationships/hyperlink" Target="https://techcombank.com/thong-tin/blog/han-muc-vay-the-chap-so-do" TargetMode="External"/><Relationship Id="rId1046" Type="http://schemas.openxmlformats.org/officeDocument/2006/relationships/hyperlink" Target="https://techcombank.com/thong-tin/blog/mo-the-tin-dung-khong-can-chung-minh-thu-nhap" TargetMode="External"/><Relationship Id="rId2377" Type="http://schemas.openxmlformats.org/officeDocument/2006/relationships/hyperlink" Target="https://techcombank.com/thong-tin/blog/nhu-cau-vay-tieu-dung-cua-nguoi-viet-du-kien-tang-manh-trong-thoi-gian-toi" TargetMode="External"/><Relationship Id="rId210" Type="http://schemas.openxmlformats.org/officeDocument/2006/relationships/hyperlink" Target="https://techcombank.com/thong-tin/blog/so-tai-khoan-ngan-hang" TargetMode="External"/><Relationship Id="rId694" Type="http://schemas.openxmlformats.org/officeDocument/2006/relationships/hyperlink" Target="https://techcombank.com/thong-tin/blog/no-xau-co-vay-the-chap-duoc-khong" TargetMode="External"/><Relationship Id="rId1047" Type="http://schemas.openxmlformats.org/officeDocument/2006/relationships/hyperlink" Target="https://techcombank.com/thong-tin/blog/the-tin-dung-vip" TargetMode="External"/><Relationship Id="rId2378" Type="http://schemas.openxmlformats.org/officeDocument/2006/relationships/hyperlink" Target="https://techcombank.com/thong-tin/blog/lai-suat-vay-tieu-dung" TargetMode="External"/><Relationship Id="rId249" Type="http://schemas.openxmlformats.org/officeDocument/2006/relationships/hyperlink" Target="https://techcombank.com/thong-tin/blog/cach-doi-mat-khau-tai-khoan-ngan-hang" TargetMode="External"/><Relationship Id="rId248" Type="http://schemas.openxmlformats.org/officeDocument/2006/relationships/hyperlink" Target="https://techcombank.com/thong-tin/blog/nap-tien-vao-tai-khoan-ngan-hang" TargetMode="External"/><Relationship Id="rId247" Type="http://schemas.openxmlformats.org/officeDocument/2006/relationships/hyperlink" Target="https://techcombank.com/thong-tin/blog/techcombank-sinh-loi-tu-dong" TargetMode="External"/><Relationship Id="rId1070" Type="http://schemas.openxmlformats.org/officeDocument/2006/relationships/hyperlink" Target="https://techcombank.com/thong-tin/blog/no-xau-la-gi" TargetMode="External"/><Relationship Id="rId1071" Type="http://schemas.openxmlformats.org/officeDocument/2006/relationships/hyperlink" Target="https://techcombank.com/thong-tin/blog/han-muc-thau-chi-la-gi" TargetMode="External"/><Relationship Id="rId1072" Type="http://schemas.openxmlformats.org/officeDocument/2006/relationships/hyperlink" Target="https://techcombank.com/thong-tin/blog/qua-han-thanh-toan-the-tin-dung-1-ngay" TargetMode="External"/><Relationship Id="rId242" Type="http://schemas.openxmlformats.org/officeDocument/2006/relationships/hyperlink" Target="https://techcombank.com/thong-tin/blog/cach-lien-ket-epass-voi-tai-khoan-ngan-hang" TargetMode="External"/><Relationship Id="rId1073" Type="http://schemas.openxmlformats.org/officeDocument/2006/relationships/hyperlink" Target="https://techcombank.com/thong-tin/blog/cho-vay-tieu-dung-la-gi" TargetMode="External"/><Relationship Id="rId241" Type="http://schemas.openxmlformats.org/officeDocument/2006/relationships/hyperlink" Target="https://techcombank.com/thong-tin/blog/cach-kiem-tra-tai-khoan-ngan-hang-cua-cong-ty" TargetMode="External"/><Relationship Id="rId1074" Type="http://schemas.openxmlformats.org/officeDocument/2006/relationships/hyperlink" Target="https://techcombank.com/thong-tin/blog/no-xau-co-lam-the-visa-duoc-khong" TargetMode="External"/><Relationship Id="rId240" Type="http://schemas.openxmlformats.org/officeDocument/2006/relationships/hyperlink" Target="https://techcombank.com/thong-tin/blog/lien-ket-tai-khoan-ngan-hang-voi-etax-mobile" TargetMode="External"/><Relationship Id="rId1075" Type="http://schemas.openxmlformats.org/officeDocument/2006/relationships/hyperlink" Target="https://techcombank.com/thong-tin/blog/thu-tuc-vay-ngan-hang-mua-nha" TargetMode="External"/><Relationship Id="rId1076" Type="http://schemas.openxmlformats.org/officeDocument/2006/relationships/hyperlink" Target="https://techcombank.com/thong-tin/blog/thanh-toan-toi-thieu-the-tin-dung" TargetMode="External"/><Relationship Id="rId246" Type="http://schemas.openxmlformats.org/officeDocument/2006/relationships/hyperlink" Target="https://techcombank.com/thong-tin/blog/mo-them-tai-khoan-ngan-hang-cho-cong-ty" TargetMode="External"/><Relationship Id="rId1077" Type="http://schemas.openxmlformats.org/officeDocument/2006/relationships/hyperlink" Target="https://techcombank.com/thong-tin/blog/spaylater" TargetMode="External"/><Relationship Id="rId245" Type="http://schemas.openxmlformats.org/officeDocument/2006/relationships/hyperlink" Target="https://techcombank.com/thong-tin/blog/nen-mo-tai-khoan-ngan-hang-nao-cho-doanh-nghiep" TargetMode="External"/><Relationship Id="rId1078" Type="http://schemas.openxmlformats.org/officeDocument/2006/relationships/hyperlink" Target="https://techcombank.com/thong-tin/blog/lai-suat-vay-the-chap-so-do" TargetMode="External"/><Relationship Id="rId244" Type="http://schemas.openxmlformats.org/officeDocument/2006/relationships/hyperlink" Target="https://techcombank.com/thong-tin/blog/khai-bao-tai-khoan-ngan-hang-voi-co-quan-thue" TargetMode="External"/><Relationship Id="rId1079" Type="http://schemas.openxmlformats.org/officeDocument/2006/relationships/hyperlink" Target="https://techcombank.com/thong-tin/blog/no-nhom-3" TargetMode="External"/><Relationship Id="rId243" Type="http://schemas.openxmlformats.org/officeDocument/2006/relationships/hyperlink" Target="https://techcombank.com/thong-tin/blog/co-nen-mua-so-tai-khoan-ngan-hang-dep" TargetMode="External"/><Relationship Id="rId239" Type="http://schemas.openxmlformats.org/officeDocument/2006/relationships/hyperlink" Target="https://techcombank.com/thong-tin/blog/mo-tai-khoan-ho-kinh-doanh" TargetMode="External"/><Relationship Id="rId238" Type="http://schemas.openxmlformats.org/officeDocument/2006/relationships/hyperlink" Target="https://techcombank.com/thong-tin/blog/dong-tai-khoan-ngan-hang-cong-ty" TargetMode="External"/><Relationship Id="rId237" Type="http://schemas.openxmlformats.org/officeDocument/2006/relationships/hyperlink" Target="https://techcombank.com/thong-tin/blog/mo-tai-khoan-doanh-nghiep" TargetMode="External"/><Relationship Id="rId236" Type="http://schemas.openxmlformats.org/officeDocument/2006/relationships/hyperlink" Target="https://techcombank.com/thong-tin/blog/1-cmnd-dang-ky-duoc-may-tai-khoan-ngan-hang" TargetMode="External"/><Relationship Id="rId2390" Type="http://schemas.openxmlformats.org/officeDocument/2006/relationships/hyperlink" Target="https://techcombank.com/thong-tin/blog/vay-20-trieu" TargetMode="External"/><Relationship Id="rId1060" Type="http://schemas.openxmlformats.org/officeDocument/2006/relationships/hyperlink" Target="https://techcombank.com/thong-tin/blog/dieu-kien-vay-von-ngan-hang" TargetMode="External"/><Relationship Id="rId2391" Type="http://schemas.openxmlformats.org/officeDocument/2006/relationships/hyperlink" Target="https://techcombank.com/thong-tin/blog/kinh-nghiem-vay-tien-mua-nha" TargetMode="External"/><Relationship Id="rId1061" Type="http://schemas.openxmlformats.org/officeDocument/2006/relationships/hyperlink" Target="https://techcombank.com/thong-tin/blog/no-xau-co-vay-the-chap-duoc-khong" TargetMode="External"/><Relationship Id="rId2392" Type="http://schemas.openxmlformats.org/officeDocument/2006/relationships/hyperlink" Target="https://techcombank.com/thong-tin/blog/vay-tin-chap-khong-tra-duoc-co-sao-khong" TargetMode="External"/><Relationship Id="rId231" Type="http://schemas.openxmlformats.org/officeDocument/2006/relationships/hyperlink" Target="https://techcombank.com/thong-tin/blog/vip-ngan-hang" TargetMode="External"/><Relationship Id="rId1062" Type="http://schemas.openxmlformats.org/officeDocument/2006/relationships/hyperlink" Target="https://techcombank.com/thong-tin/blog/tin-dung-la-gi" TargetMode="External"/><Relationship Id="rId2393" Type="http://schemas.openxmlformats.org/officeDocument/2006/relationships/hyperlink" Target="https://techcombank.com/thong-tin/blog/vay-du-hoc" TargetMode="External"/><Relationship Id="rId230" Type="http://schemas.openxmlformats.org/officeDocument/2006/relationships/hyperlink" Target="https://techcombank.com/thong-tin/blog/cach-chuyen-tien" TargetMode="External"/><Relationship Id="rId1063" Type="http://schemas.openxmlformats.org/officeDocument/2006/relationships/hyperlink" Target="https://techcombank.com/thong-tin/blog/du-no-tin-dung-la-gi" TargetMode="External"/><Relationship Id="rId2394" Type="http://schemas.openxmlformats.org/officeDocument/2006/relationships/hyperlink" Target="https://techcombank.com/thong-tin/blog/no-chu-y-la-gi" TargetMode="External"/><Relationship Id="rId1064" Type="http://schemas.openxmlformats.org/officeDocument/2006/relationships/hyperlink" Target="https://techcombank.com/thong-tin/blog/vay-san-xuat-kinh-doanh" TargetMode="External"/><Relationship Id="rId2395" Type="http://schemas.openxmlformats.org/officeDocument/2006/relationships/hyperlink" Target="https://techcombank.com/thong-tin/blog/no-nhom-3" TargetMode="External"/><Relationship Id="rId1065" Type="http://schemas.openxmlformats.org/officeDocument/2006/relationships/hyperlink" Target="https://techcombank.com/thong-tin/blog/vay-the-chap-khong-tra-duoc" TargetMode="External"/><Relationship Id="rId2396" Type="http://schemas.openxmlformats.org/officeDocument/2006/relationships/hyperlink" Target="https://techcombank.com/thong-tin/blog/du-no-tin-dung-la-gi" TargetMode="External"/><Relationship Id="rId235" Type="http://schemas.openxmlformats.org/officeDocument/2006/relationships/hyperlink" Target="https://techcombank.com/thong-tin/blog/mo-tai-khoan-ngan-hang-co-mat-phi-khong" TargetMode="External"/><Relationship Id="rId1066" Type="http://schemas.openxmlformats.org/officeDocument/2006/relationships/hyperlink" Target="https://techcombank.com/thong-tin/blog/no-chu-y-la-gi" TargetMode="External"/><Relationship Id="rId2397" Type="http://schemas.openxmlformats.org/officeDocument/2006/relationships/hyperlink" Target="https://techcombank.com/thong-tin/blog/no-the-tin-dung-qua-han" TargetMode="External"/><Relationship Id="rId234" Type="http://schemas.openxmlformats.org/officeDocument/2006/relationships/hyperlink" Target="https://techcombank.com/thong-tin/blog/mo-tai-khoan-ngan-hang-online-co-an-toan-khong" TargetMode="External"/><Relationship Id="rId1067" Type="http://schemas.openxmlformats.org/officeDocument/2006/relationships/hyperlink" Target="https://techcombank.com/thong-tin/blog/diem-tin-dung" TargetMode="External"/><Relationship Id="rId2398" Type="http://schemas.openxmlformats.org/officeDocument/2006/relationships/hyperlink" Target="https://techcombank.com/thong-tin/blog/no-xau" TargetMode="External"/><Relationship Id="rId233" Type="http://schemas.openxmlformats.org/officeDocument/2006/relationships/hyperlink" Target="https://techcombank.com/thong-tin/blog/tai-khoan-thanh-toan-la-gi" TargetMode="External"/><Relationship Id="rId1068" Type="http://schemas.openxmlformats.org/officeDocument/2006/relationships/hyperlink" Target="https://techcombank.com/thong-tin/blog/kiem-tra-no-xau" TargetMode="External"/><Relationship Id="rId2399" Type="http://schemas.openxmlformats.org/officeDocument/2006/relationships/hyperlink" Target="https://techcombank.com/thong-tin/blog/du-no-la-gi" TargetMode="External"/><Relationship Id="rId232" Type="http://schemas.openxmlformats.org/officeDocument/2006/relationships/hyperlink" Target="https://techcombank.com/thong-tin/blog/tai-khoan-ngan-hang-la-gi" TargetMode="External"/><Relationship Id="rId1069" Type="http://schemas.openxmlformats.org/officeDocument/2006/relationships/hyperlink" Target="https://techcombank.com/thong-tin/blog/no-xau" TargetMode="External"/><Relationship Id="rId1015" Type="http://schemas.openxmlformats.org/officeDocument/2006/relationships/hyperlink" Target="https://techcombank.com/thong-tin/blog/mo-the-tin-dung-han-muc-cao" TargetMode="External"/><Relationship Id="rId1499" Type="http://schemas.openxmlformats.org/officeDocument/2006/relationships/hyperlink" Target="https://techcombank.com/thong-tin/blog/voucher-phuc-long" TargetMode="External"/><Relationship Id="rId2346" Type="http://schemas.openxmlformats.org/officeDocument/2006/relationships/hyperlink" Target="https://techcombank.com/thong-tin/blog/vay-thau-chi-bang-so-tiet-kiem" TargetMode="External"/><Relationship Id="rId1016" Type="http://schemas.openxmlformats.org/officeDocument/2006/relationships/hyperlink" Target="https://techcombank.com/thong-tin/blog/uu-dai-the-tin-dung" TargetMode="External"/><Relationship Id="rId2347" Type="http://schemas.openxmlformats.org/officeDocument/2006/relationships/hyperlink" Target="https://techcombank.com/thong-tin/blog/no-xau-co-lam-the-visa-duoc-khong" TargetMode="External"/><Relationship Id="rId1017" Type="http://schemas.openxmlformats.org/officeDocument/2006/relationships/hyperlink" Target="https://techcombank.com/thong-tin/blog/3d-secure" TargetMode="External"/><Relationship Id="rId2348" Type="http://schemas.openxmlformats.org/officeDocument/2006/relationships/hyperlink" Target="https://techcombank.com/thong-tin/blog/no-xau-mo-the-tin-dung-duoc-khong" TargetMode="External"/><Relationship Id="rId1018" Type="http://schemas.openxmlformats.org/officeDocument/2006/relationships/hyperlink" Target="https://techcombank.com/thong-tin/blog/lai-suat-the-tin-dung" TargetMode="External"/><Relationship Id="rId2349" Type="http://schemas.openxmlformats.org/officeDocument/2006/relationships/hyperlink" Target="https://techcombank.com/thong-tin/blog/vay-tin-chap-no-xau" TargetMode="External"/><Relationship Id="rId1019" Type="http://schemas.openxmlformats.org/officeDocument/2006/relationships/hyperlink" Target="https://techcombank.com/thong-tin/blog/mo-the-tin-dung-co-loi-ich-gi" TargetMode="External"/><Relationship Id="rId668" Type="http://schemas.openxmlformats.org/officeDocument/2006/relationships/hyperlink" Target="https://techcombank.com/thong-tin/blog/hoc-cach-tiet-kiem-tien-luong" TargetMode="External"/><Relationship Id="rId667" Type="http://schemas.openxmlformats.org/officeDocument/2006/relationships/hyperlink" Target="https://techcombank.com/thong-tin/blog/dau-tu-dai-han" TargetMode="External"/><Relationship Id="rId666" Type="http://schemas.openxmlformats.org/officeDocument/2006/relationships/hyperlink" Target="https://techcombank.com/thong-tin/blog/6-chiec-lo-tai-chinh-ca-nhan" TargetMode="External"/><Relationship Id="rId665" Type="http://schemas.openxmlformats.org/officeDocument/2006/relationships/hyperlink" Target="https://techcombank.com/thong-tin/blog/esg" TargetMode="External"/><Relationship Id="rId669" Type="http://schemas.openxmlformats.org/officeDocument/2006/relationships/hyperlink" Target="https://techcombank.com/thong-tin/blog/chuyen-doi-xanh" TargetMode="External"/><Relationship Id="rId1490" Type="http://schemas.openxmlformats.org/officeDocument/2006/relationships/hyperlink" Target="https://techcombank.com/thong-tin/blog/kichi-kichi" TargetMode="External"/><Relationship Id="rId660" Type="http://schemas.openxmlformats.org/officeDocument/2006/relationships/hyperlink" Target="https://techcombank.com/thong-tin/blog/giao-thong-xanh" TargetMode="External"/><Relationship Id="rId1491" Type="http://schemas.openxmlformats.org/officeDocument/2006/relationships/hyperlink" Target="https://techcombank.com/thong-tin/blog/ma-giam-gia-shopee" TargetMode="External"/><Relationship Id="rId1492" Type="http://schemas.openxmlformats.org/officeDocument/2006/relationships/hyperlink" Target="https://techcombank.com/thong-tin/blog/voucher-starbucks" TargetMode="External"/><Relationship Id="rId1493" Type="http://schemas.openxmlformats.org/officeDocument/2006/relationships/hyperlink" Target="https://techcombank.com/thong-tin/blog/voucher-cgv" TargetMode="External"/><Relationship Id="rId2340" Type="http://schemas.openxmlformats.org/officeDocument/2006/relationships/hyperlink" Target="https://techcombank.com/thong-tin/blog/thoi-han-vay-thau-chi" TargetMode="External"/><Relationship Id="rId1010" Type="http://schemas.openxmlformats.org/officeDocument/2006/relationships/hyperlink" Target="https://techcombank.com/thong-tin/blog/dao-han-the-tin-dung" TargetMode="External"/><Relationship Id="rId1494" Type="http://schemas.openxmlformats.org/officeDocument/2006/relationships/hyperlink" Target="https://techcombank.com/thong-tin/blog/cua-hang-tien-loi" TargetMode="External"/><Relationship Id="rId2341" Type="http://schemas.openxmlformats.org/officeDocument/2006/relationships/hyperlink" Target="https://techcombank.com/thong-tin/blog/tra-no-vay-thau-chi-nhu-the-nao" TargetMode="External"/><Relationship Id="rId664" Type="http://schemas.openxmlformats.org/officeDocument/2006/relationships/hyperlink" Target="https://techcombank.com/thong-tin/blog/ngan-hang-xanh" TargetMode="External"/><Relationship Id="rId1011" Type="http://schemas.openxmlformats.org/officeDocument/2006/relationships/hyperlink" Target="https://techcombank.com/thong-tin/blog/thanh-toan-online-bang-the-tin-dung" TargetMode="External"/><Relationship Id="rId1495" Type="http://schemas.openxmlformats.org/officeDocument/2006/relationships/hyperlink" Target="https://techcombank.com/thong-tin/blog/voucher-highland" TargetMode="External"/><Relationship Id="rId2342" Type="http://schemas.openxmlformats.org/officeDocument/2006/relationships/hyperlink" Target="https://techcombank.com/thong-tin/blog/vay-han-muc-la-gi" TargetMode="External"/><Relationship Id="rId663" Type="http://schemas.openxmlformats.org/officeDocument/2006/relationships/hyperlink" Target="https://techcombank.com/thong-tin/blog/tieu-dung-ben-vung" TargetMode="External"/><Relationship Id="rId1012" Type="http://schemas.openxmlformats.org/officeDocument/2006/relationships/hyperlink" Target="https://techcombank.com/thong-tin/blog/uu-dai-mo-the-tin-dung" TargetMode="External"/><Relationship Id="rId1496" Type="http://schemas.openxmlformats.org/officeDocument/2006/relationships/hyperlink" Target="https://techcombank.com/thong-tin/blog/ma-giam-xanh-sm" TargetMode="External"/><Relationship Id="rId2343" Type="http://schemas.openxmlformats.org/officeDocument/2006/relationships/hyperlink" Target="https://techcombank.com/thong-tin/blog/cac-hinh-thuc-vay-von-ngan-hang" TargetMode="External"/><Relationship Id="rId662" Type="http://schemas.openxmlformats.org/officeDocument/2006/relationships/hyperlink" Target="https://techcombank.com/thong-tin/blog/ke-hoach-huu-tri" TargetMode="External"/><Relationship Id="rId1013" Type="http://schemas.openxmlformats.org/officeDocument/2006/relationships/hyperlink" Target="https://techcombank.com/thong-tin/blog/the-tin-dung-co-chuyen-khoan-duoc-khong" TargetMode="External"/><Relationship Id="rId1497" Type="http://schemas.openxmlformats.org/officeDocument/2006/relationships/hyperlink" Target="https://techcombank.com/thong-tin/blog/voucher-kfc" TargetMode="External"/><Relationship Id="rId2344" Type="http://schemas.openxmlformats.org/officeDocument/2006/relationships/hyperlink" Target="https://techcombank.com/thong-tin/blog/vay-san-xuat-kinh-doanh" TargetMode="External"/><Relationship Id="rId661" Type="http://schemas.openxmlformats.org/officeDocument/2006/relationships/hyperlink" Target="https://techcombank.com/thong-tin/blog/tich-luy-tai-san" TargetMode="External"/><Relationship Id="rId1014" Type="http://schemas.openxmlformats.org/officeDocument/2006/relationships/hyperlink" Target="https://techcombank.com/thong-tin/blog/the-tin-dung-techcombank-visa-eco" TargetMode="External"/><Relationship Id="rId1498" Type="http://schemas.openxmlformats.org/officeDocument/2006/relationships/hyperlink" Target="https://techcombank.com/thong-tin/blog/mr-eco" TargetMode="External"/><Relationship Id="rId2345" Type="http://schemas.openxmlformats.org/officeDocument/2006/relationships/hyperlink" Target="https://techcombank.com/thong-tin/blog/cach-tinh-lai-vay-ngan-hang" TargetMode="External"/><Relationship Id="rId1004" Type="http://schemas.openxmlformats.org/officeDocument/2006/relationships/hyperlink" Target="https://techcombank.com/thong-tin/blog/the-tin-dung-quoc-te" TargetMode="External"/><Relationship Id="rId1488" Type="http://schemas.openxmlformats.org/officeDocument/2006/relationships/hyperlink" Target="https://techcombank.com/thong-tin/blog/yakimono" TargetMode="External"/><Relationship Id="rId2335" Type="http://schemas.openxmlformats.org/officeDocument/2006/relationships/hyperlink" Target="https://techcombank.com/thong-tin/blog/lai-suat-vay-mua-o-to" TargetMode="External"/><Relationship Id="rId1005" Type="http://schemas.openxmlformats.org/officeDocument/2006/relationships/hyperlink" Target="https://techcombank.com/thong-tin/blog/qua-han-thanh-toan-the-tin-dung-1-ngay" TargetMode="External"/><Relationship Id="rId1489" Type="http://schemas.openxmlformats.org/officeDocument/2006/relationships/hyperlink" Target="https://techcombank.com/thong-tin/blog/chixmax" TargetMode="External"/><Relationship Id="rId2336" Type="http://schemas.openxmlformats.org/officeDocument/2006/relationships/hyperlink" Target="https://techcombank.com/thong-tin/blog/vay-tin-chap-la-gi" TargetMode="External"/><Relationship Id="rId1006" Type="http://schemas.openxmlformats.org/officeDocument/2006/relationships/hyperlink" Target="https://techcombank.com/thong-tin/blog/phi-rut-tien-mat-the-tin-dung" TargetMode="External"/><Relationship Id="rId2337" Type="http://schemas.openxmlformats.org/officeDocument/2006/relationships/hyperlink" Target="https://techcombank.com/thong-tin/blog/lai-suat-cho-vay-doanh-nghiep" TargetMode="External"/><Relationship Id="rId1007" Type="http://schemas.openxmlformats.org/officeDocument/2006/relationships/hyperlink" Target="https://techcombank.com/thong-tin/blog/vay-ngan-hang-1-ty-moi-thang-tra-bao-nhieu" TargetMode="External"/><Relationship Id="rId2338" Type="http://schemas.openxmlformats.org/officeDocument/2006/relationships/hyperlink" Target="https://techcombank.com/thong-tin/blog/han-muc-thau-chi-la-gi" TargetMode="External"/><Relationship Id="rId1008" Type="http://schemas.openxmlformats.org/officeDocument/2006/relationships/hyperlink" Target="https://techcombank.com/thong-tin/blog/cach-thanh-toan-the-tin-dung" TargetMode="External"/><Relationship Id="rId2339" Type="http://schemas.openxmlformats.org/officeDocument/2006/relationships/hyperlink" Target="https://techcombank.com/thong-tin/blog/lai-suat-vay-thau-chi" TargetMode="External"/><Relationship Id="rId1009" Type="http://schemas.openxmlformats.org/officeDocument/2006/relationships/hyperlink" Target="https://techcombank.com/thong-tin/blog/the-tin-dung-den" TargetMode="External"/><Relationship Id="rId657" Type="http://schemas.openxmlformats.org/officeDocument/2006/relationships/hyperlink" Target="https://techcombank.com/thong-tin/blog/the-tin-dung-techcombank-visa-eco" TargetMode="External"/><Relationship Id="rId656" Type="http://schemas.openxmlformats.org/officeDocument/2006/relationships/hyperlink" Target="https://techcombank.com/thong-tin/blog/mo-the-ghi-no" TargetMode="External"/><Relationship Id="rId655" Type="http://schemas.openxmlformats.org/officeDocument/2006/relationships/hyperlink" Target="https://techcombank.com/thong-tin/blog/the-ghi-no-la-gi" TargetMode="External"/><Relationship Id="rId654" Type="http://schemas.openxmlformats.org/officeDocument/2006/relationships/hyperlink" Target="https://techcombank.com/thong-tin/blog/gia-tri-tai-san-rong" TargetMode="External"/><Relationship Id="rId659" Type="http://schemas.openxmlformats.org/officeDocument/2006/relationships/hyperlink" Target="https://techcombank.com/thong-tin/blog/cach-nap-tien-vao-the-ghi-no" TargetMode="External"/><Relationship Id="rId658" Type="http://schemas.openxmlformats.org/officeDocument/2006/relationships/hyperlink" Target="https://techcombank.com/thong-tin/blog/the-ghi-no-noi-dia" TargetMode="External"/><Relationship Id="rId1480" Type="http://schemas.openxmlformats.org/officeDocument/2006/relationships/hyperlink" Target="https://techcombank.com/thong-tin/blog/mua-ve-may-bay-gia-re" TargetMode="External"/><Relationship Id="rId1481" Type="http://schemas.openxmlformats.org/officeDocument/2006/relationships/hyperlink" Target="https://techcombank.com/thong-tin/blog/techcombank-oneu" TargetMode="External"/><Relationship Id="rId1482" Type="http://schemas.openxmlformats.org/officeDocument/2006/relationships/hyperlink" Target="https://techcombank.com/thong-tin/blog/tich-diem-doi-qua" TargetMode="External"/><Relationship Id="rId1483" Type="http://schemas.openxmlformats.org/officeDocument/2006/relationships/hyperlink" Target="https://techcombank.com/thong-tin/blog/tiet-kiem-khi-di-du-lich" TargetMode="External"/><Relationship Id="rId2330" Type="http://schemas.openxmlformats.org/officeDocument/2006/relationships/hyperlink" Target="https://techcombank.com/thong-tin/blog/lai-suat-vay-the-chap" TargetMode="External"/><Relationship Id="rId653" Type="http://schemas.openxmlformats.org/officeDocument/2006/relationships/hyperlink" Target="https://techcombank.com/thong-tin/blog/khau-vi-nha-dau-tu-tpdn-thay-doi-the-nao-sau-nhung-bien-dong-vua-qua" TargetMode="External"/><Relationship Id="rId1000" Type="http://schemas.openxmlformats.org/officeDocument/2006/relationships/hyperlink" Target="https://techcombank.com/thong-tin/blog/tra-cuu-han-muc-the-tin-dung" TargetMode="External"/><Relationship Id="rId1484" Type="http://schemas.openxmlformats.org/officeDocument/2006/relationships/hyperlink" Target="https://techcombank.com/thong-tin/blog/giam-gia-be" TargetMode="External"/><Relationship Id="rId2331" Type="http://schemas.openxmlformats.org/officeDocument/2006/relationships/hyperlink" Target="https://techcombank.com/thong-tin/blog/lai-suat-vay-thau-chi" TargetMode="External"/><Relationship Id="rId652" Type="http://schemas.openxmlformats.org/officeDocument/2006/relationships/hyperlink" Target="https://techcombank.com/thong-tin/blog/the-ghi-no-va-the-tin-dung" TargetMode="External"/><Relationship Id="rId1001" Type="http://schemas.openxmlformats.org/officeDocument/2006/relationships/hyperlink" Target="https://techcombank.com/thong-tin/blog/the-ghi-no-va-the-tin-dung" TargetMode="External"/><Relationship Id="rId1485" Type="http://schemas.openxmlformats.org/officeDocument/2006/relationships/hyperlink" Target="https://techcombank.com/thong-tin/blog/4p-pizza" TargetMode="External"/><Relationship Id="rId2332" Type="http://schemas.openxmlformats.org/officeDocument/2006/relationships/hyperlink" Target="https://techcombank.com/thong-tin/blog/lai-suat-vay-the-chap-so-do" TargetMode="External"/><Relationship Id="rId651" Type="http://schemas.openxmlformats.org/officeDocument/2006/relationships/hyperlink" Target="https://techcombank.com/thong-tin/blog/cach-tiet-kiem-tien-hieu-qua-cho-gia-dinh" TargetMode="External"/><Relationship Id="rId1002" Type="http://schemas.openxmlformats.org/officeDocument/2006/relationships/hyperlink" Target="https://techcombank.com/thong-tin/blog/co-nen-dung-the-tin-dung-khong" TargetMode="External"/><Relationship Id="rId1486" Type="http://schemas.openxmlformats.org/officeDocument/2006/relationships/hyperlink" Target="https://techcombank.com/thong-tin/blog/doi-dam-bay" TargetMode="External"/><Relationship Id="rId2333" Type="http://schemas.openxmlformats.org/officeDocument/2006/relationships/hyperlink" Target="https://techcombank.com/thong-tin/blog/lai-suat-ngan-hang-cho-vay-xay-nha" TargetMode="External"/><Relationship Id="rId650" Type="http://schemas.openxmlformats.org/officeDocument/2006/relationships/hyperlink" Target="https://techcombank.com/thong-tin/blog/cach-lam-the-ngan-hang-chay-quang-cao-facebook" TargetMode="External"/><Relationship Id="rId1003" Type="http://schemas.openxmlformats.org/officeDocument/2006/relationships/hyperlink" Target="https://techcombank.com/thong-tin/blog/ma-buu-chinh-the-tin-dung" TargetMode="External"/><Relationship Id="rId1487" Type="http://schemas.openxmlformats.org/officeDocument/2006/relationships/hyperlink" Target="https://techcombank.com/thong-tin/blog/voucher-the-coffee-house" TargetMode="External"/><Relationship Id="rId2334" Type="http://schemas.openxmlformats.org/officeDocument/2006/relationships/hyperlink" Target="https://techcombank.com/thong-tin/blog/cach-tinh-lai-vay-ngan-hang" TargetMode="External"/><Relationship Id="rId1037" Type="http://schemas.openxmlformats.org/officeDocument/2006/relationships/hyperlink" Target="https://techcombank.com/thong-tin/blog/tra-gop-qua-the-tin-dung" TargetMode="External"/><Relationship Id="rId2368" Type="http://schemas.openxmlformats.org/officeDocument/2006/relationships/hyperlink" Target="https://techcombank.com/thong-tin/blog/vay-tin-chap-ho-kinh-doanh" TargetMode="External"/><Relationship Id="rId1038" Type="http://schemas.openxmlformats.org/officeDocument/2006/relationships/hyperlink" Target="https://techcombank.com/thong-tin/blog/lam-the-tin-dung-co-mat-phi-khong" TargetMode="External"/><Relationship Id="rId2369" Type="http://schemas.openxmlformats.org/officeDocument/2006/relationships/hyperlink" Target="https://techcombank.com/thong-tin/blog/vay-tin-chap-cho-doanh-nghiep-moi-thanh-lap" TargetMode="External"/><Relationship Id="rId1039" Type="http://schemas.openxmlformats.org/officeDocument/2006/relationships/hyperlink" Target="https://techcombank.com/thong-tin/blog/kich-hoat-the-tin-dung-techcombank" TargetMode="External"/><Relationship Id="rId206" Type="http://schemas.openxmlformats.org/officeDocument/2006/relationships/hyperlink" Target="https://techcombank.com/thong-tin/blog/vay-the-chap-qua-luong" TargetMode="External"/><Relationship Id="rId205" Type="http://schemas.openxmlformats.org/officeDocument/2006/relationships/hyperlink" Target="https://techcombank.com/thong-tin/blog/chinh-sach-tang-luong-huu" TargetMode="External"/><Relationship Id="rId689" Type="http://schemas.openxmlformats.org/officeDocument/2006/relationships/hyperlink" Target="https://techcombank.com/thong-tin/blog/spaylater" TargetMode="External"/><Relationship Id="rId204" Type="http://schemas.openxmlformats.org/officeDocument/2006/relationships/hyperlink" Target="https://techcombank.com/thong-tin/blog/ho-kinh-doanh-dong-thue-nhu-nao" TargetMode="External"/><Relationship Id="rId688" Type="http://schemas.openxmlformats.org/officeDocument/2006/relationships/hyperlink" Target="https://techcombank.com/thong-tin/blog/thanh-toan-toi-thieu-the-tin-dung" TargetMode="External"/><Relationship Id="rId203" Type="http://schemas.openxmlformats.org/officeDocument/2006/relationships/hyperlink" Target="https://techcombank.com/thong-tin/blog/app-tra-luong" TargetMode="External"/><Relationship Id="rId687" Type="http://schemas.openxmlformats.org/officeDocument/2006/relationships/hyperlink" Target="https://techcombank.com/thong-tin/blog/no-xau-co-lam-the-visa-duoc-khong" TargetMode="External"/><Relationship Id="rId209" Type="http://schemas.openxmlformats.org/officeDocument/2006/relationships/hyperlink" Target="https://techcombank.com/thong-tin/blog/hoc-cach-tiet-kiem-tien-luong" TargetMode="External"/><Relationship Id="rId208" Type="http://schemas.openxmlformats.org/officeDocument/2006/relationships/hyperlink" Target="https://techcombank.com/thong-tin/blog/chi-tra-luong-huu" TargetMode="External"/><Relationship Id="rId207" Type="http://schemas.openxmlformats.org/officeDocument/2006/relationships/hyperlink" Target="https://techcombank.com/thong-tin/blog/kiem-tra-thue-thu-nhap-ca-nhan" TargetMode="External"/><Relationship Id="rId682" Type="http://schemas.openxmlformats.org/officeDocument/2006/relationships/hyperlink" Target="https://techcombank.com/thong-tin/blog/kiem-tra-no-xau" TargetMode="External"/><Relationship Id="rId2360" Type="http://schemas.openxmlformats.org/officeDocument/2006/relationships/hyperlink" Target="https://techcombank.com/thong-tin/blog/the-tin-dung-bi-khoa" TargetMode="External"/><Relationship Id="rId681" Type="http://schemas.openxmlformats.org/officeDocument/2006/relationships/hyperlink" Target="https://techcombank.com/thong-tin/blog/vay-the-chap-khong-tra-duoc" TargetMode="External"/><Relationship Id="rId1030" Type="http://schemas.openxmlformats.org/officeDocument/2006/relationships/hyperlink" Target="https://techcombank.com/thong-tin/blog/the-tin-dung-noi-dia" TargetMode="External"/><Relationship Id="rId2361" Type="http://schemas.openxmlformats.org/officeDocument/2006/relationships/hyperlink" Target="https://techcombank.com/thong-tin/blog/no-the-tin-dung-qua-han" TargetMode="External"/><Relationship Id="rId680" Type="http://schemas.openxmlformats.org/officeDocument/2006/relationships/hyperlink" Target="https://techcombank.com/thong-tin/blog/no-xau-nhom-2" TargetMode="External"/><Relationship Id="rId1031" Type="http://schemas.openxmlformats.org/officeDocument/2006/relationships/hyperlink" Target="https://techcombank.com/thong-tin/blog/lam-ho-so-tra-gop-dien-thoai" TargetMode="External"/><Relationship Id="rId2362" Type="http://schemas.openxmlformats.org/officeDocument/2006/relationships/hyperlink" Target="https://techcombank.com/thong-tin/blog/lich-su-tin-dung" TargetMode="External"/><Relationship Id="rId1032" Type="http://schemas.openxmlformats.org/officeDocument/2006/relationships/hyperlink" Target="https://techcombank.com/thong-tin/blog/the-tin-dung-la-gi" TargetMode="External"/><Relationship Id="rId2363" Type="http://schemas.openxmlformats.org/officeDocument/2006/relationships/hyperlink" Target="https://techcombank.com/thong-tin/blog/vay-tin-chap-la-gi" TargetMode="External"/><Relationship Id="rId202" Type="http://schemas.openxmlformats.org/officeDocument/2006/relationships/hyperlink" Target="https://techcombank.com/thong-tin/blog/nhung-ho-kinh-doanh-duoc-mien-thue" TargetMode="External"/><Relationship Id="rId686" Type="http://schemas.openxmlformats.org/officeDocument/2006/relationships/hyperlink" Target="https://techcombank.com/thong-tin/blog/qua-han-thanh-toan-the-tin-dung-1-ngay" TargetMode="External"/><Relationship Id="rId1033" Type="http://schemas.openxmlformats.org/officeDocument/2006/relationships/hyperlink" Target="https://techcombank.com/thong-tin/blog/cach-su-dung-the-tin-dung" TargetMode="External"/><Relationship Id="rId2364" Type="http://schemas.openxmlformats.org/officeDocument/2006/relationships/hyperlink" Target="https://techcombank.com/thong-tin/blog/ho-so-vay-tin-chap" TargetMode="External"/><Relationship Id="rId201" Type="http://schemas.openxmlformats.org/officeDocument/2006/relationships/hyperlink" Target="https://techcombank.com/thong-tin/blog/tra-cuu-no-thue-ca-nhan" TargetMode="External"/><Relationship Id="rId685" Type="http://schemas.openxmlformats.org/officeDocument/2006/relationships/hyperlink" Target="https://techcombank.com/thong-tin/blog/han-muc-thau-chi-la-gi" TargetMode="External"/><Relationship Id="rId1034" Type="http://schemas.openxmlformats.org/officeDocument/2006/relationships/hyperlink" Target="https://techcombank.com/thong-tin/blog/han-muc-the-tin-dung" TargetMode="External"/><Relationship Id="rId2365" Type="http://schemas.openxmlformats.org/officeDocument/2006/relationships/hyperlink" Target="https://techcombank.com/thong-tin/blog/vay-tin-chap-toi-da-duoc-bao-nhieu" TargetMode="External"/><Relationship Id="rId200" Type="http://schemas.openxmlformats.org/officeDocument/2006/relationships/hyperlink" Target="https://techcombank.com/thong-tin/blog/tra-luong-tien-mat" TargetMode="External"/><Relationship Id="rId684" Type="http://schemas.openxmlformats.org/officeDocument/2006/relationships/hyperlink" Target="https://techcombank.com/thong-tin/blog/no-xau-la-gi" TargetMode="External"/><Relationship Id="rId1035" Type="http://schemas.openxmlformats.org/officeDocument/2006/relationships/hyperlink" Target="https://techcombank.com/thong-tin/blog/nang-han-muc-tin-dung" TargetMode="External"/><Relationship Id="rId2366" Type="http://schemas.openxmlformats.org/officeDocument/2006/relationships/hyperlink" Target="https://techcombank.com/thong-tin/blog/vay-tin-chap-va-vay-the-chap" TargetMode="External"/><Relationship Id="rId683" Type="http://schemas.openxmlformats.org/officeDocument/2006/relationships/hyperlink" Target="https://techcombank.com/thong-tin/blog/no-xau" TargetMode="External"/><Relationship Id="rId1036" Type="http://schemas.openxmlformats.org/officeDocument/2006/relationships/hyperlink" Target="https://techcombank.com/thong-tin/blog/the-tin-dung-mien-lai-55-ngay" TargetMode="External"/><Relationship Id="rId2367" Type="http://schemas.openxmlformats.org/officeDocument/2006/relationships/hyperlink" Target="https://techcombank.com/thong-tin/blog/lai-suat-vay-tin-chap" TargetMode="External"/><Relationship Id="rId1026" Type="http://schemas.openxmlformats.org/officeDocument/2006/relationships/hyperlink" Target="https://techcombank.com/thong-tin/blog/lam-the-tin-dung" TargetMode="External"/><Relationship Id="rId2357" Type="http://schemas.openxmlformats.org/officeDocument/2006/relationships/hyperlink" Target="https://techcombank.com/thong-tin/blog/spaylater" TargetMode="External"/><Relationship Id="rId1027" Type="http://schemas.openxmlformats.org/officeDocument/2006/relationships/hyperlink" Target="https://techcombank.com/thong-tin/blog/the-tin-dung-co-ma-pin-khong" TargetMode="External"/><Relationship Id="rId2358" Type="http://schemas.openxmlformats.org/officeDocument/2006/relationships/hyperlink" Target="https://techcombank.com/thong-tin/blog/no-nhom-3" TargetMode="External"/><Relationship Id="rId1028" Type="http://schemas.openxmlformats.org/officeDocument/2006/relationships/hyperlink" Target="https://techcombank.com/thong-tin/blog/cic-la-gi" TargetMode="External"/><Relationship Id="rId2359" Type="http://schemas.openxmlformats.org/officeDocument/2006/relationships/hyperlink" Target="https://techcombank.com/thong-tin/blog/cic-la-gi" TargetMode="External"/><Relationship Id="rId1029" Type="http://schemas.openxmlformats.org/officeDocument/2006/relationships/hyperlink" Target="https://techcombank.com/thong-tin/blog/sao-ke-the-tin-dung-la-gi" TargetMode="External"/><Relationship Id="rId679" Type="http://schemas.openxmlformats.org/officeDocument/2006/relationships/hyperlink" Target="https://techcombank.com/thong-tin/blog/no-chu-y-la-gi" TargetMode="External"/><Relationship Id="rId678" Type="http://schemas.openxmlformats.org/officeDocument/2006/relationships/hyperlink" Target="https://techcombank.com/thong-tin/blog/no-nhom-3" TargetMode="External"/><Relationship Id="rId677" Type="http://schemas.openxmlformats.org/officeDocument/2006/relationships/hyperlink" Target="https://techcombank.com/thong-tin/blog/lich-su-tin-dung" TargetMode="External"/><Relationship Id="rId676" Type="http://schemas.openxmlformats.org/officeDocument/2006/relationships/hyperlink" Target="https://techcombank.com/thong-tin/blog/diem-tin-dung" TargetMode="External"/><Relationship Id="rId671" Type="http://schemas.openxmlformats.org/officeDocument/2006/relationships/hyperlink" Target="https://techcombank.com/thong-tin/blog/lap-ke-hoach-chi-tieu-ca-nhan" TargetMode="External"/><Relationship Id="rId670" Type="http://schemas.openxmlformats.org/officeDocument/2006/relationships/hyperlink" Target="https://techcombank.com/thong-tin/blog/cach-su-dung-the-ghi-no" TargetMode="External"/><Relationship Id="rId2350" Type="http://schemas.openxmlformats.org/officeDocument/2006/relationships/hyperlink" Target="https://techcombank.com/thong-tin/blog/no-xau-co-vay-the-chap-duoc-khong" TargetMode="External"/><Relationship Id="rId1020" Type="http://schemas.openxmlformats.org/officeDocument/2006/relationships/hyperlink" Target="https://techcombank.com/thong-tin/blog/the-tin-dung-ao" TargetMode="External"/><Relationship Id="rId2351" Type="http://schemas.openxmlformats.org/officeDocument/2006/relationships/hyperlink" Target="https://techcombank.com/thong-tin/blog/no-xau-nhom-2" TargetMode="External"/><Relationship Id="rId1021" Type="http://schemas.openxmlformats.org/officeDocument/2006/relationships/hyperlink" Target="https://techcombank.com/thong-tin/blog/thanh-toan-toi-thieu-the-tin-dung" TargetMode="External"/><Relationship Id="rId2352" Type="http://schemas.openxmlformats.org/officeDocument/2006/relationships/hyperlink" Target="https://techcombank.com/thong-tin/blog/no-chu-y-la-gi" TargetMode="External"/><Relationship Id="rId675" Type="http://schemas.openxmlformats.org/officeDocument/2006/relationships/hyperlink" Target="https://techcombank.com/thong-tin/blog/toi-uu-hoa-chi-phi-trong-doanh-nghiep" TargetMode="External"/><Relationship Id="rId1022" Type="http://schemas.openxmlformats.org/officeDocument/2006/relationships/hyperlink" Target="https://techcombank.com/thong-tin/blog/tra-gop-shopee" TargetMode="External"/><Relationship Id="rId2353" Type="http://schemas.openxmlformats.org/officeDocument/2006/relationships/hyperlink" Target="https://techcombank.com/thong-tin/blog/diem-tin-dung" TargetMode="External"/><Relationship Id="rId674" Type="http://schemas.openxmlformats.org/officeDocument/2006/relationships/hyperlink" Target="https://techcombank.com/thong-tin/blog/the-ghi-no-co-rut-tien-duoc-khong" TargetMode="External"/><Relationship Id="rId1023" Type="http://schemas.openxmlformats.org/officeDocument/2006/relationships/hyperlink" Target="https://techcombank.com/thong-tin/blog/thanh-toan-tien-dien-bang-the-tin-dung" TargetMode="External"/><Relationship Id="rId2354" Type="http://schemas.openxmlformats.org/officeDocument/2006/relationships/hyperlink" Target="https://techcombank.com/thong-tin/blog/no-xau" TargetMode="External"/><Relationship Id="rId673" Type="http://schemas.openxmlformats.org/officeDocument/2006/relationships/hyperlink" Target="https://techcombank.com/thong-tin/blog/the-nao-la-tiet-kiem" TargetMode="External"/><Relationship Id="rId1024" Type="http://schemas.openxmlformats.org/officeDocument/2006/relationships/hyperlink" Target="https://techcombank.com/thong-tin/blog/thanh-toan-tra-gop-qua-the-tin-dung" TargetMode="External"/><Relationship Id="rId2355" Type="http://schemas.openxmlformats.org/officeDocument/2006/relationships/hyperlink" Target="https://techcombank.com/thong-tin/blog/no-xau-la-gi" TargetMode="External"/><Relationship Id="rId672" Type="http://schemas.openxmlformats.org/officeDocument/2006/relationships/hyperlink" Target="https://techcombank.com/thong-tin/blog/the-ghi-no-co-chuyen-khoan-duoc-khong" TargetMode="External"/><Relationship Id="rId1025" Type="http://schemas.openxmlformats.org/officeDocument/2006/relationships/hyperlink" Target="https://techcombank.com/thong-tin/blog/tra-gop-lazada" TargetMode="External"/><Relationship Id="rId2356" Type="http://schemas.openxmlformats.org/officeDocument/2006/relationships/hyperlink" Target="https://techcombank.com/thong-tin/blog/thanh-toan-toi-thieu-the-tin-dung" TargetMode="External"/><Relationship Id="rId190" Type="http://schemas.openxmlformats.org/officeDocument/2006/relationships/hyperlink" Target="https://techcombank.com/thong-tin/blog/vay-ngan-hang-1-ty-moi-thang-tra-bao-nhieu" TargetMode="External"/><Relationship Id="rId194" Type="http://schemas.openxmlformats.org/officeDocument/2006/relationships/hyperlink" Target="https://techcombank.com/thong-tin/blog/quyet-toan-thue-thu-nhap-ca-nhan" TargetMode="External"/><Relationship Id="rId193" Type="http://schemas.openxmlformats.org/officeDocument/2006/relationships/hyperlink" Target="https://techcombank.com/thong-tin/blog/cach-huy-thanh-toan-tien-dien" TargetMode="External"/><Relationship Id="rId192" Type="http://schemas.openxmlformats.org/officeDocument/2006/relationships/hyperlink" Target="https://techcombank.com/thong-tin/blog/thanh-toan-hoa-don-tieu-dung" TargetMode="External"/><Relationship Id="rId191" Type="http://schemas.openxmlformats.org/officeDocument/2006/relationships/hyperlink" Target="https://techcombank.com/thong-tin/blog/nap-tien-dien-thoai-online" TargetMode="External"/><Relationship Id="rId187" Type="http://schemas.openxmlformats.org/officeDocument/2006/relationships/hyperlink" Target="https://techcombank.com/thong-tin/blog/tim-hieu-ve-chinh-sach-thue-moi" TargetMode="External"/><Relationship Id="rId186" Type="http://schemas.openxmlformats.org/officeDocument/2006/relationships/hyperlink" Target="https://techcombank.com/thong-tin/blog/one-stop-shop" TargetMode="External"/><Relationship Id="rId185" Type="http://schemas.openxmlformats.org/officeDocument/2006/relationships/hyperlink" Target="https://techcombank.com/thong-tin/blog/hoa-don-dien-tu-ho-kinh-doanh" TargetMode="External"/><Relationship Id="rId184" Type="http://schemas.openxmlformats.org/officeDocument/2006/relationships/hyperlink" Target="https://techcombank.com/thong-tin/blog/hoa-don-dien-tu" TargetMode="External"/><Relationship Id="rId189" Type="http://schemas.openxmlformats.org/officeDocument/2006/relationships/hyperlink" Target="https://techcombank.com/thong-tin/blog/phan-mem-xuat-hoa-don-dien-tu" TargetMode="External"/><Relationship Id="rId188" Type="http://schemas.openxmlformats.org/officeDocument/2006/relationships/hyperlink" Target="https://techcombank.com/thong-tin/blog/may-tinh-tien" TargetMode="External"/><Relationship Id="rId183" Type="http://schemas.openxmlformats.org/officeDocument/2006/relationships/hyperlink" Target="https://techcombank.com/thong-tin/blog/chuyen-doi-hoa-don-dien-tu" TargetMode="External"/><Relationship Id="rId182" Type="http://schemas.openxmlformats.org/officeDocument/2006/relationships/hyperlink" Target="https://techcombank.com/thong-tin/blog/cach-tra-cuu-hoa-don-dien-tu" TargetMode="External"/><Relationship Id="rId181" Type="http://schemas.openxmlformats.org/officeDocument/2006/relationships/hyperlink" Target="https://techcombank.com/thong-tin/blog/thanh-toan-tien-dien-bang-the-tin-dung" TargetMode="External"/><Relationship Id="rId180" Type="http://schemas.openxmlformats.org/officeDocument/2006/relationships/hyperlink" Target="https://techcombank.com/thong-tin/blog/app-dong-tien-dien-online" TargetMode="External"/><Relationship Id="rId176" Type="http://schemas.openxmlformats.org/officeDocument/2006/relationships/hyperlink" Target="https://techcombank.com/thong-tin/blog/app-dong-tien-dien-online" TargetMode="External"/><Relationship Id="rId175" Type="http://schemas.openxmlformats.org/officeDocument/2006/relationships/hyperlink" Target="https://techcombank.com/thong-tin/blog/thanh-toan-tien-internet-online" TargetMode="External"/><Relationship Id="rId174" Type="http://schemas.openxmlformats.org/officeDocument/2006/relationships/hyperlink" Target="https://techcombank.com/thong-tin/blog/mat-so-dien-thoai-dang-ky-tai-khoan-ngan-hang" TargetMode="External"/><Relationship Id="rId173" Type="http://schemas.openxmlformats.org/officeDocument/2006/relationships/hyperlink" Target="https://techcombank.com/thong-tin/blog/cach-nap-the-mobi" TargetMode="External"/><Relationship Id="rId179" Type="http://schemas.openxmlformats.org/officeDocument/2006/relationships/hyperlink" Target="https://techcombank.com/thong-tin/blog/cach-dong-tien-dien-qua-tai-khoan-ngan-hang" TargetMode="External"/><Relationship Id="rId178" Type="http://schemas.openxmlformats.org/officeDocument/2006/relationships/hyperlink" Target="https://techcombank.com/thong-tin/blog/tra-cuu-hoa-don-tien-dien" TargetMode="External"/><Relationship Id="rId177" Type="http://schemas.openxmlformats.org/officeDocument/2006/relationships/hyperlink" Target="https://techcombank.com/thong-tin/blog/gia-dien-sinh-hoat" TargetMode="External"/><Relationship Id="rId1910" Type="http://schemas.openxmlformats.org/officeDocument/2006/relationships/hyperlink" Target="https://techcombank.com/thong-tin/blog/vay-the-chap-khong-chung-minh-thu-nhap" TargetMode="External"/><Relationship Id="rId1911" Type="http://schemas.openxmlformats.org/officeDocument/2006/relationships/hyperlink" Target="https://techcombank.com/thong-tin/blog/vay-tra-gop" TargetMode="External"/><Relationship Id="rId1912" Type="http://schemas.openxmlformats.org/officeDocument/2006/relationships/hyperlink" Target="https://techcombank.com/thong-tin/blog/vay-the-chap-hop-dong-mua-ban-can-ho" TargetMode="External"/><Relationship Id="rId1913" Type="http://schemas.openxmlformats.org/officeDocument/2006/relationships/hyperlink" Target="https://techcombank.com/thong-tin/blog/nen-gui-tiet-kiem-6-thang-hay-1-nam" TargetMode="External"/><Relationship Id="rId1914" Type="http://schemas.openxmlformats.org/officeDocument/2006/relationships/hyperlink" Target="https://techcombank.com/thong-tin/blog/tai-sao-gui-tiet-kiem-online-lai-suat-cao-hon" TargetMode="External"/><Relationship Id="rId1915" Type="http://schemas.openxmlformats.org/officeDocument/2006/relationships/hyperlink" Target="https://techcombank.com/thong-tin/blog/co-nen-gui-tiet-kiem-ngan-hang" TargetMode="External"/><Relationship Id="rId1916" Type="http://schemas.openxmlformats.org/officeDocument/2006/relationships/hyperlink" Target="https://techcombank.com/thong-tin/blog/tien-gui-co-ky-han" TargetMode="External"/><Relationship Id="rId1917" Type="http://schemas.openxmlformats.org/officeDocument/2006/relationships/hyperlink" Target="https://techcombank.com/thong-tin/blog/so-sanh-gui-tiet-kiem-online-va-tai-quay" TargetMode="External"/><Relationship Id="rId1918" Type="http://schemas.openxmlformats.org/officeDocument/2006/relationships/hyperlink" Target="https://techcombank.com/thong-tin/blog/so-tiet-kiem-ngan-hang" TargetMode="External"/><Relationship Id="rId1919" Type="http://schemas.openxmlformats.org/officeDocument/2006/relationships/hyperlink" Target="https://techcombank.com/thong-tin/blog/quy-trinh-gui-tien-tiet-kiem" TargetMode="External"/><Relationship Id="rId1900" Type="http://schemas.openxmlformats.org/officeDocument/2006/relationships/hyperlink" Target="https://techcombank.com/thong-tin/blog/no-xau-mo-the-tin-dung-duoc-khong" TargetMode="External"/><Relationship Id="rId1901" Type="http://schemas.openxmlformats.org/officeDocument/2006/relationships/hyperlink" Target="https://techcombank.com/thong-tin/blog/no-xau-co-vay-the-chap-duoc-khong" TargetMode="External"/><Relationship Id="rId1902" Type="http://schemas.openxmlformats.org/officeDocument/2006/relationships/hyperlink" Target="https://techcombank.com/thong-tin/blog/han-muc-vay-the-chap-so-do" TargetMode="External"/><Relationship Id="rId1903" Type="http://schemas.openxmlformats.org/officeDocument/2006/relationships/hyperlink" Target="https://techcombank.com/thong-tin/blog/gui-tiet-kiem-online-co-rut-truoc-han-duoc-khong" TargetMode="External"/><Relationship Id="rId1904" Type="http://schemas.openxmlformats.org/officeDocument/2006/relationships/hyperlink" Target="https://techcombank.com/thong-tin/blog/phi-vay-the-chap" TargetMode="External"/><Relationship Id="rId1905" Type="http://schemas.openxmlformats.org/officeDocument/2006/relationships/hyperlink" Target="https://techcombank.com/thong-tin/blog/cac-hinh-thuc-cho-vay-tieu-dung" TargetMode="External"/><Relationship Id="rId1906" Type="http://schemas.openxmlformats.org/officeDocument/2006/relationships/hyperlink" Target="https://techcombank.com/thong-tin/blog/vay-the-chap-toi-da-duoc-bao-nhieu" TargetMode="External"/><Relationship Id="rId1907" Type="http://schemas.openxmlformats.org/officeDocument/2006/relationships/hyperlink" Target="https://techcombank.com/thong-tin/blog/dieu-kien-vay-the-chap" TargetMode="External"/><Relationship Id="rId1908" Type="http://schemas.openxmlformats.org/officeDocument/2006/relationships/hyperlink" Target="https://techcombank.com/thong-tin/blog/lai-suat-vay-mua-o-to" TargetMode="External"/><Relationship Id="rId1909" Type="http://schemas.openxmlformats.org/officeDocument/2006/relationships/hyperlink" Target="https://techcombank.com/thong-tin/blog/chung-chi-tien-gui-co-duoc-rut-truoc-han" TargetMode="External"/><Relationship Id="rId198" Type="http://schemas.openxmlformats.org/officeDocument/2006/relationships/hyperlink" Target="https://techcombank.com/thong-tin/blog/luong-huu" TargetMode="External"/><Relationship Id="rId197" Type="http://schemas.openxmlformats.org/officeDocument/2006/relationships/hyperlink" Target="https://techcombank.com/thong-tin/blog/sao-ke-luong" TargetMode="External"/><Relationship Id="rId196" Type="http://schemas.openxmlformats.org/officeDocument/2006/relationships/hyperlink" Target="https://techcombank.com/thong-tin/blog/dang-ky-ma-so-thue-ca-nhan" TargetMode="External"/><Relationship Id="rId195" Type="http://schemas.openxmlformats.org/officeDocument/2006/relationships/hyperlink" Target="https://techcombank.com/thong-tin/blog/hoan-thue-thu-nhap-ca-nhan" TargetMode="External"/><Relationship Id="rId199" Type="http://schemas.openxmlformats.org/officeDocument/2006/relationships/hyperlink" Target="https://techcombank.com/thong-tin/blog/cach-tinh-thue-ho-kinh-doanh-nho-le" TargetMode="External"/><Relationship Id="rId150" Type="http://schemas.openxmlformats.org/officeDocument/2006/relationships/hyperlink" Target="https://techcombank.com/thong-tin/blog/loi-nhuan" TargetMode="External"/><Relationship Id="rId149" Type="http://schemas.openxmlformats.org/officeDocument/2006/relationships/hyperlink" Target="https://techcombank.com/thong-tin/blog/khau-hao-la-gi" TargetMode="External"/><Relationship Id="rId148" Type="http://schemas.openxmlformats.org/officeDocument/2006/relationships/hyperlink" Target="https://techcombank.com/thong-tin/blog/chuan-bi-cho-doanh-nghiep-khoi-nghiep-truoc-nhung-thay-doi-ve-thue" TargetMode="External"/><Relationship Id="rId1090" Type="http://schemas.openxmlformats.org/officeDocument/2006/relationships/hyperlink" Target="https://techcombank.com/thong-tin/blog/no-xau-nhom-2" TargetMode="External"/><Relationship Id="rId1091" Type="http://schemas.openxmlformats.org/officeDocument/2006/relationships/hyperlink" Target="https://techcombank.com/thong-tin/blog/co-100-trieu-co-mua-nen-mua-tra-gop" TargetMode="External"/><Relationship Id="rId1092" Type="http://schemas.openxmlformats.org/officeDocument/2006/relationships/hyperlink" Target="https://techcombank.com/thong-tin/blog/dang-vay-tra-gop-co-vay-them-duoc-khong" TargetMode="External"/><Relationship Id="rId1093" Type="http://schemas.openxmlformats.org/officeDocument/2006/relationships/hyperlink" Target="https://techcombank.com/thong-tin/blog/vay-20-trieu" TargetMode="External"/><Relationship Id="rId1094" Type="http://schemas.openxmlformats.org/officeDocument/2006/relationships/hyperlink" Target="https://techcombank.com/thong-tin/blog/thanh-toan-toi-thieu-the-tin-dung" TargetMode="External"/><Relationship Id="rId143" Type="http://schemas.openxmlformats.org/officeDocument/2006/relationships/hyperlink" Target="https://techcombank.com/thong-tin/blog/chi-phi-mo-tai-khoan-ngan-hang-cho-cong-ty" TargetMode="External"/><Relationship Id="rId1095" Type="http://schemas.openxmlformats.org/officeDocument/2006/relationships/hyperlink" Target="https://techcombank.com/thong-tin/blog/qua-han-thanh-toan-the-tin-dung-1-ngay" TargetMode="External"/><Relationship Id="rId142" Type="http://schemas.openxmlformats.org/officeDocument/2006/relationships/hyperlink" Target="https://techcombank.com/thong-tin/blog/tai-khoan-cong-ty-co-chuyen-online-duoc-khong" TargetMode="External"/><Relationship Id="rId1096" Type="http://schemas.openxmlformats.org/officeDocument/2006/relationships/hyperlink" Target="https://techcombank.com/thong-tin/blog/sao-ke-the-tin-dung-la-gi" TargetMode="External"/><Relationship Id="rId141" Type="http://schemas.openxmlformats.org/officeDocument/2006/relationships/hyperlink" Target="https://techcombank.com/thong-tin/blog/mau-mo-tai-khoan-doanh-nghiep-techcombank" TargetMode="External"/><Relationship Id="rId1097" Type="http://schemas.openxmlformats.org/officeDocument/2006/relationships/hyperlink" Target="https://techcombank.com/thong-tin/blog/no-the-tin-dung-qua-han" TargetMode="External"/><Relationship Id="rId140" Type="http://schemas.openxmlformats.org/officeDocument/2006/relationships/hyperlink" Target="https://techcombank.com/thong-tin/blog/sao-ke-tai-khoan-doanh-nghiep" TargetMode="External"/><Relationship Id="rId1098" Type="http://schemas.openxmlformats.org/officeDocument/2006/relationships/hyperlink" Target="https://techcombank.com/thong-tin/blog/the-tin-dung-mien-lai-55-ngay" TargetMode="External"/><Relationship Id="rId147" Type="http://schemas.openxmlformats.org/officeDocument/2006/relationships/hyperlink" Target="https://techcombank.com/thong-tin/blog/cach-doc-bao-cao-tai-chinh" TargetMode="External"/><Relationship Id="rId1099" Type="http://schemas.openxmlformats.org/officeDocument/2006/relationships/hyperlink" Target="https://techcombank.com/thong-tin/blog/du-no-la-gi" TargetMode="External"/><Relationship Id="rId146" Type="http://schemas.openxmlformats.org/officeDocument/2006/relationships/hyperlink" Target="https://techcombank.com/thong-tin/blog/loi-nhuan-rong" TargetMode="External"/><Relationship Id="rId145" Type="http://schemas.openxmlformats.org/officeDocument/2006/relationships/hyperlink" Target="https://techcombank.com/thong-tin/blog/khau-hao" TargetMode="External"/><Relationship Id="rId144" Type="http://schemas.openxmlformats.org/officeDocument/2006/relationships/hyperlink" Target="https://techcombank.com/thong-tin/blog/nhung-chi-phi-khong-duoc-tru-khi-tinh-thue-tndn" TargetMode="External"/><Relationship Id="rId139" Type="http://schemas.openxmlformats.org/officeDocument/2006/relationships/hyperlink" Target="https://techcombank.com/thong-tin/blog/rut-tien-mat-tu-tai-khoan-doanh-nghiep" TargetMode="External"/><Relationship Id="rId138" Type="http://schemas.openxmlformats.org/officeDocument/2006/relationships/hyperlink" Target="https://techcombank.com/thong-tin/blog/tai-khoan-doanh-nghiep-co-the-khong" TargetMode="External"/><Relationship Id="rId137" Type="http://schemas.openxmlformats.org/officeDocument/2006/relationships/hyperlink" Target="https://techcombank.com/thong-tin/blog/dong-tai-khoan-ngan-hang-cong-ty" TargetMode="External"/><Relationship Id="rId1080" Type="http://schemas.openxmlformats.org/officeDocument/2006/relationships/hyperlink" Target="https://techcombank.com/thong-tin/blog/cic-la-gi" TargetMode="External"/><Relationship Id="rId1081" Type="http://schemas.openxmlformats.org/officeDocument/2006/relationships/hyperlink" Target="https://techcombank.com/thong-tin/blog/the-tin-dung-bi-khoa" TargetMode="External"/><Relationship Id="rId1082" Type="http://schemas.openxmlformats.org/officeDocument/2006/relationships/hyperlink" Target="https://techcombank.com/thong-tin/blog/no-xau-mo-the-tin-dung-duoc-khong" TargetMode="External"/><Relationship Id="rId1083" Type="http://schemas.openxmlformats.org/officeDocument/2006/relationships/hyperlink" Target="https://techcombank.com/thong-tin/blog/no-the-tin-dung-qua-han" TargetMode="External"/><Relationship Id="rId132" Type="http://schemas.openxmlformats.org/officeDocument/2006/relationships/hyperlink" Target="https://techcombank.com/thong-tin/blog/luu-y-khi-chuyen-tien-vao-tai-khoan-cong-ty" TargetMode="External"/><Relationship Id="rId1084" Type="http://schemas.openxmlformats.org/officeDocument/2006/relationships/hyperlink" Target="https://techcombank.com/thong-tin/blog/luu-y-khi-su-dung-the-tin-dung" TargetMode="External"/><Relationship Id="rId131" Type="http://schemas.openxmlformats.org/officeDocument/2006/relationships/hyperlink" Target="https://techcombank.com/thong-tin/blog/mo-tai-khoan-doanh-nghiep" TargetMode="External"/><Relationship Id="rId1085" Type="http://schemas.openxmlformats.org/officeDocument/2006/relationships/hyperlink" Target="https://techcombank.com/thong-tin/blog/han-muc-vay-the-chap-so-do" TargetMode="External"/><Relationship Id="rId130" Type="http://schemas.openxmlformats.org/officeDocument/2006/relationships/hyperlink" Target="https://techcombank.com/thong-tin/blog/thu-tuc-thanh-lap-doanh-nghiep" TargetMode="External"/><Relationship Id="rId1086" Type="http://schemas.openxmlformats.org/officeDocument/2006/relationships/hyperlink" Target="https://techcombank.com/thong-tin/blog/vay-tin-chap-no-xau" TargetMode="External"/><Relationship Id="rId1087" Type="http://schemas.openxmlformats.org/officeDocument/2006/relationships/hyperlink" Target="https://techcombank.com/thong-tin/blog/mua-nha-tra-gop-dua-truoc-100-trieu" TargetMode="External"/><Relationship Id="rId136" Type="http://schemas.openxmlformats.org/officeDocument/2006/relationships/hyperlink" Target="https://techcombank.com/thong-tin/blog/nop-tien-mat-vao-tai-khoan-cong-ty" TargetMode="External"/><Relationship Id="rId1088" Type="http://schemas.openxmlformats.org/officeDocument/2006/relationships/hyperlink" Target="https://techcombank.com/thong-tin/blog/dieu-kien-vay-the-chap" TargetMode="External"/><Relationship Id="rId135" Type="http://schemas.openxmlformats.org/officeDocument/2006/relationships/hyperlink" Target="https://techcombank.com/thong-tin/blog/tra-luong-tien-mat" TargetMode="External"/><Relationship Id="rId1089" Type="http://schemas.openxmlformats.org/officeDocument/2006/relationships/hyperlink" Target="https://techcombank.com/thong-tin/blog/vay-han-muc-la-gi" TargetMode="External"/><Relationship Id="rId134" Type="http://schemas.openxmlformats.org/officeDocument/2006/relationships/hyperlink" Target="https://techcombank.com/thong-tin/blog/tien-chuyen-vao-tai-khoan-co-bi-tinh-thue-khong" TargetMode="External"/><Relationship Id="rId133" Type="http://schemas.openxmlformats.org/officeDocument/2006/relationships/hyperlink" Target="https://techcombank.com/thong-tin/blog/cach-su-dung-tai-khoan-cong-ty" TargetMode="External"/><Relationship Id="rId172" Type="http://schemas.openxmlformats.org/officeDocument/2006/relationships/hyperlink" Target="https://techcombank.com/thong-tin/blog/cach-nap-the-vina" TargetMode="External"/><Relationship Id="rId171" Type="http://schemas.openxmlformats.org/officeDocument/2006/relationships/hyperlink" Target="https://techcombank.com/thong-tin/blog/thanh-toan-tra-sau-viettel-bang-tai-khoan-ngan-hang" TargetMode="External"/><Relationship Id="rId170" Type="http://schemas.openxmlformats.org/officeDocument/2006/relationships/hyperlink" Target="https://techcombank.com/thong-tin/blog/nap-tien-dien-thoai-online" TargetMode="External"/><Relationship Id="rId165" Type="http://schemas.openxmlformats.org/officeDocument/2006/relationships/hyperlink" Target="https://techcombank.com/thong-tin/blog/dau-co-va-dau-tu" TargetMode="External"/><Relationship Id="rId164" Type="http://schemas.openxmlformats.org/officeDocument/2006/relationships/hyperlink" Target="https://techcombank.com/thong-tin/blog/cach-tinh-loi-nhuan-chung-chi-tien-gui" TargetMode="External"/><Relationship Id="rId163" Type="http://schemas.openxmlformats.org/officeDocument/2006/relationships/hyperlink" Target="https://techcombank.com/thong-tin/blog/mua-chung-chi-quy" TargetMode="External"/><Relationship Id="rId162" Type="http://schemas.openxmlformats.org/officeDocument/2006/relationships/hyperlink" Target="https://techcombank.com/thong-tin/blog/danh-muc-dau-tu" TargetMode="External"/><Relationship Id="rId169" Type="http://schemas.openxmlformats.org/officeDocument/2006/relationships/hyperlink" Target="https://techcombank.com/thong-tin/blog/cach-nap-the" TargetMode="External"/><Relationship Id="rId168" Type="http://schemas.openxmlformats.org/officeDocument/2006/relationships/hyperlink" Target="https://techcombank.com/thong-tin/blog/ngoai-hoi-la-gi" TargetMode="External"/><Relationship Id="rId167" Type="http://schemas.openxmlformats.org/officeDocument/2006/relationships/hyperlink" Target="https://techcombank.com/thong-tin/blog/toi-uu-hoa-chi-phi-trong-doanh-nghiep" TargetMode="External"/><Relationship Id="rId166" Type="http://schemas.openxmlformats.org/officeDocument/2006/relationships/hyperlink" Target="https://techcombank.com/thong-tin/blog/co-50-trieu-nen-mua-vang-hay-gui-tiet-kiem" TargetMode="External"/><Relationship Id="rId161" Type="http://schemas.openxmlformats.org/officeDocument/2006/relationships/hyperlink" Target="https://techcombank.com/thong-tin/blog/ho-kinh-doanh-can-gi-o-tai-khoan-ngan-hang" TargetMode="External"/><Relationship Id="rId160" Type="http://schemas.openxmlformats.org/officeDocument/2006/relationships/hyperlink" Target="https://techcombank.com/thong-tin/blog/lai-suat-chung-chi-quy" TargetMode="External"/><Relationship Id="rId159" Type="http://schemas.openxmlformats.org/officeDocument/2006/relationships/hyperlink" Target="https://techcombank.com/thong-tin/blog/lai-suat-tiet-kiem" TargetMode="External"/><Relationship Id="rId154" Type="http://schemas.openxmlformats.org/officeDocument/2006/relationships/hyperlink" Target="https://techcombank.com/thong-tin/blog/thi-truong-trai-phieu-am-tro-lai-nha-dau-tu-san-sang-cho-nhung-co-hoi-sinh-loi-moi" TargetMode="External"/><Relationship Id="rId153" Type="http://schemas.openxmlformats.org/officeDocument/2006/relationships/hyperlink" Target="https://techcombank.com/thong-tin/blog/thue-thu-nhap-doanh-nghiep" TargetMode="External"/><Relationship Id="rId152" Type="http://schemas.openxmlformats.org/officeDocument/2006/relationships/hyperlink" Target="https://techcombank.com/thong-tin/blog/tim-hieu-ve-chinh-sach-thue-moi" TargetMode="External"/><Relationship Id="rId151" Type="http://schemas.openxmlformats.org/officeDocument/2006/relationships/hyperlink" Target="https://techcombank.com/thong-tin/blog/thue-doanh-nghiep" TargetMode="External"/><Relationship Id="rId158" Type="http://schemas.openxmlformats.org/officeDocument/2006/relationships/hyperlink" Target="https://techcombank.com/thong-tin/blog/gia-chung-chi-quy-la-gi" TargetMode="External"/><Relationship Id="rId157" Type="http://schemas.openxmlformats.org/officeDocument/2006/relationships/hyperlink" Target="https://techcombank.com/thong-tin/blog/nha-dau-tu-giao-dich-trai-phieu-truc-tuyen-tang-manh-tro-lai" TargetMode="External"/><Relationship Id="rId156" Type="http://schemas.openxmlformats.org/officeDocument/2006/relationships/hyperlink" Target="https://techcombank.com/thong-tin/blog/quan-ly-tai-chinh-doanh-nghiep-la-gi" TargetMode="External"/><Relationship Id="rId155" Type="http://schemas.openxmlformats.org/officeDocument/2006/relationships/hyperlink" Target="https://techcombank.com/thong-tin/blog/kinh-nghiem-mua-vang-tich-tru" TargetMode="External"/><Relationship Id="rId1972" Type="http://schemas.openxmlformats.org/officeDocument/2006/relationships/hyperlink" Target="https://techcombank.com/thong-tin/blog/lai-suat-tiet-kiem" TargetMode="External"/><Relationship Id="rId1973" Type="http://schemas.openxmlformats.org/officeDocument/2006/relationships/hyperlink" Target="https://techcombank.com/thong-tin/blog/co-nen-gui-tiet-kiem-online" TargetMode="External"/><Relationship Id="rId1974" Type="http://schemas.openxmlformats.org/officeDocument/2006/relationships/hyperlink" Target="https://techcombank.com/thong-tin/blog/gui-tiet-kiem-ngan-hang-van-la-lua-chon-an-toan-trong-thoi-ky-kinh-te-con-nhieu-bien-dong" TargetMode="External"/><Relationship Id="rId1975" Type="http://schemas.openxmlformats.org/officeDocument/2006/relationships/hyperlink" Target="https://techcombank.com/thong-tin/blog/cach-gui-tiet-kiem-online" TargetMode="External"/><Relationship Id="rId1976" Type="http://schemas.openxmlformats.org/officeDocument/2006/relationships/hyperlink" Target="https://techcombank.com/thong-tin/blog/gui-tien-ngan-hang-co-an-toan-khong" TargetMode="External"/><Relationship Id="rId1977" Type="http://schemas.openxmlformats.org/officeDocument/2006/relationships/hyperlink" Target="https://techcombank.com/thong-tin/blog/dau-tu-trai-phieu-doanh-nghiep-dung-ham-lai-suat-cao" TargetMode="External"/><Relationship Id="rId1978" Type="http://schemas.openxmlformats.org/officeDocument/2006/relationships/hyperlink" Target="https://techcombank.com/thong-tin/blog/nen-gui-tiet-kiem-6-thang-hay-1-nam" TargetMode="External"/><Relationship Id="rId1979" Type="http://schemas.openxmlformats.org/officeDocument/2006/relationships/hyperlink" Target="https://techcombank.com/thong-tin/blog/lai-suat-the-tin-dung" TargetMode="External"/><Relationship Id="rId1970" Type="http://schemas.openxmlformats.org/officeDocument/2006/relationships/hyperlink" Target="https://techcombank.com/thong-tin/blog/qua-han-thanh-toan-the-tin-dung-1-ngay" TargetMode="External"/><Relationship Id="rId1971" Type="http://schemas.openxmlformats.org/officeDocument/2006/relationships/hyperlink" Target="https://techcombank.com/thong-tin/blog/co-nen-gui-tiet-kiem-ngan-hang" TargetMode="External"/><Relationship Id="rId1961" Type="http://schemas.openxmlformats.org/officeDocument/2006/relationships/hyperlink" Target="https://techcombank.com/thong-tin/blog/cong-thuc-tinh-lai-suat-thuc" TargetMode="External"/><Relationship Id="rId1962" Type="http://schemas.openxmlformats.org/officeDocument/2006/relationships/hyperlink" Target="https://techcombank.com/thong-tin/blog/quy-trinh-gui-tien-tiet-kiem" TargetMode="External"/><Relationship Id="rId1963" Type="http://schemas.openxmlformats.org/officeDocument/2006/relationships/hyperlink" Target="https://techcombank.com/thong-tin/blog/gui-tiet-kiem-theo-ngay" TargetMode="External"/><Relationship Id="rId1964" Type="http://schemas.openxmlformats.org/officeDocument/2006/relationships/hyperlink" Target="https://techcombank.com/thong-tin/blog/gui-tiet-kiem-vang" TargetMode="External"/><Relationship Id="rId1965" Type="http://schemas.openxmlformats.org/officeDocument/2006/relationships/hyperlink" Target="https://techcombank.com/thong-tin/blog/nen-gui-tiet-kiem-thong-thuong-hay-tich-luy" TargetMode="External"/><Relationship Id="rId1966" Type="http://schemas.openxmlformats.org/officeDocument/2006/relationships/hyperlink" Target="https://techcombank.com/thong-tin/blog/tai-sao-gui-tiet-kiem-online-lai-suat-cao-hon" TargetMode="External"/><Relationship Id="rId1967" Type="http://schemas.openxmlformats.org/officeDocument/2006/relationships/hyperlink" Target="https://techcombank.com/thong-tin/blog/rui-ro-khi-vay-the-chap-ngan-hang" TargetMode="External"/><Relationship Id="rId1968" Type="http://schemas.openxmlformats.org/officeDocument/2006/relationships/hyperlink" Target="https://techcombank.com/thong-tin/blog/nen-de-tien-trong-the-hay-gui-tiet-kiem" TargetMode="External"/><Relationship Id="rId1969" Type="http://schemas.openxmlformats.org/officeDocument/2006/relationships/hyperlink" Target="https://techcombank.com/thong-tin/blog/lai-suat-vay-thau-chi" TargetMode="External"/><Relationship Id="rId1960" Type="http://schemas.openxmlformats.org/officeDocument/2006/relationships/hyperlink" Target="https://techcombank.com/thong-tin/blog/lai-suat-vay-kinh-doanh" TargetMode="External"/><Relationship Id="rId1510" Type="http://schemas.openxmlformats.org/officeDocument/2006/relationships/hyperlink" Target="https://techcombank.com/thong-tin/blog/bao-hiem-du-lich-quoc-te-nao-tot" TargetMode="External"/><Relationship Id="rId1994" Type="http://schemas.openxmlformats.org/officeDocument/2006/relationships/hyperlink" Target="https://techcombank.com/thong-tin/blog/lai-suat-vay-ngan-hang" TargetMode="External"/><Relationship Id="rId1511" Type="http://schemas.openxmlformats.org/officeDocument/2006/relationships/hyperlink" Target="https://techcombank.com/thong-tin/blog/dac-san-ha-long" TargetMode="External"/><Relationship Id="rId1995" Type="http://schemas.openxmlformats.org/officeDocument/2006/relationships/hyperlink" Target="https://techcombank.com/thong-tin/blog/gui-tiet-kiem-online-co-rut-truoc-han-duoc-khong" TargetMode="External"/><Relationship Id="rId1512" Type="http://schemas.openxmlformats.org/officeDocument/2006/relationships/hyperlink" Target="https://techcombank.com/thong-tin/blog/minigame-world-cup" TargetMode="External"/><Relationship Id="rId1996" Type="http://schemas.openxmlformats.org/officeDocument/2006/relationships/hyperlink" Target="https://techcombank.com/thong-tin/blog/gui-tiet-kiem-online-quay-vong-ca-goc-va-lai" TargetMode="External"/><Relationship Id="rId1513" Type="http://schemas.openxmlformats.org/officeDocument/2006/relationships/hyperlink" Target="https://techcombank.com/thong-tin/blog/voucher-winmart" TargetMode="External"/><Relationship Id="rId1997" Type="http://schemas.openxmlformats.org/officeDocument/2006/relationships/hyperlink" Target="https://techcombank.com/thong-tin/blog/chung-chi-tien-gui-khac-gi-so-tiet-kiem" TargetMode="External"/><Relationship Id="rId1514" Type="http://schemas.openxmlformats.org/officeDocument/2006/relationships/hyperlink" Target="https://techcombank.com/thong-tin/blog/bao-hiem-hanh-ly" TargetMode="External"/><Relationship Id="rId1998" Type="http://schemas.openxmlformats.org/officeDocument/2006/relationships/hyperlink" Target="https://techcombank.com/thong-tin/blog/dau-tu-dai-han" TargetMode="External"/><Relationship Id="rId1515" Type="http://schemas.openxmlformats.org/officeDocument/2006/relationships/hyperlink" Target="https://techcombank.com/thong-tin/blog/dac-san-da-nang" TargetMode="External"/><Relationship Id="rId1999" Type="http://schemas.openxmlformats.org/officeDocument/2006/relationships/hyperlink" Target="https://techcombank.com/thong-tin/blog/so-sanh-gui-tiet-kiem-online-va-tai-quay" TargetMode="External"/><Relationship Id="rId1516" Type="http://schemas.openxmlformats.org/officeDocument/2006/relationships/hyperlink" Target="https://techcombank.com/thong-tin/blog/dac-san-nha-trang" TargetMode="External"/><Relationship Id="rId1517" Type="http://schemas.openxmlformats.org/officeDocument/2006/relationships/hyperlink" Target="https://techcombank.com/thong-tin/blog/ban-do-du-lich" TargetMode="External"/><Relationship Id="rId1518" Type="http://schemas.openxmlformats.org/officeDocument/2006/relationships/hyperlink" Target="https://techcombank.com/thong-tin/blog/bib-techcombank" TargetMode="External"/><Relationship Id="rId1519" Type="http://schemas.openxmlformats.org/officeDocument/2006/relationships/hyperlink" Target="https://techcombank.com/thong-tin/blog/giao-thong-xanh" TargetMode="External"/><Relationship Id="rId1990" Type="http://schemas.openxmlformats.org/officeDocument/2006/relationships/hyperlink" Target="https://techcombank.com/thong-tin/blog/cach-tinh-lai-vay-ngan-hang" TargetMode="External"/><Relationship Id="rId1991" Type="http://schemas.openxmlformats.org/officeDocument/2006/relationships/hyperlink" Target="https://techcombank.com/thong-tin/blog/gui-tiet-kiem-online-bi-mat-tien" TargetMode="External"/><Relationship Id="rId1992" Type="http://schemas.openxmlformats.org/officeDocument/2006/relationships/hyperlink" Target="https://techcombank.com/thong-tin/blog/kinh-nghiem-gui-tiet-kiem-online" TargetMode="External"/><Relationship Id="rId1993" Type="http://schemas.openxmlformats.org/officeDocument/2006/relationships/hyperlink" Target="https://techcombank.com/thong-tin/blog/vay-thau-chi-bang-so-tiet-kiem" TargetMode="External"/><Relationship Id="rId1983" Type="http://schemas.openxmlformats.org/officeDocument/2006/relationships/hyperlink" Target="https://techcombank.com/thong-tin/blog/lai-suat-tha-noi" TargetMode="External"/><Relationship Id="rId1500" Type="http://schemas.openxmlformats.org/officeDocument/2006/relationships/hyperlink" Target="https://techcombank.com/thong-tin/blog/voucher-grab" TargetMode="External"/><Relationship Id="rId1984" Type="http://schemas.openxmlformats.org/officeDocument/2006/relationships/hyperlink" Target="https://techcombank.com/thong-tin/blog/lai-suat-vay-tieu-dung" TargetMode="External"/><Relationship Id="rId1501" Type="http://schemas.openxmlformats.org/officeDocument/2006/relationships/hyperlink" Target="https://techcombank.com/thong-tin/blog/dat-xe-xanh-sm" TargetMode="External"/><Relationship Id="rId1985" Type="http://schemas.openxmlformats.org/officeDocument/2006/relationships/hyperlink" Target="https://techcombank.com/thong-tin/blog/chon-kenh-dau-tu-an-toan-trong-boi-canh-thi-truong-bien-dong" TargetMode="External"/><Relationship Id="rId1502" Type="http://schemas.openxmlformats.org/officeDocument/2006/relationships/hyperlink" Target="https://techcombank.com/thong-tin/blog/shang-chi" TargetMode="External"/><Relationship Id="rId1986" Type="http://schemas.openxmlformats.org/officeDocument/2006/relationships/hyperlink" Target="https://techcombank.com/thong-tin/blog/gui-tiet-kiem-ngoai-te" TargetMode="External"/><Relationship Id="rId1503" Type="http://schemas.openxmlformats.org/officeDocument/2006/relationships/hyperlink" Target="https://techcombank.com/thong-tin/blog/tous-les-jours" TargetMode="External"/><Relationship Id="rId1987" Type="http://schemas.openxmlformats.org/officeDocument/2006/relationships/hyperlink" Target="https://techcombank.com/thong-tin/blog/lai-suat-ngan-hang-cho-vay-xay-nha" TargetMode="External"/><Relationship Id="rId1504" Type="http://schemas.openxmlformats.org/officeDocument/2006/relationships/hyperlink" Target="https://techcombank.com/thong-tin/blog/woomaster" TargetMode="External"/><Relationship Id="rId1988" Type="http://schemas.openxmlformats.org/officeDocument/2006/relationships/hyperlink" Target="https://techcombank.com/thong-tin/blog/rui-ro-khi-gui-tiet-kiem-ngan-hang" TargetMode="External"/><Relationship Id="rId1505" Type="http://schemas.openxmlformats.org/officeDocument/2006/relationships/hyperlink" Target="https://techcombank.com/thong-tin/blog/voucher-xanh-sm" TargetMode="External"/><Relationship Id="rId1989" Type="http://schemas.openxmlformats.org/officeDocument/2006/relationships/hyperlink" Target="https://techcombank.com/thong-tin/blog/tra-no-vay-thau-chi-nhu-the-nao" TargetMode="External"/><Relationship Id="rId1506" Type="http://schemas.openxmlformats.org/officeDocument/2006/relationships/hyperlink" Target="https://techcombank.com/thong-tin/blog/diem-loyalty-la-gi" TargetMode="External"/><Relationship Id="rId1507" Type="http://schemas.openxmlformats.org/officeDocument/2006/relationships/hyperlink" Target="https://techcombank.com/thong-tin/blog/thanh-toan-ve-may-bay-online" TargetMode="External"/><Relationship Id="rId1508" Type="http://schemas.openxmlformats.org/officeDocument/2006/relationships/hyperlink" Target="https://techcombank.com/thong-tin/blog/uu-dai-mua-ve-may-bay-bang-the-tin-dung" TargetMode="External"/><Relationship Id="rId1509" Type="http://schemas.openxmlformats.org/officeDocument/2006/relationships/hyperlink" Target="https://techcombank.com/thong-tin/blog/dac-san-hai-phong" TargetMode="External"/><Relationship Id="rId1980" Type="http://schemas.openxmlformats.org/officeDocument/2006/relationships/hyperlink" Target="https://techcombank.com/thong-tin/blog/gui-tiet-kiem-tich-luy-la-gi" TargetMode="External"/><Relationship Id="rId1981" Type="http://schemas.openxmlformats.org/officeDocument/2006/relationships/hyperlink" Target="https://techcombank.com/thong-tin/blog/lai-suat-vay-the-chap-so-do" TargetMode="External"/><Relationship Id="rId1982" Type="http://schemas.openxmlformats.org/officeDocument/2006/relationships/hyperlink" Target="https://techcombank.com/thong-tin/blog/rui-ro-khi-gui-tiet-kiem-online" TargetMode="External"/><Relationship Id="rId1930" Type="http://schemas.openxmlformats.org/officeDocument/2006/relationships/hyperlink" Target="https://techcombank.com/thong-tin/blog/gui-tien-ngan-hang-co-an-toan-khong" TargetMode="External"/><Relationship Id="rId1931" Type="http://schemas.openxmlformats.org/officeDocument/2006/relationships/hyperlink" Target="https://techcombank.com/thong-tin/blog/dau-tu-trai-phieu-doanh-nghiep-dung-ham-lai-suat-cao" TargetMode="External"/><Relationship Id="rId1932" Type="http://schemas.openxmlformats.org/officeDocument/2006/relationships/hyperlink" Target="https://techcombank.com/thong-tin/blog/casa-la-gi" TargetMode="External"/><Relationship Id="rId1933" Type="http://schemas.openxmlformats.org/officeDocument/2006/relationships/hyperlink" Target="https://techcombank.com/thong-tin/blog/gui-tiet-kiem-tich-luy-la-gi" TargetMode="External"/><Relationship Id="rId1934" Type="http://schemas.openxmlformats.org/officeDocument/2006/relationships/hyperlink" Target="https://techcombank.com/thong-tin/blog/gui-tiet-kiem-lay-lai-hang-thang" TargetMode="External"/><Relationship Id="rId1935" Type="http://schemas.openxmlformats.org/officeDocument/2006/relationships/hyperlink" Target="https://techcombank.com/thong-tin/blog/rui-ro-khi-gui-tiet-kiem-online" TargetMode="External"/><Relationship Id="rId1936" Type="http://schemas.openxmlformats.org/officeDocument/2006/relationships/hyperlink" Target="https://techcombank.com/thong-tin/blog/cach-tinh-lai-suat-tien-gui-tiet-kiem" TargetMode="External"/><Relationship Id="rId1937" Type="http://schemas.openxmlformats.org/officeDocument/2006/relationships/hyperlink" Target="https://techcombank.com/thong-tin/blog/chon-kenh-dau-tu-an-toan-trong-boi-canh-thi-truong-bien-dong" TargetMode="External"/><Relationship Id="rId1938" Type="http://schemas.openxmlformats.org/officeDocument/2006/relationships/hyperlink" Target="https://techcombank.com/thong-tin/blog/mo-so-tiet-kiem-can-bao-nhieu-tien" TargetMode="External"/><Relationship Id="rId1939" Type="http://schemas.openxmlformats.org/officeDocument/2006/relationships/hyperlink" Target="https://techcombank.com/thong-tin/blog/gui-tiet-kiem-ngoai-te" TargetMode="External"/><Relationship Id="rId1920" Type="http://schemas.openxmlformats.org/officeDocument/2006/relationships/hyperlink" Target="https://techcombank.com/thong-tin/blog/gui-tiet-kiem-theo-ngay" TargetMode="External"/><Relationship Id="rId1921" Type="http://schemas.openxmlformats.org/officeDocument/2006/relationships/hyperlink" Target="https://techcombank.com/thong-tin/blog/gui-tiet-kiem-vang" TargetMode="External"/><Relationship Id="rId1922" Type="http://schemas.openxmlformats.org/officeDocument/2006/relationships/hyperlink" Target="https://techcombank.com/thong-tin/blog/gia-cao-su" TargetMode="External"/><Relationship Id="rId1923" Type="http://schemas.openxmlformats.org/officeDocument/2006/relationships/hyperlink" Target="https://techcombank.com/thong-tin/blog/nen-gui-tiet-kiem-thong-thuong-hay-tich-luy" TargetMode="External"/><Relationship Id="rId1924" Type="http://schemas.openxmlformats.org/officeDocument/2006/relationships/hyperlink" Target="https://techcombank.com/thong-tin/blog/nen-de-tien-trong-the-hay-gui-tiet-kiem" TargetMode="External"/><Relationship Id="rId1925" Type="http://schemas.openxmlformats.org/officeDocument/2006/relationships/hyperlink" Target="https://techcombank.com/thong-tin/blog/tien-gui-khong-ky-han" TargetMode="External"/><Relationship Id="rId1926" Type="http://schemas.openxmlformats.org/officeDocument/2006/relationships/hyperlink" Target="https://techcombank.com/thong-tin/blog/vay-mua-nha-tra-gop" TargetMode="External"/><Relationship Id="rId1927" Type="http://schemas.openxmlformats.org/officeDocument/2006/relationships/hyperlink" Target="https://techcombank.com/thong-tin/blog/co-nen-gui-tiet-kiem-online" TargetMode="External"/><Relationship Id="rId1928" Type="http://schemas.openxmlformats.org/officeDocument/2006/relationships/hyperlink" Target="https://techcombank.com/thong-tin/blog/gui-tiet-kiem-ngan-hang-van-la-lua-chon-an-toan-trong-thoi-ky-kinh-te-con-nhieu-bien-dong" TargetMode="External"/><Relationship Id="rId1929" Type="http://schemas.openxmlformats.org/officeDocument/2006/relationships/hyperlink" Target="https://techcombank.com/thong-tin/blog/cach-gui-tiet-kiem-online" TargetMode="External"/><Relationship Id="rId1950" Type="http://schemas.openxmlformats.org/officeDocument/2006/relationships/hyperlink" Target="https://techcombank.com/thong-tin/blog/co-50-trieu-nen-mua-vang-hay-gui-tiet-kiem" TargetMode="External"/><Relationship Id="rId1951" Type="http://schemas.openxmlformats.org/officeDocument/2006/relationships/hyperlink" Target="https://techcombank.com/thong-tin/blog/lai-suat-cho-vay-doanh-nghiep" TargetMode="External"/><Relationship Id="rId1952" Type="http://schemas.openxmlformats.org/officeDocument/2006/relationships/hyperlink" Target="https://techcombank.com/thong-tin/blog/lai-suat-gui-tiet-kiem-usd" TargetMode="External"/><Relationship Id="rId1953" Type="http://schemas.openxmlformats.org/officeDocument/2006/relationships/hyperlink" Target="https://techcombank.com/thong-tin/blog/gui-tiet-kiem-usd" TargetMode="External"/><Relationship Id="rId1954" Type="http://schemas.openxmlformats.org/officeDocument/2006/relationships/hyperlink" Target="https://techcombank.com/thong-tin/blog/cach-tinh-ty-gia-ky-han" TargetMode="External"/><Relationship Id="rId1955" Type="http://schemas.openxmlformats.org/officeDocument/2006/relationships/hyperlink" Target="https://techcombank.com/thong-tin/blog/lai-kep-ngan-hang" TargetMode="External"/><Relationship Id="rId1956" Type="http://schemas.openxmlformats.org/officeDocument/2006/relationships/hyperlink" Target="https://techcombank.com/thong-tin/blog/gui-tiet-kiem-lay-lai-hang-thang" TargetMode="External"/><Relationship Id="rId1957" Type="http://schemas.openxmlformats.org/officeDocument/2006/relationships/hyperlink" Target="https://techcombank.com/thong-tin/blog/gui-tiet-kiem-hang-thang" TargetMode="External"/><Relationship Id="rId1958" Type="http://schemas.openxmlformats.org/officeDocument/2006/relationships/hyperlink" Target="https://techcombank.com/thong-tin/blog/tien-gui-khong-ky-han" TargetMode="External"/><Relationship Id="rId1959" Type="http://schemas.openxmlformats.org/officeDocument/2006/relationships/hyperlink" Target="https://techcombank.com/thong-tin/blog/dao-han-la-gi" TargetMode="External"/><Relationship Id="rId1940" Type="http://schemas.openxmlformats.org/officeDocument/2006/relationships/hyperlink" Target="https://techcombank.com/thong-tin/blog/rui-ro-khi-gui-tiet-kiem-ngan-hang" TargetMode="External"/><Relationship Id="rId1941" Type="http://schemas.openxmlformats.org/officeDocument/2006/relationships/hyperlink" Target="https://techcombank.com/thong-tin/blog/gui-tiet-kiem-hang-thang" TargetMode="External"/><Relationship Id="rId1942" Type="http://schemas.openxmlformats.org/officeDocument/2006/relationships/hyperlink" Target="https://techcombank.com/thong-tin/blog/xu-huong-dau-tu-trai-phieu-ky-han-duoi-mot-nam-lua-chon-an-toan-khi-thi-truong-bien-dong" TargetMode="External"/><Relationship Id="rId1943" Type="http://schemas.openxmlformats.org/officeDocument/2006/relationships/hyperlink" Target="https://techcombank.com/thong-tin/blog/gui-tiet-kiem-online-bi-mat-tien" TargetMode="External"/><Relationship Id="rId1944" Type="http://schemas.openxmlformats.org/officeDocument/2006/relationships/hyperlink" Target="https://techcombank.com/thong-tin/blog/kinh-nghiem-gui-tiet-kiem-online" TargetMode="External"/><Relationship Id="rId1945" Type="http://schemas.openxmlformats.org/officeDocument/2006/relationships/hyperlink" Target="https://techcombank.com/thong-tin/blog/gui-tiet-kiem-online-co-rut-truoc-han-duoc-khong" TargetMode="External"/><Relationship Id="rId1946" Type="http://schemas.openxmlformats.org/officeDocument/2006/relationships/hyperlink" Target="https://techcombank.com/thong-tin/blog/gui-tiet-kiem-online-quay-vong-ca-goc-va-lai" TargetMode="External"/><Relationship Id="rId1947" Type="http://schemas.openxmlformats.org/officeDocument/2006/relationships/hyperlink" Target="https://techcombank.com/thong-tin/blog/chung-chi-tien-gui-khac-gi-so-tiet-kiem" TargetMode="External"/><Relationship Id="rId1948" Type="http://schemas.openxmlformats.org/officeDocument/2006/relationships/hyperlink" Target="https://techcombank.com/thong-tin/blog/chung-chi-tien-gui-co-duoc-rut-truoc-han" TargetMode="External"/><Relationship Id="rId1949" Type="http://schemas.openxmlformats.org/officeDocument/2006/relationships/hyperlink" Target="https://techcombank.com/thong-tin/blog/cach-tiet-kiem-tien-sinh-loi" TargetMode="External"/><Relationship Id="rId1576" Type="http://schemas.openxmlformats.org/officeDocument/2006/relationships/hyperlink" Target="https://techcombank.com/thong-tin/blog/hoan-thue-thu-nhap-ca-nhan" TargetMode="External"/><Relationship Id="rId2423" Type="http://schemas.openxmlformats.org/officeDocument/2006/relationships/hyperlink" Target="https://techcombank.com/thong-tin/blog/no-chu-y-la-gi" TargetMode="External"/><Relationship Id="rId1577" Type="http://schemas.openxmlformats.org/officeDocument/2006/relationships/hyperlink" Target="https://techcombank.com/thong-tin/blog/dang-ky-kinh-doanh-la-gi" TargetMode="External"/><Relationship Id="rId2424" Type="http://schemas.openxmlformats.org/officeDocument/2006/relationships/hyperlink" Target="https://techcombank.com/thong-tin/blog/kiem-tra-no-xau" TargetMode="External"/><Relationship Id="rId1578" Type="http://schemas.openxmlformats.org/officeDocument/2006/relationships/hyperlink" Target="https://techcombank.com/thong-tin/blog/thay-doi-dia-chi-ho-kinh-doanh" TargetMode="External"/><Relationship Id="rId2425" Type="http://schemas.openxmlformats.org/officeDocument/2006/relationships/hyperlink" Target="https://techcombank.com/thong-tin/blog/no-xau" TargetMode="External"/><Relationship Id="rId1579" Type="http://schemas.openxmlformats.org/officeDocument/2006/relationships/hyperlink" Target="https://techcombank.com/thong-tin/blog/cach-dang-ky-ma-so-thue-ho-kinh-doanh-online" TargetMode="External"/><Relationship Id="rId2426" Type="http://schemas.openxmlformats.org/officeDocument/2006/relationships/hyperlink" Target="https://techcombank.com/thong-tin/blog/vay-tin-chap-va-vay-the-chap" TargetMode="External"/><Relationship Id="rId2427" Type="http://schemas.openxmlformats.org/officeDocument/2006/relationships/hyperlink" Target="https://techcombank.com/thong-tin/blog/no-xau-la-gi" TargetMode="External"/><Relationship Id="rId2428" Type="http://schemas.openxmlformats.org/officeDocument/2006/relationships/hyperlink" Target="https://techcombank.com/thong-tin/blog/qua-han-thanh-toan-the-tin-dung-1-ngay" TargetMode="External"/><Relationship Id="rId2429" Type="http://schemas.openxmlformats.org/officeDocument/2006/relationships/hyperlink" Target="https://techcombank.com/thong-tin/blog/no-xau-co-lam-the-visa-duoc-khong" TargetMode="External"/><Relationship Id="rId509" Type="http://schemas.openxmlformats.org/officeDocument/2006/relationships/hyperlink" Target="https://techcombank.com/thong-tin/blog/cach-doi-mat-khau-tai-khoan-ngan-hang" TargetMode="External"/><Relationship Id="rId508" Type="http://schemas.openxmlformats.org/officeDocument/2006/relationships/hyperlink" Target="https://techcombank.com/thong-tin/blog/cach-nop-thue-dien-tu" TargetMode="External"/><Relationship Id="rId503" Type="http://schemas.openxmlformats.org/officeDocument/2006/relationships/hyperlink" Target="https://techcombank.com/thong-tin/blog/tra-cuu-no-thue-doanh-nghiep" TargetMode="External"/><Relationship Id="rId987" Type="http://schemas.openxmlformats.org/officeDocument/2006/relationships/hyperlink" Target="https://techcombank.com/thong-tin/blog/tai-khoan-doanh-nghiep-co-the-khong" TargetMode="External"/><Relationship Id="rId502" Type="http://schemas.openxmlformats.org/officeDocument/2006/relationships/hyperlink" Target="https://techcombank.com/thong-tin/blog/ho-kinh-doanh-dong-thue-nhu-nao" TargetMode="External"/><Relationship Id="rId986" Type="http://schemas.openxmlformats.org/officeDocument/2006/relationships/hyperlink" Target="https://techcombank.com/thong-tin/blog/the-tin-dung-het-han" TargetMode="External"/><Relationship Id="rId501" Type="http://schemas.openxmlformats.org/officeDocument/2006/relationships/hyperlink" Target="https://techcombank.com/thong-tin/blog/ke-khai-thue-ho-kinh-doanh-ca-the-online" TargetMode="External"/><Relationship Id="rId985" Type="http://schemas.openxmlformats.org/officeDocument/2006/relationships/hyperlink" Target="https://techcombank.com/thong-tin/blog/the-tin-dung-bi-khoa" TargetMode="External"/><Relationship Id="rId500" Type="http://schemas.openxmlformats.org/officeDocument/2006/relationships/hyperlink" Target="https://techcombank.com/thong-tin/blog/nhung-ho-kinh-doanh-duoc-mien-thue" TargetMode="External"/><Relationship Id="rId984" Type="http://schemas.openxmlformats.org/officeDocument/2006/relationships/hyperlink" Target="https://techcombank.com/thong-tin/blog/cach-khoa-the-ngan-hang" TargetMode="External"/><Relationship Id="rId507" Type="http://schemas.openxmlformats.org/officeDocument/2006/relationships/hyperlink" Target="https://techcombank.com/thong-tin/blog/nop-thue-dat-qua-ngan-hang" TargetMode="External"/><Relationship Id="rId506" Type="http://schemas.openxmlformats.org/officeDocument/2006/relationships/hyperlink" Target="https://techcombank.com/thong-tin/blog/thue-thu-nhap-ca-nhan" TargetMode="External"/><Relationship Id="rId505" Type="http://schemas.openxmlformats.org/officeDocument/2006/relationships/hyperlink" Target="https://techcombank.com/thong-tin/blog/cach-tinh-thue-thu-nhap-ca-nhan-2025" TargetMode="External"/><Relationship Id="rId989" Type="http://schemas.openxmlformats.org/officeDocument/2006/relationships/hyperlink" Target="https://techcombank.com/thong-tin/blog/uu-dai-the-tin-dung-techcombank-signature" TargetMode="External"/><Relationship Id="rId504" Type="http://schemas.openxmlformats.org/officeDocument/2006/relationships/hyperlink" Target="https://techcombank.com/thong-tin/blog/tien-chuyen-vao-tai-khoan-co-bi-tinh-thue-khong" TargetMode="External"/><Relationship Id="rId988" Type="http://schemas.openxmlformats.org/officeDocument/2006/relationships/hyperlink" Target="https://techcombank.com/thong-tin/blog/mm-yy-la-gi" TargetMode="External"/><Relationship Id="rId1570" Type="http://schemas.openxmlformats.org/officeDocument/2006/relationships/hyperlink" Target="https://techcombank.com/thong-tin/blog/thu-tuc-vay-von-kinh-doanh-nho" TargetMode="External"/><Relationship Id="rId1571" Type="http://schemas.openxmlformats.org/officeDocument/2006/relationships/hyperlink" Target="https://techcombank.com/thong-tin/blog/kiem-tra-thue-ho-kinh-doanh" TargetMode="External"/><Relationship Id="rId983" Type="http://schemas.openxmlformats.org/officeDocument/2006/relationships/hyperlink" Target="https://techcombank.com/thong-tin/blog/khong-su-dung-the-tin-dung-co-mat-phi-khong" TargetMode="External"/><Relationship Id="rId1572" Type="http://schemas.openxmlformats.org/officeDocument/2006/relationships/hyperlink" Target="https://techcombank.com/thong-tin/blog/cac-sai-lam-pho-bien-khi-chuyen-doi-ho-kinh-doanh-len-sme" TargetMode="External"/><Relationship Id="rId982" Type="http://schemas.openxmlformats.org/officeDocument/2006/relationships/hyperlink" Target="https://techcombank.com/thong-tin/blog/phi-thuong-nien-la-gi" TargetMode="External"/><Relationship Id="rId1573" Type="http://schemas.openxmlformats.org/officeDocument/2006/relationships/hyperlink" Target="https://techcombank.com/thong-tin/blog/giay-phep-kinh-doanh" TargetMode="External"/><Relationship Id="rId2420" Type="http://schemas.openxmlformats.org/officeDocument/2006/relationships/hyperlink" Target="https://techcombank.com/thong-tin/blog/vay-san-xuat-kinh-doanh" TargetMode="External"/><Relationship Id="rId981" Type="http://schemas.openxmlformats.org/officeDocument/2006/relationships/hyperlink" Target="https://techcombank.com/thong-tin/blog/tai-khoan-ngan-hang-la-gi" TargetMode="External"/><Relationship Id="rId1574" Type="http://schemas.openxmlformats.org/officeDocument/2006/relationships/hyperlink" Target="https://techcombank.com/thong-tin/blog/tra-cuu-no-thue-ca-nhan" TargetMode="External"/><Relationship Id="rId2421" Type="http://schemas.openxmlformats.org/officeDocument/2006/relationships/hyperlink" Target="https://techcombank.com/thong-tin/blog/tin-chap-doanh-nghiep" TargetMode="External"/><Relationship Id="rId980" Type="http://schemas.openxmlformats.org/officeDocument/2006/relationships/hyperlink" Target="https://techcombank.com/thong-tin/blog/sang-ngang-the-tin-dung" TargetMode="External"/><Relationship Id="rId1575" Type="http://schemas.openxmlformats.org/officeDocument/2006/relationships/hyperlink" Target="https://techcombank.com/thong-tin/blog/chuyen-doi-hoa-don-dien-tu" TargetMode="External"/><Relationship Id="rId2422" Type="http://schemas.openxmlformats.org/officeDocument/2006/relationships/hyperlink" Target="https://techcombank.com/thong-tin/blog/nen-vay-tin-chap-o-dau" TargetMode="External"/><Relationship Id="rId1565" Type="http://schemas.openxmlformats.org/officeDocument/2006/relationships/hyperlink" Target="https://techcombank.com/thong-tin/blog/nen-thanh-lap-ho-kinh-doanh-ke-khai-hay-doanh-nghiep" TargetMode="External"/><Relationship Id="rId2412" Type="http://schemas.openxmlformats.org/officeDocument/2006/relationships/hyperlink" Target="https://techcombank.com/thong-tin/blog/no-the-tin-dung-qua-han" TargetMode="External"/><Relationship Id="rId1566" Type="http://schemas.openxmlformats.org/officeDocument/2006/relationships/hyperlink" Target="https://techcombank.com/thong-tin/blog/due-diligence" TargetMode="External"/><Relationship Id="rId2413" Type="http://schemas.openxmlformats.org/officeDocument/2006/relationships/hyperlink" Target="https://techcombank.com/thong-tin/blog/vay-tin-chap-la-gi" TargetMode="External"/><Relationship Id="rId1567" Type="http://schemas.openxmlformats.org/officeDocument/2006/relationships/hyperlink" Target="https://techcombank.com/thong-tin/blog/vay-tin-chap-ho-kinh-doanh" TargetMode="External"/><Relationship Id="rId2414" Type="http://schemas.openxmlformats.org/officeDocument/2006/relationships/hyperlink" Target="https://techcombank.com/thong-tin/blog/tat-toan" TargetMode="External"/><Relationship Id="rId1568" Type="http://schemas.openxmlformats.org/officeDocument/2006/relationships/hyperlink" Target="https://techcombank.com/thong-tin/blog/tra-cuu-no-thue-ho-kinh-doanh" TargetMode="External"/><Relationship Id="rId2415" Type="http://schemas.openxmlformats.org/officeDocument/2006/relationships/hyperlink" Target="https://techcombank.com/thong-tin/blog/du-no-la-gi" TargetMode="External"/><Relationship Id="rId1569" Type="http://schemas.openxmlformats.org/officeDocument/2006/relationships/hyperlink" Target="https://techcombank.com/thong-tin/blog/lien-ket-tai-khoan-ngan-hang-voi-etax-mobile" TargetMode="External"/><Relationship Id="rId2416" Type="http://schemas.openxmlformats.org/officeDocument/2006/relationships/hyperlink" Target="https://techcombank.com/thong-tin/blog/vay-tin-chap-ho-kinh-doanh" TargetMode="External"/><Relationship Id="rId2417" Type="http://schemas.openxmlformats.org/officeDocument/2006/relationships/hyperlink" Target="https://techcombank.com/thong-tin/blog/vay-tin-chap-cho-doanh-nghiep-moi-thanh-lap" TargetMode="External"/><Relationship Id="rId2418" Type="http://schemas.openxmlformats.org/officeDocument/2006/relationships/hyperlink" Target="https://techcombank.com/thong-tin/blog/thu-tuc-vay-von-kinh-doanh-nho" TargetMode="External"/><Relationship Id="rId2419" Type="http://schemas.openxmlformats.org/officeDocument/2006/relationships/hyperlink" Target="https://techcombank.com/thong-tin/blog/cac-hinh-thuc-vay-von-ngan-hang" TargetMode="External"/><Relationship Id="rId976" Type="http://schemas.openxmlformats.org/officeDocument/2006/relationships/hyperlink" Target="https://techcombank.com/thong-tin/blog/uu-dai-mua-iphone-18" TargetMode="External"/><Relationship Id="rId975" Type="http://schemas.openxmlformats.org/officeDocument/2006/relationships/hyperlink" Target="https://techcombank.com/thong-tin/blog/the-ghi-no-visa-la-gi" TargetMode="External"/><Relationship Id="rId974" Type="http://schemas.openxmlformats.org/officeDocument/2006/relationships/hyperlink" Target="https://techcombank.com/thong-tin/blog/no-xau-nhom-2" TargetMode="External"/><Relationship Id="rId973" Type="http://schemas.openxmlformats.org/officeDocument/2006/relationships/hyperlink" Target="https://techcombank.com/thong-tin/blog/so-luong-the-tin-dung-noi-dia-dang-luu-hanh-da-tang-42-so-voi-cung-ky-nam-2022" TargetMode="External"/><Relationship Id="rId979" Type="http://schemas.openxmlformats.org/officeDocument/2006/relationships/hyperlink" Target="https://techcombank.com/thong-tin/blog/han-muc-tra-gop-the-tin-dung" TargetMode="External"/><Relationship Id="rId978" Type="http://schemas.openxmlformats.org/officeDocument/2006/relationships/hyperlink" Target="https://techcombank.com/thong-tin/blog/so-the-tin-dung" TargetMode="External"/><Relationship Id="rId977" Type="http://schemas.openxmlformats.org/officeDocument/2006/relationships/hyperlink" Target="https://techcombank.com/thong-tin/blog/khong-su-dung-the-tin-dung-co-mat-phi-khong" TargetMode="External"/><Relationship Id="rId1560" Type="http://schemas.openxmlformats.org/officeDocument/2006/relationships/hyperlink" Target="https://techcombank.com/thong-tin/blog/chuyen-doi-ho-kinh-doanh-len-doanh-nghiep" TargetMode="External"/><Relationship Id="rId972" Type="http://schemas.openxmlformats.org/officeDocument/2006/relationships/hyperlink" Target="https://techcombank.com/thong-tin/blog/rut-tien-mat-tu-the-tin-dung" TargetMode="External"/><Relationship Id="rId1561" Type="http://schemas.openxmlformats.org/officeDocument/2006/relationships/hyperlink" Target="https://techcombank.com/thong-tin/blog/thanh-toan-khong-dung-tien-mat" TargetMode="External"/><Relationship Id="rId971" Type="http://schemas.openxmlformats.org/officeDocument/2006/relationships/hyperlink" Target="https://techcombank.com/thong-tin/blog/the-tin-dung-phu-la-gi" TargetMode="External"/><Relationship Id="rId1562" Type="http://schemas.openxmlformats.org/officeDocument/2006/relationships/hyperlink" Target="https://techcombank.com/thong-tin/blog/mo-tai-khoan-ho-kinh-doanh" TargetMode="External"/><Relationship Id="rId970" Type="http://schemas.openxmlformats.org/officeDocument/2006/relationships/hyperlink" Target="https://techcombank.com/thong-tin/blog/the-tin-dung-vip" TargetMode="External"/><Relationship Id="rId1563" Type="http://schemas.openxmlformats.org/officeDocument/2006/relationships/hyperlink" Target="https://techcombank.com/thong-tin/blog/nhung-chi-phi-khong-duoc-tru-khi-tinh-thue-tndn" TargetMode="External"/><Relationship Id="rId2410" Type="http://schemas.openxmlformats.org/officeDocument/2006/relationships/hyperlink" Target="https://techcombank.com/thong-tin/blog/vay-the-chap-khong-tra-duoc" TargetMode="External"/><Relationship Id="rId1564" Type="http://schemas.openxmlformats.org/officeDocument/2006/relationships/hyperlink" Target="https://techcombank.com/thong-tin/blog/giai-dap-ve-thue-doanh-nghiep" TargetMode="External"/><Relationship Id="rId2411" Type="http://schemas.openxmlformats.org/officeDocument/2006/relationships/hyperlink" Target="https://techcombank.com/thong-tin/blog/lai-suat-qua-han" TargetMode="External"/><Relationship Id="rId1114" Type="http://schemas.openxmlformats.org/officeDocument/2006/relationships/hyperlink" Target="https://techcombank.com/thong-tin/blog/tra-cuu-han-muc-the-tin-dung" TargetMode="External"/><Relationship Id="rId1598" Type="http://schemas.openxmlformats.org/officeDocument/2006/relationships/hyperlink" Target="https://techcombank.com/thong-tin/blog/dong-ma-so-thue-ho-kinh-doanh" TargetMode="External"/><Relationship Id="rId2445" Type="http://schemas.openxmlformats.org/officeDocument/2006/relationships/hyperlink" Target="https://techcombank.com/thong-tin/blog/mua-chung-chi-quy" TargetMode="External"/><Relationship Id="rId1115" Type="http://schemas.openxmlformats.org/officeDocument/2006/relationships/hyperlink" Target="https://techcombank.com/thong-tin/blog/the-ghi-no-va-the-tin-dung" TargetMode="External"/><Relationship Id="rId1599" Type="http://schemas.openxmlformats.org/officeDocument/2006/relationships/hyperlink" Target="https://techcombank.com/thong-tin/blog/thue-doanh-nghiep" TargetMode="External"/><Relationship Id="rId2446" Type="http://schemas.openxmlformats.org/officeDocument/2006/relationships/hyperlink" Target="https://techcombank.com/thong-tin/blog/dau-tu-quy-mo" TargetMode="External"/><Relationship Id="rId1116" Type="http://schemas.openxmlformats.org/officeDocument/2006/relationships/hyperlink" Target="https://techcombank.com/thong-tin/blog/the-tin-dung-het-han" TargetMode="External"/><Relationship Id="rId2447" Type="http://schemas.openxmlformats.org/officeDocument/2006/relationships/hyperlink" Target="https://techcombank.com/thong-tin/blog/app-theo-doi-chung-chi-quy" TargetMode="External"/><Relationship Id="rId1117" Type="http://schemas.openxmlformats.org/officeDocument/2006/relationships/hyperlink" Target="https://techcombank.com/thong-tin/blog/cach-huy-the-tin-dung" TargetMode="External"/><Relationship Id="rId2448" Type="http://schemas.openxmlformats.org/officeDocument/2006/relationships/hyperlink" Target="https://techcombank.com/thong-tin/blog/chung-chi-quy-va-co-phieu" TargetMode="External"/><Relationship Id="rId1118" Type="http://schemas.openxmlformats.org/officeDocument/2006/relationships/hyperlink" Target="https://techcombank.com/thong-tin/blog/co-nen-dung-the-tin-dung-khong" TargetMode="External"/><Relationship Id="rId2449" Type="http://schemas.openxmlformats.org/officeDocument/2006/relationships/hyperlink" Target="https://techcombank.com/thong-tin/blog/wacc-la-gi" TargetMode="External"/><Relationship Id="rId1119" Type="http://schemas.openxmlformats.org/officeDocument/2006/relationships/hyperlink" Target="https://techcombank.com/thong-tin/blog/ma-buu-chinh-the-tin-dung" TargetMode="External"/><Relationship Id="rId525" Type="http://schemas.openxmlformats.org/officeDocument/2006/relationships/hyperlink" Target="https://techcombank.com/thong-tin/blog/cach-thanh-toan-the-tin-dung" TargetMode="External"/><Relationship Id="rId524" Type="http://schemas.openxmlformats.org/officeDocument/2006/relationships/hyperlink" Target="https://techcombank.com/thong-tin/blog/vay-ngan-hang-1-ty-moi-thang-tra-bao-nhieu" TargetMode="External"/><Relationship Id="rId523" Type="http://schemas.openxmlformats.org/officeDocument/2006/relationships/hyperlink" Target="https://techcombank.com/thong-tin/blog/ngan-hang-thu-huong-la-gi" TargetMode="External"/><Relationship Id="rId522" Type="http://schemas.openxmlformats.org/officeDocument/2006/relationships/hyperlink" Target="https://techcombank.com/thong-tin/blog/ma-otp-la-gi" TargetMode="External"/><Relationship Id="rId529" Type="http://schemas.openxmlformats.org/officeDocument/2006/relationships/hyperlink" Target="https://techcombank.com/thong-tin/blog/thanh-toan-tien-dien-bang-the-tin-dung" TargetMode="External"/><Relationship Id="rId528" Type="http://schemas.openxmlformats.org/officeDocument/2006/relationships/hyperlink" Target="https://techcombank.com/thong-tin/blog/cach-khoa-the-ngan-hang" TargetMode="External"/><Relationship Id="rId527" Type="http://schemas.openxmlformats.org/officeDocument/2006/relationships/hyperlink" Target="https://techcombank.com/thong-tin/blog/cach-nap-tien-vao-the-ghi-no" TargetMode="External"/><Relationship Id="rId526" Type="http://schemas.openxmlformats.org/officeDocument/2006/relationships/hyperlink" Target="https://techcombank.com/thong-tin/blog/cach-gui-tiet-kiem-online" TargetMode="External"/><Relationship Id="rId1590" Type="http://schemas.openxmlformats.org/officeDocument/2006/relationships/hyperlink" Target="https://techcombank.com/thong-tin/blog/ke-khai-thue-ho-kinh-doanh-ca-the-online" TargetMode="External"/><Relationship Id="rId1591" Type="http://schemas.openxmlformats.org/officeDocument/2006/relationships/hyperlink" Target="https://techcombank.com/thong-tin/blog/vay-the-chap-kinh-doanh" TargetMode="External"/><Relationship Id="rId1592" Type="http://schemas.openxmlformats.org/officeDocument/2006/relationships/hyperlink" Target="https://techcombank.com/thong-tin/blog/thue-thuong-mai-dien-tu" TargetMode="External"/><Relationship Id="rId1593" Type="http://schemas.openxmlformats.org/officeDocument/2006/relationships/hyperlink" Target="https://techcombank.com/thong-tin/blog/hieu-hiet-ve-tuan-thu-thue-cho-cac-doanh-nghiep-khoi-nghiep" TargetMode="External"/><Relationship Id="rId2440" Type="http://schemas.openxmlformats.org/officeDocument/2006/relationships/hyperlink" Target="https://techcombank.com/thong-tin/blog/no-xau-nhom-2" TargetMode="External"/><Relationship Id="rId521" Type="http://schemas.openxmlformats.org/officeDocument/2006/relationships/hyperlink" Target="https://techcombank.com/thong-tin/blog/lo-ma-qr-ngan-hang-co-sao-khong" TargetMode="External"/><Relationship Id="rId1110" Type="http://schemas.openxmlformats.org/officeDocument/2006/relationships/hyperlink" Target="https://techcombank.com/thong-tin/blog/cach-lam-the-ngan-hang-chay-quang-cao-facebook" TargetMode="External"/><Relationship Id="rId1594" Type="http://schemas.openxmlformats.org/officeDocument/2006/relationships/hyperlink" Target="https://techcombank.com/thong-tin/blog/khai-bao-tai-khoan-ngan-hang-voi-co-quan-thue" TargetMode="External"/><Relationship Id="rId2441" Type="http://schemas.openxmlformats.org/officeDocument/2006/relationships/hyperlink" Target="https://techcombank.com/thong-tin/blog/lai-suat-vay-tin-chap" TargetMode="External"/><Relationship Id="rId520" Type="http://schemas.openxmlformats.org/officeDocument/2006/relationships/hyperlink" Target="https://techcombank.com/thong-tin/blog/lo-so-tai-khoan-ngan-hang-co-sao-khong" TargetMode="External"/><Relationship Id="rId1111" Type="http://schemas.openxmlformats.org/officeDocument/2006/relationships/hyperlink" Target="https://techcombank.com/thong-tin/blog/mua-iphone-17" TargetMode="External"/><Relationship Id="rId1595" Type="http://schemas.openxmlformats.org/officeDocument/2006/relationships/hyperlink" Target="https://techcombank.com/thong-tin/blog/loi-nhuan" TargetMode="External"/><Relationship Id="rId2442" Type="http://schemas.openxmlformats.org/officeDocument/2006/relationships/hyperlink" Target="https://techcombank.com/thong-tin/blog/vay-tra-gop" TargetMode="External"/><Relationship Id="rId1112" Type="http://schemas.openxmlformats.org/officeDocument/2006/relationships/hyperlink" Target="https://techcombank.com/thong-tin/blog/the-visa-co-can-mat-khau-khong" TargetMode="External"/><Relationship Id="rId1596" Type="http://schemas.openxmlformats.org/officeDocument/2006/relationships/hyperlink" Target="https://techcombank.com/thong-tin/blog/hoa-don-dien-tu-ho-kinh-doanh" TargetMode="External"/><Relationship Id="rId2443" Type="http://schemas.openxmlformats.org/officeDocument/2006/relationships/hyperlink" Target="https://techcombank.com/thong-tin/blog/vay-20-trieu" TargetMode="External"/><Relationship Id="rId1113" Type="http://schemas.openxmlformats.org/officeDocument/2006/relationships/hyperlink" Target="https://techcombank.com/thong-tin/blog/mua-truoc-tra-sau" TargetMode="External"/><Relationship Id="rId1597" Type="http://schemas.openxmlformats.org/officeDocument/2006/relationships/hyperlink" Target="https://techcombank.com/thong-tin/blog/chuan-bi-cho-doanh-nghiep-khoi-nghiep-truoc-nhung-thay-doi-ve-thue" TargetMode="External"/><Relationship Id="rId2444" Type="http://schemas.openxmlformats.org/officeDocument/2006/relationships/hyperlink" Target="https://techcombank.com/thong-tin/blog/chung-chi-quy" TargetMode="External"/><Relationship Id="rId1103" Type="http://schemas.openxmlformats.org/officeDocument/2006/relationships/hyperlink" Target="https://techcombank.com/thong-tin/blog/uu-dai-the-tin-dung-techcombank-signature" TargetMode="External"/><Relationship Id="rId1587" Type="http://schemas.openxmlformats.org/officeDocument/2006/relationships/hyperlink" Target="https://techcombank.com/thong-tin/blog/chinh-sach-thue-moi" TargetMode="External"/><Relationship Id="rId2434" Type="http://schemas.openxmlformats.org/officeDocument/2006/relationships/hyperlink" Target="https://techcombank.com/thong-tin/blog/vay-200-trieu" TargetMode="External"/><Relationship Id="rId1104" Type="http://schemas.openxmlformats.org/officeDocument/2006/relationships/hyperlink" Target="https://techcombank.com/thong-tin/blog/cac-loai-the-tin-dung" TargetMode="External"/><Relationship Id="rId1588" Type="http://schemas.openxmlformats.org/officeDocument/2006/relationships/hyperlink" Target="https://techcombank.com/thong-tin/blog/hoa-don-dien-tu" TargetMode="External"/><Relationship Id="rId2435" Type="http://schemas.openxmlformats.org/officeDocument/2006/relationships/hyperlink" Target="https://techcombank.com/thong-tin/blog/the-tin-dung-bi-khoa" TargetMode="External"/><Relationship Id="rId1105" Type="http://schemas.openxmlformats.org/officeDocument/2006/relationships/hyperlink" Target="https://techcombank.com/thong-tin/blog/the-tin-dung-mien-phi-thuong-nien" TargetMode="External"/><Relationship Id="rId1589" Type="http://schemas.openxmlformats.org/officeDocument/2006/relationships/hyperlink" Target="https://techcombank.com/thong-tin/blog/luat-thuong-mai-dien-tu" TargetMode="External"/><Relationship Id="rId2436" Type="http://schemas.openxmlformats.org/officeDocument/2006/relationships/hyperlink" Target="https://techcombank.com/thong-tin/blog/no-xau-mo-the-tin-dung-duoc-khong" TargetMode="External"/><Relationship Id="rId1106" Type="http://schemas.openxmlformats.org/officeDocument/2006/relationships/hyperlink" Target="https://techcombank.com/thong-tin/blog/uu-dai-mua-ve-may-bay-bang-the-tin-dung" TargetMode="External"/><Relationship Id="rId2437" Type="http://schemas.openxmlformats.org/officeDocument/2006/relationships/hyperlink" Target="https://techcombank.com/thong-tin/blog/no-xau-co-vay-the-chap-duoc-khong" TargetMode="External"/><Relationship Id="rId1107" Type="http://schemas.openxmlformats.org/officeDocument/2006/relationships/hyperlink" Target="https://techcombank.com/thong-tin/blog/mat-the-tin-dung-co-bi-mat-tien-khong" TargetMode="External"/><Relationship Id="rId2438" Type="http://schemas.openxmlformats.org/officeDocument/2006/relationships/hyperlink" Target="https://techcombank.com/thong-tin/blog/vay-tin-chap-no-xau" TargetMode="External"/><Relationship Id="rId1108" Type="http://schemas.openxmlformats.org/officeDocument/2006/relationships/hyperlink" Target="https://techcombank.com/thong-tin/blog/so-cvv-la-gi" TargetMode="External"/><Relationship Id="rId2439" Type="http://schemas.openxmlformats.org/officeDocument/2006/relationships/hyperlink" Target="https://techcombank.com/thong-tin/blog/cac-hinh-thuc-cho-vay-tieu-dung" TargetMode="External"/><Relationship Id="rId1109" Type="http://schemas.openxmlformats.org/officeDocument/2006/relationships/hyperlink" Target="https://techcombank.com/thong-tin/blog/the-tin-dung-nao-nhieu-uu-dai-nhat" TargetMode="External"/><Relationship Id="rId519" Type="http://schemas.openxmlformats.org/officeDocument/2006/relationships/hyperlink" Target="https://techcombank.com/thong-tin/blog/the-visa-co-can-mat-khau-khong" TargetMode="External"/><Relationship Id="rId514" Type="http://schemas.openxmlformats.org/officeDocument/2006/relationships/hyperlink" Target="https://techcombank.com/thong-tin/blog/gui-ma-qr-ngan-hang" TargetMode="External"/><Relationship Id="rId998" Type="http://schemas.openxmlformats.org/officeDocument/2006/relationships/hyperlink" Target="https://techcombank.com/thong-tin/blog/the-visa-co-can-mat-khau-khong" TargetMode="External"/><Relationship Id="rId513" Type="http://schemas.openxmlformats.org/officeDocument/2006/relationships/hyperlink" Target="https://techcombank.com/thong-tin/blog/mat-so-dien-thoai-dang-ky-tai-khoan-ngan-hang" TargetMode="External"/><Relationship Id="rId997" Type="http://schemas.openxmlformats.org/officeDocument/2006/relationships/hyperlink" Target="https://techcombank.com/thong-tin/blog/mua-iphone-17" TargetMode="External"/><Relationship Id="rId512" Type="http://schemas.openxmlformats.org/officeDocument/2006/relationships/hyperlink" Target="https://techcombank.com/thong-tin/blog/smart-otp-la-gi" TargetMode="External"/><Relationship Id="rId996" Type="http://schemas.openxmlformats.org/officeDocument/2006/relationships/hyperlink" Target="https://techcombank.com/thong-tin/blog/cach-lam-the-ngan-hang-chay-quang-cao-facebook" TargetMode="External"/><Relationship Id="rId511" Type="http://schemas.openxmlformats.org/officeDocument/2006/relationships/hyperlink" Target="https://techcombank.com/thong-tin/blog/cach-bao-ve-tai-khoan" TargetMode="External"/><Relationship Id="rId995" Type="http://schemas.openxmlformats.org/officeDocument/2006/relationships/hyperlink" Target="https://techcombank.com/thong-tin/blog/the-tin-dung-nao-nhieu-uu-dai-nhat" TargetMode="External"/><Relationship Id="rId518" Type="http://schemas.openxmlformats.org/officeDocument/2006/relationships/hyperlink" Target="https://techcombank.com/thong-tin/blog/cach-lam-the-atm" TargetMode="External"/><Relationship Id="rId517" Type="http://schemas.openxmlformats.org/officeDocument/2006/relationships/hyperlink" Target="https://techcombank.com/thong-tin/blog/thanh-toan-ve-may-bay-online" TargetMode="External"/><Relationship Id="rId516" Type="http://schemas.openxmlformats.org/officeDocument/2006/relationships/hyperlink" Target="https://techcombank.com/thong-tin/blog/cach-kiem-tra-tai-khoan-ngan-hang-cua-cong-ty" TargetMode="External"/><Relationship Id="rId515" Type="http://schemas.openxmlformats.org/officeDocument/2006/relationships/hyperlink" Target="https://techcombank.com/thong-tin/blog/so-du-kha-dung" TargetMode="External"/><Relationship Id="rId999" Type="http://schemas.openxmlformats.org/officeDocument/2006/relationships/hyperlink" Target="https://techcombank.com/thong-tin/blog/mua-truoc-tra-sau" TargetMode="External"/><Relationship Id="rId990" Type="http://schemas.openxmlformats.org/officeDocument/2006/relationships/hyperlink" Target="https://techcombank.com/thong-tin/blog/cac-loai-the-tin-dung" TargetMode="External"/><Relationship Id="rId1580" Type="http://schemas.openxmlformats.org/officeDocument/2006/relationships/hyperlink" Target="https://techcombank.com/thong-tin/blog/luu-y-khi-chuyen-doi-tu-ho-kinh-doanh-len-doanh-nghiep" TargetMode="External"/><Relationship Id="rId1581" Type="http://schemas.openxmlformats.org/officeDocument/2006/relationships/hyperlink" Target="https://techcombank.com/thong-tin/blog/cach-kiem-tra-tai-khoan-ngan-hang-cua-cong-ty" TargetMode="External"/><Relationship Id="rId1582" Type="http://schemas.openxmlformats.org/officeDocument/2006/relationships/hyperlink" Target="https://techcombank.com/thong-tin/blog/kiem-tra-ma-so-thue-doanh-nghiep" TargetMode="External"/><Relationship Id="rId510" Type="http://schemas.openxmlformats.org/officeDocument/2006/relationships/hyperlink" Target="https://techcombank.com/thong-tin/blog/internet-banking" TargetMode="External"/><Relationship Id="rId994" Type="http://schemas.openxmlformats.org/officeDocument/2006/relationships/hyperlink" Target="https://techcombank.com/thong-tin/blog/so-cvv-la-gi" TargetMode="External"/><Relationship Id="rId1583" Type="http://schemas.openxmlformats.org/officeDocument/2006/relationships/hyperlink" Target="https://techcombank.com/thong-tin/blog/barcode-la-gi" TargetMode="External"/><Relationship Id="rId2430" Type="http://schemas.openxmlformats.org/officeDocument/2006/relationships/hyperlink" Target="https://techcombank.com/thong-tin/blog/ho-so-vay-tin-chap" TargetMode="External"/><Relationship Id="rId993" Type="http://schemas.openxmlformats.org/officeDocument/2006/relationships/hyperlink" Target="https://techcombank.com/thong-tin/blog/mat-the-tin-dung-co-bi-mat-tien-khong" TargetMode="External"/><Relationship Id="rId1100" Type="http://schemas.openxmlformats.org/officeDocument/2006/relationships/hyperlink" Target="https://techcombank.com/thong-tin/blog/tai-khoan-doanh-nghiep-co-the-khong" TargetMode="External"/><Relationship Id="rId1584" Type="http://schemas.openxmlformats.org/officeDocument/2006/relationships/hyperlink" Target="https://techcombank.com/thong-tin/blog/tra-cuu-ma-so-thue-ho-kinh-doanh" TargetMode="External"/><Relationship Id="rId2431" Type="http://schemas.openxmlformats.org/officeDocument/2006/relationships/hyperlink" Target="https://techcombank.com/thong-tin/blog/thanh-toan-toi-thieu-the-tin-dung" TargetMode="External"/><Relationship Id="rId992" Type="http://schemas.openxmlformats.org/officeDocument/2006/relationships/hyperlink" Target="https://techcombank.com/thong-tin/blog/uu-dai-mua-ve-may-bay-bang-the-tin-dung" TargetMode="External"/><Relationship Id="rId1101" Type="http://schemas.openxmlformats.org/officeDocument/2006/relationships/hyperlink" Target="https://techcombank.com/thong-tin/blog/mm-yy-la-gi" TargetMode="External"/><Relationship Id="rId1585" Type="http://schemas.openxmlformats.org/officeDocument/2006/relationships/hyperlink" Target="https://techcombank.com/thong-tin/blog/dang-ky-thue-ho-kinh-doanh-ca-the-online" TargetMode="External"/><Relationship Id="rId2432" Type="http://schemas.openxmlformats.org/officeDocument/2006/relationships/hyperlink" Target="https://techcombank.com/thong-tin/blog/no-nhom-3" TargetMode="External"/><Relationship Id="rId991" Type="http://schemas.openxmlformats.org/officeDocument/2006/relationships/hyperlink" Target="https://techcombank.com/thong-tin/blog/the-tin-dung-mien-phi-thuong-nien" TargetMode="External"/><Relationship Id="rId1102" Type="http://schemas.openxmlformats.org/officeDocument/2006/relationships/hyperlink" Target="https://techcombank.com/thong-tin/blog/sao-ke-tai-khoan-doanh-nghiep" TargetMode="External"/><Relationship Id="rId1586" Type="http://schemas.openxmlformats.org/officeDocument/2006/relationships/hyperlink" Target="https://techcombank.com/thong-tin/blog/chuyen-doi-so-ho-kinh-doanh" TargetMode="External"/><Relationship Id="rId2433" Type="http://schemas.openxmlformats.org/officeDocument/2006/relationships/hyperlink" Target="https://techcombank.com/thong-tin/blog/vay-tin-chap-toi-da-duoc-bao-nhieu" TargetMode="External"/><Relationship Id="rId1532" Type="http://schemas.openxmlformats.org/officeDocument/2006/relationships/hyperlink" Target="https://techcombank.com/thong-tin/blog/chuong-trinh-khach-hang-than-thiet" TargetMode="External"/><Relationship Id="rId1533" Type="http://schemas.openxmlformats.org/officeDocument/2006/relationships/hyperlink" Target="https://techcombank.com/thong-tin/blog/di-du-lich-nuoc-ngoai-can-chuan-bi-gi" TargetMode="External"/><Relationship Id="rId1534" Type="http://schemas.openxmlformats.org/officeDocument/2006/relationships/hyperlink" Target="https://techcombank.com/thong-tin/blog/thanh-toan-khi-du-lich-han-quoc" TargetMode="External"/><Relationship Id="rId1535" Type="http://schemas.openxmlformats.org/officeDocument/2006/relationships/hyperlink" Target="https://techcombank.com/thong-tin/blog/thanh-toan-khi-du-lich-nhat-ban" TargetMode="External"/><Relationship Id="rId1536" Type="http://schemas.openxmlformats.org/officeDocument/2006/relationships/hyperlink" Target="https://techcombank.com/thong-tin/blog/thanh-toan-khi-du-lich-hong-kong" TargetMode="External"/><Relationship Id="rId1537" Type="http://schemas.openxmlformats.org/officeDocument/2006/relationships/hyperlink" Target="https://techcombank.com/thong-tin/blog/thanh-toan-khi-du-lich-trung-quoc" TargetMode="External"/><Relationship Id="rId1538" Type="http://schemas.openxmlformats.org/officeDocument/2006/relationships/hyperlink" Target="https://techcombank.com/thong-tin/blog/thanh-toan-khi-du-lich-thai-lan" TargetMode="External"/><Relationship Id="rId1539" Type="http://schemas.openxmlformats.org/officeDocument/2006/relationships/hyperlink" Target="https://techcombank.com/thong-tin/blog/thanh-toan-khi-du-lich-singapore" TargetMode="External"/><Relationship Id="rId949" Type="http://schemas.openxmlformats.org/officeDocument/2006/relationships/hyperlink" Target="https://techcombank.com/thong-tin/blog/lam-the-tin-dung" TargetMode="External"/><Relationship Id="rId948" Type="http://schemas.openxmlformats.org/officeDocument/2006/relationships/hyperlink" Target="https://techcombank.com/thong-tin/blog/tra-gop-lazada" TargetMode="External"/><Relationship Id="rId943" Type="http://schemas.openxmlformats.org/officeDocument/2006/relationships/hyperlink" Target="https://techcombank.com/thong-tin/blog/mo-the-tin-dung-co-loi-ich-gi" TargetMode="External"/><Relationship Id="rId942" Type="http://schemas.openxmlformats.org/officeDocument/2006/relationships/hyperlink" Target="https://techcombank.com/thong-tin/blog/lai-suat-the-tin-dung" TargetMode="External"/><Relationship Id="rId941" Type="http://schemas.openxmlformats.org/officeDocument/2006/relationships/hyperlink" Target="https://techcombank.com/thong-tin/blog/3d-secure" TargetMode="External"/><Relationship Id="rId940" Type="http://schemas.openxmlformats.org/officeDocument/2006/relationships/hyperlink" Target="https://techcombank.com/thong-tin/blog/uu-dai-the-tin-dung" TargetMode="External"/><Relationship Id="rId947" Type="http://schemas.openxmlformats.org/officeDocument/2006/relationships/hyperlink" Target="https://techcombank.com/thong-tin/blog/thanh-toan-tra-gop-qua-the-tin-dung" TargetMode="External"/><Relationship Id="rId946" Type="http://schemas.openxmlformats.org/officeDocument/2006/relationships/hyperlink" Target="https://techcombank.com/thong-tin/blog/tra-gop-shopee" TargetMode="External"/><Relationship Id="rId945" Type="http://schemas.openxmlformats.org/officeDocument/2006/relationships/hyperlink" Target="https://techcombank.com/thong-tin/blog/thanh-toan-toi-thieu-the-tin-dung" TargetMode="External"/><Relationship Id="rId944" Type="http://schemas.openxmlformats.org/officeDocument/2006/relationships/hyperlink" Target="https://techcombank.com/thong-tin/blog/the-tin-dung-ao" TargetMode="External"/><Relationship Id="rId1530" Type="http://schemas.openxmlformats.org/officeDocument/2006/relationships/hyperlink" Target="https://techcombank.com/thong-tin/blog/thanh-toan-bang-the-quoc-te" TargetMode="External"/><Relationship Id="rId1531" Type="http://schemas.openxmlformats.org/officeDocument/2006/relationships/hyperlink" Target="https://techcombank.com/thong-tin/blog/han-muc-mua-ngoai-te-khi-di-du-lich" TargetMode="External"/><Relationship Id="rId1521" Type="http://schemas.openxmlformats.org/officeDocument/2006/relationships/hyperlink" Target="https://techcombank.com/thong-tin/blog/voucher-the-pizza-company" TargetMode="External"/><Relationship Id="rId1522" Type="http://schemas.openxmlformats.org/officeDocument/2006/relationships/hyperlink" Target="https://techcombank.com/thong-tin/blog/ma-giam-gia-phela" TargetMode="External"/><Relationship Id="rId1523" Type="http://schemas.openxmlformats.org/officeDocument/2006/relationships/hyperlink" Target="https://techcombank.com/thong-tin/blog/voucher-golden-gate" TargetMode="External"/><Relationship Id="rId1524" Type="http://schemas.openxmlformats.org/officeDocument/2006/relationships/hyperlink" Target="https://techcombank.com/thong-tin/blog/voucher-coopmart" TargetMode="External"/><Relationship Id="rId1525" Type="http://schemas.openxmlformats.org/officeDocument/2006/relationships/hyperlink" Target="https://techcombank.com/thong-tin/blog/the-tin-dung-vip" TargetMode="External"/><Relationship Id="rId1526" Type="http://schemas.openxmlformats.org/officeDocument/2006/relationships/hyperlink" Target="https://techcombank.com/thong-tin/blog/ma-giam-gia-al-frescos" TargetMode="External"/><Relationship Id="rId1527" Type="http://schemas.openxmlformats.org/officeDocument/2006/relationships/hyperlink" Target="https://techcombank.com/thong-tin/blog/voucher-katinat" TargetMode="External"/><Relationship Id="rId1528" Type="http://schemas.openxmlformats.org/officeDocument/2006/relationships/hyperlink" Target="https://techcombank.com/thong-tin/blog/oneu" TargetMode="External"/><Relationship Id="rId1529" Type="http://schemas.openxmlformats.org/officeDocument/2006/relationships/hyperlink" Target="https://techcombank.com/thong-tin/blog/cach-huy-thanh-toan-tien-dien" TargetMode="External"/><Relationship Id="rId939" Type="http://schemas.openxmlformats.org/officeDocument/2006/relationships/hyperlink" Target="https://techcombank.com/thong-tin/blog/mo-the-tin-dung-han-muc-cao" TargetMode="External"/><Relationship Id="rId938" Type="http://schemas.openxmlformats.org/officeDocument/2006/relationships/hyperlink" Target="https://techcombank.com/thong-tin/blog/the-tin-dung-techcombank-visa-eco" TargetMode="External"/><Relationship Id="rId937" Type="http://schemas.openxmlformats.org/officeDocument/2006/relationships/hyperlink" Target="https://techcombank.com/thong-tin/blog/the-tin-dung-co-chuyen-khoan-duoc-khong" TargetMode="External"/><Relationship Id="rId932" Type="http://schemas.openxmlformats.org/officeDocument/2006/relationships/hyperlink" Target="https://techcombank.com/thong-tin/blog/vay-ngan-hang-1-ty-moi-thang-tra-bao-nhieu" TargetMode="External"/><Relationship Id="rId931" Type="http://schemas.openxmlformats.org/officeDocument/2006/relationships/hyperlink" Target="https://techcombank.com/thong-tin/blog/tiet-kiem-khi-di-du-lich" TargetMode="External"/><Relationship Id="rId930" Type="http://schemas.openxmlformats.org/officeDocument/2006/relationships/hyperlink" Target="https://techcombank.com/thong-tin/blog/phi-rut-tien-mat-the-tin-dung" TargetMode="External"/><Relationship Id="rId936" Type="http://schemas.openxmlformats.org/officeDocument/2006/relationships/hyperlink" Target="https://techcombank.com/thong-tin/blog/thanh-toan-online-bang-the-tin-dung" TargetMode="External"/><Relationship Id="rId935" Type="http://schemas.openxmlformats.org/officeDocument/2006/relationships/hyperlink" Target="https://techcombank.com/thong-tin/blog/dao-han-the-tin-dung" TargetMode="External"/><Relationship Id="rId934" Type="http://schemas.openxmlformats.org/officeDocument/2006/relationships/hyperlink" Target="https://techcombank.com/thong-tin/blog/the-tin-dung-den" TargetMode="External"/><Relationship Id="rId933" Type="http://schemas.openxmlformats.org/officeDocument/2006/relationships/hyperlink" Target="https://techcombank.com/thong-tin/blog/cach-thanh-toan-the-tin-dung" TargetMode="External"/><Relationship Id="rId1520" Type="http://schemas.openxmlformats.org/officeDocument/2006/relationships/hyperlink" Target="https://techcombank.com/thong-tin/blog/voucher-jollibee" TargetMode="External"/><Relationship Id="rId1554" Type="http://schemas.openxmlformats.org/officeDocument/2006/relationships/hyperlink" Target="https://techcombank.com/thong-tin/blog/quyet-toan-thue-thu-nhap-ca-nhan" TargetMode="External"/><Relationship Id="rId2401" Type="http://schemas.openxmlformats.org/officeDocument/2006/relationships/hyperlink" Target="https://techcombank.com/thong-tin/blog/qua-han-thanh-toan-the-tin-dung-1-ngay" TargetMode="External"/><Relationship Id="rId1555" Type="http://schemas.openxmlformats.org/officeDocument/2006/relationships/hyperlink" Target="https://techcombank.com/thong-tin/blog/cach-tinh-thue-thu-nhap-doanh-nghiep" TargetMode="External"/><Relationship Id="rId2402" Type="http://schemas.openxmlformats.org/officeDocument/2006/relationships/hyperlink" Target="https://techcombank.com/thong-tin/blog/no-xau-co-lam-the-visa-duoc-khong" TargetMode="External"/><Relationship Id="rId1556" Type="http://schemas.openxmlformats.org/officeDocument/2006/relationships/hyperlink" Target="https://techcombank.com/thong-tin/blog/lai-suat-vay-kinh-doanh" TargetMode="External"/><Relationship Id="rId2403" Type="http://schemas.openxmlformats.org/officeDocument/2006/relationships/hyperlink" Target="https://techcombank.com/thong-tin/blog/thanh-toan-toi-thieu-the-tin-dung" TargetMode="External"/><Relationship Id="rId1557" Type="http://schemas.openxmlformats.org/officeDocument/2006/relationships/hyperlink" Target="https://techcombank.com/thong-tin/blog/khoi-nghiep-truoc-chinh-sach-thue-moi" TargetMode="External"/><Relationship Id="rId2404" Type="http://schemas.openxmlformats.org/officeDocument/2006/relationships/hyperlink" Target="https://techcombank.com/thong-tin/blog/the-tin-dung-bi-khoa" TargetMode="External"/><Relationship Id="rId1558" Type="http://schemas.openxmlformats.org/officeDocument/2006/relationships/hyperlink" Target="https://techcombank.com/thong-tin/blog/cach-tra-cuu-hoa-don-dien-tu" TargetMode="External"/><Relationship Id="rId2405" Type="http://schemas.openxmlformats.org/officeDocument/2006/relationships/hyperlink" Target="https://techcombank.com/thong-tin/blog/no-xau-mo-the-tin-dung-duoc-khong" TargetMode="External"/><Relationship Id="rId1559" Type="http://schemas.openxmlformats.org/officeDocument/2006/relationships/hyperlink" Target="https://techcombank.com/thong-tin/blog/tra-cuu-no-thue-hai-quan" TargetMode="External"/><Relationship Id="rId2406" Type="http://schemas.openxmlformats.org/officeDocument/2006/relationships/hyperlink" Target="https://techcombank.com/thong-tin/blog/no-xau-co-vay-the-chap-duoc-khong" TargetMode="External"/><Relationship Id="rId2407" Type="http://schemas.openxmlformats.org/officeDocument/2006/relationships/hyperlink" Target="https://techcombank.com/thong-tin/blog/vay-tin-chap-no-xau" TargetMode="External"/><Relationship Id="rId2408" Type="http://schemas.openxmlformats.org/officeDocument/2006/relationships/hyperlink" Target="https://techcombank.com/thong-tin/blog/lai-suat-qua-han" TargetMode="External"/><Relationship Id="rId2409" Type="http://schemas.openxmlformats.org/officeDocument/2006/relationships/hyperlink" Target="https://techcombank.com/thong-tin/blog/no-xau-nhom-2" TargetMode="External"/><Relationship Id="rId965" Type="http://schemas.openxmlformats.org/officeDocument/2006/relationships/hyperlink" Target="https://techcombank.com/thong-tin/blog/mo-the-tin-dung-chi-can-cccd" TargetMode="External"/><Relationship Id="rId964" Type="http://schemas.openxmlformats.org/officeDocument/2006/relationships/hyperlink" Target="https://techcombank.com/thong-tin/blog/no-the-tin-dung-qua-han" TargetMode="External"/><Relationship Id="rId963" Type="http://schemas.openxmlformats.org/officeDocument/2006/relationships/hyperlink" Target="https://techcombank.com/thong-tin/blog/no-xau-mo-the-tin-dung-duoc-khong" TargetMode="External"/><Relationship Id="rId962" Type="http://schemas.openxmlformats.org/officeDocument/2006/relationships/hyperlink" Target="https://techcombank.com/thong-tin/blog/the-tin-dung-bi-khoa" TargetMode="External"/><Relationship Id="rId969" Type="http://schemas.openxmlformats.org/officeDocument/2006/relationships/hyperlink" Target="https://techcombank.com/thong-tin/blog/mo-the-tin-dung-khong-can-chung-minh-thu-nhap" TargetMode="External"/><Relationship Id="rId968" Type="http://schemas.openxmlformats.org/officeDocument/2006/relationships/hyperlink" Target="https://techcombank.com/thong-tin/blog/mat-the-tin-dung-co-lam-lai-duoc-khong" TargetMode="External"/><Relationship Id="rId967" Type="http://schemas.openxmlformats.org/officeDocument/2006/relationships/hyperlink" Target="https://techcombank.com/thong-tin/blog/thoi-gian-hoan-tien-the-tin-dung" TargetMode="External"/><Relationship Id="rId966" Type="http://schemas.openxmlformats.org/officeDocument/2006/relationships/hyperlink" Target="https://techcombank.com/thong-tin/blog/luu-y-khi-su-dung-the-tin-dung" TargetMode="External"/><Relationship Id="rId961" Type="http://schemas.openxmlformats.org/officeDocument/2006/relationships/hyperlink" Target="https://techcombank.com/thong-tin/blog/kich-hoat-the-tin-dung-techcombank" TargetMode="External"/><Relationship Id="rId1550" Type="http://schemas.openxmlformats.org/officeDocument/2006/relationships/hyperlink" Target="https://techcombank.com/thong-tin/blog/cach-tao-ma-qr" TargetMode="External"/><Relationship Id="rId960" Type="http://schemas.openxmlformats.org/officeDocument/2006/relationships/hyperlink" Target="https://techcombank.com/thong-tin/blog/lam-the-tin-dung-co-mat-phi-khong" TargetMode="External"/><Relationship Id="rId1551" Type="http://schemas.openxmlformats.org/officeDocument/2006/relationships/hyperlink" Target="https://techcombank.com/thong-tin/blog/cach-tinh-thue-ho-kinh-doanh-nho-le" TargetMode="External"/><Relationship Id="rId1552" Type="http://schemas.openxmlformats.org/officeDocument/2006/relationships/hyperlink" Target="https://techcombank.com/thong-tin/blog/loi-ich-khi-ho-kinh-doanh-chuyen-len-doanh-nghiep" TargetMode="External"/><Relationship Id="rId1553" Type="http://schemas.openxmlformats.org/officeDocument/2006/relationships/hyperlink" Target="https://techcombank.com/thong-tin/blog/tiem-nang-chuyen-doi-tu-ho-kinh-doanh-len-doanh-nghiep-sme" TargetMode="External"/><Relationship Id="rId2400" Type="http://schemas.openxmlformats.org/officeDocument/2006/relationships/hyperlink" Target="https://techcombank.com/thong-tin/blog/kiem-tra-no-xau" TargetMode="External"/><Relationship Id="rId1543" Type="http://schemas.openxmlformats.org/officeDocument/2006/relationships/hyperlink" Target="https://techcombank.com/thong-tin/blog/thue-khoan-ho-kinh-doanh-la-gi" TargetMode="External"/><Relationship Id="rId1544" Type="http://schemas.openxmlformats.org/officeDocument/2006/relationships/hyperlink" Target="https://techcombank.com/thong-tin/blog/nhung-ho-kinh-doanh-duoc-mien-thue" TargetMode="External"/><Relationship Id="rId1545" Type="http://schemas.openxmlformats.org/officeDocument/2006/relationships/hyperlink" Target="https://techcombank.com/thong-tin/blog/truy-thu-thue-ho-kinh-doanh" TargetMode="External"/><Relationship Id="rId1546" Type="http://schemas.openxmlformats.org/officeDocument/2006/relationships/hyperlink" Target="https://techcombank.com/thong-tin/blog/thue-ho-kinh-doanh-2025" TargetMode="External"/><Relationship Id="rId1547" Type="http://schemas.openxmlformats.org/officeDocument/2006/relationships/hyperlink" Target="https://techcombank.com/thong-tin/blog/hoan-thue-doanh-nghiep" TargetMode="External"/><Relationship Id="rId1548" Type="http://schemas.openxmlformats.org/officeDocument/2006/relationships/hyperlink" Target="https://techcombank.com/thong-tin/blog/thanh-lap-ho-kinh-doanh-ca-the" TargetMode="External"/><Relationship Id="rId1549" Type="http://schemas.openxmlformats.org/officeDocument/2006/relationships/hyperlink" Target="https://techcombank.com/thong-tin/blog/thue-doanh-nghiep-2025" TargetMode="External"/><Relationship Id="rId959" Type="http://schemas.openxmlformats.org/officeDocument/2006/relationships/hyperlink" Target="https://techcombank.com/thong-tin/blog/tra-gop-qua-the-tin-dung" TargetMode="External"/><Relationship Id="rId954" Type="http://schemas.openxmlformats.org/officeDocument/2006/relationships/hyperlink" Target="https://techcombank.com/thong-tin/blog/lam-ho-so-tra-gop-dien-thoai" TargetMode="External"/><Relationship Id="rId953" Type="http://schemas.openxmlformats.org/officeDocument/2006/relationships/hyperlink" Target="https://techcombank.com/thong-tin/blog/the-tin-dung-noi-dia" TargetMode="External"/><Relationship Id="rId952" Type="http://schemas.openxmlformats.org/officeDocument/2006/relationships/hyperlink" Target="https://techcombank.com/thong-tin/blog/sao-ke-the-tin-dung-la-gi" TargetMode="External"/><Relationship Id="rId951" Type="http://schemas.openxmlformats.org/officeDocument/2006/relationships/hyperlink" Target="https://techcombank.com/thong-tin/blog/cic-la-gi" TargetMode="External"/><Relationship Id="rId958" Type="http://schemas.openxmlformats.org/officeDocument/2006/relationships/hyperlink" Target="https://techcombank.com/thong-tin/blog/the-tin-dung-mien-lai-55-ngay" TargetMode="External"/><Relationship Id="rId957" Type="http://schemas.openxmlformats.org/officeDocument/2006/relationships/hyperlink" Target="https://techcombank.com/thong-tin/blog/nang-han-muc-tin-dung" TargetMode="External"/><Relationship Id="rId956" Type="http://schemas.openxmlformats.org/officeDocument/2006/relationships/hyperlink" Target="https://techcombank.com/thong-tin/blog/han-muc-the-tin-dung" TargetMode="External"/><Relationship Id="rId955" Type="http://schemas.openxmlformats.org/officeDocument/2006/relationships/hyperlink" Target="https://techcombank.com/thong-tin/blog/the-tin-dung-la-gi" TargetMode="External"/><Relationship Id="rId950" Type="http://schemas.openxmlformats.org/officeDocument/2006/relationships/hyperlink" Target="https://techcombank.com/thong-tin/blog/the-tin-dung-co-ma-pin-khong" TargetMode="External"/><Relationship Id="rId1540" Type="http://schemas.openxmlformats.org/officeDocument/2006/relationships/hyperlink" Target="https://techcombank.com/thong-tin/blog/100-riel-bang-bao-nhieu-tien-viet-nam" TargetMode="External"/><Relationship Id="rId1541" Type="http://schemas.openxmlformats.org/officeDocument/2006/relationships/hyperlink" Target="https://techcombank.com/thong-tin/blog/tien-indonesia" TargetMode="External"/><Relationship Id="rId1542" Type="http://schemas.openxmlformats.org/officeDocument/2006/relationships/hyperlink" Target="https://techcombank.com/thong-tin/blog/ho-kinh-doanh-la-gi" TargetMode="External"/><Relationship Id="rId2027" Type="http://schemas.openxmlformats.org/officeDocument/2006/relationships/hyperlink" Target="https://techcombank.com/thong-tin/blog/mo-so-tiet-kiem-can-bao-nhieu-tien" TargetMode="External"/><Relationship Id="rId2028" Type="http://schemas.openxmlformats.org/officeDocument/2006/relationships/hyperlink" Target="https://techcombank.com/thong-tin/blog/tai-khoan-tiet-kiem" TargetMode="External"/><Relationship Id="rId2029" Type="http://schemas.openxmlformats.org/officeDocument/2006/relationships/hyperlink" Target="https://techcombank.com/thong-tin/blog/mat-so-tiet-kiem" TargetMode="External"/><Relationship Id="rId590" Type="http://schemas.openxmlformats.org/officeDocument/2006/relationships/hyperlink" Target="https://techcombank.com/thong-tin/blog/lo-ma-qr-ngan-hang-co-sao-khong" TargetMode="External"/><Relationship Id="rId107" Type="http://schemas.openxmlformats.org/officeDocument/2006/relationships/hyperlink" Target="https://techcombank.com/thong-tin/blog/hoan-thue-doanh-nghiep" TargetMode="External"/><Relationship Id="rId106" Type="http://schemas.openxmlformats.org/officeDocument/2006/relationships/hyperlink" Target="https://techcombank.com/thong-tin/blog/tra-cuu-no-thue-ho-kinh-doanh" TargetMode="External"/><Relationship Id="rId105" Type="http://schemas.openxmlformats.org/officeDocument/2006/relationships/hyperlink" Target="https://techcombank.com/thong-tin/blog/ke-khai-thue-doanh-nghiep" TargetMode="External"/><Relationship Id="rId589" Type="http://schemas.openxmlformats.org/officeDocument/2006/relationships/hyperlink" Target="https://techcombank.com/thong-tin/blog/the-visa-de-lam-gi" TargetMode="External"/><Relationship Id="rId104" Type="http://schemas.openxmlformats.org/officeDocument/2006/relationships/hyperlink" Target="https://techcombank.com/thong-tin/blog/quyet-toan-thue-doanh-nghiep" TargetMode="External"/><Relationship Id="rId588" Type="http://schemas.openxmlformats.org/officeDocument/2006/relationships/hyperlink" Target="https://techcombank.com/thong-tin/blog/tra-cuu-han-muc-the-tin-dung" TargetMode="External"/><Relationship Id="rId109" Type="http://schemas.openxmlformats.org/officeDocument/2006/relationships/hyperlink" Target="https://techcombank.com/thong-tin/blog/giai-dap-ve-thue-doanh-nghiep" TargetMode="External"/><Relationship Id="rId1170" Type="http://schemas.openxmlformats.org/officeDocument/2006/relationships/hyperlink" Target="https://techcombank.com/thong-tin/blog/no-xau-nhom-2" TargetMode="External"/><Relationship Id="rId108" Type="http://schemas.openxmlformats.org/officeDocument/2006/relationships/hyperlink" Target="https://techcombank.com/thong-tin/blog/cach-tinh-thue-thu-nhap-doanh-nghiep" TargetMode="External"/><Relationship Id="rId1171" Type="http://schemas.openxmlformats.org/officeDocument/2006/relationships/hyperlink" Target="https://techcombank.com/thong-tin/blog/lai-suat-vay-tin-chap" TargetMode="External"/><Relationship Id="rId583" Type="http://schemas.openxmlformats.org/officeDocument/2006/relationships/hyperlink" Target="https://techcombank.com/thong-tin/blog/qr-dong" TargetMode="External"/><Relationship Id="rId1172" Type="http://schemas.openxmlformats.org/officeDocument/2006/relationships/hyperlink" Target="https://techcombank.com/thong-tin/blog/the-ghi-no-visa-la-gi" TargetMode="External"/><Relationship Id="rId582" Type="http://schemas.openxmlformats.org/officeDocument/2006/relationships/hyperlink" Target="https://techcombank.com/thong-tin/blog/cach-tao-ma-qr-code-mien-phi" TargetMode="External"/><Relationship Id="rId1173" Type="http://schemas.openxmlformats.org/officeDocument/2006/relationships/hyperlink" Target="https://techcombank.com/thong-tin/blog/uu-dai-mua-iphone-18" TargetMode="External"/><Relationship Id="rId2020" Type="http://schemas.openxmlformats.org/officeDocument/2006/relationships/hyperlink" Target="https://techcombank.com/thong-tin/blog/no-xau-mo-the-tin-dung-duoc-khong" TargetMode="External"/><Relationship Id="rId581" Type="http://schemas.openxmlformats.org/officeDocument/2006/relationships/hyperlink" Target="https://techcombank.com/thong-tin/blog/lam-ma-qr-ngan-hang-co-mat-phi-khong" TargetMode="External"/><Relationship Id="rId1174" Type="http://schemas.openxmlformats.org/officeDocument/2006/relationships/hyperlink" Target="https://techcombank.com/thong-tin/blog/khong-su-dung-the-tin-dung-co-mat-phi-khong" TargetMode="External"/><Relationship Id="rId2021" Type="http://schemas.openxmlformats.org/officeDocument/2006/relationships/hyperlink" Target="https://techcombank.com/thong-tin/blog/rut-tien-bao-hiem-nhan-tho-khi-het-han" TargetMode="External"/><Relationship Id="rId580" Type="http://schemas.openxmlformats.org/officeDocument/2006/relationships/hyperlink" Target="https://techcombank.com/thong-tin/blog/thanh-toan-bang-ma-qr" TargetMode="External"/><Relationship Id="rId1175" Type="http://schemas.openxmlformats.org/officeDocument/2006/relationships/hyperlink" Target="https://techcombank.com/thong-tin/blog/so-the-tin-dung" TargetMode="External"/><Relationship Id="rId2022" Type="http://schemas.openxmlformats.org/officeDocument/2006/relationships/hyperlink" Target="https://techcombank.com/thong-tin/blog/mo-the-tin-dung-khong-can-chung-minh-thu-nhap" TargetMode="External"/><Relationship Id="rId103" Type="http://schemas.openxmlformats.org/officeDocument/2006/relationships/hyperlink" Target="https://techcombank.com/thong-tin/blog/tra-cuu-no-thue-hai-quan" TargetMode="External"/><Relationship Id="rId587" Type="http://schemas.openxmlformats.org/officeDocument/2006/relationships/hyperlink" Target="https://techcombank.com/thong-tin/blog/cach-lam-the-atm" TargetMode="External"/><Relationship Id="rId1176" Type="http://schemas.openxmlformats.org/officeDocument/2006/relationships/hyperlink" Target="https://techcombank.com/thong-tin/blog/han-muc-tra-gop-the-tin-dung" TargetMode="External"/><Relationship Id="rId2023" Type="http://schemas.openxmlformats.org/officeDocument/2006/relationships/hyperlink" Target="https://techcombank.com/thong-tin/blog/chung-chi-tien-gui-khac-gi-so-tiet-kiem" TargetMode="External"/><Relationship Id="rId102" Type="http://schemas.openxmlformats.org/officeDocument/2006/relationships/hyperlink" Target="https://techcombank.com/thong-tin/blog/kiem-tra-ma-so-thue-doanh-nghiep" TargetMode="External"/><Relationship Id="rId586" Type="http://schemas.openxmlformats.org/officeDocument/2006/relationships/hyperlink" Target="https://techcombank.com/thong-tin/blog/thanh-toan-ma-qr-tro-thanh-phuong-thuc-duoc-ua-chuong-va-trien-khai-manh-me" TargetMode="External"/><Relationship Id="rId1177" Type="http://schemas.openxmlformats.org/officeDocument/2006/relationships/hyperlink" Target="https://techcombank.com/thong-tin/blog/the-tin-dung-hoan-tien" TargetMode="External"/><Relationship Id="rId2024" Type="http://schemas.openxmlformats.org/officeDocument/2006/relationships/hyperlink" Target="https://techcombank.com/thong-tin/blog/chung-chi-tien-gui-co-duoc-rut-truoc-han" TargetMode="External"/><Relationship Id="rId101" Type="http://schemas.openxmlformats.org/officeDocument/2006/relationships/hyperlink" Target="https://techcombank.com/thong-tin/blog/app-chia-tien" TargetMode="External"/><Relationship Id="rId585" Type="http://schemas.openxmlformats.org/officeDocument/2006/relationships/hyperlink" Target="https://techcombank.com/thong-tin/blog/nap-tien-vao-tai-khoan-ngan-hang" TargetMode="External"/><Relationship Id="rId1178" Type="http://schemas.openxmlformats.org/officeDocument/2006/relationships/hyperlink" Target="https://techcombank.com/thong-tin/blog/sang-ngang-the-tin-dung" TargetMode="External"/><Relationship Id="rId2025" Type="http://schemas.openxmlformats.org/officeDocument/2006/relationships/hyperlink" Target="https://techcombank.com/thong-tin/blog/vay-20-trieu" TargetMode="External"/><Relationship Id="rId100" Type="http://schemas.openxmlformats.org/officeDocument/2006/relationships/hyperlink" Target="https://techcombank.com/thong-tin/blog/cach-huy-thanh-toan-tien-dien" TargetMode="External"/><Relationship Id="rId584" Type="http://schemas.openxmlformats.org/officeDocument/2006/relationships/hyperlink" Target="https://techcombank.com/thong-tin/blog/lam-the-atm-co-mat-phi-khong" TargetMode="External"/><Relationship Id="rId1179" Type="http://schemas.openxmlformats.org/officeDocument/2006/relationships/hyperlink" Target="https://techcombank.com/thong-tin/blog/tai-khoan-ngan-hang-la-gi" TargetMode="External"/><Relationship Id="rId2026" Type="http://schemas.openxmlformats.org/officeDocument/2006/relationships/hyperlink" Target="https://techcombank.com/thong-tin/blog/tien-gui-co-ky-han" TargetMode="External"/><Relationship Id="rId1169" Type="http://schemas.openxmlformats.org/officeDocument/2006/relationships/hyperlink" Target="https://techcombank.com/thong-tin/blog/so-luong-the-tin-dung-noi-dia-dang-luu-hanh-da-tang-42-so-voi-cung-ky-nam-2022" TargetMode="External"/><Relationship Id="rId2016" Type="http://schemas.openxmlformats.org/officeDocument/2006/relationships/hyperlink" Target="https://techcombank.com/thong-tin/blog/quy-trinh-tat-toan-khoan-vay-the-chap" TargetMode="External"/><Relationship Id="rId2017" Type="http://schemas.openxmlformats.org/officeDocument/2006/relationships/hyperlink" Target="https://techcombank.com/thong-tin/blog/tat-toan-chung-chi-tien-gui" TargetMode="External"/><Relationship Id="rId2018" Type="http://schemas.openxmlformats.org/officeDocument/2006/relationships/hyperlink" Target="https://techcombank.com/thong-tin/blog/mo-so-tiet-kiem-can-bao-nhieu-tien" TargetMode="External"/><Relationship Id="rId2019" Type="http://schemas.openxmlformats.org/officeDocument/2006/relationships/hyperlink" Target="https://techcombank.com/thong-tin/blog/chuyen-nhuong-chung-chi-tien-gui" TargetMode="External"/><Relationship Id="rId579" Type="http://schemas.openxmlformats.org/officeDocument/2006/relationships/hyperlink" Target="https://techcombank.com/thong-tin/blog/qr-code-doanh-nghiep" TargetMode="External"/><Relationship Id="rId578" Type="http://schemas.openxmlformats.org/officeDocument/2006/relationships/hyperlink" Target="https://techcombank.com/thong-tin/blog/cach-su-dung-tai-khoan-cong-ty" TargetMode="External"/><Relationship Id="rId577" Type="http://schemas.openxmlformats.org/officeDocument/2006/relationships/hyperlink" Target="https://techcombank.com/thong-tin/blog/so-sanh-ma-qr-va-ma-vach" TargetMode="External"/><Relationship Id="rId2490" Type="http://schemas.openxmlformats.org/officeDocument/2006/relationships/hyperlink" Target="https://techcombank.com/thong-tin/blog/ngan-hang-xanh" TargetMode="External"/><Relationship Id="rId1160" Type="http://schemas.openxmlformats.org/officeDocument/2006/relationships/hyperlink" Target="https://techcombank.com/thong-tin/blog/thoi-gian-hoan-tien-the-tin-dung" TargetMode="External"/><Relationship Id="rId2491" Type="http://schemas.openxmlformats.org/officeDocument/2006/relationships/hyperlink" Target="https://techcombank.com/thong-tin/blog/chung-chi-quy-mo-va-dong" TargetMode="External"/><Relationship Id="rId572" Type="http://schemas.openxmlformats.org/officeDocument/2006/relationships/hyperlink" Target="https://techcombank.com/thong-tin/blog/in-ma-qr-ngan-hang" TargetMode="External"/><Relationship Id="rId1161" Type="http://schemas.openxmlformats.org/officeDocument/2006/relationships/hyperlink" Target="https://techcombank.com/thong-tin/blog/du-no-tin-dung-la-gi" TargetMode="External"/><Relationship Id="rId2492" Type="http://schemas.openxmlformats.org/officeDocument/2006/relationships/hyperlink" Target="https://techcombank.com/thong-tin/blog/bi-quyet-lua-chon-trai-phieu-an-toan-cho-nha-dau-tu" TargetMode="External"/><Relationship Id="rId571" Type="http://schemas.openxmlformats.org/officeDocument/2006/relationships/hyperlink" Target="https://techcombank.com/thong-tin/blog/rut-tien-mat-tu-tai-khoan-doanh-nghiep" TargetMode="External"/><Relationship Id="rId1162" Type="http://schemas.openxmlformats.org/officeDocument/2006/relationships/hyperlink" Target="https://techcombank.com/thong-tin/blog/lai-suat-qua-han" TargetMode="External"/><Relationship Id="rId2493" Type="http://schemas.openxmlformats.org/officeDocument/2006/relationships/hyperlink" Target="https://techcombank.com/thong-tin/blog/tactical-asset-allocation" TargetMode="External"/><Relationship Id="rId570" Type="http://schemas.openxmlformats.org/officeDocument/2006/relationships/hyperlink" Target="https://techcombank.com/thong-tin/blog/ma-qr-ngan-hang-khong-hop-le" TargetMode="External"/><Relationship Id="rId1163" Type="http://schemas.openxmlformats.org/officeDocument/2006/relationships/hyperlink" Target="https://techcombank.com/thong-tin/blog/mat-the-tin-dung-co-lam-lai-duoc-khong" TargetMode="External"/><Relationship Id="rId2010" Type="http://schemas.openxmlformats.org/officeDocument/2006/relationships/hyperlink" Target="https://techcombank.com/thong-tin/blog/vay-thau-chi-bang-so-tiet-kiem" TargetMode="External"/><Relationship Id="rId2494" Type="http://schemas.openxmlformats.org/officeDocument/2006/relationships/hyperlink" Target="https://techcombank.com/thong-tin/blog/ngan-hang-so" TargetMode="External"/><Relationship Id="rId1164" Type="http://schemas.openxmlformats.org/officeDocument/2006/relationships/hyperlink" Target="https://techcombank.com/thong-tin/blog/mo-the-tin-dung-khong-can-chung-minh-thu-nhap" TargetMode="External"/><Relationship Id="rId2011" Type="http://schemas.openxmlformats.org/officeDocument/2006/relationships/hyperlink" Target="https://techcombank.com/thong-tin/blog/mat-so-tiet-kiem" TargetMode="External"/><Relationship Id="rId2495" Type="http://schemas.openxmlformats.org/officeDocument/2006/relationships/hyperlink" Target="https://techcombank.com/thong-tin/blog/dau-co-va-dau-tu" TargetMode="External"/><Relationship Id="rId576" Type="http://schemas.openxmlformats.org/officeDocument/2006/relationships/hyperlink" Target="https://techcombank.com/thong-tin/blog/ma-qr-techcombank" TargetMode="External"/><Relationship Id="rId1165" Type="http://schemas.openxmlformats.org/officeDocument/2006/relationships/hyperlink" Target="https://techcombank.com/thong-tin/blog/the-tin-dung-vip" TargetMode="External"/><Relationship Id="rId2012" Type="http://schemas.openxmlformats.org/officeDocument/2006/relationships/hyperlink" Target="https://techcombank.com/thong-tin/blog/gui-them-tien-vao-so-tiet-kiem" TargetMode="External"/><Relationship Id="rId2496" Type="http://schemas.openxmlformats.org/officeDocument/2006/relationships/hyperlink" Target="https://techcombank.com/thong-tin/blog/dau-tu-tai-chinh-ca-nhan" TargetMode="External"/><Relationship Id="rId575" Type="http://schemas.openxmlformats.org/officeDocument/2006/relationships/hyperlink" Target="https://techcombank.com/thong-tin/blog/ma-qr-lam-gia-duoc-khong" TargetMode="External"/><Relationship Id="rId1166" Type="http://schemas.openxmlformats.org/officeDocument/2006/relationships/hyperlink" Target="https://techcombank.com/thong-tin/blog/cach-sao-ke-tai-khoan-ngan-hang" TargetMode="External"/><Relationship Id="rId2013" Type="http://schemas.openxmlformats.org/officeDocument/2006/relationships/hyperlink" Target="https://techcombank.com/thong-tin/blog/so-tiet-kiem-ngan-hang" TargetMode="External"/><Relationship Id="rId2497" Type="http://schemas.openxmlformats.org/officeDocument/2006/relationships/hyperlink" Target="https://techcombank.com/thong-tin/blog/dau-tu-dai-han" TargetMode="External"/><Relationship Id="rId574" Type="http://schemas.openxmlformats.org/officeDocument/2006/relationships/hyperlink" Target="https://techcombank.com/thong-tin/blog/cdm" TargetMode="External"/><Relationship Id="rId1167" Type="http://schemas.openxmlformats.org/officeDocument/2006/relationships/hyperlink" Target="https://techcombank.com/thong-tin/blog/the-tin-dung-phu-la-gi" TargetMode="External"/><Relationship Id="rId2014" Type="http://schemas.openxmlformats.org/officeDocument/2006/relationships/hyperlink" Target="https://techcombank.com/thong-tin/blog/tat-toan" TargetMode="External"/><Relationship Id="rId2498" Type="http://schemas.openxmlformats.org/officeDocument/2006/relationships/hyperlink" Target="https://techcombank.com/thong-tin/blog/bao-hiem-tu-ky-la-gi" TargetMode="External"/><Relationship Id="rId573" Type="http://schemas.openxmlformats.org/officeDocument/2006/relationships/hyperlink" Target="https://techcombank.com/thong-tin/blog/mm-yy-la-gi" TargetMode="External"/><Relationship Id="rId1168" Type="http://schemas.openxmlformats.org/officeDocument/2006/relationships/hyperlink" Target="https://techcombank.com/thong-tin/blog/rut-tien-mat-tu-the-tin-dung" TargetMode="External"/><Relationship Id="rId2015" Type="http://schemas.openxmlformats.org/officeDocument/2006/relationships/hyperlink" Target="https://techcombank.com/thong-tin/blog/dao-han-la-gi" TargetMode="External"/><Relationship Id="rId2499" Type="http://schemas.openxmlformats.org/officeDocument/2006/relationships/hyperlink" Target="https://techcombank.com/thong-tin/blog/quan-ly-danh-muc-dau-tu" TargetMode="External"/><Relationship Id="rId2049" Type="http://schemas.openxmlformats.org/officeDocument/2006/relationships/hyperlink" Target="https://techcombank.com/thong-tin/blog/gui-tiet-kiem-tich-luy-la-gi" TargetMode="External"/><Relationship Id="rId129" Type="http://schemas.openxmlformats.org/officeDocument/2006/relationships/hyperlink" Target="https://techcombank.com/thong-tin/blog/tra-cuu-no-thue-doanh-nghiep" TargetMode="External"/><Relationship Id="rId128" Type="http://schemas.openxmlformats.org/officeDocument/2006/relationships/hyperlink" Target="https://techcombank.com/thong-tin/blog/dang-ky-thanh-lap-doanh-nghiep-online" TargetMode="External"/><Relationship Id="rId127" Type="http://schemas.openxmlformats.org/officeDocument/2006/relationships/hyperlink" Target="https://techcombank.com/thong-tin/blog/ke-khai-thue-doanh-nghiep" TargetMode="External"/><Relationship Id="rId126" Type="http://schemas.openxmlformats.org/officeDocument/2006/relationships/hyperlink" Target="https://techcombank.com/thong-tin/blog/quyet-toan-thue-doanh-nghiep" TargetMode="External"/><Relationship Id="rId1190" Type="http://schemas.openxmlformats.org/officeDocument/2006/relationships/hyperlink" Target="https://techcombank.com/thong-tin/blog/tai-sao-gui-tiet-kiem-online-lai-suat-cao-hon" TargetMode="External"/><Relationship Id="rId1191" Type="http://schemas.openxmlformats.org/officeDocument/2006/relationships/hyperlink" Target="https://techcombank.com/thong-tin/blog/chung-chi-tien-gui-co-duoc-bao-hiem-khong" TargetMode="External"/><Relationship Id="rId1192" Type="http://schemas.openxmlformats.org/officeDocument/2006/relationships/hyperlink" Target="https://techcombank.com/thong-tin/blog/nen-de-tien-trong-the-hay-gui-tiet-kiem" TargetMode="External"/><Relationship Id="rId1193" Type="http://schemas.openxmlformats.org/officeDocument/2006/relationships/hyperlink" Target="https://techcombank.com/thong-tin/blog/quan-ly-tai-chinh-cho-dan-van-phong" TargetMode="External"/><Relationship Id="rId2040" Type="http://schemas.openxmlformats.org/officeDocument/2006/relationships/hyperlink" Target="https://techcombank.com/thong-tin/blog/nen-de-tien-trong-the-hay-gui-tiet-kiem" TargetMode="External"/><Relationship Id="rId121" Type="http://schemas.openxmlformats.org/officeDocument/2006/relationships/hyperlink" Target="https://techcombank.com/thong-tin/blog/kiem-tra-ma-so-thue-doanh-nghiep" TargetMode="External"/><Relationship Id="rId1194" Type="http://schemas.openxmlformats.org/officeDocument/2006/relationships/hyperlink" Target="https://techcombank.com/thong-tin/blog/co-nen-gui-tiet-kiem-ngan-hang" TargetMode="External"/><Relationship Id="rId2041" Type="http://schemas.openxmlformats.org/officeDocument/2006/relationships/hyperlink" Target="https://techcombank.com/thong-tin/blog/co-nen-gui-tiet-kiem-ngan-hang" TargetMode="External"/><Relationship Id="rId120" Type="http://schemas.openxmlformats.org/officeDocument/2006/relationships/hyperlink" Target="https://techcombank.com/thong-tin/blog/cach-tinh-thue-thu-nhap-doanh-nghiep" TargetMode="External"/><Relationship Id="rId1195" Type="http://schemas.openxmlformats.org/officeDocument/2006/relationships/hyperlink" Target="https://techcombank.com/thong-tin/blog/lai-suat-tiet-kiem" TargetMode="External"/><Relationship Id="rId2042" Type="http://schemas.openxmlformats.org/officeDocument/2006/relationships/hyperlink" Target="https://techcombank.com/thong-tin/blog/lai-suat-tiet-kiem" TargetMode="External"/><Relationship Id="rId1196" Type="http://schemas.openxmlformats.org/officeDocument/2006/relationships/hyperlink" Target="https://techcombank.com/thong-tin/blog/chung-chi-quy-va-chung-khoan" TargetMode="External"/><Relationship Id="rId2043" Type="http://schemas.openxmlformats.org/officeDocument/2006/relationships/hyperlink" Target="https://techcombank.com/thong-tin/blog/co-nen-gui-tiet-kiem-online" TargetMode="External"/><Relationship Id="rId1197" Type="http://schemas.openxmlformats.org/officeDocument/2006/relationships/hyperlink" Target="https://techcombank.com/thong-tin/blog/co-nen-gui-tiet-kiem-online" TargetMode="External"/><Relationship Id="rId2044" Type="http://schemas.openxmlformats.org/officeDocument/2006/relationships/hyperlink" Target="https://techcombank.com/thong-tin/blog/gui-tiet-kiem-ngan-hang-van-la-lua-chon-an-toan-trong-thoi-ky-kinh-te-con-nhieu-bien-dong" TargetMode="External"/><Relationship Id="rId125" Type="http://schemas.openxmlformats.org/officeDocument/2006/relationships/hyperlink" Target="https://techcombank.com/thong-tin/blog/tim-hieu-ve-chinh-sach-thue-moi" TargetMode="External"/><Relationship Id="rId1198" Type="http://schemas.openxmlformats.org/officeDocument/2006/relationships/hyperlink" Target="https://techcombank.com/thong-tin/blog/gui-tiet-kiem-ngan-hang-van-la-lua-chon-an-toan-trong-thoi-ky-kinh-te-con-nhieu-bien-dong" TargetMode="External"/><Relationship Id="rId2045" Type="http://schemas.openxmlformats.org/officeDocument/2006/relationships/hyperlink" Target="https://techcombank.com/thong-tin/blog/cach-gui-tiet-kiem-online" TargetMode="External"/><Relationship Id="rId124" Type="http://schemas.openxmlformats.org/officeDocument/2006/relationships/hyperlink" Target="https://techcombank.com/thong-tin/blog/chuan-bi-cho-doanh-nghiep-khoi-nghiep-truoc-nhung-thay-doi-ve-thue" TargetMode="External"/><Relationship Id="rId1199" Type="http://schemas.openxmlformats.org/officeDocument/2006/relationships/hyperlink" Target="https://techcombank.com/thong-tin/blog/cach-gui-tiet-kiem-online" TargetMode="External"/><Relationship Id="rId2046" Type="http://schemas.openxmlformats.org/officeDocument/2006/relationships/hyperlink" Target="https://techcombank.com/thong-tin/blog/gui-tien-ngan-hang-co-an-toan-khong" TargetMode="External"/><Relationship Id="rId123" Type="http://schemas.openxmlformats.org/officeDocument/2006/relationships/hyperlink" Target="https://techcombank.com/thong-tin/blog/ho-so-dang-ky-thanh-lap-doanh-nghiep" TargetMode="External"/><Relationship Id="rId2047" Type="http://schemas.openxmlformats.org/officeDocument/2006/relationships/hyperlink" Target="https://techcombank.com/thong-tin/blog/nen-gui-tiet-kiem-6-thang-hay-1-nam" TargetMode="External"/><Relationship Id="rId122" Type="http://schemas.openxmlformats.org/officeDocument/2006/relationships/hyperlink" Target="https://techcombank.com/thong-tin/blog/chinh-sach-thue-moi" TargetMode="External"/><Relationship Id="rId2048" Type="http://schemas.openxmlformats.org/officeDocument/2006/relationships/hyperlink" Target="https://techcombank.com/thong-tin/blog/mo-tai-khoan-tiet-kiem-cho-con" TargetMode="External"/><Relationship Id="rId2038" Type="http://schemas.openxmlformats.org/officeDocument/2006/relationships/hyperlink" Target="https://techcombank.com/thong-tin/blog/tat-toan" TargetMode="External"/><Relationship Id="rId2039" Type="http://schemas.openxmlformats.org/officeDocument/2006/relationships/hyperlink" Target="https://techcombank.com/thong-tin/blog/dao-han-la-gi" TargetMode="External"/><Relationship Id="rId118" Type="http://schemas.openxmlformats.org/officeDocument/2006/relationships/hyperlink" Target="https://techcombank.com/thong-tin/blog/hoan-thue-doanh-nghiep" TargetMode="External"/><Relationship Id="rId117" Type="http://schemas.openxmlformats.org/officeDocument/2006/relationships/hyperlink" Target="https://techcombank.com/thong-tin/blog/huong-dan-dang-ky-thanh-lap-doanh-nghiep" TargetMode="External"/><Relationship Id="rId116" Type="http://schemas.openxmlformats.org/officeDocument/2006/relationships/hyperlink" Target="https://techcombank.com/thong-tin/blog/dieu-kien-thanh-lap-doanh-nghiep" TargetMode="External"/><Relationship Id="rId115" Type="http://schemas.openxmlformats.org/officeDocument/2006/relationships/hyperlink" Target="https://techcombank.com/thong-tin/blog/thue-doanh-nghiep-2025" TargetMode="External"/><Relationship Id="rId599" Type="http://schemas.openxmlformats.org/officeDocument/2006/relationships/hyperlink" Target="https://techcombank.com/thong-tin/blog/the-tin-dung-la-gi" TargetMode="External"/><Relationship Id="rId1180" Type="http://schemas.openxmlformats.org/officeDocument/2006/relationships/hyperlink" Target="https://techcombank.com/thong-tin/blog/chung-chi-tien-gui-khac-gi-so-tiet-kiem" TargetMode="External"/><Relationship Id="rId1181" Type="http://schemas.openxmlformats.org/officeDocument/2006/relationships/hyperlink" Target="https://techcombank.com/thong-tin/blog/chung-chi-tien-gui-co-phai-la-trai-phieu-khong" TargetMode="External"/><Relationship Id="rId119" Type="http://schemas.openxmlformats.org/officeDocument/2006/relationships/hyperlink" Target="https://techcombank.com/thong-tin/blog/dang-ky-thanh-lap-doanh-nghiep" TargetMode="External"/><Relationship Id="rId1182" Type="http://schemas.openxmlformats.org/officeDocument/2006/relationships/hyperlink" Target="https://techcombank.com/thong-tin/blog/co-nen-gui-chung-chi-tien-gui" TargetMode="External"/><Relationship Id="rId110" Type="http://schemas.openxmlformats.org/officeDocument/2006/relationships/hyperlink" Target="https://techcombank.com/thong-tin/blog/tra-cuu-no-thue-ca-nhan" TargetMode="External"/><Relationship Id="rId594" Type="http://schemas.openxmlformats.org/officeDocument/2006/relationships/hyperlink" Target="https://techcombank.com/thong-tin/blog/cach-thanh-toan-the-tin-dung" TargetMode="External"/><Relationship Id="rId1183" Type="http://schemas.openxmlformats.org/officeDocument/2006/relationships/hyperlink" Target="https://techcombank.com/thong-tin/blog/chung-chi-tien-gui-co-an-toan-khong" TargetMode="External"/><Relationship Id="rId2030" Type="http://schemas.openxmlformats.org/officeDocument/2006/relationships/hyperlink" Target="https://techcombank.com/thong-tin/blog/gui-them-tien-vao-so-tiet-kiem" TargetMode="External"/><Relationship Id="rId593" Type="http://schemas.openxmlformats.org/officeDocument/2006/relationships/hyperlink" Target="https://techcombank.com/thong-tin/blog/rut-tien-tiet-kiem-truoc-thoi-han" TargetMode="External"/><Relationship Id="rId1184" Type="http://schemas.openxmlformats.org/officeDocument/2006/relationships/hyperlink" Target="https://techcombank.com/thong-tin/blog/tien-nhan-roi-nen-lam-gi" TargetMode="External"/><Relationship Id="rId2031" Type="http://schemas.openxmlformats.org/officeDocument/2006/relationships/hyperlink" Target="https://techcombank.com/thong-tin/blog/quy-trinh-gui-tien-tiet-kiem" TargetMode="External"/><Relationship Id="rId592" Type="http://schemas.openxmlformats.org/officeDocument/2006/relationships/hyperlink" Target="https://techcombank.com/thong-tin/blog/phi-rut-tien-mat-the-tin-dung" TargetMode="External"/><Relationship Id="rId1185" Type="http://schemas.openxmlformats.org/officeDocument/2006/relationships/hyperlink" Target="https://techcombank.com/thong-tin/blog/chuyen-doi-so-ho-kinh-doanh" TargetMode="External"/><Relationship Id="rId2032" Type="http://schemas.openxmlformats.org/officeDocument/2006/relationships/hyperlink" Target="https://techcombank.com/thong-tin/blog/gui-tiet-kiem-theo-ngay" TargetMode="External"/><Relationship Id="rId591" Type="http://schemas.openxmlformats.org/officeDocument/2006/relationships/hyperlink" Target="https://techcombank.com/thong-tin/blog/lam-the-atm-bao-lau-co" TargetMode="External"/><Relationship Id="rId1186" Type="http://schemas.openxmlformats.org/officeDocument/2006/relationships/hyperlink" Target="https://techcombank.com/thong-tin/blog/quy-trinh-gui-tien-tiet-kiem" TargetMode="External"/><Relationship Id="rId2033" Type="http://schemas.openxmlformats.org/officeDocument/2006/relationships/hyperlink" Target="https://techcombank.com/thong-tin/blog/tai-khoan-thanh-toan-la-gi" TargetMode="External"/><Relationship Id="rId114" Type="http://schemas.openxmlformats.org/officeDocument/2006/relationships/hyperlink" Target="https://techcombank.com/thong-tin/blog/thue-phi-co-dinh-khi-chuyen-doi-tu-ho-kinh-doanh-len-doanh-nghiep" TargetMode="External"/><Relationship Id="rId598" Type="http://schemas.openxmlformats.org/officeDocument/2006/relationships/hyperlink" Target="https://techcombank.com/thong-tin/blog/ma-pin-the-atm" TargetMode="External"/><Relationship Id="rId1187" Type="http://schemas.openxmlformats.org/officeDocument/2006/relationships/hyperlink" Target="https://techcombank.com/thong-tin/blog/gui-tiet-kiem-theo-ngay" TargetMode="External"/><Relationship Id="rId2034" Type="http://schemas.openxmlformats.org/officeDocument/2006/relationships/hyperlink" Target="https://techcombank.com/thong-tin/blog/gui-tiet-kiem-vang" TargetMode="External"/><Relationship Id="rId113" Type="http://schemas.openxmlformats.org/officeDocument/2006/relationships/hyperlink" Target="https://techcombank.com/thong-tin/blog/hieu-hiet-ve-tuan-thu-thue-cho-cac-doanh-nghiep-khoi-nghiep" TargetMode="External"/><Relationship Id="rId597" Type="http://schemas.openxmlformats.org/officeDocument/2006/relationships/hyperlink" Target="https://techcombank.com/thong-tin/blog/cach-chuyen-khoan-bang-dien-thoai" TargetMode="External"/><Relationship Id="rId1188" Type="http://schemas.openxmlformats.org/officeDocument/2006/relationships/hyperlink" Target="https://techcombank.com/thong-tin/blog/gui-tiet-kiem-vang" TargetMode="External"/><Relationship Id="rId2035" Type="http://schemas.openxmlformats.org/officeDocument/2006/relationships/hyperlink" Target="https://techcombank.com/thong-tin/blog/nen-gui-tiet-kiem-thong-thuong-hay-tich-luy" TargetMode="External"/><Relationship Id="rId112" Type="http://schemas.openxmlformats.org/officeDocument/2006/relationships/hyperlink" Target="https://techcombank.com/thong-tin/blog/giai-dap-ve-thue-doanh-nghiep" TargetMode="External"/><Relationship Id="rId596" Type="http://schemas.openxmlformats.org/officeDocument/2006/relationships/hyperlink" Target="https://techcombank.com/thong-tin/blog/the-atm-gan-chip" TargetMode="External"/><Relationship Id="rId1189" Type="http://schemas.openxmlformats.org/officeDocument/2006/relationships/hyperlink" Target="https://techcombank.com/thong-tin/blog/nen-gui-tiet-kiem-thong-thuong-hay-tich-luy" TargetMode="External"/><Relationship Id="rId2036" Type="http://schemas.openxmlformats.org/officeDocument/2006/relationships/hyperlink" Target="https://techcombank.com/thong-tin/blog/tai-sao-gui-tiet-kiem-online-lai-suat-cao-hon" TargetMode="External"/><Relationship Id="rId111" Type="http://schemas.openxmlformats.org/officeDocument/2006/relationships/hyperlink" Target="https://techcombank.com/thong-tin/blog/thue-doanh-nghiep" TargetMode="External"/><Relationship Id="rId595" Type="http://schemas.openxmlformats.org/officeDocument/2006/relationships/hyperlink" Target="https://techcombank.com/thong-tin/blog/qr-code-phuong-thuc-thanh-toan-toi-uu-trong-ky-nguyen-so" TargetMode="External"/><Relationship Id="rId2037" Type="http://schemas.openxmlformats.org/officeDocument/2006/relationships/hyperlink" Target="https://techcombank.com/thong-tin/blog/tat-toan-so-tiet-kiem" TargetMode="External"/><Relationship Id="rId1136" Type="http://schemas.openxmlformats.org/officeDocument/2006/relationships/hyperlink" Target="https://techcombank.com/thong-tin/blog/tra-gop-shopee" TargetMode="External"/><Relationship Id="rId2467" Type="http://schemas.openxmlformats.org/officeDocument/2006/relationships/hyperlink" Target="https://techcombank.com/thong-tin/blog/lap-ke-hoach-tai-chinh-ca-nhan" TargetMode="External"/><Relationship Id="rId1137" Type="http://schemas.openxmlformats.org/officeDocument/2006/relationships/hyperlink" Target="https://techcombank.com/thong-tin/blog/thanh-toan-tien-dien-bang-the-tin-dung" TargetMode="External"/><Relationship Id="rId2468" Type="http://schemas.openxmlformats.org/officeDocument/2006/relationships/hyperlink" Target="https://techcombank.com/thong-tin/blog/chung-chi-quy-va-chung-khoan" TargetMode="External"/><Relationship Id="rId1138" Type="http://schemas.openxmlformats.org/officeDocument/2006/relationships/hyperlink" Target="https://techcombank.com/thong-tin/blog/thanh-toan-tra-gop-qua-the-tin-dung" TargetMode="External"/><Relationship Id="rId2469" Type="http://schemas.openxmlformats.org/officeDocument/2006/relationships/hyperlink" Target="https://techcombank.com/thong-tin/blog/lai-suat-chung-chi-quy" TargetMode="External"/><Relationship Id="rId1139" Type="http://schemas.openxmlformats.org/officeDocument/2006/relationships/hyperlink" Target="https://techcombank.com/thong-tin/blog/tra-gop-lazada" TargetMode="External"/><Relationship Id="rId547" Type="http://schemas.openxmlformats.org/officeDocument/2006/relationships/hyperlink" Target="https://techcombank.com/thong-tin/blog/quyet-toan-thue-thu-nhap-ca-nhan" TargetMode="External"/><Relationship Id="rId546" Type="http://schemas.openxmlformats.org/officeDocument/2006/relationships/hyperlink" Target="https://techcombank.com/thong-tin/blog/cach-tinh-thue-ho-kinh-doanh-nho-le" TargetMode="External"/><Relationship Id="rId545" Type="http://schemas.openxmlformats.org/officeDocument/2006/relationships/hyperlink" Target="https://techcombank.com/thong-tin/blog/sao-ke-luong" TargetMode="External"/><Relationship Id="rId544" Type="http://schemas.openxmlformats.org/officeDocument/2006/relationships/hyperlink" Target="https://techcombank.com/thong-tin/blog/luong-huu" TargetMode="External"/><Relationship Id="rId549" Type="http://schemas.openxmlformats.org/officeDocument/2006/relationships/hyperlink" Target="https://techcombank.com/thong-tin/blog/nhung-ho-kinh-doanh-duoc-mien-thue" TargetMode="External"/><Relationship Id="rId548" Type="http://schemas.openxmlformats.org/officeDocument/2006/relationships/hyperlink" Target="https://techcombank.com/thong-tin/blog/hoan-thue-thu-nhap-ca-nhan" TargetMode="External"/><Relationship Id="rId2460" Type="http://schemas.openxmlformats.org/officeDocument/2006/relationships/hyperlink" Target="https://techcombank.com/thong-tin/blog/vang-24k" TargetMode="External"/><Relationship Id="rId1130" Type="http://schemas.openxmlformats.org/officeDocument/2006/relationships/hyperlink" Target="https://techcombank.com/thong-tin/blog/mo-the-tin-dung-han-muc-cao" TargetMode="External"/><Relationship Id="rId2461" Type="http://schemas.openxmlformats.org/officeDocument/2006/relationships/hyperlink" Target="https://techcombank.com/thong-tin/blog/chien-luoc-dau-tu" TargetMode="External"/><Relationship Id="rId1131" Type="http://schemas.openxmlformats.org/officeDocument/2006/relationships/hyperlink" Target="https://techcombank.com/thong-tin/blog/uu-dai-the-tin-dung" TargetMode="External"/><Relationship Id="rId2462" Type="http://schemas.openxmlformats.org/officeDocument/2006/relationships/hyperlink" Target="https://techcombank.com/thong-tin/blog/khau-vi-nha-dau-tu-tpdn-thay-doi-the-nao-sau-nhung-bien-dong-vua-qua" TargetMode="External"/><Relationship Id="rId543" Type="http://schemas.openxmlformats.org/officeDocument/2006/relationships/hyperlink" Target="https://techcombank.com/thong-tin/blog/tra-cuu-no-thue-ca-nhan" TargetMode="External"/><Relationship Id="rId1132" Type="http://schemas.openxmlformats.org/officeDocument/2006/relationships/hyperlink" Target="https://techcombank.com/thong-tin/blog/3d-secure" TargetMode="External"/><Relationship Id="rId2463" Type="http://schemas.openxmlformats.org/officeDocument/2006/relationships/hyperlink" Target="https://techcombank.com/thong-tin/blog/thoi-gian-khop-lech-chung-chi-quy" TargetMode="External"/><Relationship Id="rId542" Type="http://schemas.openxmlformats.org/officeDocument/2006/relationships/hyperlink" Target="https://techcombank.com/thong-tin/blog/tien-chuyen-vao-tai-khoan-co-bi-tinh-thue-khong" TargetMode="External"/><Relationship Id="rId1133" Type="http://schemas.openxmlformats.org/officeDocument/2006/relationships/hyperlink" Target="https://techcombank.com/thong-tin/blog/lai-suat-the-tin-dung" TargetMode="External"/><Relationship Id="rId2464" Type="http://schemas.openxmlformats.org/officeDocument/2006/relationships/hyperlink" Target="https://techcombank.com/thong-tin/blog/nha-dau-tu-giao-dich-trai-phieu-truc-tuyen-tang-manh-tro-lai" TargetMode="External"/><Relationship Id="rId541" Type="http://schemas.openxmlformats.org/officeDocument/2006/relationships/hyperlink" Target="https://techcombank.com/thong-tin/blog/sms-banking" TargetMode="External"/><Relationship Id="rId1134" Type="http://schemas.openxmlformats.org/officeDocument/2006/relationships/hyperlink" Target="https://techcombank.com/thong-tin/blog/mo-the-tin-dung-co-loi-ich-gi" TargetMode="External"/><Relationship Id="rId2465" Type="http://schemas.openxmlformats.org/officeDocument/2006/relationships/hyperlink" Target="https://techcombank.com/thong-tin/blog/techcom-securities-nhung-buoc-tien-phong-tren-san-thu-cap" TargetMode="External"/><Relationship Id="rId540" Type="http://schemas.openxmlformats.org/officeDocument/2006/relationships/hyperlink" Target="https://techcombank.com/thong-tin/blog/the-ghi-no-co-chuyen-khoan-duoc-khong" TargetMode="External"/><Relationship Id="rId1135" Type="http://schemas.openxmlformats.org/officeDocument/2006/relationships/hyperlink" Target="https://techcombank.com/thong-tin/blog/the-tin-dung-ao" TargetMode="External"/><Relationship Id="rId2466" Type="http://schemas.openxmlformats.org/officeDocument/2006/relationships/hyperlink" Target="https://techcombank.com/thong-tin/blog/gia-chung-chi-quy-la-gi" TargetMode="External"/><Relationship Id="rId1125" Type="http://schemas.openxmlformats.org/officeDocument/2006/relationships/hyperlink" Target="https://techcombank.com/thong-tin/blog/sao-ke-luong" TargetMode="External"/><Relationship Id="rId2456" Type="http://schemas.openxmlformats.org/officeDocument/2006/relationships/hyperlink" Target="https://techcombank.com/thong-tin/blog/thi-truong-trai-phieu-am-tro-lai-nha-dau-tu-san-sang-cho-nhung-co-hoi-sinh-loi-moi" TargetMode="External"/><Relationship Id="rId1126" Type="http://schemas.openxmlformats.org/officeDocument/2006/relationships/hyperlink" Target="https://techcombank.com/thong-tin/blog/thanh-toan-online-bang-the-tin-dung" TargetMode="External"/><Relationship Id="rId2457" Type="http://schemas.openxmlformats.org/officeDocument/2006/relationships/hyperlink" Target="https://techcombank.com/thong-tin/blog/tinh-thanh-khoan-la-gi" TargetMode="External"/><Relationship Id="rId1127" Type="http://schemas.openxmlformats.org/officeDocument/2006/relationships/hyperlink" Target="https://techcombank.com/thong-tin/blog/uu-dai-mo-the-tin-dung" TargetMode="External"/><Relationship Id="rId2458" Type="http://schemas.openxmlformats.org/officeDocument/2006/relationships/hyperlink" Target="https://techcombank.com/thong-tin/blog/kinh-nghiem-mua-vang-tich-tru" TargetMode="External"/><Relationship Id="rId1128" Type="http://schemas.openxmlformats.org/officeDocument/2006/relationships/hyperlink" Target="https://techcombank.com/thong-tin/blog/the-tin-dung-co-chuyen-khoan-duoc-khong" TargetMode="External"/><Relationship Id="rId2459" Type="http://schemas.openxmlformats.org/officeDocument/2006/relationships/hyperlink" Target="https://techcombank.com/thong-tin/blog/npv-la-gi" TargetMode="External"/><Relationship Id="rId1129" Type="http://schemas.openxmlformats.org/officeDocument/2006/relationships/hyperlink" Target="https://techcombank.com/thong-tin/blog/the-tin-dung-techcombank-visa-eco" TargetMode="External"/><Relationship Id="rId536" Type="http://schemas.openxmlformats.org/officeDocument/2006/relationships/hyperlink" Target="https://techcombank.com/thong-tin/blog/cach-kich-hoat-the-atm" TargetMode="External"/><Relationship Id="rId535" Type="http://schemas.openxmlformats.org/officeDocument/2006/relationships/hyperlink" Target="https://techcombank.com/thong-tin/blog/rui-ro-khi-gui-tiet-kiem-ngan-hang" TargetMode="External"/><Relationship Id="rId534" Type="http://schemas.openxmlformats.org/officeDocument/2006/relationships/hyperlink" Target="https://techcombank.com/thong-tin/blog/mobile-banking-la-gi" TargetMode="External"/><Relationship Id="rId533" Type="http://schemas.openxmlformats.org/officeDocument/2006/relationships/hyperlink" Target="https://techcombank.com/thong-tin/blog/thanh-toan-tien-nuoc-online" TargetMode="External"/><Relationship Id="rId539" Type="http://schemas.openxmlformats.org/officeDocument/2006/relationships/hyperlink" Target="https://techcombank.com/thong-tin/blog/cach-huy-thanh-toan-tien-dien" TargetMode="External"/><Relationship Id="rId538" Type="http://schemas.openxmlformats.org/officeDocument/2006/relationships/hyperlink" Target="https://techcombank.com/thong-tin/blog/thanh-toan-hoa-don-tieu-dung" TargetMode="External"/><Relationship Id="rId537" Type="http://schemas.openxmlformats.org/officeDocument/2006/relationships/hyperlink" Target="https://techcombank.com/thong-tin/blog/thanh-toan-tra-sau-viettel-bang-tai-khoan-ngan-hang" TargetMode="External"/><Relationship Id="rId2450" Type="http://schemas.openxmlformats.org/officeDocument/2006/relationships/hyperlink" Target="https://techcombank.com/thong-tin/blog/thi-truong-trai-phieu-co-hoi-dau-tu-trai-phieu-vang-du-lai-suat-thap" TargetMode="External"/><Relationship Id="rId1120" Type="http://schemas.openxmlformats.org/officeDocument/2006/relationships/hyperlink" Target="https://techcombank.com/thong-tin/blog/the-tin-dung-quoc-te" TargetMode="External"/><Relationship Id="rId2451" Type="http://schemas.openxmlformats.org/officeDocument/2006/relationships/hyperlink" Target="https://techcombank.com/thong-tin/blog/y-concert" TargetMode="External"/><Relationship Id="rId532" Type="http://schemas.openxmlformats.org/officeDocument/2006/relationships/hyperlink" Target="https://techcombank.com/thong-tin/blog/cic-la-gi" TargetMode="External"/><Relationship Id="rId1121" Type="http://schemas.openxmlformats.org/officeDocument/2006/relationships/hyperlink" Target="https://techcombank.com/thong-tin/blog/phi-rut-tien-mat-the-tin-dung" TargetMode="External"/><Relationship Id="rId2452" Type="http://schemas.openxmlformats.org/officeDocument/2006/relationships/hyperlink" Target="https://techcombank.com/thong-tin/blog/softpos" TargetMode="External"/><Relationship Id="rId531" Type="http://schemas.openxmlformats.org/officeDocument/2006/relationships/hyperlink" Target="https://techcombank.com/thong-tin/blog/tai-khoan-ngan-hang-bi-khoa" TargetMode="External"/><Relationship Id="rId1122" Type="http://schemas.openxmlformats.org/officeDocument/2006/relationships/hyperlink" Target="https://techcombank.com/thong-tin/blog/vay-ngan-hang-1-ty-moi-thang-tra-bao-nhieu" TargetMode="External"/><Relationship Id="rId2453" Type="http://schemas.openxmlformats.org/officeDocument/2006/relationships/hyperlink" Target="https://techcombank.com/thong-tin/blog/due-diligence" TargetMode="External"/><Relationship Id="rId530" Type="http://schemas.openxmlformats.org/officeDocument/2006/relationships/hyperlink" Target="https://techcombank.com/thong-tin/blog/thanh-toan-tra-gop-qua-the-tin-dung" TargetMode="External"/><Relationship Id="rId1123" Type="http://schemas.openxmlformats.org/officeDocument/2006/relationships/hyperlink" Target="https://techcombank.com/thong-tin/blog/the-tin-dung-den" TargetMode="External"/><Relationship Id="rId2454" Type="http://schemas.openxmlformats.org/officeDocument/2006/relationships/hyperlink" Target="https://techcombank.com/thong-tin/blog/cach-quan-ly-tai-san" TargetMode="External"/><Relationship Id="rId1124" Type="http://schemas.openxmlformats.org/officeDocument/2006/relationships/hyperlink" Target="https://techcombank.com/thong-tin/blog/dao-han-the-tin-dung" TargetMode="External"/><Relationship Id="rId2455" Type="http://schemas.openxmlformats.org/officeDocument/2006/relationships/hyperlink" Target="https://techcombank.com/thong-tin/blog/5-trieu-mua-duoc-bao-nhieu-vang" TargetMode="External"/><Relationship Id="rId1158" Type="http://schemas.openxmlformats.org/officeDocument/2006/relationships/hyperlink" Target="https://techcombank.com/thong-tin/blog/mo-the-tin-dung-chi-can-cccd" TargetMode="External"/><Relationship Id="rId2005" Type="http://schemas.openxmlformats.org/officeDocument/2006/relationships/hyperlink" Target="https://techcombank.com/thong-tin/blog/tien-gui-co-ky-han" TargetMode="External"/><Relationship Id="rId2489" Type="http://schemas.openxmlformats.org/officeDocument/2006/relationships/hyperlink" Target="https://techcombank.com/thong-tin/blog/rut-tien-bao-hiem-nhan-tho-khi-het-han" TargetMode="External"/><Relationship Id="rId1159" Type="http://schemas.openxmlformats.org/officeDocument/2006/relationships/hyperlink" Target="https://techcombank.com/thong-tin/blog/luu-y-khi-su-dung-the-tin-dung" TargetMode="External"/><Relationship Id="rId2006" Type="http://schemas.openxmlformats.org/officeDocument/2006/relationships/hyperlink" Target="https://techcombank.com/thong-tin/blog/lai-suat-gui-tiet-kiem-usd" TargetMode="External"/><Relationship Id="rId2007" Type="http://schemas.openxmlformats.org/officeDocument/2006/relationships/hyperlink" Target="https://techcombank.com/thong-tin/blog/gui-tiet-kiem-usd" TargetMode="External"/><Relationship Id="rId2008" Type="http://schemas.openxmlformats.org/officeDocument/2006/relationships/hyperlink" Target="https://techcombank.com/thong-tin/blog/tat-toan-so-tiet-kiem" TargetMode="External"/><Relationship Id="rId2009" Type="http://schemas.openxmlformats.org/officeDocument/2006/relationships/hyperlink" Target="https://techcombank.com/thong-tin/blog/gui-tiet-kiem-online-co-rut-truoc-han-duoc-khong" TargetMode="External"/><Relationship Id="rId569" Type="http://schemas.openxmlformats.org/officeDocument/2006/relationships/hyperlink" Target="https://techcombank.com/thong-tin/blog/softpos" TargetMode="External"/><Relationship Id="rId568" Type="http://schemas.openxmlformats.org/officeDocument/2006/relationships/hyperlink" Target="https://techcombank.com/thong-tin/blog/pos" TargetMode="External"/><Relationship Id="rId567" Type="http://schemas.openxmlformats.org/officeDocument/2006/relationships/hyperlink" Target="https://techcombank.com/thong-tin/blog/tao-ma-qr-thanh-toan-cho-cua-hang" TargetMode="External"/><Relationship Id="rId566" Type="http://schemas.openxmlformats.org/officeDocument/2006/relationships/hyperlink" Target="https://techcombank.com/thong-tin/blog/cach-tao-ma-qr" TargetMode="External"/><Relationship Id="rId2480" Type="http://schemas.openxmlformats.org/officeDocument/2006/relationships/hyperlink" Target="https://techcombank.com/thong-tin/blog/chon-kenh-dau-tu-an-toan-trong-boi-canh-thi-truong-bien-dong" TargetMode="External"/><Relationship Id="rId561" Type="http://schemas.openxmlformats.org/officeDocument/2006/relationships/hyperlink" Target="https://techcombank.com/thong-tin/blog/the-atm-khong-rut-duoc-tien" TargetMode="External"/><Relationship Id="rId1150" Type="http://schemas.openxmlformats.org/officeDocument/2006/relationships/hyperlink" Target="https://techcombank.com/thong-tin/blog/vay-200-trieu" TargetMode="External"/><Relationship Id="rId2481" Type="http://schemas.openxmlformats.org/officeDocument/2006/relationships/hyperlink" Target="https://techcombank.com/thong-tin/blog/nghich-ly-nha-dau-tu-che-trai-phieu-lai-suat-cao-ua-ma-an-toan-du-lai-suat-thap-hon-05-1" TargetMode="External"/><Relationship Id="rId560" Type="http://schemas.openxmlformats.org/officeDocument/2006/relationships/hyperlink" Target="https://techcombank.com/thong-tin/blog/cach-rut-tien-atm" TargetMode="External"/><Relationship Id="rId1151" Type="http://schemas.openxmlformats.org/officeDocument/2006/relationships/hyperlink" Target="https://techcombank.com/thong-tin/blog/vay-tin-chap-theo-luong" TargetMode="External"/><Relationship Id="rId2482" Type="http://schemas.openxmlformats.org/officeDocument/2006/relationships/hyperlink" Target="https://techcombank.com/thong-tin/blog/anh-sang-cuoi-duong-ham-xuat-hien-trai-phieu-doanh-nghiep-tot-va-an-toan-se-duoc-nha-dau-tu-chon" TargetMode="External"/><Relationship Id="rId1152" Type="http://schemas.openxmlformats.org/officeDocument/2006/relationships/hyperlink" Target="https://techcombank.com/thong-tin/blog/tra-gop-qua-the-tin-dung" TargetMode="External"/><Relationship Id="rId2483" Type="http://schemas.openxmlformats.org/officeDocument/2006/relationships/hyperlink" Target="https://techcombank.com/thong-tin/blog/vang-giam" TargetMode="External"/><Relationship Id="rId1153" Type="http://schemas.openxmlformats.org/officeDocument/2006/relationships/hyperlink" Target="https://techcombank.com/thong-tin/blog/lam-the-tin-dung-co-mat-phi-khong" TargetMode="External"/><Relationship Id="rId2000" Type="http://schemas.openxmlformats.org/officeDocument/2006/relationships/hyperlink" Target="https://techcombank.com/thong-tin/blog/lai-suat-vay-tin-chap" TargetMode="External"/><Relationship Id="rId2484" Type="http://schemas.openxmlformats.org/officeDocument/2006/relationships/hyperlink" Target="https://techcombank.com/thong-tin/blog/cac-chung-chi-quy-o-viet-nam" TargetMode="External"/><Relationship Id="rId565" Type="http://schemas.openxmlformats.org/officeDocument/2006/relationships/hyperlink" Target="https://techcombank.com/thong-tin/blog/gui-ma-qr-ngan-hang" TargetMode="External"/><Relationship Id="rId1154" Type="http://schemas.openxmlformats.org/officeDocument/2006/relationships/hyperlink" Target="https://techcombank.com/thong-tin/blog/kich-hoat-the-tin-dung-techcombank" TargetMode="External"/><Relationship Id="rId2001" Type="http://schemas.openxmlformats.org/officeDocument/2006/relationships/hyperlink" Target="https://techcombank.com/thong-tin/blog/cach-tiet-kiem-tien-sinh-loi" TargetMode="External"/><Relationship Id="rId2485" Type="http://schemas.openxmlformats.org/officeDocument/2006/relationships/hyperlink" Target="https://techcombank.com/thong-tin/blog/bang-gia-chung-chi-quy" TargetMode="External"/><Relationship Id="rId564" Type="http://schemas.openxmlformats.org/officeDocument/2006/relationships/hyperlink" Target="https://techcombank.com/thong-tin/blog/quet-ma-qr-techcombank" TargetMode="External"/><Relationship Id="rId1155" Type="http://schemas.openxmlformats.org/officeDocument/2006/relationships/hyperlink" Target="https://techcombank.com/thong-tin/blog/the-tin-dung-bi-khoa" TargetMode="External"/><Relationship Id="rId2002" Type="http://schemas.openxmlformats.org/officeDocument/2006/relationships/hyperlink" Target="https://techcombank.com/thong-tin/blog/co-50-trieu-nen-mua-vang-hay-gui-tiet-kiem" TargetMode="External"/><Relationship Id="rId2486" Type="http://schemas.openxmlformats.org/officeDocument/2006/relationships/hyperlink" Target="https://techcombank.com/thong-tin/blog/chung-chi-quy-dong" TargetMode="External"/><Relationship Id="rId563" Type="http://schemas.openxmlformats.org/officeDocument/2006/relationships/hyperlink" Target="https://techcombank.com/thong-tin/blog/cay-atm-gan-day" TargetMode="External"/><Relationship Id="rId1156" Type="http://schemas.openxmlformats.org/officeDocument/2006/relationships/hyperlink" Target="https://techcombank.com/thong-tin/blog/no-xau-mo-the-tin-dung-duoc-khong" TargetMode="External"/><Relationship Id="rId2003" Type="http://schemas.openxmlformats.org/officeDocument/2006/relationships/hyperlink" Target="https://techcombank.com/thong-tin/blog/vay-20-trieu" TargetMode="External"/><Relationship Id="rId2487" Type="http://schemas.openxmlformats.org/officeDocument/2006/relationships/hyperlink" Target="https://techcombank.com/thong-tin/blog/xu-huong-dau-tu-trai-phieu-ky-han-duoi-mot-nam-lua-chon-an-toan-khi-thi-truong-bien-dong" TargetMode="External"/><Relationship Id="rId562" Type="http://schemas.openxmlformats.org/officeDocument/2006/relationships/hyperlink" Target="https://techcombank.com/thong-tin/blog/bi-nuot-the-atm-phai-lam-sao" TargetMode="External"/><Relationship Id="rId1157" Type="http://schemas.openxmlformats.org/officeDocument/2006/relationships/hyperlink" Target="https://techcombank.com/thong-tin/blog/cach-tinh-lai-vay-ngan-hang" TargetMode="External"/><Relationship Id="rId2004" Type="http://schemas.openxmlformats.org/officeDocument/2006/relationships/hyperlink" Target="https://techcombank.com/thong-tin/blog/vay-tin-chap-la-gi" TargetMode="External"/><Relationship Id="rId2488" Type="http://schemas.openxmlformats.org/officeDocument/2006/relationships/hyperlink" Target="https://techcombank.com/thong-tin/blog/bao-hiem-sinh-ky-la-gi" TargetMode="External"/><Relationship Id="rId1147" Type="http://schemas.openxmlformats.org/officeDocument/2006/relationships/hyperlink" Target="https://techcombank.com/thong-tin/blog/cach-su-dung-the-tin-dung" TargetMode="External"/><Relationship Id="rId2478" Type="http://schemas.openxmlformats.org/officeDocument/2006/relationships/hyperlink" Target="https://techcombank.com/thong-tin/blog/tat-toan-chung-chi-tien-gui" TargetMode="External"/><Relationship Id="rId1148" Type="http://schemas.openxmlformats.org/officeDocument/2006/relationships/hyperlink" Target="https://techcombank.com/thong-tin/blog/han-muc-the-tin-dung" TargetMode="External"/><Relationship Id="rId2479" Type="http://schemas.openxmlformats.org/officeDocument/2006/relationships/hyperlink" Target="https://techcombank.com/thong-tin/blog/bao-hiem-lien-ket-dau-tu" TargetMode="External"/><Relationship Id="rId1149" Type="http://schemas.openxmlformats.org/officeDocument/2006/relationships/hyperlink" Target="https://techcombank.com/thong-tin/blog/nang-han-muc-tin-dung" TargetMode="External"/><Relationship Id="rId558" Type="http://schemas.openxmlformats.org/officeDocument/2006/relationships/hyperlink" Target="https://techcombank.com/thong-tin/blog/hoc-cach-tiet-kiem-tien-luong" TargetMode="External"/><Relationship Id="rId557" Type="http://schemas.openxmlformats.org/officeDocument/2006/relationships/hyperlink" Target="https://techcombank.com/thong-tin/blog/chi-tra-luong-huu" TargetMode="External"/><Relationship Id="rId556" Type="http://schemas.openxmlformats.org/officeDocument/2006/relationships/hyperlink" Target="https://techcombank.com/thong-tin/blog/kiem-tra-thue-thu-nhap-ca-nhan" TargetMode="External"/><Relationship Id="rId555" Type="http://schemas.openxmlformats.org/officeDocument/2006/relationships/hyperlink" Target="https://techcombank.com/thong-tin/blog/vay-the-chap-qua-luong" TargetMode="External"/><Relationship Id="rId559" Type="http://schemas.openxmlformats.org/officeDocument/2006/relationships/hyperlink" Target="https://techcombank.com/thong-tin/blog/rut-tien-bang-ma-qr-khac-ngan-hang-duoc-khong" TargetMode="External"/><Relationship Id="rId550" Type="http://schemas.openxmlformats.org/officeDocument/2006/relationships/hyperlink" Target="https://techcombank.com/thong-tin/blog/app-tra-luong" TargetMode="External"/><Relationship Id="rId2470" Type="http://schemas.openxmlformats.org/officeDocument/2006/relationships/hyperlink" Target="https://techcombank.com/thong-tin/blog/gui-tiet-kiem-ngan-hang-van-la-lua-chon-an-toan-trong-thoi-ky-kinh-te-con-nhieu-bien-dong" TargetMode="External"/><Relationship Id="rId1140" Type="http://schemas.openxmlformats.org/officeDocument/2006/relationships/hyperlink" Target="https://techcombank.com/thong-tin/blog/lam-the-tin-dung" TargetMode="External"/><Relationship Id="rId2471" Type="http://schemas.openxmlformats.org/officeDocument/2006/relationships/hyperlink" Target="https://techcombank.com/thong-tin/blog/co-nen-gui-chung-chi-tien-gui" TargetMode="External"/><Relationship Id="rId1141" Type="http://schemas.openxmlformats.org/officeDocument/2006/relationships/hyperlink" Target="https://techcombank.com/thong-tin/blog/the-tin-dung-co-ma-pin-khong" TargetMode="External"/><Relationship Id="rId2472" Type="http://schemas.openxmlformats.org/officeDocument/2006/relationships/hyperlink" Target="https://techcombank.com/thong-tin/blog/dau-tu-trai-phieu-doanh-nghiep-dung-ham-lai-suat-cao" TargetMode="External"/><Relationship Id="rId1142" Type="http://schemas.openxmlformats.org/officeDocument/2006/relationships/hyperlink" Target="https://techcombank.com/thong-tin/blog/cic-la-gi" TargetMode="External"/><Relationship Id="rId2473" Type="http://schemas.openxmlformats.org/officeDocument/2006/relationships/hyperlink" Target="https://techcombank.com/thong-tin/blog/phan-mem-lap-ke-hoach-tai-chinh-ca-nhan" TargetMode="External"/><Relationship Id="rId554" Type="http://schemas.openxmlformats.org/officeDocument/2006/relationships/hyperlink" Target="https://techcombank.com/thong-tin/blog/cach-tinh-thue-thu-nhap-ca-nhan-2025" TargetMode="External"/><Relationship Id="rId1143" Type="http://schemas.openxmlformats.org/officeDocument/2006/relationships/hyperlink" Target="https://techcombank.com/thong-tin/blog/the-tin-dung-noi-dia" TargetMode="External"/><Relationship Id="rId2474" Type="http://schemas.openxmlformats.org/officeDocument/2006/relationships/hyperlink" Target="https://techcombank.com/thong-tin/blog/dau-tu-ngan-han" TargetMode="External"/><Relationship Id="rId553" Type="http://schemas.openxmlformats.org/officeDocument/2006/relationships/hyperlink" Target="https://techcombank.com/thong-tin/blog/dang-ky-ma-so-thue-ca-nhan" TargetMode="External"/><Relationship Id="rId1144" Type="http://schemas.openxmlformats.org/officeDocument/2006/relationships/hyperlink" Target="https://techcombank.com/thong-tin/blog/lam-ho-so-tra-gop-dien-thoai" TargetMode="External"/><Relationship Id="rId2475" Type="http://schemas.openxmlformats.org/officeDocument/2006/relationships/hyperlink" Target="https://techcombank.com/thong-tin/blog/danh-muc-dau-tu" TargetMode="External"/><Relationship Id="rId552" Type="http://schemas.openxmlformats.org/officeDocument/2006/relationships/hyperlink" Target="https://techcombank.com/thong-tin/blog/chinh-sach-tang-luong-huu" TargetMode="External"/><Relationship Id="rId1145" Type="http://schemas.openxmlformats.org/officeDocument/2006/relationships/hyperlink" Target="https://techcombank.com/thong-tin/blog/lai-suat-ngan-hang-cho-vay-xay-nha" TargetMode="External"/><Relationship Id="rId2476" Type="http://schemas.openxmlformats.org/officeDocument/2006/relationships/hyperlink" Target="https://techcombank.com/thong-tin/blog/gui-tiet-kiem-lay-lai-hang-thang" TargetMode="External"/><Relationship Id="rId551" Type="http://schemas.openxmlformats.org/officeDocument/2006/relationships/hyperlink" Target="https://techcombank.com/thong-tin/blog/ho-kinh-doanh-dong-thue-nhu-nao" TargetMode="External"/><Relationship Id="rId1146" Type="http://schemas.openxmlformats.org/officeDocument/2006/relationships/hyperlink" Target="https://techcombank.com/thong-tin/blog/the-tin-dung-la-gi" TargetMode="External"/><Relationship Id="rId2477" Type="http://schemas.openxmlformats.org/officeDocument/2006/relationships/hyperlink" Target="https://techcombank.com/thong-tin/blog/tich-luy-tai-san" TargetMode="External"/><Relationship Id="rId2090" Type="http://schemas.openxmlformats.org/officeDocument/2006/relationships/hyperlink" Target="https://techcombank.com/thong-tin/blog/cach-tiet-kiem-tien-cua-nguoi-nhat" TargetMode="External"/><Relationship Id="rId2091" Type="http://schemas.openxmlformats.org/officeDocument/2006/relationships/hyperlink" Target="https://techcombank.com/thong-tin/blog/sai-lam-ve-tai-chinh-ca-nhan" TargetMode="External"/><Relationship Id="rId2092" Type="http://schemas.openxmlformats.org/officeDocument/2006/relationships/hyperlink" Target="https://techcombank.com/thong-tin/blog/lam-phat-la-gi" TargetMode="External"/><Relationship Id="rId2093" Type="http://schemas.openxmlformats.org/officeDocument/2006/relationships/hyperlink" Target="https://techcombank.com/thong-tin/blog/cach-tiet-kiem-tien-hieu-qua-cho-gia-dinh" TargetMode="External"/><Relationship Id="rId2094" Type="http://schemas.openxmlformats.org/officeDocument/2006/relationships/hyperlink" Target="https://techcombank.com/thong-tin/blog/dau-chan-carbon" TargetMode="External"/><Relationship Id="rId2095" Type="http://schemas.openxmlformats.org/officeDocument/2006/relationships/hyperlink" Target="https://techcombank.com/thong-tin/blog/mo-tai-khoan-ngan-hang-cho-tre-em" TargetMode="External"/><Relationship Id="rId2096" Type="http://schemas.openxmlformats.org/officeDocument/2006/relationships/hyperlink" Target="https://techcombank.com/thong-tin/blog/app-mua-truoc-tra-sau" TargetMode="External"/><Relationship Id="rId2097" Type="http://schemas.openxmlformats.org/officeDocument/2006/relationships/hyperlink" Target="https://techcombank.com/thong-tin/blog/phan-mem-quan-ly-tai-chinh-doanh-nghiep" TargetMode="External"/><Relationship Id="rId2098" Type="http://schemas.openxmlformats.org/officeDocument/2006/relationships/hyperlink" Target="https://techcombank.com/thong-tin/blog/quan-ly-tai-chinh-cho-dan-van-phong" TargetMode="External"/><Relationship Id="rId2099" Type="http://schemas.openxmlformats.org/officeDocument/2006/relationships/hyperlink" Target="https://techcombank.com/thong-tin/blog/lap-ke-hoach-tai-chinh-ca-nhan" TargetMode="External"/><Relationship Id="rId2060" Type="http://schemas.openxmlformats.org/officeDocument/2006/relationships/hyperlink" Target="https://techcombank.com/thong-tin/blog/mo-the-tin-dung-khong-can-chung-minh-thu-nhap" TargetMode="External"/><Relationship Id="rId2061" Type="http://schemas.openxmlformats.org/officeDocument/2006/relationships/hyperlink" Target="https://techcombank.com/thong-tin/blog/gui-tiet-kiem-online-quay-vong-ca-goc-va-lai" TargetMode="External"/><Relationship Id="rId2062" Type="http://schemas.openxmlformats.org/officeDocument/2006/relationships/hyperlink" Target="https://techcombank.com/thong-tin/blog/chung-chi-tien-gui-khac-gi-so-tiet-kiem" TargetMode="External"/><Relationship Id="rId2063" Type="http://schemas.openxmlformats.org/officeDocument/2006/relationships/hyperlink" Target="https://techcombank.com/thong-tin/blog/so-sanh-gui-tiet-kiem-online-va-tai-quay" TargetMode="External"/><Relationship Id="rId2064" Type="http://schemas.openxmlformats.org/officeDocument/2006/relationships/hyperlink" Target="https://techcombank.com/thong-tin/blog/cach-tiet-kiem-tien-sinh-loi" TargetMode="External"/><Relationship Id="rId2065" Type="http://schemas.openxmlformats.org/officeDocument/2006/relationships/hyperlink" Target="https://techcombank.com/thong-tin/blog/co-50-trieu-nen-mua-vang-hay-gui-tiet-kiem" TargetMode="External"/><Relationship Id="rId2066" Type="http://schemas.openxmlformats.org/officeDocument/2006/relationships/hyperlink" Target="https://techcombank.com/thong-tin/blog/lai-suat-gui-tiet-kiem-usd" TargetMode="External"/><Relationship Id="rId2067" Type="http://schemas.openxmlformats.org/officeDocument/2006/relationships/hyperlink" Target="https://techcombank.com/thong-tin/blog/gui-tiet-kiem-usd" TargetMode="External"/><Relationship Id="rId2068" Type="http://schemas.openxmlformats.org/officeDocument/2006/relationships/hyperlink" Target="https://techcombank.com/thong-tin/blog/cach-tiet-kiem-tien-theo-tuan" TargetMode="External"/><Relationship Id="rId2069" Type="http://schemas.openxmlformats.org/officeDocument/2006/relationships/hyperlink" Target="https://techcombank.com/thong-tin/blog/tiet-kiem-tien-moi-ngay" TargetMode="External"/><Relationship Id="rId2050" Type="http://schemas.openxmlformats.org/officeDocument/2006/relationships/hyperlink" Target="https://techcombank.com/thong-tin/blog/gui-tiet-kiem-lay-lai-hang-thang" TargetMode="External"/><Relationship Id="rId2051" Type="http://schemas.openxmlformats.org/officeDocument/2006/relationships/hyperlink" Target="https://techcombank.com/thong-tin/blog/rui-ro-khi-gui-tiet-kiem-online" TargetMode="External"/><Relationship Id="rId495" Type="http://schemas.openxmlformats.org/officeDocument/2006/relationships/hyperlink" Target="https://techcombank.com/thong-tin/blog/quyet-toan-thue-thu-nhap-ca-nhan" TargetMode="External"/><Relationship Id="rId2052" Type="http://schemas.openxmlformats.org/officeDocument/2006/relationships/hyperlink" Target="https://techcombank.com/thong-tin/blog/cach-tinh-lai-suat-tien-gui-tiet-kiem" TargetMode="External"/><Relationship Id="rId494" Type="http://schemas.openxmlformats.org/officeDocument/2006/relationships/hyperlink" Target="https://techcombank.com/thong-tin/blog/hoan-thue-thu-nhap-ca-nhan" TargetMode="External"/><Relationship Id="rId2053" Type="http://schemas.openxmlformats.org/officeDocument/2006/relationships/hyperlink" Target="https://techcombank.com/thong-tin/blog/gui-tiet-kiem-ngoai-te" TargetMode="External"/><Relationship Id="rId493" Type="http://schemas.openxmlformats.org/officeDocument/2006/relationships/hyperlink" Target="https://techcombank.com/thong-tin/blog/lien-ket-tai-khoan-ngan-hang-voi-etax-mobile" TargetMode="External"/><Relationship Id="rId2054" Type="http://schemas.openxmlformats.org/officeDocument/2006/relationships/hyperlink" Target="https://techcombank.com/thong-tin/blog/rui-ro-khi-gui-tiet-kiem-ngan-hang" TargetMode="External"/><Relationship Id="rId492" Type="http://schemas.openxmlformats.org/officeDocument/2006/relationships/hyperlink" Target="https://techcombank.com/thong-tin/blog/dang-ky-ma-so-thue-ca-nhan" TargetMode="External"/><Relationship Id="rId2055" Type="http://schemas.openxmlformats.org/officeDocument/2006/relationships/hyperlink" Target="https://techcombank.com/thong-tin/blog/gui-tiet-kiem-hang-thang" TargetMode="External"/><Relationship Id="rId499" Type="http://schemas.openxmlformats.org/officeDocument/2006/relationships/hyperlink" Target="https://techcombank.com/thong-tin/blog/kiem-tra-thue-ho-kinh-doanh" TargetMode="External"/><Relationship Id="rId2056" Type="http://schemas.openxmlformats.org/officeDocument/2006/relationships/hyperlink" Target="https://techcombank.com/thong-tin/blog/gui-tiet-kiem-online-bi-mat-tien" TargetMode="External"/><Relationship Id="rId498" Type="http://schemas.openxmlformats.org/officeDocument/2006/relationships/hyperlink" Target="https://techcombank.com/thong-tin/blog/tra-cuu-no-thue-ho-kinh-doanh" TargetMode="External"/><Relationship Id="rId2057" Type="http://schemas.openxmlformats.org/officeDocument/2006/relationships/hyperlink" Target="https://techcombank.com/thong-tin/blog/kinh-nghiem-gui-tiet-kiem-online" TargetMode="External"/><Relationship Id="rId497" Type="http://schemas.openxmlformats.org/officeDocument/2006/relationships/hyperlink" Target="https://techcombank.com/thong-tin/blog/tra-cuu-no-thue-hai-quan" TargetMode="External"/><Relationship Id="rId2058" Type="http://schemas.openxmlformats.org/officeDocument/2006/relationships/hyperlink" Target="https://techcombank.com/thong-tin/blog/vay-thau-chi-bang-so-tiet-kiem" TargetMode="External"/><Relationship Id="rId496" Type="http://schemas.openxmlformats.org/officeDocument/2006/relationships/hyperlink" Target="https://techcombank.com/thong-tin/blog/cach-tinh-thue-ho-kinh-doanh-nho-le" TargetMode="External"/><Relationship Id="rId2059" Type="http://schemas.openxmlformats.org/officeDocument/2006/relationships/hyperlink" Target="https://techcombank.com/thong-tin/blog/gui-tiet-kiem-online-co-rut-truoc-han-duoc-khong" TargetMode="External"/><Relationship Id="rId2080" Type="http://schemas.openxmlformats.org/officeDocument/2006/relationships/hyperlink" Target="https://techcombank.com/thong-tin/blog/thue-phi-co-dinh-khi-chuyen-doi-tu-ho-kinh-doanh-len-doanh-nghiep" TargetMode="External"/><Relationship Id="rId2081" Type="http://schemas.openxmlformats.org/officeDocument/2006/relationships/hyperlink" Target="https://techcombank.com/thong-tin/blog/ngan-hang-so-cho-doanh-nghiep" TargetMode="External"/><Relationship Id="rId2082" Type="http://schemas.openxmlformats.org/officeDocument/2006/relationships/hyperlink" Target="https://techcombank.com/thong-tin/blog/chinh-sach-tang-luong-huu" TargetMode="External"/><Relationship Id="rId2083" Type="http://schemas.openxmlformats.org/officeDocument/2006/relationships/hyperlink" Target="https://techcombank.com/thong-tin/blog/tinh-thanh-khoan-la-gi" TargetMode="External"/><Relationship Id="rId2084" Type="http://schemas.openxmlformats.org/officeDocument/2006/relationships/hyperlink" Target="https://techcombank.com/thong-tin/blog/loi-ich-cua-ngan-hang-so-voi-sme" TargetMode="External"/><Relationship Id="rId2085" Type="http://schemas.openxmlformats.org/officeDocument/2006/relationships/hyperlink" Target="https://techcombank.com/thong-tin/blog/npv-la-gi" TargetMode="External"/><Relationship Id="rId2086" Type="http://schemas.openxmlformats.org/officeDocument/2006/relationships/hyperlink" Target="https://techcombank.com/thong-tin/blog/quan-ly-tai-chinh-doanh-nghiep-la-gi" TargetMode="External"/><Relationship Id="rId2087" Type="http://schemas.openxmlformats.org/officeDocument/2006/relationships/hyperlink" Target="https://techcombank.com/thong-tin/blog/quan-ly-tai-chinh-doanh-nghiep-nho" TargetMode="External"/><Relationship Id="rId2088" Type="http://schemas.openxmlformats.org/officeDocument/2006/relationships/hyperlink" Target="https://techcombank.com/thong-tin/blog/uu-dai-the-tin-dung-techcombank-signature" TargetMode="External"/><Relationship Id="rId2089" Type="http://schemas.openxmlformats.org/officeDocument/2006/relationships/hyperlink" Target="https://techcombank.com/thong-tin/blog/tai-san-va-tieu-san-la-gi" TargetMode="External"/><Relationship Id="rId2070" Type="http://schemas.openxmlformats.org/officeDocument/2006/relationships/hyperlink" Target="https://techcombank.com/thong-tin/blog/hoc-cach-tiet-kiem-tien-luong" TargetMode="External"/><Relationship Id="rId2071" Type="http://schemas.openxmlformats.org/officeDocument/2006/relationships/hyperlink" Target="https://techcombank.com/thong-tin/blog/loi-ich-cua-viec-tiet-kiem-tien" TargetMode="External"/><Relationship Id="rId2072" Type="http://schemas.openxmlformats.org/officeDocument/2006/relationships/hyperlink" Target="https://techcombank.com/thong-tin/blog/the-nao-la-tiet-kiem" TargetMode="External"/><Relationship Id="rId2073" Type="http://schemas.openxmlformats.org/officeDocument/2006/relationships/hyperlink" Target="https://techcombank.com/thong-tin/blog/mo-tai-khoan-doanh-nghiep" TargetMode="External"/><Relationship Id="rId2074" Type="http://schemas.openxmlformats.org/officeDocument/2006/relationships/hyperlink" Target="https://techcombank.com/thong-tin/blog/vi-dien-tu" TargetMode="External"/><Relationship Id="rId2075" Type="http://schemas.openxmlformats.org/officeDocument/2006/relationships/hyperlink" Target="https://techcombank.com/thong-tin/blog/ke-hoach-tai-chinh" TargetMode="External"/><Relationship Id="rId2076" Type="http://schemas.openxmlformats.org/officeDocument/2006/relationships/hyperlink" Target="https://techcombank.com/thong-tin/blog/ma-mcc" TargetMode="External"/><Relationship Id="rId2077" Type="http://schemas.openxmlformats.org/officeDocument/2006/relationships/hyperlink" Target="https://techcombank.com/thong-tin/blog/chinh-sach-thue-moi" TargetMode="External"/><Relationship Id="rId2078" Type="http://schemas.openxmlformats.org/officeDocument/2006/relationships/hyperlink" Target="https://techcombank.com/thong-tin/blog/ghi-chep-chi-tieu" TargetMode="External"/><Relationship Id="rId2079" Type="http://schemas.openxmlformats.org/officeDocument/2006/relationships/hyperlink" Target="https://techcombank.com/thong-tin/blog/vi-tra-sau" TargetMode="External"/><Relationship Id="rId1610" Type="http://schemas.openxmlformats.org/officeDocument/2006/relationships/hyperlink" Target="https://techcombank.com/thong-tin/blog/top-phan-mem-ban-hang" TargetMode="External"/><Relationship Id="rId1611" Type="http://schemas.openxmlformats.org/officeDocument/2006/relationships/hyperlink" Target="https://techcombank.com/thong-tin/blog/dieu-kien-vay-von-ngan-hang" TargetMode="External"/><Relationship Id="rId1612" Type="http://schemas.openxmlformats.org/officeDocument/2006/relationships/hyperlink" Target="https://techcombank.com/thong-tin/blog/phat-cham-dang-ky-thue-ho-kinh-doanh" TargetMode="External"/><Relationship Id="rId1613" Type="http://schemas.openxmlformats.org/officeDocument/2006/relationships/hyperlink" Target="https://techcombank.com/thong-tin/blog/ho-kinh-doanh-ca-the" TargetMode="External"/><Relationship Id="rId1614" Type="http://schemas.openxmlformats.org/officeDocument/2006/relationships/hyperlink" Target="https://techcombank.com/thong-tin/blog/phan-mem-xuat-hoa-don-dien-tu" TargetMode="External"/><Relationship Id="rId1615" Type="http://schemas.openxmlformats.org/officeDocument/2006/relationships/hyperlink" Target="https://techcombank.com/thong-tin/blog/tra-cuu-no-thue-doanh-nghiep" TargetMode="External"/><Relationship Id="rId1616" Type="http://schemas.openxmlformats.org/officeDocument/2006/relationships/hyperlink" Target="https://techcombank.com/thong-tin/blog/nop-thue-hai-quan" TargetMode="External"/><Relationship Id="rId907" Type="http://schemas.openxmlformats.org/officeDocument/2006/relationships/hyperlink" Target="https://techcombank.com/thong-tin/blog/uu-dai-mo-the-tin-dung" TargetMode="External"/><Relationship Id="rId1617" Type="http://schemas.openxmlformats.org/officeDocument/2006/relationships/hyperlink" Target="https://techcombank.com/thong-tin/blog/tien-chuyen-vao-tai-khoan-co-bi-tinh-thue-khong" TargetMode="External"/><Relationship Id="rId906" Type="http://schemas.openxmlformats.org/officeDocument/2006/relationships/hyperlink" Target="https://techcombank.com/thong-tin/blog/cashback-the-thanh-toan" TargetMode="External"/><Relationship Id="rId1618" Type="http://schemas.openxmlformats.org/officeDocument/2006/relationships/hyperlink" Target="https://techcombank.com/thong-tin/blog/cach-tinh-thue-thu-nhap-ca-nhan-2025" TargetMode="External"/><Relationship Id="rId905" Type="http://schemas.openxmlformats.org/officeDocument/2006/relationships/hyperlink" Target="https://techcombank.com/thong-tin/blog/thanh-toan-tien-dien-bang-the-tin-dung" TargetMode="External"/><Relationship Id="rId1619" Type="http://schemas.openxmlformats.org/officeDocument/2006/relationships/hyperlink" Target="https://techcombank.com/thong-tin/blog/cach-lam-the-ngan-hang-chay-quang-cao-facebook" TargetMode="External"/><Relationship Id="rId904" Type="http://schemas.openxmlformats.org/officeDocument/2006/relationships/hyperlink" Target="https://techcombank.com/thong-tin/blog/tai-khoan-ngan-hang-la-gi" TargetMode="External"/><Relationship Id="rId909" Type="http://schemas.openxmlformats.org/officeDocument/2006/relationships/hyperlink" Target="https://techcombank.com/thong-tin/blog/cach-su-dung-the-tin-dung" TargetMode="External"/><Relationship Id="rId908" Type="http://schemas.openxmlformats.org/officeDocument/2006/relationships/hyperlink" Target="https://techcombank.com/thong-tin/blog/the-tin-dung-mien-phi-thuong-nien" TargetMode="External"/><Relationship Id="rId903" Type="http://schemas.openxmlformats.org/officeDocument/2006/relationships/hyperlink" Target="https://techcombank.com/thong-tin/blog/sang-ngang-the-tin-dung" TargetMode="External"/><Relationship Id="rId902" Type="http://schemas.openxmlformats.org/officeDocument/2006/relationships/hyperlink" Target="https://techcombank.com/thong-tin/blog/the-tin-dung-hoan-tien" TargetMode="External"/><Relationship Id="rId901" Type="http://schemas.openxmlformats.org/officeDocument/2006/relationships/hyperlink" Target="https://techcombank.com/thong-tin/blog/han-muc-tra-gop-the-tin-dung" TargetMode="External"/><Relationship Id="rId900" Type="http://schemas.openxmlformats.org/officeDocument/2006/relationships/hyperlink" Target="https://techcombank.com/thong-tin/blog/so-the-tin-dung" TargetMode="External"/><Relationship Id="rId1600" Type="http://schemas.openxmlformats.org/officeDocument/2006/relationships/hyperlink" Target="https://techcombank.com/thong-tin/blog/one-stop-shop" TargetMode="External"/><Relationship Id="rId1601" Type="http://schemas.openxmlformats.org/officeDocument/2006/relationships/hyperlink" Target="https://techcombank.com/thong-tin/blog/thue-phi-co-dinh-khi-chuyen-doi-tu-ho-kinh-doanh-len-doanh-nghiep" TargetMode="External"/><Relationship Id="rId1602" Type="http://schemas.openxmlformats.org/officeDocument/2006/relationships/hyperlink" Target="https://techcombank.com/thong-tin/blog/tim-hieu-ve-chinh-sach-thue-moi" TargetMode="External"/><Relationship Id="rId1603" Type="http://schemas.openxmlformats.org/officeDocument/2006/relationships/hyperlink" Target="https://techcombank.com/thong-tin/blog/may-tinh-tien" TargetMode="External"/><Relationship Id="rId1604" Type="http://schemas.openxmlformats.org/officeDocument/2006/relationships/hyperlink" Target="https://techcombank.com/thong-tin/blog/thue-thu-nhap-doanh-nghiep" TargetMode="External"/><Relationship Id="rId1605" Type="http://schemas.openxmlformats.org/officeDocument/2006/relationships/hyperlink" Target="https://techcombank.com/thong-tin/blog/doanh-nghiep-moi-thanh-lap-duoc-uu-dai-gi" TargetMode="External"/><Relationship Id="rId1606" Type="http://schemas.openxmlformats.org/officeDocument/2006/relationships/hyperlink" Target="https://techcombank.com/thong-tin/blog/quyet-toan-thue-doanh-nghiep" TargetMode="External"/><Relationship Id="rId1607" Type="http://schemas.openxmlformats.org/officeDocument/2006/relationships/hyperlink" Target="https://techcombank.com/thong-tin/blog/dang-ky-ma-so-thue-ca-nhan" TargetMode="External"/><Relationship Id="rId1608" Type="http://schemas.openxmlformats.org/officeDocument/2006/relationships/hyperlink" Target="https://techcombank.com/thong-tin/blog/ke-khai-thue-doanh-nghiep" TargetMode="External"/><Relationship Id="rId1609" Type="http://schemas.openxmlformats.org/officeDocument/2006/relationships/hyperlink" Target="https://techcombank.com/thong-tin/blog/kinh-nghiem-chuyen-doi-tu-ho-kinh-doanh-len-doanh-nghiep" TargetMode="External"/><Relationship Id="rId1631" Type="http://schemas.openxmlformats.org/officeDocument/2006/relationships/hyperlink" Target="https://techcombank.com/thong-tin/blog/merchant-la-gi" TargetMode="External"/><Relationship Id="rId1632" Type="http://schemas.openxmlformats.org/officeDocument/2006/relationships/hyperlink" Target="https://techcombank.com/thong-tin/blog/huong-dan-dang-ky-thanh-lap-doanh-nghiep" TargetMode="External"/><Relationship Id="rId1633" Type="http://schemas.openxmlformats.org/officeDocument/2006/relationships/hyperlink" Target="https://techcombank.com/thong-tin/blog/khoi-nghiep-truoc-chinh-sach-thue-moi" TargetMode="External"/><Relationship Id="rId1634" Type="http://schemas.openxmlformats.org/officeDocument/2006/relationships/hyperlink" Target="https://techcombank.com/thong-tin/blog/mo-tai-khoan-ho-kinh-doanh" TargetMode="External"/><Relationship Id="rId1635" Type="http://schemas.openxmlformats.org/officeDocument/2006/relationships/hyperlink" Target="https://techcombank.com/thong-tin/blog/quan-ly-chuoi-cua-hang" TargetMode="External"/><Relationship Id="rId1636" Type="http://schemas.openxmlformats.org/officeDocument/2006/relationships/hyperlink" Target="https://techcombank.com/thong-tin/blog/kiem-tra-thue-ho-kinh-doanh" TargetMode="External"/><Relationship Id="rId1637" Type="http://schemas.openxmlformats.org/officeDocument/2006/relationships/hyperlink" Target="https://techcombank.com/thong-tin/blog/giai-phap-quan-ly-chuoi-cua-hang" TargetMode="External"/><Relationship Id="rId1638" Type="http://schemas.openxmlformats.org/officeDocument/2006/relationships/hyperlink" Target="https://techcombank.com/thong-tin/blog/cach-dang-ky-ma-so-thue-ho-kinh-doanh-online" TargetMode="External"/><Relationship Id="rId929" Type="http://schemas.openxmlformats.org/officeDocument/2006/relationships/hyperlink" Target="https://techcombank.com/thong-tin/blog/qua-han-thanh-toan-the-tin-dung-1-ngay" TargetMode="External"/><Relationship Id="rId1639" Type="http://schemas.openxmlformats.org/officeDocument/2006/relationships/hyperlink" Target="https://techcombank.com/thong-tin/blog/tra-cuu-ma-so-thue-ho-kinh-doanh" TargetMode="External"/><Relationship Id="rId928" Type="http://schemas.openxmlformats.org/officeDocument/2006/relationships/hyperlink" Target="https://techcombank.com/thong-tin/blog/the-tin-dung-quoc-te" TargetMode="External"/><Relationship Id="rId927" Type="http://schemas.openxmlformats.org/officeDocument/2006/relationships/hyperlink" Target="https://techcombank.com/thong-tin/blog/ma-buu-chinh-the-tin-dung" TargetMode="External"/><Relationship Id="rId926" Type="http://schemas.openxmlformats.org/officeDocument/2006/relationships/hyperlink" Target="https://techcombank.com/thong-tin/blog/co-nen-dung-the-tin-dung-khong" TargetMode="External"/><Relationship Id="rId921" Type="http://schemas.openxmlformats.org/officeDocument/2006/relationships/hyperlink" Target="https://techcombank.com/thong-tin/blog/mua-truoc-tra-sau" TargetMode="External"/><Relationship Id="rId920" Type="http://schemas.openxmlformats.org/officeDocument/2006/relationships/hyperlink" Target="https://techcombank.com/thong-tin/blog/the-visa-co-can-mat-khau-khong" TargetMode="External"/><Relationship Id="rId925" Type="http://schemas.openxmlformats.org/officeDocument/2006/relationships/hyperlink" Target="https://techcombank.com/thong-tin/blog/cach-huy-the-tin-dung" TargetMode="External"/><Relationship Id="rId924" Type="http://schemas.openxmlformats.org/officeDocument/2006/relationships/hyperlink" Target="https://techcombank.com/thong-tin/blog/the-tin-dung-het-han" TargetMode="External"/><Relationship Id="rId923" Type="http://schemas.openxmlformats.org/officeDocument/2006/relationships/hyperlink" Target="https://techcombank.com/thong-tin/blog/the-ghi-no-va-the-tin-dung" TargetMode="External"/><Relationship Id="rId922" Type="http://schemas.openxmlformats.org/officeDocument/2006/relationships/hyperlink" Target="https://techcombank.com/thong-tin/blog/tra-cuu-han-muc-the-tin-dung" TargetMode="External"/><Relationship Id="rId1630" Type="http://schemas.openxmlformats.org/officeDocument/2006/relationships/hyperlink" Target="https://techcombank.com/thong-tin/blog/cac-loai-hinh-doanh-nghiep" TargetMode="External"/><Relationship Id="rId1620" Type="http://schemas.openxmlformats.org/officeDocument/2006/relationships/hyperlink" Target="https://techcombank.com/thong-tin/blog/thue-thu-nhap-ca-nhan" TargetMode="External"/><Relationship Id="rId1621" Type="http://schemas.openxmlformats.org/officeDocument/2006/relationships/hyperlink" Target="https://techcombank.com/thong-tin/blog/ho-kinh-doanh-can-gi-o-tai-khoan-ngan-hang" TargetMode="External"/><Relationship Id="rId1622" Type="http://schemas.openxmlformats.org/officeDocument/2006/relationships/hyperlink" Target="https://techcombank.com/thong-tin/blog/kiem-tra-thue-thu-nhap-ca-nhan" TargetMode="External"/><Relationship Id="rId1623" Type="http://schemas.openxmlformats.org/officeDocument/2006/relationships/hyperlink" Target="https://techcombank.com/thong-tin/blog/thue-vat-la-gi" TargetMode="External"/><Relationship Id="rId1624" Type="http://schemas.openxmlformats.org/officeDocument/2006/relationships/hyperlink" Target="https://techcombank.com/thong-tin/blog/nop-thue-dat-qua-ngan-hang" TargetMode="External"/><Relationship Id="rId1625" Type="http://schemas.openxmlformats.org/officeDocument/2006/relationships/hyperlink" Target="https://techcombank.com/thong-tin/blog/chuyen-nhuong-chung-chi-tien-gui" TargetMode="External"/><Relationship Id="rId1626" Type="http://schemas.openxmlformats.org/officeDocument/2006/relationships/hyperlink" Target="https://techcombank.com/thong-tin/blog/cach-nop-thue-dien-tu" TargetMode="External"/><Relationship Id="rId1627" Type="http://schemas.openxmlformats.org/officeDocument/2006/relationships/hyperlink" Target="https://techcombank.com/thong-tin/blog/nhuong-quyen-la-gi" TargetMode="External"/><Relationship Id="rId918" Type="http://schemas.openxmlformats.org/officeDocument/2006/relationships/hyperlink" Target="https://techcombank.com/thong-tin/blog/cach-lam-the-ngan-hang-chay-quang-cao-facebook" TargetMode="External"/><Relationship Id="rId1628" Type="http://schemas.openxmlformats.org/officeDocument/2006/relationships/hyperlink" Target="https://techcombank.com/thong-tin/blog/kinh-doanh-online" TargetMode="External"/><Relationship Id="rId917" Type="http://schemas.openxmlformats.org/officeDocument/2006/relationships/hyperlink" Target="https://techcombank.com/thong-tin/blog/the-tin-dung-nao-nhieu-uu-dai-nhat" TargetMode="External"/><Relationship Id="rId1629" Type="http://schemas.openxmlformats.org/officeDocument/2006/relationships/hyperlink" Target="https://techcombank.com/thong-tin/blog/one-stop-shop" TargetMode="External"/><Relationship Id="rId916" Type="http://schemas.openxmlformats.org/officeDocument/2006/relationships/hyperlink" Target="https://techcombank.com/thong-tin/blog/so-cvv-la-gi" TargetMode="External"/><Relationship Id="rId915" Type="http://schemas.openxmlformats.org/officeDocument/2006/relationships/hyperlink" Target="https://techcombank.com/thong-tin/blog/mat-the-tin-dung-co-bi-mat-tien-khong" TargetMode="External"/><Relationship Id="rId919" Type="http://schemas.openxmlformats.org/officeDocument/2006/relationships/hyperlink" Target="https://techcombank.com/thong-tin/blog/mua-iphone-17" TargetMode="External"/><Relationship Id="rId910" Type="http://schemas.openxmlformats.org/officeDocument/2006/relationships/hyperlink" Target="https://techcombank.com/thong-tin/blog/tai-khoan-doanh-nghiep-co-the-khong" TargetMode="External"/><Relationship Id="rId914" Type="http://schemas.openxmlformats.org/officeDocument/2006/relationships/hyperlink" Target="https://techcombank.com/thong-tin/blog/uu-dai-mua-ve-may-bay-bang-the-tin-dung" TargetMode="External"/><Relationship Id="rId913" Type="http://schemas.openxmlformats.org/officeDocument/2006/relationships/hyperlink" Target="https://techcombank.com/thong-tin/blog/cac-loai-the-tin-dung" TargetMode="External"/><Relationship Id="rId912" Type="http://schemas.openxmlformats.org/officeDocument/2006/relationships/hyperlink" Target="https://techcombank.com/thong-tin/blog/uu-dai-the-tin-dung-techcombank-signature" TargetMode="External"/><Relationship Id="rId911" Type="http://schemas.openxmlformats.org/officeDocument/2006/relationships/hyperlink" Target="https://techcombank.com/thong-tin/blog/mm-yy-la-gi" TargetMode="External"/><Relationship Id="rId1213" Type="http://schemas.openxmlformats.org/officeDocument/2006/relationships/hyperlink" Target="https://techcombank.com/thong-tin/blog/rui-ro-khi-gui-tiet-kiem-ngan-hang" TargetMode="External"/><Relationship Id="rId1697" Type="http://schemas.openxmlformats.org/officeDocument/2006/relationships/hyperlink" Target="https://techcombank.com/thong-tin/blog/thay-doi-dia-chi-ho-kinh-doanh" TargetMode="External"/><Relationship Id="rId1214" Type="http://schemas.openxmlformats.org/officeDocument/2006/relationships/hyperlink" Target="https://techcombank.com/thong-tin/blog/gui-tiet-kiem-hang-thang" TargetMode="External"/><Relationship Id="rId1698" Type="http://schemas.openxmlformats.org/officeDocument/2006/relationships/hyperlink" Target="https://techcombank.com/thong-tin/blog/nhung-ho-kinh-doanh-duoc-mien-thue" TargetMode="External"/><Relationship Id="rId1215" Type="http://schemas.openxmlformats.org/officeDocument/2006/relationships/hyperlink" Target="https://techcombank.com/thong-tin/blog/cach-tinh-loi-nhuan-chung-chi-tien-gui" TargetMode="External"/><Relationship Id="rId1699" Type="http://schemas.openxmlformats.org/officeDocument/2006/relationships/hyperlink" Target="https://techcombank.com/thong-tin/blog/luu-y-khi-chuyen-doi-tu-ho-kinh-doanh-len-doanh-nghiep" TargetMode="External"/><Relationship Id="rId1216" Type="http://schemas.openxmlformats.org/officeDocument/2006/relationships/hyperlink" Target="https://techcombank.com/thong-tin/blog/gui-tiet-kiem-online-bi-mat-tien" TargetMode="External"/><Relationship Id="rId1217" Type="http://schemas.openxmlformats.org/officeDocument/2006/relationships/hyperlink" Target="https://techcombank.com/thong-tin/blog/kinh-nghiem-gui-tiet-kiem-online" TargetMode="External"/><Relationship Id="rId1218" Type="http://schemas.openxmlformats.org/officeDocument/2006/relationships/hyperlink" Target="https://techcombank.com/thong-tin/blog/gui-tiet-kiem-online-co-rut-truoc-han-duoc-khong" TargetMode="External"/><Relationship Id="rId1219" Type="http://schemas.openxmlformats.org/officeDocument/2006/relationships/hyperlink" Target="https://techcombank.com/thong-tin/blog/lai-suat-chung-chi-tien-gui-cac-ngan-hang" TargetMode="External"/><Relationship Id="rId866" Type="http://schemas.openxmlformats.org/officeDocument/2006/relationships/hyperlink" Target="https://techcombank.com/thong-tin/blog/tra-gop-shopee" TargetMode="External"/><Relationship Id="rId865" Type="http://schemas.openxmlformats.org/officeDocument/2006/relationships/hyperlink" Target="https://techcombank.com/thong-tin/blog/thanh-toan-toi-thieu-the-tin-dung" TargetMode="External"/><Relationship Id="rId864" Type="http://schemas.openxmlformats.org/officeDocument/2006/relationships/hyperlink" Target="https://techcombank.com/thong-tin/blog/the-tin-dung-ao" TargetMode="External"/><Relationship Id="rId863" Type="http://schemas.openxmlformats.org/officeDocument/2006/relationships/hyperlink" Target="https://techcombank.com/thong-tin/blog/lai-suat-the-tin-dung" TargetMode="External"/><Relationship Id="rId869" Type="http://schemas.openxmlformats.org/officeDocument/2006/relationships/hyperlink" Target="https://techcombank.com/thong-tin/blog/tra-gop-lazada" TargetMode="External"/><Relationship Id="rId868" Type="http://schemas.openxmlformats.org/officeDocument/2006/relationships/hyperlink" Target="https://techcombank.com/thong-tin/blog/thanh-toan-tra-gop-qua-the-tin-dung" TargetMode="External"/><Relationship Id="rId867" Type="http://schemas.openxmlformats.org/officeDocument/2006/relationships/hyperlink" Target="https://techcombank.com/thong-tin/blog/thanh-toan-tien-dien-bang-the-tin-dung" TargetMode="External"/><Relationship Id="rId1690" Type="http://schemas.openxmlformats.org/officeDocument/2006/relationships/hyperlink" Target="https://techcombank.com/thong-tin/blog/thu-tuc-vay-von-kinh-doanh-nho" TargetMode="External"/><Relationship Id="rId1691" Type="http://schemas.openxmlformats.org/officeDocument/2006/relationships/hyperlink" Target="https://techcombank.com/thong-tin/blog/truy-thu-thue-ho-kinh-doanh" TargetMode="External"/><Relationship Id="rId1692" Type="http://schemas.openxmlformats.org/officeDocument/2006/relationships/hyperlink" Target="https://techcombank.com/thong-tin/blog/kiem-tra-thue-ho-kinh-doanh" TargetMode="External"/><Relationship Id="rId862" Type="http://schemas.openxmlformats.org/officeDocument/2006/relationships/hyperlink" Target="https://techcombank.com/thong-tin/blog/3d-secure" TargetMode="External"/><Relationship Id="rId1693" Type="http://schemas.openxmlformats.org/officeDocument/2006/relationships/hyperlink" Target="https://techcombank.com/thong-tin/blog/cac-sai-lam-pho-bien-khi-chuyen-doi-ho-kinh-doanh-len-sme" TargetMode="External"/><Relationship Id="rId861" Type="http://schemas.openxmlformats.org/officeDocument/2006/relationships/hyperlink" Target="https://techcombank.com/thong-tin/blog/mo-the-tin-dung-han-muc-cao" TargetMode="External"/><Relationship Id="rId1210" Type="http://schemas.openxmlformats.org/officeDocument/2006/relationships/hyperlink" Target="https://techcombank.com/thong-tin/blog/chon-kenh-dau-tu-an-toan-trong-boi-canh-thi-truong-bien-dong" TargetMode="External"/><Relationship Id="rId1694" Type="http://schemas.openxmlformats.org/officeDocument/2006/relationships/hyperlink" Target="https://techcombank.com/thong-tin/blog/giay-phep-kinh-doanh" TargetMode="External"/><Relationship Id="rId860" Type="http://schemas.openxmlformats.org/officeDocument/2006/relationships/hyperlink" Target="https://techcombank.com/thong-tin/blog/the-tin-dung-techcombank-visa-eco" TargetMode="External"/><Relationship Id="rId1211" Type="http://schemas.openxmlformats.org/officeDocument/2006/relationships/hyperlink" Target="https://techcombank.com/thong-tin/blog/chuyen-nhuong-chung-chi-tien-gui" TargetMode="External"/><Relationship Id="rId1695" Type="http://schemas.openxmlformats.org/officeDocument/2006/relationships/hyperlink" Target="https://techcombank.com/thong-tin/blog/chuyen-doi-hoa-don-dien-tu" TargetMode="External"/><Relationship Id="rId1212" Type="http://schemas.openxmlformats.org/officeDocument/2006/relationships/hyperlink" Target="https://techcombank.com/thong-tin/blog/gui-tiet-kiem-ngoai-te" TargetMode="External"/><Relationship Id="rId1696" Type="http://schemas.openxmlformats.org/officeDocument/2006/relationships/hyperlink" Target="https://techcombank.com/thong-tin/blog/dang-ky-kinh-doanh-la-gi" TargetMode="External"/><Relationship Id="rId1202" Type="http://schemas.openxmlformats.org/officeDocument/2006/relationships/hyperlink" Target="https://techcombank.com/thong-tin/blog/nen-gui-tiet-kiem-6-thang-hay-1-nam" TargetMode="External"/><Relationship Id="rId1686" Type="http://schemas.openxmlformats.org/officeDocument/2006/relationships/hyperlink" Target="https://techcombank.com/thong-tin/blog/nen-thanh-lap-ho-kinh-doanh-ke-khai-hay-doanh-nghiep" TargetMode="External"/><Relationship Id="rId1203" Type="http://schemas.openxmlformats.org/officeDocument/2006/relationships/hyperlink" Target="https://techcombank.com/thong-tin/blog/dau-tu-ngan-han" TargetMode="External"/><Relationship Id="rId1687" Type="http://schemas.openxmlformats.org/officeDocument/2006/relationships/hyperlink" Target="https://techcombank.com/thong-tin/blog/vay-tin-chap-ho-kinh-doanh" TargetMode="External"/><Relationship Id="rId1204" Type="http://schemas.openxmlformats.org/officeDocument/2006/relationships/hyperlink" Target="https://techcombank.com/thong-tin/blog/ho-kinh-doanh-can-gi-o-tai-khoan-ngan-hang" TargetMode="External"/><Relationship Id="rId1688" Type="http://schemas.openxmlformats.org/officeDocument/2006/relationships/hyperlink" Target="https://techcombank.com/thong-tin/blog/tra-cuu-no-thue-ho-kinh-doanh" TargetMode="External"/><Relationship Id="rId1205" Type="http://schemas.openxmlformats.org/officeDocument/2006/relationships/hyperlink" Target="https://techcombank.com/thong-tin/blog/gui-tiet-kiem-tich-luy-la-gi" TargetMode="External"/><Relationship Id="rId1689" Type="http://schemas.openxmlformats.org/officeDocument/2006/relationships/hyperlink" Target="https://techcombank.com/thong-tin/blog/lien-ket-tai-khoan-ngan-hang-voi-etax-mobile" TargetMode="External"/><Relationship Id="rId1206" Type="http://schemas.openxmlformats.org/officeDocument/2006/relationships/hyperlink" Target="https://techcombank.com/thong-tin/blog/gui-tiet-kiem-lay-lai-hang-thang" TargetMode="External"/><Relationship Id="rId1207" Type="http://schemas.openxmlformats.org/officeDocument/2006/relationships/hyperlink" Target="https://techcombank.com/thong-tin/blog/rui-ro-khi-gui-tiet-kiem-online" TargetMode="External"/><Relationship Id="rId1208" Type="http://schemas.openxmlformats.org/officeDocument/2006/relationships/hyperlink" Target="https://techcombank.com/thong-tin/blog/tat-toan-chung-chi-tien-gui" TargetMode="External"/><Relationship Id="rId1209" Type="http://schemas.openxmlformats.org/officeDocument/2006/relationships/hyperlink" Target="https://techcombank.com/thong-tin/blog/cach-tinh-lai-suat-tien-gui-tiet-kiem" TargetMode="External"/><Relationship Id="rId855" Type="http://schemas.openxmlformats.org/officeDocument/2006/relationships/hyperlink" Target="https://techcombank.com/thong-tin/blog/the-tin-dung-den" TargetMode="External"/><Relationship Id="rId854" Type="http://schemas.openxmlformats.org/officeDocument/2006/relationships/hyperlink" Target="https://techcombank.com/thong-tin/blog/cach-thanh-toan-the-tin-dung" TargetMode="External"/><Relationship Id="rId853" Type="http://schemas.openxmlformats.org/officeDocument/2006/relationships/hyperlink" Target="https://techcombank.com/thong-tin/blog/vay-ngan-hang-1-ty-moi-thang-tra-bao-nhieu" TargetMode="External"/><Relationship Id="rId852" Type="http://schemas.openxmlformats.org/officeDocument/2006/relationships/hyperlink" Target="https://techcombank.com/thong-tin/blog/tiet-kiem-khi-di-du-lich" TargetMode="External"/><Relationship Id="rId859" Type="http://schemas.openxmlformats.org/officeDocument/2006/relationships/hyperlink" Target="https://techcombank.com/thong-tin/blog/the-tin-dung-co-chuyen-khoan-duoc-khong" TargetMode="External"/><Relationship Id="rId858" Type="http://schemas.openxmlformats.org/officeDocument/2006/relationships/hyperlink" Target="https://techcombank.com/thong-tin/blog/uu-dai-mo-the-tin-dung" TargetMode="External"/><Relationship Id="rId857" Type="http://schemas.openxmlformats.org/officeDocument/2006/relationships/hyperlink" Target="https://techcombank.com/thong-tin/blog/thanh-toan-online-bang-the-tin-dung" TargetMode="External"/><Relationship Id="rId856" Type="http://schemas.openxmlformats.org/officeDocument/2006/relationships/hyperlink" Target="https://techcombank.com/thong-tin/blog/dao-han-the-tin-dung" TargetMode="External"/><Relationship Id="rId1680" Type="http://schemas.openxmlformats.org/officeDocument/2006/relationships/hyperlink" Target="https://techcombank.com/thong-tin/blog/cach-tinh-thue-ho-kinh-doanh-nho-le" TargetMode="External"/><Relationship Id="rId1681" Type="http://schemas.openxmlformats.org/officeDocument/2006/relationships/hyperlink" Target="https://techcombank.com/thong-tin/blog/loi-ich-khi-ho-kinh-doanh-chuyen-len-doanh-nghiep" TargetMode="External"/><Relationship Id="rId851" Type="http://schemas.openxmlformats.org/officeDocument/2006/relationships/hyperlink" Target="https://techcombank.com/thong-tin/blog/phi-rut-tien-mat-the-tin-dung" TargetMode="External"/><Relationship Id="rId1682" Type="http://schemas.openxmlformats.org/officeDocument/2006/relationships/hyperlink" Target="https://techcombank.com/thong-tin/blog/tiem-nang-chuyen-doi-tu-ho-kinh-doanh-len-doanh-nghiep-sme" TargetMode="External"/><Relationship Id="rId850" Type="http://schemas.openxmlformats.org/officeDocument/2006/relationships/hyperlink" Target="https://techcombank.com/thong-tin/blog/qua-han-thanh-toan-the-tin-dung-1-ngay" TargetMode="External"/><Relationship Id="rId1683" Type="http://schemas.openxmlformats.org/officeDocument/2006/relationships/hyperlink" Target="https://techcombank.com/thong-tin/blog/lai-suat-vay-kinh-doanh" TargetMode="External"/><Relationship Id="rId1200" Type="http://schemas.openxmlformats.org/officeDocument/2006/relationships/hyperlink" Target="https://techcombank.com/thong-tin/blog/gui-tien-ngan-hang-co-an-toan-khong" TargetMode="External"/><Relationship Id="rId1684" Type="http://schemas.openxmlformats.org/officeDocument/2006/relationships/hyperlink" Target="https://techcombank.com/thong-tin/blog/chuyen-doi-ho-kinh-doanh-len-doanh-nghiep" TargetMode="External"/><Relationship Id="rId1201" Type="http://schemas.openxmlformats.org/officeDocument/2006/relationships/hyperlink" Target="https://techcombank.com/thong-tin/blog/dau-tu-trai-phieu-doanh-nghiep-dung-ham-lai-suat-cao" TargetMode="External"/><Relationship Id="rId1685" Type="http://schemas.openxmlformats.org/officeDocument/2006/relationships/hyperlink" Target="https://techcombank.com/thong-tin/blog/thanh-toan-khong-dung-tien-mat" TargetMode="External"/><Relationship Id="rId1235" Type="http://schemas.openxmlformats.org/officeDocument/2006/relationships/hyperlink" Target="https://techcombank.com/thong-tin/blog/co-nen-gui-chung-chi-tien-gui" TargetMode="External"/><Relationship Id="rId1236" Type="http://schemas.openxmlformats.org/officeDocument/2006/relationships/hyperlink" Target="https://techcombank.com/thong-tin/blog/dau-tu-trai-phieu-doanh-nghiep-dung-ham-lai-suat-cao" TargetMode="External"/><Relationship Id="rId1237" Type="http://schemas.openxmlformats.org/officeDocument/2006/relationships/hyperlink" Target="https://techcombank.com/thong-tin/blog/cach-tinh-lai-suat-tien-gui-tiet-kiem" TargetMode="External"/><Relationship Id="rId1238" Type="http://schemas.openxmlformats.org/officeDocument/2006/relationships/hyperlink" Target="https://techcombank.com/thong-tin/blog/chon-kenh-dau-tu-an-toan-trong-boi-canh-thi-truong-bien-dong" TargetMode="External"/><Relationship Id="rId1239" Type="http://schemas.openxmlformats.org/officeDocument/2006/relationships/hyperlink" Target="https://techcombank.com/thong-tin/blog/chung-chi-tien-gui-khac-gi-so-tiet-kiem" TargetMode="External"/><Relationship Id="rId409" Type="http://schemas.openxmlformats.org/officeDocument/2006/relationships/hyperlink" Target="https://techcombank.com/thong-tin/blog/mm-yy-la-gi" TargetMode="External"/><Relationship Id="rId404" Type="http://schemas.openxmlformats.org/officeDocument/2006/relationships/hyperlink" Target="https://techcombank.com/thong-tin/blog/cdm" TargetMode="External"/><Relationship Id="rId888" Type="http://schemas.openxmlformats.org/officeDocument/2006/relationships/hyperlink" Target="https://techcombank.com/thong-tin/blog/mo-the-tin-dung-chi-can-cccd" TargetMode="External"/><Relationship Id="rId403" Type="http://schemas.openxmlformats.org/officeDocument/2006/relationships/hyperlink" Target="https://techcombank.com/thong-tin/blog/thanh-toan-hoc-phi-online" TargetMode="External"/><Relationship Id="rId887" Type="http://schemas.openxmlformats.org/officeDocument/2006/relationships/hyperlink" Target="https://techcombank.com/thong-tin/blog/no-the-tin-dung-qua-han" TargetMode="External"/><Relationship Id="rId402" Type="http://schemas.openxmlformats.org/officeDocument/2006/relationships/hyperlink" Target="https://techcombank.com/thong-tin/blog/cac-loai-hinh-bao-hiem-nhan-tho" TargetMode="External"/><Relationship Id="rId886" Type="http://schemas.openxmlformats.org/officeDocument/2006/relationships/hyperlink" Target="https://techcombank.com/thong-tin/blog/no-xau-mo-the-tin-dung-duoc-khong" TargetMode="External"/><Relationship Id="rId401" Type="http://schemas.openxmlformats.org/officeDocument/2006/relationships/hyperlink" Target="https://techcombank.com/thong-tin/blog/hoc-sinh-sinh-vien-nen-lam-the-ngan-hang-nao" TargetMode="External"/><Relationship Id="rId885" Type="http://schemas.openxmlformats.org/officeDocument/2006/relationships/hyperlink" Target="https://techcombank.com/thong-tin/blog/the-tin-dung-bi-khoa" TargetMode="External"/><Relationship Id="rId408" Type="http://schemas.openxmlformats.org/officeDocument/2006/relationships/hyperlink" Target="https://techcombank.com/thong-tin/blog/cay-atm-gan-day" TargetMode="External"/><Relationship Id="rId407" Type="http://schemas.openxmlformats.org/officeDocument/2006/relationships/hyperlink" Target="https://techcombank.com/thong-tin/blog/nop-tien-mat-vao-tai-khoan-cong-ty" TargetMode="External"/><Relationship Id="rId406" Type="http://schemas.openxmlformats.org/officeDocument/2006/relationships/hyperlink" Target="https://techcombank.com/thong-tin/blog/tai-khoan-ngan-hang-con-0-dong-co-sao-khong" TargetMode="External"/><Relationship Id="rId405" Type="http://schemas.openxmlformats.org/officeDocument/2006/relationships/hyperlink" Target="https://techcombank.com/thong-tin/blog/cach-nap-tien-vao-the-ghi-no" TargetMode="External"/><Relationship Id="rId889" Type="http://schemas.openxmlformats.org/officeDocument/2006/relationships/hyperlink" Target="https://techcombank.com/thong-tin/blog/luu-y-khi-su-dung-the-tin-dung" TargetMode="External"/><Relationship Id="rId880" Type="http://schemas.openxmlformats.org/officeDocument/2006/relationships/hyperlink" Target="https://techcombank.com/thong-tin/blog/nang-han-muc-tin-dung" TargetMode="External"/><Relationship Id="rId1230" Type="http://schemas.openxmlformats.org/officeDocument/2006/relationships/hyperlink" Target="https://techcombank.com/thong-tin/blog/chung-chi-tien-gui-co-duoc-rut-truoc-han" TargetMode="External"/><Relationship Id="rId400" Type="http://schemas.openxmlformats.org/officeDocument/2006/relationships/hyperlink" Target="https://techcombank.com/thong-tin/blog/bao-hiem-nhan-tho-la-gi" TargetMode="External"/><Relationship Id="rId884" Type="http://schemas.openxmlformats.org/officeDocument/2006/relationships/hyperlink" Target="https://techcombank.com/thong-tin/blog/kich-hoat-the-tin-dung-techcombank" TargetMode="External"/><Relationship Id="rId1231" Type="http://schemas.openxmlformats.org/officeDocument/2006/relationships/hyperlink" Target="https://techcombank.com/thong-tin/blog/chuyen-nhuong-chung-chi-tien-gui" TargetMode="External"/><Relationship Id="rId883" Type="http://schemas.openxmlformats.org/officeDocument/2006/relationships/hyperlink" Target="https://techcombank.com/thong-tin/blog/lam-the-tin-dung-co-mat-phi-khong" TargetMode="External"/><Relationship Id="rId1232" Type="http://schemas.openxmlformats.org/officeDocument/2006/relationships/hyperlink" Target="https://techcombank.com/thong-tin/blog/chung-chi-tien-gui-co-duoc-bao-hiem-khong" TargetMode="External"/><Relationship Id="rId882" Type="http://schemas.openxmlformats.org/officeDocument/2006/relationships/hyperlink" Target="https://techcombank.com/thong-tin/blog/tra-gop-qua-the-tin-dung" TargetMode="External"/><Relationship Id="rId1233" Type="http://schemas.openxmlformats.org/officeDocument/2006/relationships/hyperlink" Target="https://techcombank.com/thong-tin/blog/chung-chi-tien-gui-la-gi" TargetMode="External"/><Relationship Id="rId881" Type="http://schemas.openxmlformats.org/officeDocument/2006/relationships/hyperlink" Target="https://techcombank.com/thong-tin/blog/the-tin-dung-mien-lai-55-ngay" TargetMode="External"/><Relationship Id="rId1234" Type="http://schemas.openxmlformats.org/officeDocument/2006/relationships/hyperlink" Target="https://techcombank.com/thong-tin/blog/lai-suat-tiet-kiem" TargetMode="External"/><Relationship Id="rId1224" Type="http://schemas.openxmlformats.org/officeDocument/2006/relationships/hyperlink" Target="https://techcombank.com/thong-tin/blog/cach-tiet-kiem-tien-sinh-loi" TargetMode="External"/><Relationship Id="rId1225" Type="http://schemas.openxmlformats.org/officeDocument/2006/relationships/hyperlink" Target="https://techcombank.com/thong-tin/blog/co-50-trieu-nen-mua-vang-hay-gui-tiet-kiem" TargetMode="External"/><Relationship Id="rId1226" Type="http://schemas.openxmlformats.org/officeDocument/2006/relationships/hyperlink" Target="https://techcombank.com/thong-tin/blog/lai-suat-gui-tiet-kiem-usd" TargetMode="External"/><Relationship Id="rId1227" Type="http://schemas.openxmlformats.org/officeDocument/2006/relationships/hyperlink" Target="https://techcombank.com/thong-tin/blog/gui-tiet-kiem-usd" TargetMode="External"/><Relationship Id="rId1228" Type="http://schemas.openxmlformats.org/officeDocument/2006/relationships/hyperlink" Target="https://techcombank.com/thong-tin/blog/cach-tinh-loi-nhuan-chung-chi-tien-gui" TargetMode="External"/><Relationship Id="rId1229" Type="http://schemas.openxmlformats.org/officeDocument/2006/relationships/hyperlink" Target="https://techcombank.com/thong-tin/blog/tat-toan-chung-chi-tien-gui" TargetMode="External"/><Relationship Id="rId877" Type="http://schemas.openxmlformats.org/officeDocument/2006/relationships/hyperlink" Target="https://techcombank.com/thong-tin/blog/cach-su-dung-the-tin-dung" TargetMode="External"/><Relationship Id="rId876" Type="http://schemas.openxmlformats.org/officeDocument/2006/relationships/hyperlink" Target="https://techcombank.com/thong-tin/blog/the-tin-dung-la-gi" TargetMode="External"/><Relationship Id="rId875" Type="http://schemas.openxmlformats.org/officeDocument/2006/relationships/hyperlink" Target="https://techcombank.com/thong-tin/blog/lam-ho-so-tra-gop-dien-thoai" TargetMode="External"/><Relationship Id="rId874" Type="http://schemas.openxmlformats.org/officeDocument/2006/relationships/hyperlink" Target="https://techcombank.com/thong-tin/blog/the-tin-dung-noi-dia" TargetMode="External"/><Relationship Id="rId879" Type="http://schemas.openxmlformats.org/officeDocument/2006/relationships/hyperlink" Target="https://techcombank.com/thong-tin/blog/han-muc-the-tin-dung" TargetMode="External"/><Relationship Id="rId878" Type="http://schemas.openxmlformats.org/officeDocument/2006/relationships/hyperlink" Target="https://techcombank.com/thong-tin/blog/cashback-the-thanh-toan" TargetMode="External"/><Relationship Id="rId873" Type="http://schemas.openxmlformats.org/officeDocument/2006/relationships/hyperlink" Target="https://techcombank.com/thong-tin/blog/sao-ke-the-tin-dung-la-gi" TargetMode="External"/><Relationship Id="rId1220" Type="http://schemas.openxmlformats.org/officeDocument/2006/relationships/hyperlink" Target="https://techcombank.com/thong-tin/blog/gui-tiet-kiem-online-quay-vong-ca-goc-va-lai" TargetMode="External"/><Relationship Id="rId872" Type="http://schemas.openxmlformats.org/officeDocument/2006/relationships/hyperlink" Target="https://techcombank.com/thong-tin/blog/cic-la-gi" TargetMode="External"/><Relationship Id="rId1221" Type="http://schemas.openxmlformats.org/officeDocument/2006/relationships/hyperlink" Target="https://techcombank.com/thong-tin/blog/dau-tu-dai-han" TargetMode="External"/><Relationship Id="rId871" Type="http://schemas.openxmlformats.org/officeDocument/2006/relationships/hyperlink" Target="https://techcombank.com/thong-tin/blog/the-tin-dung-co-ma-pin-khong" TargetMode="External"/><Relationship Id="rId1222" Type="http://schemas.openxmlformats.org/officeDocument/2006/relationships/hyperlink" Target="https://techcombank.com/thong-tin/blog/so-sanh-gui-tiet-kiem-online-va-tai-quay" TargetMode="External"/><Relationship Id="rId870" Type="http://schemas.openxmlformats.org/officeDocument/2006/relationships/hyperlink" Target="https://techcombank.com/thong-tin/blog/lam-the-tin-dung" TargetMode="External"/><Relationship Id="rId1223" Type="http://schemas.openxmlformats.org/officeDocument/2006/relationships/hyperlink" Target="https://techcombank.com/thong-tin/blog/chung-chi-tien-gui-co-duoc-rut-truoc-han" TargetMode="External"/><Relationship Id="rId1653" Type="http://schemas.openxmlformats.org/officeDocument/2006/relationships/hyperlink" Target="https://techcombank.com/thong-tin/blog/pos" TargetMode="External"/><Relationship Id="rId2500" Type="http://schemas.openxmlformats.org/officeDocument/2006/relationships/hyperlink" Target="https://techcombank.com/thong-tin/blog/chung-chi-tien-gui-co-an-toan-khong" TargetMode="External"/><Relationship Id="rId1654" Type="http://schemas.openxmlformats.org/officeDocument/2006/relationships/hyperlink" Target="https://techcombank.com/thong-tin/blog/softpos" TargetMode="External"/><Relationship Id="rId2501" Type="http://schemas.openxmlformats.org/officeDocument/2006/relationships/hyperlink" Target="https://techcombank.com/thong-tin/blog/tien-nhan-roi-nen-lam-gi" TargetMode="External"/><Relationship Id="rId1655" Type="http://schemas.openxmlformats.org/officeDocument/2006/relationships/hyperlink" Target="https://techcombank.com/thong-tin/blog/merchant-la-gi" TargetMode="External"/><Relationship Id="rId2502" Type="http://schemas.openxmlformats.org/officeDocument/2006/relationships/hyperlink" Target="https://techcombank.com/thong-tin/blog/fdi" TargetMode="External"/><Relationship Id="rId1656" Type="http://schemas.openxmlformats.org/officeDocument/2006/relationships/hyperlink" Target="https://techcombank.com/thong-tin/blog/ma-qr-lam-gia-duoc-khong" TargetMode="External"/><Relationship Id="rId2503" Type="http://schemas.openxmlformats.org/officeDocument/2006/relationships/hyperlink" Target="https://techcombank.com/thong-tin/blog/cach-dau-tu" TargetMode="External"/><Relationship Id="rId1657" Type="http://schemas.openxmlformats.org/officeDocument/2006/relationships/hyperlink" Target="https://techcombank.com/thong-tin/blog/ma-qr-techcombank" TargetMode="External"/><Relationship Id="rId2504" Type="http://schemas.openxmlformats.org/officeDocument/2006/relationships/hyperlink" Target="https://techcombank.com/thong-tin/blog/du-bao-gia-vang" TargetMode="External"/><Relationship Id="rId1658" Type="http://schemas.openxmlformats.org/officeDocument/2006/relationships/hyperlink" Target="https://techcombank.com/thong-tin/blog/so-sanh-ma-qr-va-ma-vach" TargetMode="External"/><Relationship Id="rId2505" Type="http://schemas.openxmlformats.org/officeDocument/2006/relationships/drawing" Target="../drawings/drawing2.xml"/><Relationship Id="rId1659" Type="http://schemas.openxmlformats.org/officeDocument/2006/relationships/hyperlink" Target="https://techcombank.com/thong-tin/blog/qr-code-doanh-nghiep" TargetMode="External"/><Relationship Id="rId829" Type="http://schemas.openxmlformats.org/officeDocument/2006/relationships/hyperlink" Target="https://techcombank.com/thong-tin/blog/uu-dai-the-tin-dung" TargetMode="External"/><Relationship Id="rId828" Type="http://schemas.openxmlformats.org/officeDocument/2006/relationships/hyperlink" Target="https://techcombank.com/thong-tin/blog/thoi-gian-hoan-tien-the-tin-dung" TargetMode="External"/><Relationship Id="rId827" Type="http://schemas.openxmlformats.org/officeDocument/2006/relationships/hyperlink" Target="https://techcombank.com/thong-tin/blog/the-tin-dung-nao-nhieu-uu-dai-nhat" TargetMode="External"/><Relationship Id="rId822" Type="http://schemas.openxmlformats.org/officeDocument/2006/relationships/hyperlink" Target="https://techcombank.com/thong-tin/blog/so-the-tin-dung" TargetMode="External"/><Relationship Id="rId821" Type="http://schemas.openxmlformats.org/officeDocument/2006/relationships/hyperlink" Target="https://techcombank.com/thong-tin/blog/khong-su-dung-the-tin-dung-co-mat-phi-khong" TargetMode="External"/><Relationship Id="rId820" Type="http://schemas.openxmlformats.org/officeDocument/2006/relationships/hyperlink" Target="https://techcombank.com/thong-tin/blog/uu-dai-mua-iphone-18" TargetMode="External"/><Relationship Id="rId826" Type="http://schemas.openxmlformats.org/officeDocument/2006/relationships/hyperlink" Target="https://techcombank.com/thong-tin/blog/tai-khoan-ngan-hang-la-gi" TargetMode="External"/><Relationship Id="rId825" Type="http://schemas.openxmlformats.org/officeDocument/2006/relationships/hyperlink" Target="https://techcombank.com/thong-tin/blog/sang-ngang-the-tin-dung" TargetMode="External"/><Relationship Id="rId824" Type="http://schemas.openxmlformats.org/officeDocument/2006/relationships/hyperlink" Target="https://techcombank.com/thong-tin/blog/the-tin-dung-hoan-tien" TargetMode="External"/><Relationship Id="rId823" Type="http://schemas.openxmlformats.org/officeDocument/2006/relationships/hyperlink" Target="https://techcombank.com/thong-tin/blog/han-muc-tra-gop-the-tin-dung" TargetMode="External"/><Relationship Id="rId1650" Type="http://schemas.openxmlformats.org/officeDocument/2006/relationships/hyperlink" Target="https://techcombank.com/thong-tin/blog/ma-qr-ngan-hang-khong-hop-le" TargetMode="External"/><Relationship Id="rId1651" Type="http://schemas.openxmlformats.org/officeDocument/2006/relationships/hyperlink" Target="https://techcombank.com/thong-tin/blog/quet-ma-qr-techcombank" TargetMode="External"/><Relationship Id="rId1652" Type="http://schemas.openxmlformats.org/officeDocument/2006/relationships/hyperlink" Target="https://techcombank.com/thong-tin/blog/tao-ma-qr-thanh-toan-cho-cua-hang" TargetMode="External"/><Relationship Id="rId1642" Type="http://schemas.openxmlformats.org/officeDocument/2006/relationships/hyperlink" Target="https://techcombank.com/thong-tin/blog/vay-kinh-doanh-online" TargetMode="External"/><Relationship Id="rId1643" Type="http://schemas.openxmlformats.org/officeDocument/2006/relationships/hyperlink" Target="https://techcombank.com/thong-tin/blog/chuan-bi-cho-doanh-nghiep-khoi-nghiep-truoc-nhung-thay-doi-ve-thue" TargetMode="External"/><Relationship Id="rId1644" Type="http://schemas.openxmlformats.org/officeDocument/2006/relationships/hyperlink" Target="https://techcombank.com/thong-tin/blog/quan-ly-chi-phi-doanh-nghiep" TargetMode="External"/><Relationship Id="rId1645" Type="http://schemas.openxmlformats.org/officeDocument/2006/relationships/hyperlink" Target="https://techcombank.com/thong-tin/blog/tieu-dung-ben-vung" TargetMode="External"/><Relationship Id="rId1646" Type="http://schemas.openxmlformats.org/officeDocument/2006/relationships/hyperlink" Target="https://techcombank.com/thong-tin/blog/cach-tao-ma-qr" TargetMode="External"/><Relationship Id="rId1647" Type="http://schemas.openxmlformats.org/officeDocument/2006/relationships/hyperlink" Target="https://techcombank.com/thong-tin/blog/in-ma-qr-ngan-hang" TargetMode="External"/><Relationship Id="rId1648" Type="http://schemas.openxmlformats.org/officeDocument/2006/relationships/hyperlink" Target="https://techcombank.com/thong-tin/blog/lo-ma-qr-ngan-hang-co-sao-khong" TargetMode="External"/><Relationship Id="rId1649" Type="http://schemas.openxmlformats.org/officeDocument/2006/relationships/hyperlink" Target="https://techcombank.com/thong-tin/blog/lam-ma-qr-ngan-hang-co-mat-phi-khong" TargetMode="External"/><Relationship Id="rId819" Type="http://schemas.openxmlformats.org/officeDocument/2006/relationships/hyperlink" Target="https://techcombank.com/thong-tin/blog/the-ghi-no-visa-la-gi" TargetMode="External"/><Relationship Id="rId818" Type="http://schemas.openxmlformats.org/officeDocument/2006/relationships/hyperlink" Target="https://techcombank.com/thong-tin/blog/no-xau-nhom-2" TargetMode="External"/><Relationship Id="rId817" Type="http://schemas.openxmlformats.org/officeDocument/2006/relationships/hyperlink" Target="https://techcombank.com/thong-tin/blog/so-luong-the-tin-dung-noi-dia-dang-luu-hanh-da-tang-42-so-voi-cung-ky-nam-2022" TargetMode="External"/><Relationship Id="rId816" Type="http://schemas.openxmlformats.org/officeDocument/2006/relationships/hyperlink" Target="https://techcombank.com/thong-tin/blog/the-visa-ao-la-gi" TargetMode="External"/><Relationship Id="rId811" Type="http://schemas.openxmlformats.org/officeDocument/2006/relationships/hyperlink" Target="https://techcombank.com/thong-tin/blog/lam-the-thanh-toan-quoc-te" TargetMode="External"/><Relationship Id="rId810" Type="http://schemas.openxmlformats.org/officeDocument/2006/relationships/hyperlink" Target="https://techcombank.com/thong-tin/blog/thoi-gian-hoan-tien-the-tin-dung" TargetMode="External"/><Relationship Id="rId815" Type="http://schemas.openxmlformats.org/officeDocument/2006/relationships/hyperlink" Target="https://techcombank.com/thong-tin/blog/rut-tien-mat-tu-the-tin-dung" TargetMode="External"/><Relationship Id="rId814" Type="http://schemas.openxmlformats.org/officeDocument/2006/relationships/hyperlink" Target="https://techcombank.com/thong-tin/blog/the-tin-dung-phu-la-gi" TargetMode="External"/><Relationship Id="rId813" Type="http://schemas.openxmlformats.org/officeDocument/2006/relationships/hyperlink" Target="https://techcombank.com/thong-tin/blog/the-tin-dung-vip" TargetMode="External"/><Relationship Id="rId812" Type="http://schemas.openxmlformats.org/officeDocument/2006/relationships/hyperlink" Target="https://techcombank.com/thong-tin/blog/mat-the-tin-dung-co-lam-lai-duoc-khong" TargetMode="External"/><Relationship Id="rId1640" Type="http://schemas.openxmlformats.org/officeDocument/2006/relationships/hyperlink" Target="https://techcombank.com/thong-tin/blog/cua-hang-tien-loi" TargetMode="External"/><Relationship Id="rId1641" Type="http://schemas.openxmlformats.org/officeDocument/2006/relationships/hyperlink" Target="https://techcombank.com/thong-tin/blog/hieu-hiet-ve-tuan-thu-thue-cho-cac-doanh-nghiep-khoi-nghiep" TargetMode="External"/><Relationship Id="rId1675" Type="http://schemas.openxmlformats.org/officeDocument/2006/relationships/hyperlink" Target="https://techcombank.com/thong-tin/blog/ho-kinh-doanh-ca-the" TargetMode="External"/><Relationship Id="rId1676" Type="http://schemas.openxmlformats.org/officeDocument/2006/relationships/hyperlink" Target="https://techcombank.com/thong-tin/blog/cach-dang-ky-ma-so-thue-ho-kinh-doanh-online" TargetMode="External"/><Relationship Id="rId1677" Type="http://schemas.openxmlformats.org/officeDocument/2006/relationships/hyperlink" Target="https://techcombank.com/thong-tin/blog/ho-kinh-doanh-la-gi" TargetMode="External"/><Relationship Id="rId1678" Type="http://schemas.openxmlformats.org/officeDocument/2006/relationships/hyperlink" Target="https://techcombank.com/thong-tin/blog/thue-ho-kinh-doanh-2025" TargetMode="External"/><Relationship Id="rId1679" Type="http://schemas.openxmlformats.org/officeDocument/2006/relationships/hyperlink" Target="https://techcombank.com/thong-tin/blog/cach-tao-ma-qr" TargetMode="External"/><Relationship Id="rId849" Type="http://schemas.openxmlformats.org/officeDocument/2006/relationships/hyperlink" Target="https://techcombank.com/thong-tin/blog/the-tin-dung-quoc-te" TargetMode="External"/><Relationship Id="rId844" Type="http://schemas.openxmlformats.org/officeDocument/2006/relationships/hyperlink" Target="https://techcombank.com/thong-tin/blog/the-ghi-no-va-the-tin-dung" TargetMode="External"/><Relationship Id="rId843" Type="http://schemas.openxmlformats.org/officeDocument/2006/relationships/hyperlink" Target="https://techcombank.com/thong-tin/blog/tra-cuu-han-muc-the-tin-dung" TargetMode="External"/><Relationship Id="rId842" Type="http://schemas.openxmlformats.org/officeDocument/2006/relationships/hyperlink" Target="https://techcombank.com/thong-tin/blog/mua-truoc-tra-sau" TargetMode="External"/><Relationship Id="rId841" Type="http://schemas.openxmlformats.org/officeDocument/2006/relationships/hyperlink" Target="https://techcombank.com/thong-tin/blog/the-visa-co-can-mat-khau-khong" TargetMode="External"/><Relationship Id="rId848" Type="http://schemas.openxmlformats.org/officeDocument/2006/relationships/hyperlink" Target="https://techcombank.com/thong-tin/blog/ma-buu-chinh-the-tin-dung" TargetMode="External"/><Relationship Id="rId847" Type="http://schemas.openxmlformats.org/officeDocument/2006/relationships/hyperlink" Target="https://techcombank.com/thong-tin/blog/co-nen-dung-the-tin-dung-khong" TargetMode="External"/><Relationship Id="rId846" Type="http://schemas.openxmlformats.org/officeDocument/2006/relationships/hyperlink" Target="https://techcombank.com/thong-tin/blog/cach-huy-the-tin-dung" TargetMode="External"/><Relationship Id="rId845" Type="http://schemas.openxmlformats.org/officeDocument/2006/relationships/hyperlink" Target="https://techcombank.com/thong-tin/blog/the-tin-dung-het-han" TargetMode="External"/><Relationship Id="rId1670" Type="http://schemas.openxmlformats.org/officeDocument/2006/relationships/hyperlink" Target="https://techcombank.com/thong-tin/blog/cach-chuyen-tien-qua-ma-qr-techcombank" TargetMode="External"/><Relationship Id="rId840" Type="http://schemas.openxmlformats.org/officeDocument/2006/relationships/hyperlink" Target="https://techcombank.com/thong-tin/blog/mua-iphone-17" TargetMode="External"/><Relationship Id="rId1671" Type="http://schemas.openxmlformats.org/officeDocument/2006/relationships/hyperlink" Target="https://techcombank.com/thong-tin/blog/thanh-toan-qr-thai-lan" TargetMode="External"/><Relationship Id="rId1672" Type="http://schemas.openxmlformats.org/officeDocument/2006/relationships/hyperlink" Target="https://techcombank.com/thong-tin/blog/ho-kinh-doanh-can-gi-o-tai-khoan-ngan-hang" TargetMode="External"/><Relationship Id="rId1673" Type="http://schemas.openxmlformats.org/officeDocument/2006/relationships/hyperlink" Target="https://techcombank.com/thong-tin/blog/thanh-lap-ho-kinh-doanh-ca-the" TargetMode="External"/><Relationship Id="rId1674" Type="http://schemas.openxmlformats.org/officeDocument/2006/relationships/hyperlink" Target="https://techcombank.com/thong-tin/blog/khai-bao-tai-khoan-ngan-hang-voi-co-quan-thue" TargetMode="External"/><Relationship Id="rId1664" Type="http://schemas.openxmlformats.org/officeDocument/2006/relationships/hyperlink" Target="https://techcombank.com/thong-tin/blog/thanh-toan-ma-qr-tro-thanh-phuong-thuc-duoc-ua-chuong-va-trien-khai-manh-me" TargetMode="External"/><Relationship Id="rId1665" Type="http://schemas.openxmlformats.org/officeDocument/2006/relationships/hyperlink" Target="https://techcombank.com/thong-tin/blog/qr-code-phuong-thuc-thanh-toan-toi-uu-trong-ky-nguyen-so" TargetMode="External"/><Relationship Id="rId1666" Type="http://schemas.openxmlformats.org/officeDocument/2006/relationships/hyperlink" Target="https://techcombank.com/thong-tin/blog/rut-tien-bang-ma-qr-la-gi-cach-thuc-hien-nhu-the-nao" TargetMode="External"/><Relationship Id="rId1667" Type="http://schemas.openxmlformats.org/officeDocument/2006/relationships/hyperlink" Target="https://techcombank.com/thong-tin/blog/cach-chuyen-khoan-bang-dien-thoai" TargetMode="External"/><Relationship Id="rId1668" Type="http://schemas.openxmlformats.org/officeDocument/2006/relationships/hyperlink" Target="https://techcombank.com/thong-tin/blog/cach-rut-tien-atm" TargetMode="External"/><Relationship Id="rId1669" Type="http://schemas.openxmlformats.org/officeDocument/2006/relationships/hyperlink" Target="https://techcombank.com/thong-tin/blog/cach-chuyen-tien" TargetMode="External"/><Relationship Id="rId839" Type="http://schemas.openxmlformats.org/officeDocument/2006/relationships/hyperlink" Target="https://techcombank.com/thong-tin/blog/cach-lam-the-ngan-hang-chay-quang-cao-facebook" TargetMode="External"/><Relationship Id="rId838" Type="http://schemas.openxmlformats.org/officeDocument/2006/relationships/hyperlink" Target="https://techcombank.com/thong-tin/blog/so-cvv-la-gi" TargetMode="External"/><Relationship Id="rId833" Type="http://schemas.openxmlformats.org/officeDocument/2006/relationships/hyperlink" Target="https://techcombank.com/thong-tin/blog/mm-yy-la-gi" TargetMode="External"/><Relationship Id="rId832" Type="http://schemas.openxmlformats.org/officeDocument/2006/relationships/hyperlink" Target="https://techcombank.com/thong-tin/blog/tai-khoan-doanh-nghiep-co-the-khong" TargetMode="External"/><Relationship Id="rId831" Type="http://schemas.openxmlformats.org/officeDocument/2006/relationships/hyperlink" Target="https://techcombank.com/thong-tin/blog/mo-the-tin-dung-co-loi-ich-gi" TargetMode="External"/><Relationship Id="rId830" Type="http://schemas.openxmlformats.org/officeDocument/2006/relationships/hyperlink" Target="https://techcombank.com/thong-tin/blog/cac-loai-the-tin-dung" TargetMode="External"/><Relationship Id="rId837" Type="http://schemas.openxmlformats.org/officeDocument/2006/relationships/hyperlink" Target="https://techcombank.com/thong-tin/blog/mat-the-tin-dung-co-bi-mat-tien-khong" TargetMode="External"/><Relationship Id="rId836" Type="http://schemas.openxmlformats.org/officeDocument/2006/relationships/hyperlink" Target="https://techcombank.com/thong-tin/blog/uu-dai-mua-ve-may-bay-bang-the-tin-dung" TargetMode="External"/><Relationship Id="rId835" Type="http://schemas.openxmlformats.org/officeDocument/2006/relationships/hyperlink" Target="https://techcombank.com/thong-tin/blog/the-tin-dung-mien-phi-thuong-nien" TargetMode="External"/><Relationship Id="rId834" Type="http://schemas.openxmlformats.org/officeDocument/2006/relationships/hyperlink" Target="https://techcombank.com/thong-tin/blog/uu-dai-the-tin-dung-techcombank-signature" TargetMode="External"/><Relationship Id="rId1660" Type="http://schemas.openxmlformats.org/officeDocument/2006/relationships/hyperlink" Target="https://techcombank.com/thong-tin/blog/thanh-toan-bang-ma-qr" TargetMode="External"/><Relationship Id="rId1661" Type="http://schemas.openxmlformats.org/officeDocument/2006/relationships/hyperlink" Target="https://techcombank.com/thong-tin/blog/cach-tao-ma-qr-code-mien-phi" TargetMode="External"/><Relationship Id="rId1662" Type="http://schemas.openxmlformats.org/officeDocument/2006/relationships/hyperlink" Target="https://techcombank.com/thong-tin/blog/qr-dong" TargetMode="External"/><Relationship Id="rId1663" Type="http://schemas.openxmlformats.org/officeDocument/2006/relationships/hyperlink" Target="https://techcombank.com/thong-tin/blog/rut-tien-bang-ma-qr-khac-ngan-hang-duoc-khong" TargetMode="External"/><Relationship Id="rId2148" Type="http://schemas.openxmlformats.org/officeDocument/2006/relationships/hyperlink" Target="https://techcombank.com/thong-tin/blog/cho-vay-hop-von-la-gi" TargetMode="External"/><Relationship Id="rId2149" Type="http://schemas.openxmlformats.org/officeDocument/2006/relationships/hyperlink" Target="https://techcombank.com/thong-tin/blog/cac-sai-lam-pho-bien-khi-chuyen-doi-ho-kinh-doanh-len-sme" TargetMode="External"/><Relationship Id="rId469" Type="http://schemas.openxmlformats.org/officeDocument/2006/relationships/hyperlink" Target="https://techcombank.com/thong-tin/blog/hoc-cach-tiet-kiem-tien-luong" TargetMode="External"/><Relationship Id="rId468" Type="http://schemas.openxmlformats.org/officeDocument/2006/relationships/hyperlink" Target="https://techcombank.com/thong-tin/blog/the-tin-dung-phu-la-gi" TargetMode="External"/><Relationship Id="rId467" Type="http://schemas.openxmlformats.org/officeDocument/2006/relationships/hyperlink" Target="https://techcombank.com/thong-tin/blog/ngan-hang-so" TargetMode="External"/><Relationship Id="rId1290" Type="http://schemas.openxmlformats.org/officeDocument/2006/relationships/hyperlink" Target="https://techcombank.com/thong-tin/blog/1000-won-bang-bao-nhieu-tien-viet" TargetMode="External"/><Relationship Id="rId1291" Type="http://schemas.openxmlformats.org/officeDocument/2006/relationships/hyperlink" Target="https://techcombank.com/thong-tin/blog/thanh-toan-khi-du-lich-han-quoc" TargetMode="External"/><Relationship Id="rId1292" Type="http://schemas.openxmlformats.org/officeDocument/2006/relationships/hyperlink" Target="https://techcombank.com/thong-tin/blog/chuyen-tien-tu-han-sang-viet-nam" TargetMode="External"/><Relationship Id="rId462" Type="http://schemas.openxmlformats.org/officeDocument/2006/relationships/hyperlink" Target="https://techcombank.com/thong-tin/blog/vay-tien-online" TargetMode="External"/><Relationship Id="rId1293" Type="http://schemas.openxmlformats.org/officeDocument/2006/relationships/hyperlink" Target="https://techcombank.com/thong-tin/blog/ty-gia-cac-ngan-hang" TargetMode="External"/><Relationship Id="rId2140" Type="http://schemas.openxmlformats.org/officeDocument/2006/relationships/hyperlink" Target="https://techcombank.com/thong-tin/blog/vnd-to-myr" TargetMode="External"/><Relationship Id="rId461" Type="http://schemas.openxmlformats.org/officeDocument/2006/relationships/hyperlink" Target="https://techcombank.com/thong-tin/blog/ung-dung-cong-nghe" TargetMode="External"/><Relationship Id="rId1294" Type="http://schemas.openxmlformats.org/officeDocument/2006/relationships/hyperlink" Target="https://techcombank.com/thong-tin/blog/1-van-tien-dai-loan-bang-bao-nhieu-tien-viet" TargetMode="External"/><Relationship Id="rId2141" Type="http://schemas.openxmlformats.org/officeDocument/2006/relationships/hyperlink" Target="https://techcombank.com/thong-tin/blog/co-nen-gui-tiet-kiem-online" TargetMode="External"/><Relationship Id="rId460" Type="http://schemas.openxmlformats.org/officeDocument/2006/relationships/hyperlink" Target="https://techcombank.com/thong-tin/blog/thoi-gian-hoan-tien-the-tin-dung" TargetMode="External"/><Relationship Id="rId1295" Type="http://schemas.openxmlformats.org/officeDocument/2006/relationships/hyperlink" Target="https://techcombank.com/thong-tin/blog/ngoai-te-la-gi" TargetMode="External"/><Relationship Id="rId2142" Type="http://schemas.openxmlformats.org/officeDocument/2006/relationships/hyperlink" Target="https://techcombank.com/thong-tin/blog/gui-tiet-kiem-online-bi-mat-tien" TargetMode="External"/><Relationship Id="rId1296" Type="http://schemas.openxmlformats.org/officeDocument/2006/relationships/hyperlink" Target="https://techcombank.com/thong-tin/blog/ty-gia-cac-ngan-hang" TargetMode="External"/><Relationship Id="rId2143" Type="http://schemas.openxmlformats.org/officeDocument/2006/relationships/hyperlink" Target="https://techcombank.com/thong-tin/blog/kinh-nghiem-gui-tiet-kiem-online" TargetMode="External"/><Relationship Id="rId466" Type="http://schemas.openxmlformats.org/officeDocument/2006/relationships/hyperlink" Target="https://techcombank.com/thong-tin/blog/hu-chi-tieu" TargetMode="External"/><Relationship Id="rId1297" Type="http://schemas.openxmlformats.org/officeDocument/2006/relationships/hyperlink" Target="https://techcombank.com/thong-tin/blog/han-muc-mua-ngoai-te-khi-di-du-lich" TargetMode="External"/><Relationship Id="rId2144" Type="http://schemas.openxmlformats.org/officeDocument/2006/relationships/hyperlink" Target="https://techcombank.com/thong-tin/blog/cach-gui-tiet-kiem-online" TargetMode="External"/><Relationship Id="rId465" Type="http://schemas.openxmlformats.org/officeDocument/2006/relationships/hyperlink" Target="https://techcombank.com/thong-tin/blog/6-chiec-lo-tai-chinh-ca-nhan" TargetMode="External"/><Relationship Id="rId1298" Type="http://schemas.openxmlformats.org/officeDocument/2006/relationships/hyperlink" Target="https://techcombank.com/thong-tin/blog/shang-chi" TargetMode="External"/><Relationship Id="rId2145" Type="http://schemas.openxmlformats.org/officeDocument/2006/relationships/hyperlink" Target="https://techcombank.com/thong-tin/blog/rui-ro-khi-gui-tiet-kiem-ngan-hang" TargetMode="External"/><Relationship Id="rId464" Type="http://schemas.openxmlformats.org/officeDocument/2006/relationships/hyperlink" Target="https://techcombank.com/thong-tin/blog/mo-the-tin-dung-khong-can-chung-minh-thu-nhap" TargetMode="External"/><Relationship Id="rId1299" Type="http://schemas.openxmlformats.org/officeDocument/2006/relationships/hyperlink" Target="https://techcombank.com/thong-tin/blog/tien-nhat" TargetMode="External"/><Relationship Id="rId2146" Type="http://schemas.openxmlformats.org/officeDocument/2006/relationships/hyperlink" Target="https://techcombank.com/thong-tin/blog/tra-luong-tien-mat" TargetMode="External"/><Relationship Id="rId463" Type="http://schemas.openxmlformats.org/officeDocument/2006/relationships/hyperlink" Target="https://techcombank.com/thong-tin/blog/the-visa-co-may-loai" TargetMode="External"/><Relationship Id="rId2147" Type="http://schemas.openxmlformats.org/officeDocument/2006/relationships/hyperlink" Target="https://techcombank.com/thong-tin/blog/due-diligence" TargetMode="External"/><Relationship Id="rId2137" Type="http://schemas.openxmlformats.org/officeDocument/2006/relationships/hyperlink" Target="https://techcombank.com/thong-tin/blog/thanh-toan-khi-du-lich-han-quoc" TargetMode="External"/><Relationship Id="rId2138" Type="http://schemas.openxmlformats.org/officeDocument/2006/relationships/hyperlink" Target="https://techcombank.com/thong-tin/blog/thanh-toan-khi-du-lich-hong-kong" TargetMode="External"/><Relationship Id="rId2139" Type="http://schemas.openxmlformats.org/officeDocument/2006/relationships/hyperlink" Target="https://techcombank.com/thong-tin/blog/thanh-toan-khi-du-lich-singapore" TargetMode="External"/><Relationship Id="rId459" Type="http://schemas.openxmlformats.org/officeDocument/2006/relationships/hyperlink" Target="https://techcombank.com/thong-tin/blog/the-debit-cho-con" TargetMode="External"/><Relationship Id="rId458" Type="http://schemas.openxmlformats.org/officeDocument/2006/relationships/hyperlink" Target="https://techcombank.com/thong-tin/blog/mo-the-tin-dung-chi-can-cccd" TargetMode="External"/><Relationship Id="rId457" Type="http://schemas.openxmlformats.org/officeDocument/2006/relationships/hyperlink" Target="https://techcombank.com/thong-tin/blog/cach-tiet-kiem-tien" TargetMode="External"/><Relationship Id="rId456" Type="http://schemas.openxmlformats.org/officeDocument/2006/relationships/hyperlink" Target="https://techcombank.com/thong-tin/blog/nang-han-muc-tin-dung" TargetMode="External"/><Relationship Id="rId1280" Type="http://schemas.openxmlformats.org/officeDocument/2006/relationships/hyperlink" Target="https://techcombank.com/thong-tin/blog/han-muc-mua-ngoai-te-khi-di-du-lich" TargetMode="External"/><Relationship Id="rId1281" Type="http://schemas.openxmlformats.org/officeDocument/2006/relationships/hyperlink" Target="https://techcombank.com/thong-tin/blog/1000-yen-bang-bao-nhieu-tien-viet" TargetMode="External"/><Relationship Id="rId451" Type="http://schemas.openxmlformats.org/officeDocument/2006/relationships/hyperlink" Target="https://techcombank.com/thong-tin/blog/mo-the-tin-dung-han-muc-cao" TargetMode="External"/><Relationship Id="rId1282" Type="http://schemas.openxmlformats.org/officeDocument/2006/relationships/hyperlink" Target="https://techcombank.com/thong-tin/blog/1000-yen-bang-bao-nhieu-tien-viet" TargetMode="External"/><Relationship Id="rId450" Type="http://schemas.openxmlformats.org/officeDocument/2006/relationships/hyperlink" Target="https://techcombank.com/thong-tin/blog/phan-mem-lap-ke-hoach-tai-chinh-ca-nhan" TargetMode="External"/><Relationship Id="rId1283" Type="http://schemas.openxmlformats.org/officeDocument/2006/relationships/hyperlink" Target="https://techcombank.com/thong-tin/blog/tien-nhat" TargetMode="External"/><Relationship Id="rId2130" Type="http://schemas.openxmlformats.org/officeDocument/2006/relationships/hyperlink" Target="https://techcombank.com/thong-tin/blog/the-tin-dung-phu-la-gi" TargetMode="External"/><Relationship Id="rId1284" Type="http://schemas.openxmlformats.org/officeDocument/2006/relationships/hyperlink" Target="https://techcombank.com/thong-tin/blog/1-man-bang-bao-nhieu-tien-viet" TargetMode="External"/><Relationship Id="rId2131" Type="http://schemas.openxmlformats.org/officeDocument/2006/relationships/hyperlink" Target="https://techcombank.com/thong-tin/blog/cach-tiet-kiem-tien-sinh-loi" TargetMode="External"/><Relationship Id="rId1285" Type="http://schemas.openxmlformats.org/officeDocument/2006/relationships/hyperlink" Target="https://techcombank.com/thong-tin/blog/chuyen-tien-tu-nhat-ve-viet-nam" TargetMode="External"/><Relationship Id="rId2132" Type="http://schemas.openxmlformats.org/officeDocument/2006/relationships/hyperlink" Target="https://techcombank.com/thong-tin/blog/han-muc-tra-gop-the-tin-dung" TargetMode="External"/><Relationship Id="rId455" Type="http://schemas.openxmlformats.org/officeDocument/2006/relationships/hyperlink" Target="https://techcombank.com/thong-tin/blog/cashback-the-thanh-toan" TargetMode="External"/><Relationship Id="rId1286" Type="http://schemas.openxmlformats.org/officeDocument/2006/relationships/hyperlink" Target="https://techcombank.com/thong-tin/blog/chixmax" TargetMode="External"/><Relationship Id="rId2133" Type="http://schemas.openxmlformats.org/officeDocument/2006/relationships/hyperlink" Target="https://techcombank.com/thong-tin/blog/lap-ke-hoach-chi-tieu-ca-nhan" TargetMode="External"/><Relationship Id="rId454" Type="http://schemas.openxmlformats.org/officeDocument/2006/relationships/hyperlink" Target="https://techcombank.com/thong-tin/blog/sao-ke-the-tin-dung-la-gi" TargetMode="External"/><Relationship Id="rId1287" Type="http://schemas.openxmlformats.org/officeDocument/2006/relationships/hyperlink" Target="https://techcombank.com/thong-tin/blog/han-muc-mua-ngoai-te-khi-di-du-lich" TargetMode="External"/><Relationship Id="rId2134" Type="http://schemas.openxmlformats.org/officeDocument/2006/relationships/hyperlink" Target="https://techcombank.com/thong-tin/blog/the-debit" TargetMode="External"/><Relationship Id="rId453" Type="http://schemas.openxmlformats.org/officeDocument/2006/relationships/hyperlink" Target="https://techcombank.com/thong-tin/blog/app-quan-ly-chi-tieu" TargetMode="External"/><Relationship Id="rId1288" Type="http://schemas.openxmlformats.org/officeDocument/2006/relationships/hyperlink" Target="https://techcombank.com/thong-tin/blog/thanh-toan-khi-du-lich-nhat-ban" TargetMode="External"/><Relationship Id="rId2135" Type="http://schemas.openxmlformats.org/officeDocument/2006/relationships/hyperlink" Target="https://techcombank.com/thong-tin/blog/thanh-toan-bang-the-quoc-te" TargetMode="External"/><Relationship Id="rId452" Type="http://schemas.openxmlformats.org/officeDocument/2006/relationships/hyperlink" Target="https://techcombank.com/thong-tin/blog/uu-dai-the-tin-dung" TargetMode="External"/><Relationship Id="rId1289" Type="http://schemas.openxmlformats.org/officeDocument/2006/relationships/hyperlink" Target="https://techcombank.com/thong-tin/blog/1-trieu-won-bang-bao-nhieu-tien-viet" TargetMode="External"/><Relationship Id="rId2136" Type="http://schemas.openxmlformats.org/officeDocument/2006/relationships/hyperlink" Target="https://techcombank.com/thong-tin/blog/cach-quan-ly-tai-chinh-kinh-doanh" TargetMode="External"/><Relationship Id="rId491" Type="http://schemas.openxmlformats.org/officeDocument/2006/relationships/hyperlink" Target="https://techcombank.com/thong-tin/blog/tra-cuu-no-thue-ca-nhan" TargetMode="External"/><Relationship Id="rId490" Type="http://schemas.openxmlformats.org/officeDocument/2006/relationships/hyperlink" Target="https://techcombank.com/thong-tin/blog/y-nghia-so-68" TargetMode="External"/><Relationship Id="rId489" Type="http://schemas.openxmlformats.org/officeDocument/2006/relationships/hyperlink" Target="https://techcombank.com/thong-tin/blog/so-8386" TargetMode="External"/><Relationship Id="rId2160" Type="http://schemas.openxmlformats.org/officeDocument/2006/relationships/hyperlink" Target="https://techcombank.com/thong-tin/blog/tai-sao-gui-tiet-kiem-online-lai-suat-cao-hon" TargetMode="External"/><Relationship Id="rId2161" Type="http://schemas.openxmlformats.org/officeDocument/2006/relationships/hyperlink" Target="https://techcombank.com/thong-tin/blog/rui-ro-khi-vay-the-chap-ngan-hang" TargetMode="External"/><Relationship Id="rId484" Type="http://schemas.openxmlformats.org/officeDocument/2006/relationships/hyperlink" Target="https://techcombank.com/thong-tin/blog/co-nen-mua-so-tai-khoan-ngan-hang-dep" TargetMode="External"/><Relationship Id="rId2162" Type="http://schemas.openxmlformats.org/officeDocument/2006/relationships/hyperlink" Target="https://techcombank.com/thong-tin/blog/the-atm-khong-rut-duoc-tien" TargetMode="External"/><Relationship Id="rId483" Type="http://schemas.openxmlformats.org/officeDocument/2006/relationships/hyperlink" Target="https://techcombank.com/thong-tin/blog/li-xi-so-dep" TargetMode="External"/><Relationship Id="rId2163" Type="http://schemas.openxmlformats.org/officeDocument/2006/relationships/hyperlink" Target="https://techcombank.com/thong-tin/blog/phuong-phap-dau-tu-chung-chi-quy" TargetMode="External"/><Relationship Id="rId482" Type="http://schemas.openxmlformats.org/officeDocument/2006/relationships/hyperlink" Target="https://techcombank.com/thong-tin/blog/cach-chon-so-tai-khoan-dep" TargetMode="External"/><Relationship Id="rId2164" Type="http://schemas.openxmlformats.org/officeDocument/2006/relationships/hyperlink" Target="https://techcombank.com/thong-tin/blog/gia-chung-chi-quy-la-gi" TargetMode="External"/><Relationship Id="rId481" Type="http://schemas.openxmlformats.org/officeDocument/2006/relationships/hyperlink" Target="https://techcombank.com/thong-tin/blog/so-tai-khoan-dep" TargetMode="External"/><Relationship Id="rId2165" Type="http://schemas.openxmlformats.org/officeDocument/2006/relationships/hyperlink" Target="https://techcombank.com/thong-tin/blog/chung-chi-quy-va-chung-khoan" TargetMode="External"/><Relationship Id="rId488" Type="http://schemas.openxmlformats.org/officeDocument/2006/relationships/hyperlink" Target="https://techcombank.com/thong-tin/blog/66666-co-y-nghia-gi" TargetMode="External"/><Relationship Id="rId2166" Type="http://schemas.openxmlformats.org/officeDocument/2006/relationships/hyperlink" Target="https://techcombank.com/thong-tin/blog/danh-muc-dau-tu" TargetMode="External"/><Relationship Id="rId487" Type="http://schemas.openxmlformats.org/officeDocument/2006/relationships/hyperlink" Target="https://techcombank.com/thong-tin/blog/8868" TargetMode="External"/><Relationship Id="rId2167" Type="http://schemas.openxmlformats.org/officeDocument/2006/relationships/hyperlink" Target="https://techcombank.com/thong-tin/blog/cach-khoa-the-ngan-hang" TargetMode="External"/><Relationship Id="rId486" Type="http://schemas.openxmlformats.org/officeDocument/2006/relationships/hyperlink" Target="https://techcombank.com/thong-tin/blog/sinh-loi-rinh-loc" TargetMode="External"/><Relationship Id="rId2168" Type="http://schemas.openxmlformats.org/officeDocument/2006/relationships/hyperlink" Target="https://techcombank.com/thong-tin/blog/cac-chung-chi-quy-o-viet-nam" TargetMode="External"/><Relationship Id="rId485" Type="http://schemas.openxmlformats.org/officeDocument/2006/relationships/hyperlink" Target="https://techcombank.com/thong-tin/blog/li-xi-tet" TargetMode="External"/><Relationship Id="rId2169" Type="http://schemas.openxmlformats.org/officeDocument/2006/relationships/hyperlink" Target="https://techcombank.com/thong-tin/blog/mo-tai-khoan-ngan-hang-online-co-an-toan-khong" TargetMode="External"/><Relationship Id="rId2159" Type="http://schemas.openxmlformats.org/officeDocument/2006/relationships/hyperlink" Target="https://techcombank.com/thong-tin/blog/lo-so-tai-khoan-ngan-hang-co-sao-khong" TargetMode="External"/><Relationship Id="rId480" Type="http://schemas.openxmlformats.org/officeDocument/2006/relationships/hyperlink" Target="https://techcombank.com/thong-tin/blog/so-6868" TargetMode="External"/><Relationship Id="rId479" Type="http://schemas.openxmlformats.org/officeDocument/2006/relationships/hyperlink" Target="https://techcombank.com/thong-tin/blog/88-la-gi" TargetMode="External"/><Relationship Id="rId478" Type="http://schemas.openxmlformats.org/officeDocument/2006/relationships/hyperlink" Target="https://techcombank.com/thong-tin/blog/vnd-to-myr" TargetMode="External"/><Relationship Id="rId2150" Type="http://schemas.openxmlformats.org/officeDocument/2006/relationships/hyperlink" Target="https://techcombank.com/thong-tin/blog/tinh-thanh-khoan-la-gi" TargetMode="External"/><Relationship Id="rId473" Type="http://schemas.openxmlformats.org/officeDocument/2006/relationships/hyperlink" Target="https://techcombank.com/thong-tin/blog/the-debit" TargetMode="External"/><Relationship Id="rId2151" Type="http://schemas.openxmlformats.org/officeDocument/2006/relationships/hyperlink" Target="https://techcombank.com/thong-tin/blog/phat-cham-dang-ky-thue-ho-kinh-doanh" TargetMode="External"/><Relationship Id="rId472" Type="http://schemas.openxmlformats.org/officeDocument/2006/relationships/hyperlink" Target="https://techcombank.com/thong-tin/blog/han-muc-tra-gop-the-tin-dung" TargetMode="External"/><Relationship Id="rId2152" Type="http://schemas.openxmlformats.org/officeDocument/2006/relationships/hyperlink" Target="https://techcombank.com/thong-tin/blog/quy-trinh-gui-tien-tiet-kiem" TargetMode="External"/><Relationship Id="rId471" Type="http://schemas.openxmlformats.org/officeDocument/2006/relationships/hyperlink" Target="https://techcombank.com/thong-tin/blog/vay-the-chap-khong-chung-minh-thu-nhap" TargetMode="External"/><Relationship Id="rId2153" Type="http://schemas.openxmlformats.org/officeDocument/2006/relationships/hyperlink" Target="https://techcombank.com/thong-tin/blog/vay-the-chap-khong-tra-duoc" TargetMode="External"/><Relationship Id="rId470" Type="http://schemas.openxmlformats.org/officeDocument/2006/relationships/hyperlink" Target="https://techcombank.com/thong-tin/blog/cach-kiem-tra-tai-khoan-ngan-hang" TargetMode="External"/><Relationship Id="rId2154" Type="http://schemas.openxmlformats.org/officeDocument/2006/relationships/hyperlink" Target="https://techcombank.com/thong-tin/blog/phan-bo-tai-san" TargetMode="External"/><Relationship Id="rId477" Type="http://schemas.openxmlformats.org/officeDocument/2006/relationships/hyperlink" Target="https://techcombank.com/thong-tin/blog/thanh-toan-khi-du-lich-singapore" TargetMode="External"/><Relationship Id="rId2155" Type="http://schemas.openxmlformats.org/officeDocument/2006/relationships/hyperlink" Target="https://techcombank.com/thong-tin/blog/vay-the-chap-so-bao-hiem-xa-hoi" TargetMode="External"/><Relationship Id="rId476" Type="http://schemas.openxmlformats.org/officeDocument/2006/relationships/hyperlink" Target="https://techcombank.com/thong-tin/blog/thanh-toan-khi-du-lich-hong-kong" TargetMode="External"/><Relationship Id="rId2156" Type="http://schemas.openxmlformats.org/officeDocument/2006/relationships/hyperlink" Target="https://techcombank.com/thong-tin/blog/mat-the-tin-dung-co-bi-mat-tien-khong" TargetMode="External"/><Relationship Id="rId475" Type="http://schemas.openxmlformats.org/officeDocument/2006/relationships/hyperlink" Target="https://techcombank.com/thong-tin/blog/thanh-toan-khi-du-lich-han-quoc" TargetMode="External"/><Relationship Id="rId2157" Type="http://schemas.openxmlformats.org/officeDocument/2006/relationships/hyperlink" Target="https://techcombank.com/thong-tin/blog/chung-chi-quy-va-co-phieu" TargetMode="External"/><Relationship Id="rId474" Type="http://schemas.openxmlformats.org/officeDocument/2006/relationships/hyperlink" Target="https://techcombank.com/thong-tin/blog/thanh-toan-bang-the-quoc-te" TargetMode="External"/><Relationship Id="rId2158" Type="http://schemas.openxmlformats.org/officeDocument/2006/relationships/hyperlink" Target="https://techcombank.com/thong-tin/blog/gui-tiet-kiem-vang" TargetMode="External"/><Relationship Id="rId1257" Type="http://schemas.openxmlformats.org/officeDocument/2006/relationships/hyperlink" Target="https://techcombank.com/thong-tin/blog/chuyen-tien-tu-nhat-ve-viet-nam" TargetMode="External"/><Relationship Id="rId2104" Type="http://schemas.openxmlformats.org/officeDocument/2006/relationships/hyperlink" Target="https://techcombank.com/thong-tin/blog/mo-the-tin-dung-han-muc-cao" TargetMode="External"/><Relationship Id="rId1258" Type="http://schemas.openxmlformats.org/officeDocument/2006/relationships/hyperlink" Target="https://techcombank.com/thong-tin/blog/1000-won-bang-bao-nhieu-tien-viet" TargetMode="External"/><Relationship Id="rId2105" Type="http://schemas.openxmlformats.org/officeDocument/2006/relationships/hyperlink" Target="https://techcombank.com/thong-tin/blog/uu-dai-the-tin-dung" TargetMode="External"/><Relationship Id="rId1259" Type="http://schemas.openxmlformats.org/officeDocument/2006/relationships/hyperlink" Target="https://techcombank.com/thong-tin/blog/tien-dai-loan" TargetMode="External"/><Relationship Id="rId2106" Type="http://schemas.openxmlformats.org/officeDocument/2006/relationships/hyperlink" Target="https://techcombank.com/thong-tin/blog/nguyen-tac-quan-ly-tai-chinh-ca-nhan" TargetMode="External"/><Relationship Id="rId2107" Type="http://schemas.openxmlformats.org/officeDocument/2006/relationships/hyperlink" Target="https://techcombank.com/thong-tin/blog/danh-muc-dau-tu" TargetMode="External"/><Relationship Id="rId2108" Type="http://schemas.openxmlformats.org/officeDocument/2006/relationships/hyperlink" Target="https://techcombank.com/thong-tin/blog/vay-100-trieu" TargetMode="External"/><Relationship Id="rId2109" Type="http://schemas.openxmlformats.org/officeDocument/2006/relationships/hyperlink" Target="https://techcombank.com/thong-tin/blog/quy-du-phong-tai-chinh-la-gi" TargetMode="External"/><Relationship Id="rId426" Type="http://schemas.openxmlformats.org/officeDocument/2006/relationships/hyperlink" Target="https://techcombank.com/thong-tin/blog/cach-rut-tien-atm" TargetMode="External"/><Relationship Id="rId425" Type="http://schemas.openxmlformats.org/officeDocument/2006/relationships/hyperlink" Target="https://techcombank.com/thong-tin/blog/1-nguoi-co-the-lam-duoc-bao-nhieu-the-atm" TargetMode="External"/><Relationship Id="rId424" Type="http://schemas.openxmlformats.org/officeDocument/2006/relationships/hyperlink" Target="https://techcombank.com/thong-tin/blog/ma-pin-the-atm" TargetMode="External"/><Relationship Id="rId423" Type="http://schemas.openxmlformats.org/officeDocument/2006/relationships/hyperlink" Target="https://techcombank.com/thong-tin/blog/bi-nuot-the-atm-phai-lam-sao" TargetMode="External"/><Relationship Id="rId429" Type="http://schemas.openxmlformats.org/officeDocument/2006/relationships/hyperlink" Target="https://techcombank.com/thong-tin/blog/1-cmnd-dang-ky-duoc-may-tai-khoan-ngan-hang" TargetMode="External"/><Relationship Id="rId428" Type="http://schemas.openxmlformats.org/officeDocument/2006/relationships/hyperlink" Target="https://techcombank.com/thong-tin/blog/atm-la-gi" TargetMode="External"/><Relationship Id="rId427" Type="http://schemas.openxmlformats.org/officeDocument/2006/relationships/hyperlink" Target="https://techcombank.com/thong-tin/blog/cach-kich-hoat-the-atm" TargetMode="External"/><Relationship Id="rId1250" Type="http://schemas.openxmlformats.org/officeDocument/2006/relationships/hyperlink" Target="https://techcombank.com/thong-tin/blog/tai-khoan-ngan-hang-la-gi" TargetMode="External"/><Relationship Id="rId1251" Type="http://schemas.openxmlformats.org/officeDocument/2006/relationships/hyperlink" Target="https://techcombank.com/thong-tin/blog/di-du-lich-nuoc-ngoai-can-chuan-bi-gi" TargetMode="External"/><Relationship Id="rId1252" Type="http://schemas.openxmlformats.org/officeDocument/2006/relationships/hyperlink" Target="https://techcombank.com/thong-tin/blog/quy-dinh-ve-mua-ban-ngoai-te-cua-doanh-nghiep" TargetMode="External"/><Relationship Id="rId422" Type="http://schemas.openxmlformats.org/officeDocument/2006/relationships/hyperlink" Target="https://techcombank.com/thong-tin/blog/rut-tien-bang-ma-qr-la-gi-cach-thuc-hien-nhu-the-nao" TargetMode="External"/><Relationship Id="rId1253" Type="http://schemas.openxmlformats.org/officeDocument/2006/relationships/hyperlink" Target="https://techcombank.com/thong-tin/blog/chuyen-tien-tu-duc-ve-viet-nam" TargetMode="External"/><Relationship Id="rId2100" Type="http://schemas.openxmlformats.org/officeDocument/2006/relationships/hyperlink" Target="https://techcombank.com/thong-tin/blog/tiet-kiem-khi-di-du-lich" TargetMode="External"/><Relationship Id="rId421" Type="http://schemas.openxmlformats.org/officeDocument/2006/relationships/hyperlink" Target="https://techcombank.com/thong-tin/blog/the-atm-gan-chip" TargetMode="External"/><Relationship Id="rId1254" Type="http://schemas.openxmlformats.org/officeDocument/2006/relationships/hyperlink" Target="https://techcombank.com/thong-tin/blog/cach-nhan-tien-tu-nuoc-ngoai-ve-viet-nam" TargetMode="External"/><Relationship Id="rId2101" Type="http://schemas.openxmlformats.org/officeDocument/2006/relationships/hyperlink" Target="https://techcombank.com/thong-tin/blog/cho-vay-tieu-dung-la-gi" TargetMode="External"/><Relationship Id="rId420" Type="http://schemas.openxmlformats.org/officeDocument/2006/relationships/hyperlink" Target="https://techcombank.com/thong-tin/blog/nap-tien-dien-thoai-online" TargetMode="External"/><Relationship Id="rId1255" Type="http://schemas.openxmlformats.org/officeDocument/2006/relationships/hyperlink" Target="https://techcombank.com/thong-tin/blog/ngoai-hoi-la-gi" TargetMode="External"/><Relationship Id="rId2102" Type="http://schemas.openxmlformats.org/officeDocument/2006/relationships/hyperlink" Target="https://techcombank.com/thong-tin/blog/nen-gui-tiet-kiem-6-thang-hay-1-nam" TargetMode="External"/><Relationship Id="rId1256" Type="http://schemas.openxmlformats.org/officeDocument/2006/relationships/hyperlink" Target="https://techcombank.com/thong-tin/blog/phi-chuyen-doi-ngoai-te" TargetMode="External"/><Relationship Id="rId2103" Type="http://schemas.openxmlformats.org/officeDocument/2006/relationships/hyperlink" Target="https://techcombank.com/thong-tin/blog/phan-mem-lap-ke-hoach-tai-chinh-ca-nhan" TargetMode="External"/><Relationship Id="rId1246" Type="http://schemas.openxmlformats.org/officeDocument/2006/relationships/hyperlink" Target="https://techcombank.com/thong-tin/blog/gui-tiet-kiem-ngoai-te" TargetMode="External"/><Relationship Id="rId1247" Type="http://schemas.openxmlformats.org/officeDocument/2006/relationships/hyperlink" Target="https://techcombank.com/thong-tin/blog/chuyen-tien-dinh-cu" TargetMode="External"/><Relationship Id="rId1248" Type="http://schemas.openxmlformats.org/officeDocument/2006/relationships/hyperlink" Target="https://techcombank.com/thong-tin/blog/han-muc-mua-ngoai-te-khi-di-du-lich" TargetMode="External"/><Relationship Id="rId1249" Type="http://schemas.openxmlformats.org/officeDocument/2006/relationships/hyperlink" Target="https://techcombank.com/thong-tin/blog/ngoai-te-la-gi" TargetMode="External"/><Relationship Id="rId415" Type="http://schemas.openxmlformats.org/officeDocument/2006/relationships/hyperlink" Target="https://techcombank.com/thong-tin/blog/the-visa-de-lam-gi" TargetMode="External"/><Relationship Id="rId899" Type="http://schemas.openxmlformats.org/officeDocument/2006/relationships/hyperlink" Target="https://techcombank.com/thong-tin/blog/khong-su-dung-the-tin-dung-co-mat-phi-khong" TargetMode="External"/><Relationship Id="rId414" Type="http://schemas.openxmlformats.org/officeDocument/2006/relationships/hyperlink" Target="https://techcombank.com/thong-tin/blog/tra-cuu-han-muc-the-tin-dung" TargetMode="External"/><Relationship Id="rId898" Type="http://schemas.openxmlformats.org/officeDocument/2006/relationships/hyperlink" Target="https://techcombank.com/thong-tin/blog/uu-dai-mua-iphone-18" TargetMode="External"/><Relationship Id="rId413" Type="http://schemas.openxmlformats.org/officeDocument/2006/relationships/hyperlink" Target="https://techcombank.com/thong-tin/blog/cach-lam-the-atm" TargetMode="External"/><Relationship Id="rId897" Type="http://schemas.openxmlformats.org/officeDocument/2006/relationships/hyperlink" Target="https://techcombank.com/thong-tin/blog/the-ghi-no-visa-la-gi" TargetMode="External"/><Relationship Id="rId412" Type="http://schemas.openxmlformats.org/officeDocument/2006/relationships/hyperlink" Target="https://techcombank.com/thong-tin/blog/rut-tien-bang-ma-qr-khac-ngan-hang-duoc-khong" TargetMode="External"/><Relationship Id="rId896" Type="http://schemas.openxmlformats.org/officeDocument/2006/relationships/hyperlink" Target="https://techcombank.com/thong-tin/blog/no-xau-nhom-2" TargetMode="External"/><Relationship Id="rId419" Type="http://schemas.openxmlformats.org/officeDocument/2006/relationships/hyperlink" Target="https://techcombank.com/thong-tin/blog/cach-thanh-toan-the-tin-dung" TargetMode="External"/><Relationship Id="rId418" Type="http://schemas.openxmlformats.org/officeDocument/2006/relationships/hyperlink" Target="https://techcombank.com/thong-tin/blog/cach-nap-the" TargetMode="External"/><Relationship Id="rId417" Type="http://schemas.openxmlformats.org/officeDocument/2006/relationships/hyperlink" Target="https://techcombank.com/thong-tin/blog/lam-the-atm-bao-lau-co" TargetMode="External"/><Relationship Id="rId416" Type="http://schemas.openxmlformats.org/officeDocument/2006/relationships/hyperlink" Target="https://techcombank.com/thong-tin/blog/the-atm-khong-rut-duoc-tien" TargetMode="External"/><Relationship Id="rId891" Type="http://schemas.openxmlformats.org/officeDocument/2006/relationships/hyperlink" Target="https://techcombank.com/thong-tin/blog/mo-the-tin-dung-khong-can-chung-minh-thu-nhap" TargetMode="External"/><Relationship Id="rId890" Type="http://schemas.openxmlformats.org/officeDocument/2006/relationships/hyperlink" Target="https://techcombank.com/thong-tin/blog/mat-the-tin-dung-co-lam-lai-duoc-khong" TargetMode="External"/><Relationship Id="rId1240" Type="http://schemas.openxmlformats.org/officeDocument/2006/relationships/hyperlink" Target="https://techcombank.com/thong-tin/blog/chung-chi-tien-gui-co-phai-la-trai-phieu-khong" TargetMode="External"/><Relationship Id="rId1241" Type="http://schemas.openxmlformats.org/officeDocument/2006/relationships/hyperlink" Target="https://techcombank.com/thong-tin/blog/chung-chi-tien-gui-co-an-toan-khong" TargetMode="External"/><Relationship Id="rId411" Type="http://schemas.openxmlformats.org/officeDocument/2006/relationships/hyperlink" Target="https://techcombank.com/thong-tin/blog/lam-the-atm-co-mat-phi-khong" TargetMode="External"/><Relationship Id="rId895" Type="http://schemas.openxmlformats.org/officeDocument/2006/relationships/hyperlink" Target="https://techcombank.com/thong-tin/blog/so-luong-the-tin-dung-noi-dia-dang-luu-hanh-da-tang-42-so-voi-cung-ky-nam-2022" TargetMode="External"/><Relationship Id="rId1242" Type="http://schemas.openxmlformats.org/officeDocument/2006/relationships/hyperlink" Target="https://techcombank.com/thong-tin/blog/tien-trung-quoc" TargetMode="External"/><Relationship Id="rId410" Type="http://schemas.openxmlformats.org/officeDocument/2006/relationships/hyperlink" Target="https://techcombank.com/thong-tin/blog/cach-su-dung-tai-khoan-cong-ty" TargetMode="External"/><Relationship Id="rId894" Type="http://schemas.openxmlformats.org/officeDocument/2006/relationships/hyperlink" Target="https://techcombank.com/thong-tin/blog/rut-tien-mat-tu-the-tin-dung" TargetMode="External"/><Relationship Id="rId1243" Type="http://schemas.openxmlformats.org/officeDocument/2006/relationships/hyperlink" Target="https://techcombank.com/thong-tin/blog/1-van-te-bang-bao-nhieu-tien-viet" TargetMode="External"/><Relationship Id="rId893" Type="http://schemas.openxmlformats.org/officeDocument/2006/relationships/hyperlink" Target="https://techcombank.com/thong-tin/blog/the-tin-dung-phu-la-gi" TargetMode="External"/><Relationship Id="rId1244" Type="http://schemas.openxmlformats.org/officeDocument/2006/relationships/hyperlink" Target="https://techcombank.com/thong-tin/blog/1000-te-bang-bao-nhieu-tien-viet" TargetMode="External"/><Relationship Id="rId892" Type="http://schemas.openxmlformats.org/officeDocument/2006/relationships/hyperlink" Target="https://techcombank.com/thong-tin/blog/the-tin-dung-vip" TargetMode="External"/><Relationship Id="rId1245" Type="http://schemas.openxmlformats.org/officeDocument/2006/relationships/hyperlink" Target="https://techcombank.com/thong-tin/blog/thanh-toan-khi-du-lich-trung-quoc" TargetMode="External"/><Relationship Id="rId1279" Type="http://schemas.openxmlformats.org/officeDocument/2006/relationships/hyperlink" Target="https://techcombank.com/thong-tin/blog/chixmax" TargetMode="External"/><Relationship Id="rId2126" Type="http://schemas.openxmlformats.org/officeDocument/2006/relationships/hyperlink" Target="https://techcombank.com/thong-tin/blog/6-chiec-lo-tai-chinh-ca-nhan" TargetMode="External"/><Relationship Id="rId2127" Type="http://schemas.openxmlformats.org/officeDocument/2006/relationships/hyperlink" Target="https://techcombank.com/thong-tin/blog/hu-chi-tieu" TargetMode="External"/><Relationship Id="rId2128" Type="http://schemas.openxmlformats.org/officeDocument/2006/relationships/hyperlink" Target="https://techcombank.com/thong-tin/blog/ngan-hang-so" TargetMode="External"/><Relationship Id="rId2129" Type="http://schemas.openxmlformats.org/officeDocument/2006/relationships/hyperlink" Target="https://techcombank.com/thong-tin/blog/dau-tu-tai-chinh-ca-nhan" TargetMode="External"/><Relationship Id="rId448" Type="http://schemas.openxmlformats.org/officeDocument/2006/relationships/hyperlink" Target="https://techcombank.com/thong-tin/blog/tiet-kiem-khi-di-du-lich" TargetMode="External"/><Relationship Id="rId447" Type="http://schemas.openxmlformats.org/officeDocument/2006/relationships/hyperlink" Target="https://techcombank.com/thong-tin/blog/app-mua-truoc-tra-sau" TargetMode="External"/><Relationship Id="rId446" Type="http://schemas.openxmlformats.org/officeDocument/2006/relationships/hyperlink" Target="https://techcombank.com/thong-tin/blog/dau-chan-carbon" TargetMode="External"/><Relationship Id="rId445" Type="http://schemas.openxmlformats.org/officeDocument/2006/relationships/hyperlink" Target="https://techcombank.com/thong-tin/blog/cach-tiet-kiem-tien-hieu-qua-cho-gia-dinh" TargetMode="External"/><Relationship Id="rId449" Type="http://schemas.openxmlformats.org/officeDocument/2006/relationships/hyperlink" Target="https://techcombank.com/thong-tin/blog/cho-vay-tieu-dung-la-gi" TargetMode="External"/><Relationship Id="rId1270" Type="http://schemas.openxmlformats.org/officeDocument/2006/relationships/hyperlink" Target="https://techcombank.com/thong-tin/blog/gui-tiet-kiem-usd" TargetMode="External"/><Relationship Id="rId440" Type="http://schemas.openxmlformats.org/officeDocument/2006/relationships/hyperlink" Target="https://techcombank.com/thong-tin/blog/ghi-chep-chi-tieu" TargetMode="External"/><Relationship Id="rId1271" Type="http://schemas.openxmlformats.org/officeDocument/2006/relationships/hyperlink" Target="https://techcombank.com/thong-tin/blog/doi-tien-do-o-dau" TargetMode="External"/><Relationship Id="rId1272" Type="http://schemas.openxmlformats.org/officeDocument/2006/relationships/hyperlink" Target="https://techcombank.com/thong-tin/blog/chuyen-tien-di-uc" TargetMode="External"/><Relationship Id="rId1273" Type="http://schemas.openxmlformats.org/officeDocument/2006/relationships/hyperlink" Target="https://techcombank.com/thong-tin/blog/1-trieu-do-bang-bao-nhieu-tien-viet" TargetMode="External"/><Relationship Id="rId2120" Type="http://schemas.openxmlformats.org/officeDocument/2006/relationships/hyperlink" Target="https://techcombank.com/thong-tin/blog/ly-do-ngan-hang-so-tro-thanh-cong-cu-tai-chinh-hang-dau-cua-gioi-tre" TargetMode="External"/><Relationship Id="rId1274" Type="http://schemas.openxmlformats.org/officeDocument/2006/relationships/hyperlink" Target="https://techcombank.com/thong-tin/blog/thanh-toan-khi-du-lich-nhat-ban" TargetMode="External"/><Relationship Id="rId2121" Type="http://schemas.openxmlformats.org/officeDocument/2006/relationships/hyperlink" Target="https://techcombank.com/thong-tin/blog/the-debit-cho-con" TargetMode="External"/><Relationship Id="rId444" Type="http://schemas.openxmlformats.org/officeDocument/2006/relationships/hyperlink" Target="https://techcombank.com/thong-tin/blog/loi-ich-cua-viec-tiet-kiem-tien" TargetMode="External"/><Relationship Id="rId1275" Type="http://schemas.openxmlformats.org/officeDocument/2006/relationships/hyperlink" Target="https://techcombank.com/thong-tin/blog/chuyen-tien-tu-nhat-ve-viet-nam" TargetMode="External"/><Relationship Id="rId2122" Type="http://schemas.openxmlformats.org/officeDocument/2006/relationships/hyperlink" Target="https://techcombank.com/thong-tin/blog/thoi-gian-hoan-tien-the-tin-dung" TargetMode="External"/><Relationship Id="rId443" Type="http://schemas.openxmlformats.org/officeDocument/2006/relationships/hyperlink" Target="https://techcombank.com/thong-tin/blog/uu-dai-the-tin-dung-techcombank-signature" TargetMode="External"/><Relationship Id="rId1276" Type="http://schemas.openxmlformats.org/officeDocument/2006/relationships/hyperlink" Target="https://techcombank.com/thong-tin/blog/1-yen-bang-bao-nhieu-tien-viet-nam" TargetMode="External"/><Relationship Id="rId2123" Type="http://schemas.openxmlformats.org/officeDocument/2006/relationships/hyperlink" Target="https://techcombank.com/thong-tin/blog/ung-dung-cong-nghe" TargetMode="External"/><Relationship Id="rId442" Type="http://schemas.openxmlformats.org/officeDocument/2006/relationships/hyperlink" Target="https://techcombank.com/thong-tin/blog/vi-tra-sau" TargetMode="External"/><Relationship Id="rId1277" Type="http://schemas.openxmlformats.org/officeDocument/2006/relationships/hyperlink" Target="https://techcombank.com/thong-tin/blog/1-man-bang-bao-nhieu-tien-viet" TargetMode="External"/><Relationship Id="rId2124" Type="http://schemas.openxmlformats.org/officeDocument/2006/relationships/hyperlink" Target="https://techcombank.com/thong-tin/blog/du-no-tin-dung-la-gi" TargetMode="External"/><Relationship Id="rId441" Type="http://schemas.openxmlformats.org/officeDocument/2006/relationships/hyperlink" Target="https://techcombank.com/thong-tin/blog/ma-mcc" TargetMode="External"/><Relationship Id="rId1278" Type="http://schemas.openxmlformats.org/officeDocument/2006/relationships/hyperlink" Target="https://techcombank.com/thong-tin/blog/cach-tiet-kiem-tien-cua-nguoi-nhat" TargetMode="External"/><Relationship Id="rId2125" Type="http://schemas.openxmlformats.org/officeDocument/2006/relationships/hyperlink" Target="https://techcombank.com/thong-tin/blog/the-visa-co-may-loai" TargetMode="External"/><Relationship Id="rId1268" Type="http://schemas.openxmlformats.org/officeDocument/2006/relationships/hyperlink" Target="https://techcombank.com/thong-tin/blog/han-muc-mua-ngoai-te-khi-di-du-lich" TargetMode="External"/><Relationship Id="rId2115" Type="http://schemas.openxmlformats.org/officeDocument/2006/relationships/hyperlink" Target="https://techcombank.com/thong-tin/blog/sao-ke-the-tin-dung-la-gi" TargetMode="External"/><Relationship Id="rId1269" Type="http://schemas.openxmlformats.org/officeDocument/2006/relationships/hyperlink" Target="https://techcombank.com/thong-tin/blog/cam-nang-dinh-cu-my" TargetMode="External"/><Relationship Id="rId2116" Type="http://schemas.openxmlformats.org/officeDocument/2006/relationships/hyperlink" Target="https://techcombank.com/thong-tin/blog/cashback-the-thanh-toan" TargetMode="External"/><Relationship Id="rId2117" Type="http://schemas.openxmlformats.org/officeDocument/2006/relationships/hyperlink" Target="https://techcombank.com/thong-tin/blog/nang-han-muc-tin-dung" TargetMode="External"/><Relationship Id="rId2118" Type="http://schemas.openxmlformats.org/officeDocument/2006/relationships/hyperlink" Target="https://techcombank.com/thong-tin/blog/bang-can-doi-tai-chinh" TargetMode="External"/><Relationship Id="rId2119" Type="http://schemas.openxmlformats.org/officeDocument/2006/relationships/hyperlink" Target="https://techcombank.com/thong-tin/blog/vay-tin-chap-theo-luong" TargetMode="External"/><Relationship Id="rId437" Type="http://schemas.openxmlformats.org/officeDocument/2006/relationships/hyperlink" Target="https://techcombank.com/thong-tin/blog/sao-ke-tai-khoan-doanh-nghiep" TargetMode="External"/><Relationship Id="rId436" Type="http://schemas.openxmlformats.org/officeDocument/2006/relationships/hyperlink" Target="https://techcombank.com/thong-tin/blog/sao-ke-luong" TargetMode="External"/><Relationship Id="rId435" Type="http://schemas.openxmlformats.org/officeDocument/2006/relationships/hyperlink" Target="https://techcombank.com/thong-tin/blog/the-visa-co-rut-tien-duoc-khong" TargetMode="External"/><Relationship Id="rId434" Type="http://schemas.openxmlformats.org/officeDocument/2006/relationships/hyperlink" Target="https://techcombank.com/thong-tin/blog/cach-chuyen-tien" TargetMode="External"/><Relationship Id="rId439" Type="http://schemas.openxmlformats.org/officeDocument/2006/relationships/hyperlink" Target="https://techcombank.com/thong-tin/blog/tien-chuyen-vao-tai-khoan-co-bi-tinh-thue-khong" TargetMode="External"/><Relationship Id="rId438" Type="http://schemas.openxmlformats.org/officeDocument/2006/relationships/hyperlink" Target="https://techcombank.com/thong-tin/blog/vay-the-chap-qua-luong" TargetMode="External"/><Relationship Id="rId1260" Type="http://schemas.openxmlformats.org/officeDocument/2006/relationships/hyperlink" Target="https://techcombank.com/thong-tin/blog/ty-gia-cac-ngan-hang" TargetMode="External"/><Relationship Id="rId1261" Type="http://schemas.openxmlformats.org/officeDocument/2006/relationships/hyperlink" Target="https://techcombank.com/thong-tin/blog/ty-gia-la-gi" TargetMode="External"/><Relationship Id="rId1262" Type="http://schemas.openxmlformats.org/officeDocument/2006/relationships/hyperlink" Target="https://techcombank.com/thong-tin/blog/xu-huong-ty-gia-usd" TargetMode="External"/><Relationship Id="rId1263" Type="http://schemas.openxmlformats.org/officeDocument/2006/relationships/hyperlink" Target="https://techcombank.com/thong-tin/blog/dieu-kien-mua-usd-tu-ngan-hang" TargetMode="External"/><Relationship Id="rId2110" Type="http://schemas.openxmlformats.org/officeDocument/2006/relationships/hyperlink" Target="https://techcombank.com/thong-tin/blog/bi-quyet-tiet-kiem-tien-mua-nha" TargetMode="External"/><Relationship Id="rId433" Type="http://schemas.openxmlformats.org/officeDocument/2006/relationships/hyperlink" Target="https://techcombank.com/thong-tin/blog/the-atm-tu" TargetMode="External"/><Relationship Id="rId1264" Type="http://schemas.openxmlformats.org/officeDocument/2006/relationships/hyperlink" Target="https://techcombank.com/thong-tin/blog/1-cent-bang-bao-nhieu-tien-viet" TargetMode="External"/><Relationship Id="rId2111" Type="http://schemas.openxmlformats.org/officeDocument/2006/relationships/hyperlink" Target="https://techcombank.com/thong-tin/blog/app-ngan-hang" TargetMode="External"/><Relationship Id="rId432" Type="http://schemas.openxmlformats.org/officeDocument/2006/relationships/hyperlink" Target="https://techcombank.com/thong-tin/blog/the-visa-ao-la-gi" TargetMode="External"/><Relationship Id="rId1265" Type="http://schemas.openxmlformats.org/officeDocument/2006/relationships/hyperlink" Target="https://techcombank.com/thong-tin/blog/lai-suat-gui-tiet-kiem-usd" TargetMode="External"/><Relationship Id="rId2112" Type="http://schemas.openxmlformats.org/officeDocument/2006/relationships/hyperlink" Target="https://techcombank.com/thong-tin/blog/app-quan-ly-chi-tieu" TargetMode="External"/><Relationship Id="rId431" Type="http://schemas.openxmlformats.org/officeDocument/2006/relationships/hyperlink" Target="https://techcombank.com/thong-tin/blog/so-du-tien-gui-la-gi" TargetMode="External"/><Relationship Id="rId1266" Type="http://schemas.openxmlformats.org/officeDocument/2006/relationships/hyperlink" Target="https://techcombank.com/thong-tin/blog/chuyen-tien-tu-my-ve-viet-nam" TargetMode="External"/><Relationship Id="rId2113" Type="http://schemas.openxmlformats.org/officeDocument/2006/relationships/hyperlink" Target="https://techcombank.com/thong-tin/blog/nhung-kho-khan-khi-tiet-kiem-tien" TargetMode="External"/><Relationship Id="rId430" Type="http://schemas.openxmlformats.org/officeDocument/2006/relationships/hyperlink" Target="https://techcombank.com/thong-tin/blog/chuyen-doi-the-atm" TargetMode="External"/><Relationship Id="rId1267" Type="http://schemas.openxmlformats.org/officeDocument/2006/relationships/hyperlink" Target="https://techcombank.com/thong-tin/blog/vang-my-ky" TargetMode="External"/><Relationship Id="rId2114" Type="http://schemas.openxmlformats.org/officeDocument/2006/relationships/hyperlink" Target="https://techcombank.com/thong-tin/blog/no-nhom-3" TargetMode="External"/></Relationships>
</file>

<file path=xl/worksheets/_rels/sheet3.xml.rels><?xml version="1.0" encoding="UTF-8" standalone="yes"?><Relationships xmlns="http://schemas.openxmlformats.org/package/2006/relationships"><Relationship Id="rId392" Type="http://schemas.openxmlformats.org/officeDocument/2006/relationships/hyperlink" Target="https://techcombank.com/thong-tin/blog/quy-gia-dinh" TargetMode="External"/><Relationship Id="rId391" Type="http://schemas.openxmlformats.org/officeDocument/2006/relationships/hyperlink" Target="https://techcombank.com/thong-tin/blog/mo-tai-khoan-ngan-hang-bang-so-dien-thoai" TargetMode="External"/><Relationship Id="rId390" Type="http://schemas.openxmlformats.org/officeDocument/2006/relationships/hyperlink" Target="https://techcombank.com/thong-tin/blog/mo-tai-khoan-tiet-kiem-cho-con" TargetMode="External"/><Relationship Id="rId1" Type="http://schemas.openxmlformats.org/officeDocument/2006/relationships/hyperlink" Target="https://techcombank.com/thong-tin/blog/vay-mua-xe-tra-gop-ngan-hang-nao-tot-nhat" TargetMode="External"/><Relationship Id="rId2" Type="http://schemas.openxmlformats.org/officeDocument/2006/relationships/hyperlink" Target="https://techcombank.com/thong-tin/blog/co-nen-mua-o-to-tra-gop" TargetMode="External"/><Relationship Id="rId3" Type="http://schemas.openxmlformats.org/officeDocument/2006/relationships/hyperlink" Target="https://techcombank.com/thong-tin/blog/thu-tuc-mua-xe-tra-gop" TargetMode="External"/><Relationship Id="rId4" Type="http://schemas.openxmlformats.org/officeDocument/2006/relationships/hyperlink" Target="https://techcombank.com/thong-tin/blog/nen-mua-xe-tra-gop-hay-tra-thang" TargetMode="External"/><Relationship Id="rId2180" Type="http://schemas.openxmlformats.org/officeDocument/2006/relationships/hyperlink" Target="https://techcombank.com/thong-tin/blog/ngoai-hoi-la-gi" TargetMode="External"/><Relationship Id="rId2181" Type="http://schemas.openxmlformats.org/officeDocument/2006/relationships/hyperlink" Target="https://techcombank.com/thong-tin/blog/cach-tinh-ty-gia-ky-han" TargetMode="External"/><Relationship Id="rId2182" Type="http://schemas.openxmlformats.org/officeDocument/2006/relationships/hyperlink" Target="https://techcombank.com/thong-tin/blog/bien-dong-ty-gia-voi-doanh-nghiep-sme" TargetMode="External"/><Relationship Id="rId2183" Type="http://schemas.openxmlformats.org/officeDocument/2006/relationships/hyperlink" Target="https://techcombank.com/thong-tin/blog/vay-100-trieu" TargetMode="External"/><Relationship Id="rId9" Type="http://schemas.openxmlformats.org/officeDocument/2006/relationships/hyperlink" Target="https://techcombank.com/thong-tin/blog/cach-nop-thue-dien-tu" TargetMode="External"/><Relationship Id="rId385" Type="http://schemas.openxmlformats.org/officeDocument/2006/relationships/hyperlink" Target="https://techcombank.com/thong-tin/blog/the-debit-cho-con" TargetMode="External"/><Relationship Id="rId2184" Type="http://schemas.openxmlformats.org/officeDocument/2006/relationships/hyperlink" Target="https://techcombank.com/thong-tin/blog/vay-200-trieu" TargetMode="External"/><Relationship Id="rId384" Type="http://schemas.openxmlformats.org/officeDocument/2006/relationships/hyperlink" Target="https://techcombank.com/thong-tin/blog/lam-the-tin-dung-co-mat-phi-khong" TargetMode="External"/><Relationship Id="rId2185" Type="http://schemas.openxmlformats.org/officeDocument/2006/relationships/hyperlink" Target="https://techcombank.com/thong-tin/blog/vay-300-trieu" TargetMode="External"/><Relationship Id="rId383" Type="http://schemas.openxmlformats.org/officeDocument/2006/relationships/hyperlink" Target="https://techcombank.com/thong-tin/blog/lam-the-visa-online" TargetMode="External"/><Relationship Id="rId2186" Type="http://schemas.openxmlformats.org/officeDocument/2006/relationships/hyperlink" Target="https://techcombank.com/thong-tin/blog/vay-tra-gop" TargetMode="External"/><Relationship Id="rId382" Type="http://schemas.openxmlformats.org/officeDocument/2006/relationships/hyperlink" Target="https://techcombank.com/thong-tin/blog/the-mastercard-la-gi" TargetMode="External"/><Relationship Id="rId2187" Type="http://schemas.openxmlformats.org/officeDocument/2006/relationships/hyperlink" Target="https://techcombank.com/thong-tin/blog/dang-vay-tra-gop-co-vay-them-duoc-khong" TargetMode="External"/><Relationship Id="rId5" Type="http://schemas.openxmlformats.org/officeDocument/2006/relationships/hyperlink" Target="https://techcombank.com/thong-tin/blog/vay-the-chap-xe-o-to-cu" TargetMode="External"/><Relationship Id="rId389" Type="http://schemas.openxmlformats.org/officeDocument/2006/relationships/hyperlink" Target="https://techcombank.com/thong-tin/blog/the-debit-cho-con" TargetMode="External"/><Relationship Id="rId2188" Type="http://schemas.openxmlformats.org/officeDocument/2006/relationships/hyperlink" Target="https://techcombank.com/thong-tin/blog/lai-suat-vay-kinh-doanh" TargetMode="External"/><Relationship Id="rId6" Type="http://schemas.openxmlformats.org/officeDocument/2006/relationships/hyperlink" Target="https://techcombank.com/thong-tin/blog/mua-bao-hiem-o-to-dien" TargetMode="External"/><Relationship Id="rId388" Type="http://schemas.openxmlformats.org/officeDocument/2006/relationships/hyperlink" Target="https://techcombank.com/thong-tin/blog/thanh-toan-hoc-phi-online" TargetMode="External"/><Relationship Id="rId2189" Type="http://schemas.openxmlformats.org/officeDocument/2006/relationships/hyperlink" Target="https://techcombank.com/thong-tin/blog/cac-hinh-thuc-vay-von-ngan-hang" TargetMode="External"/><Relationship Id="rId7" Type="http://schemas.openxmlformats.org/officeDocument/2006/relationships/hyperlink" Target="https://techcombank.com/thong-tin/blog/mua-bao-hiem-o-to" TargetMode="External"/><Relationship Id="rId387" Type="http://schemas.openxmlformats.org/officeDocument/2006/relationships/hyperlink" Target="https://techcombank.com/thong-tin/blog/dieu-kien-vay-the-chap" TargetMode="External"/><Relationship Id="rId8" Type="http://schemas.openxmlformats.org/officeDocument/2006/relationships/hyperlink" Target="https://techcombank.com/thong-tin/blog/lien-ket-tai-khoan-ngan-hang-voi-etax-mobile" TargetMode="External"/><Relationship Id="rId386" Type="http://schemas.openxmlformats.org/officeDocument/2006/relationships/hyperlink" Target="https://techcombank.com/thong-tin/blog/lam-the-thanh-toan-quoc-te" TargetMode="External"/><Relationship Id="rId381" Type="http://schemas.openxmlformats.org/officeDocument/2006/relationships/hyperlink" Target="https://techcombank.com/thong-tin/blog/vay-sinh-vien" TargetMode="External"/><Relationship Id="rId380" Type="http://schemas.openxmlformats.org/officeDocument/2006/relationships/hyperlink" Target="https://techcombank.com/thong-tin/blog/shopeepay-la-gi" TargetMode="External"/><Relationship Id="rId379" Type="http://schemas.openxmlformats.org/officeDocument/2006/relationships/hyperlink" Target="https://techcombank.com/thong-tin/blog/lam-the-tin-dung" TargetMode="External"/><Relationship Id="rId2170" Type="http://schemas.openxmlformats.org/officeDocument/2006/relationships/hyperlink" Target="https://techcombank.com/thong-tin/blog/tra-no-vay-thau-chi-nhu-the-nao" TargetMode="External"/><Relationship Id="rId2171" Type="http://schemas.openxmlformats.org/officeDocument/2006/relationships/hyperlink" Target="https://techcombank.com/thong-tin/blog/luu-y-khi-su-dung-the-tin-dung" TargetMode="External"/><Relationship Id="rId2172" Type="http://schemas.openxmlformats.org/officeDocument/2006/relationships/hyperlink" Target="https://techcombank.com/thong-tin/blog/tactical-asset-allocation" TargetMode="External"/><Relationship Id="rId374" Type="http://schemas.openxmlformats.org/officeDocument/2006/relationships/hyperlink" Target="https://techcombank.com/thong-tin/blog/lam-the-visa-o-dau" TargetMode="External"/><Relationship Id="rId2173" Type="http://schemas.openxmlformats.org/officeDocument/2006/relationships/hyperlink" Target="https://techcombank.com/thong-tin/blog/gui-tiet-kiem-online-co-rut-truoc-han-duoc-khong" TargetMode="External"/><Relationship Id="rId373" Type="http://schemas.openxmlformats.org/officeDocument/2006/relationships/hyperlink" Target="https://techcombank.com/thong-tin/blog/co-nen-dung-the-tin-dung-khong" TargetMode="External"/><Relationship Id="rId2174" Type="http://schemas.openxmlformats.org/officeDocument/2006/relationships/hyperlink" Target="https://techcombank.com/thong-tin/blog/cach-bao-ve-tai-khoan" TargetMode="External"/><Relationship Id="rId372" Type="http://schemas.openxmlformats.org/officeDocument/2006/relationships/hyperlink" Target="https://techcombank.com/thong-tin/blog/cach-chon-so-tai-khoan-dep" TargetMode="External"/><Relationship Id="rId2175" Type="http://schemas.openxmlformats.org/officeDocument/2006/relationships/hyperlink" Target="https://techcombank.com/thong-tin/blog/dau-co-va-dau-tu" TargetMode="External"/><Relationship Id="rId371" Type="http://schemas.openxmlformats.org/officeDocument/2006/relationships/hyperlink" Target="https://techcombank.com/thong-tin/blog/the-visa-de-lam-gi" TargetMode="External"/><Relationship Id="rId2176" Type="http://schemas.openxmlformats.org/officeDocument/2006/relationships/hyperlink" Target="https://techcombank.com/thong-tin/blog/gui-tiet-kiem-online-quay-vong-ca-goc-va-lai" TargetMode="External"/><Relationship Id="rId378" Type="http://schemas.openxmlformats.org/officeDocument/2006/relationships/hyperlink" Target="https://techcombank.com/thong-tin/blog/lam-the-visa-mat-bao-lau" TargetMode="External"/><Relationship Id="rId2177" Type="http://schemas.openxmlformats.org/officeDocument/2006/relationships/hyperlink" Target="https://techcombank.com/thong-tin/blog/cac-loai-hinh-bao-hiem-nhan-tho" TargetMode="External"/><Relationship Id="rId377" Type="http://schemas.openxmlformats.org/officeDocument/2006/relationships/hyperlink" Target="https://techcombank.com/thong-tin/blog/mo-tai-khoan-tiet-kiem-cho-con" TargetMode="External"/><Relationship Id="rId2178" Type="http://schemas.openxmlformats.org/officeDocument/2006/relationships/hyperlink" Target="https://techcombank.com/thong-tin/blog/so-sanh-gui-tiet-kiem-online-va-tai-quay" TargetMode="External"/><Relationship Id="rId376" Type="http://schemas.openxmlformats.org/officeDocument/2006/relationships/hyperlink" Target="https://techcombank.com/thong-tin/blog/no-xau-co-lam-the-visa-duoc-khong" TargetMode="External"/><Relationship Id="rId2179" Type="http://schemas.openxmlformats.org/officeDocument/2006/relationships/hyperlink" Target="https://techcombank.com/thong-tin/blog/vay-tin-chap-khong-tra-duoc-co-sao-khong" TargetMode="External"/><Relationship Id="rId375" Type="http://schemas.openxmlformats.org/officeDocument/2006/relationships/hyperlink" Target="https://techcombank.com/thong-tin/blog/mo-tai-khoan-ngan-hang-duoi-18-tuoi" TargetMode="External"/><Relationship Id="rId2190" Type="http://schemas.openxmlformats.org/officeDocument/2006/relationships/hyperlink" Target="https://techcombank.com/thong-tin/blog/loi-nhuan" TargetMode="External"/><Relationship Id="rId2191" Type="http://schemas.openxmlformats.org/officeDocument/2006/relationships/hyperlink" Target="https://techcombank.com/thong-tin/blog/co-nen-mua-o-to-tra-gop" TargetMode="External"/><Relationship Id="rId2192" Type="http://schemas.openxmlformats.org/officeDocument/2006/relationships/hyperlink" Target="https://techcombank.com/thong-tin/blog/thanh-toan-khoan-vay" TargetMode="External"/><Relationship Id="rId2193" Type="http://schemas.openxmlformats.org/officeDocument/2006/relationships/hyperlink" Target="https://techcombank.com/thong-tin/blog/kiem-tra-no-xau" TargetMode="External"/><Relationship Id="rId2194" Type="http://schemas.openxmlformats.org/officeDocument/2006/relationships/hyperlink" Target="https://techcombank.com/thong-tin/blog/mua-truoc-tra-sau" TargetMode="External"/><Relationship Id="rId396" Type="http://schemas.openxmlformats.org/officeDocument/2006/relationships/hyperlink" Target="https://techcombank.com/thong-tin/blog/cho-vay-kinh-doanh-ho-gia-dinh" TargetMode="External"/><Relationship Id="rId2195" Type="http://schemas.openxmlformats.org/officeDocument/2006/relationships/hyperlink" Target="https://techcombank.com/thong-tin/blog/the-visa-de-lam-gi" TargetMode="External"/><Relationship Id="rId395" Type="http://schemas.openxmlformats.org/officeDocument/2006/relationships/hyperlink" Target="https://techcombank.com/thong-tin/blog/the-he-ke-can" TargetMode="External"/><Relationship Id="rId2196" Type="http://schemas.openxmlformats.org/officeDocument/2006/relationships/hyperlink" Target="https://techcombank.com/thong-tin/blog/rui-ro-khi-vay-the-chap-ngan-hang" TargetMode="External"/><Relationship Id="rId394" Type="http://schemas.openxmlformats.org/officeDocument/2006/relationships/hyperlink" Target="https://techcombank.com/thong-tin/blog/tap-doan-thanh-quang-khoi-sac-kinh-doanh-nho-nguon-von-vay-tin-dung-techcombank-tren-nen-tang-misa-lending" TargetMode="External"/><Relationship Id="rId2197" Type="http://schemas.openxmlformats.org/officeDocument/2006/relationships/hyperlink" Target="https://techcombank.com/thong-tin/blog/vay-tin-chap-va-vay-the-chap" TargetMode="External"/><Relationship Id="rId393" Type="http://schemas.openxmlformats.org/officeDocument/2006/relationships/hyperlink" Target="https://techcombank.com/thong-tin/blog/dao-tao-the-he-ke-can" TargetMode="External"/><Relationship Id="rId2198" Type="http://schemas.openxmlformats.org/officeDocument/2006/relationships/hyperlink" Target="https://techcombank.com/thong-tin/blog/lai-suat-vay-the-chap" TargetMode="External"/><Relationship Id="rId2199" Type="http://schemas.openxmlformats.org/officeDocument/2006/relationships/hyperlink" Target="https://techcombank.com/thong-tin/blog/tat-toan" TargetMode="External"/><Relationship Id="rId399" Type="http://schemas.openxmlformats.org/officeDocument/2006/relationships/hyperlink" Target="https://techcombank.com/thong-tin/blog/mo-tai-khoan-ngan-hang-cho-tre-em" TargetMode="External"/><Relationship Id="rId398" Type="http://schemas.openxmlformats.org/officeDocument/2006/relationships/hyperlink" Target="https://techcombank.com/thong-tin/blog/bao-hiem-suc-khoe-la-gi" TargetMode="External"/><Relationship Id="rId397" Type="http://schemas.openxmlformats.org/officeDocument/2006/relationships/hyperlink" Target="https://techcombank.com/thong-tin/blog/cach-tiet-kiem-tien-hieu-qua-cho-gia-dinh" TargetMode="External"/><Relationship Id="rId1730" Type="http://schemas.openxmlformats.org/officeDocument/2006/relationships/hyperlink" Target="https://techcombank.com/thong-tin/blog/thanh-lap-ho-kinh-doanh-ca-the" TargetMode="External"/><Relationship Id="rId1731" Type="http://schemas.openxmlformats.org/officeDocument/2006/relationships/hyperlink" Target="https://techcombank.com/thong-tin/blog/thue-ho-kinh-doanh-2025" TargetMode="External"/><Relationship Id="rId1732" Type="http://schemas.openxmlformats.org/officeDocument/2006/relationships/hyperlink" Target="https://techcombank.com/thong-tin/blog/cach-tao-ma-qr" TargetMode="External"/><Relationship Id="rId1733" Type="http://schemas.openxmlformats.org/officeDocument/2006/relationships/hyperlink" Target="https://techcombank.com/thong-tin/blog/loi-ich-khi-ho-kinh-doanh-chuyen-len-doanh-nghiep" TargetMode="External"/><Relationship Id="rId1734" Type="http://schemas.openxmlformats.org/officeDocument/2006/relationships/hyperlink" Target="https://techcombank.com/thong-tin/blog/tiem-nang-chuyen-doi-tu-ho-kinh-doanh-len-doanh-nghiep-sme" TargetMode="External"/><Relationship Id="rId1735" Type="http://schemas.openxmlformats.org/officeDocument/2006/relationships/hyperlink" Target="https://techcombank.com/thong-tin/blog/lai-suat-vay-kinh-doanh" TargetMode="External"/><Relationship Id="rId1736" Type="http://schemas.openxmlformats.org/officeDocument/2006/relationships/hyperlink" Target="https://techcombank.com/thong-tin/blog/chuyen-doi-ho-kinh-doanh-len-doanh-nghiep" TargetMode="External"/><Relationship Id="rId1737" Type="http://schemas.openxmlformats.org/officeDocument/2006/relationships/hyperlink" Target="https://techcombank.com/thong-tin/blog/thanh-toan-khong-dung-tien-mat" TargetMode="External"/><Relationship Id="rId1738" Type="http://schemas.openxmlformats.org/officeDocument/2006/relationships/hyperlink" Target="https://techcombank.com/thong-tin/blog/mo-tai-khoan-ho-kinh-doanh" TargetMode="External"/><Relationship Id="rId1739" Type="http://schemas.openxmlformats.org/officeDocument/2006/relationships/hyperlink" Target="https://techcombank.com/thong-tin/blog/nen-thanh-lap-ho-kinh-doanh-ke-khai-hay-doanh-nghiep" TargetMode="External"/><Relationship Id="rId1720" Type="http://schemas.openxmlformats.org/officeDocument/2006/relationships/hyperlink" Target="https://techcombank.com/thong-tin/blog/dieu-kien-vay-von-ngan-hang" TargetMode="External"/><Relationship Id="rId1721" Type="http://schemas.openxmlformats.org/officeDocument/2006/relationships/hyperlink" Target="https://techcombank.com/thong-tin/blog/phat-cham-dang-ky-thue-ho-kinh-doanh" TargetMode="External"/><Relationship Id="rId1722" Type="http://schemas.openxmlformats.org/officeDocument/2006/relationships/hyperlink" Target="https://techcombank.com/thong-tin/blog/phan-mem-xuat-hoa-don-dien-tu" TargetMode="External"/><Relationship Id="rId1723" Type="http://schemas.openxmlformats.org/officeDocument/2006/relationships/hyperlink" Target="https://techcombank.com/thong-tin/blog/cach-lam-the-ngan-hang-chay-quang-cao-facebook" TargetMode="External"/><Relationship Id="rId1724" Type="http://schemas.openxmlformats.org/officeDocument/2006/relationships/hyperlink" Target="https://techcombank.com/thong-tin/blog/ke-khai-thue-ho-kinh-doanh-ca-the-online" TargetMode="External"/><Relationship Id="rId1725" Type="http://schemas.openxmlformats.org/officeDocument/2006/relationships/hyperlink" Target="https://techcombank.com/thong-tin/blog/kiem-tra-thue-ho-kinh-doanh" TargetMode="External"/><Relationship Id="rId1726" Type="http://schemas.openxmlformats.org/officeDocument/2006/relationships/hyperlink" Target="https://techcombank.com/thong-tin/blog/thue-thuong-mai-dien-tu" TargetMode="External"/><Relationship Id="rId1727" Type="http://schemas.openxmlformats.org/officeDocument/2006/relationships/hyperlink" Target="https://techcombank.com/thong-tin/blog/chinh-sach-thue-moi" TargetMode="External"/><Relationship Id="rId1728" Type="http://schemas.openxmlformats.org/officeDocument/2006/relationships/hyperlink" Target="https://techcombank.com/thong-tin/blog/ho-kinh-doanh-ca-the" TargetMode="External"/><Relationship Id="rId1729" Type="http://schemas.openxmlformats.org/officeDocument/2006/relationships/hyperlink" Target="https://techcombank.com/thong-tin/blog/ho-kinh-doanh-la-gi" TargetMode="External"/><Relationship Id="rId1752" Type="http://schemas.openxmlformats.org/officeDocument/2006/relationships/hyperlink" Target="https://techcombank.com/thong-tin/blog/luu-y-khi-chuyen-doi-tu-ho-kinh-doanh-len-doanh-nghiep" TargetMode="External"/><Relationship Id="rId1753" Type="http://schemas.openxmlformats.org/officeDocument/2006/relationships/hyperlink" Target="https://techcombank.com/thong-tin/blog/barcode-la-gi" TargetMode="External"/><Relationship Id="rId1754" Type="http://schemas.openxmlformats.org/officeDocument/2006/relationships/hyperlink" Target="https://techcombank.com/thong-tin/blog/tra-cuu-ma-so-thue-ho-kinh-doanh" TargetMode="External"/><Relationship Id="rId1755" Type="http://schemas.openxmlformats.org/officeDocument/2006/relationships/hyperlink" Target="https://techcombank.com/thong-tin/blog/dang-ky-thue-ho-kinh-doanh-ca-the-online" TargetMode="External"/><Relationship Id="rId1756" Type="http://schemas.openxmlformats.org/officeDocument/2006/relationships/hyperlink" Target="https://techcombank.com/thong-tin/blog/chuyen-doi-so-ho-kinh-doanh" TargetMode="External"/><Relationship Id="rId1757" Type="http://schemas.openxmlformats.org/officeDocument/2006/relationships/hyperlink" Target="https://techcombank.com/thong-tin/blog/hoa-don-dien-tu" TargetMode="External"/><Relationship Id="rId1758" Type="http://schemas.openxmlformats.org/officeDocument/2006/relationships/hyperlink" Target="https://techcombank.com/thong-tin/blog/luat-thuong-mai-dien-tu" TargetMode="External"/><Relationship Id="rId1759" Type="http://schemas.openxmlformats.org/officeDocument/2006/relationships/hyperlink" Target="https://techcombank.com/thong-tin/blog/vay-the-chap-kinh-doanh" TargetMode="External"/><Relationship Id="rId808" Type="http://schemas.openxmlformats.org/officeDocument/2006/relationships/hyperlink" Target="https://techcombank.com/thong-tin/blog/the-debit-cho-con" TargetMode="External"/><Relationship Id="rId807" Type="http://schemas.openxmlformats.org/officeDocument/2006/relationships/hyperlink" Target="https://techcombank.com/thong-tin/blog/no-the-tin-dung-qua-han" TargetMode="External"/><Relationship Id="rId806" Type="http://schemas.openxmlformats.org/officeDocument/2006/relationships/hyperlink" Target="https://techcombank.com/thong-tin/blog/no-xau-mo-the-tin-dung-duoc-khong" TargetMode="External"/><Relationship Id="rId805" Type="http://schemas.openxmlformats.org/officeDocument/2006/relationships/hyperlink" Target="https://techcombank.com/thong-tin/blog/the-tin-dung-bi-khoa" TargetMode="External"/><Relationship Id="rId809" Type="http://schemas.openxmlformats.org/officeDocument/2006/relationships/hyperlink" Target="https://techcombank.com/thong-tin/blog/luu-y-khi-su-dung-the-tin-dung" TargetMode="External"/><Relationship Id="rId800" Type="http://schemas.openxmlformats.org/officeDocument/2006/relationships/hyperlink" Target="https://techcombank.com/thong-tin/blog/han-muc-the-tin-dung" TargetMode="External"/><Relationship Id="rId804" Type="http://schemas.openxmlformats.org/officeDocument/2006/relationships/hyperlink" Target="https://techcombank.com/thong-tin/blog/kich-hoat-the-tin-dung-techcombank" TargetMode="External"/><Relationship Id="rId803" Type="http://schemas.openxmlformats.org/officeDocument/2006/relationships/hyperlink" Target="https://techcombank.com/thong-tin/blog/tra-gop-qua-the-tin-dung" TargetMode="External"/><Relationship Id="rId802" Type="http://schemas.openxmlformats.org/officeDocument/2006/relationships/hyperlink" Target="https://techcombank.com/thong-tin/blog/the-tin-dung-mien-lai-55-ngay" TargetMode="External"/><Relationship Id="rId801" Type="http://schemas.openxmlformats.org/officeDocument/2006/relationships/hyperlink" Target="https://techcombank.com/thong-tin/blog/nang-han-muc-tin-dung" TargetMode="External"/><Relationship Id="rId1750" Type="http://schemas.openxmlformats.org/officeDocument/2006/relationships/hyperlink" Target="https://techcombank.com/thong-tin/blog/cach-dang-ky-ma-so-thue-ho-kinh-doanh-online" TargetMode="External"/><Relationship Id="rId1751" Type="http://schemas.openxmlformats.org/officeDocument/2006/relationships/hyperlink" Target="https://techcombank.com/thong-tin/blog/nhung-ho-kinh-doanh-duoc-mien-thue" TargetMode="External"/><Relationship Id="rId1741" Type="http://schemas.openxmlformats.org/officeDocument/2006/relationships/hyperlink" Target="https://techcombank.com/thong-tin/blog/tra-cuu-no-thue-ho-kinh-doanh" TargetMode="External"/><Relationship Id="rId1742" Type="http://schemas.openxmlformats.org/officeDocument/2006/relationships/hyperlink" Target="https://techcombank.com/thong-tin/blog/lien-ket-tai-khoan-ngan-hang-voi-etax-mobile" TargetMode="External"/><Relationship Id="rId1743" Type="http://schemas.openxmlformats.org/officeDocument/2006/relationships/hyperlink" Target="https://techcombank.com/thong-tin/blog/thu-tuc-vay-von-kinh-doanh-nho" TargetMode="External"/><Relationship Id="rId1744" Type="http://schemas.openxmlformats.org/officeDocument/2006/relationships/hyperlink" Target="https://techcombank.com/thong-tin/blog/truy-thu-thue-ho-kinh-doanh" TargetMode="External"/><Relationship Id="rId1745" Type="http://schemas.openxmlformats.org/officeDocument/2006/relationships/hyperlink" Target="https://techcombank.com/thong-tin/blog/cac-sai-lam-pho-bien-khi-chuyen-doi-ho-kinh-doanh-len-sme" TargetMode="External"/><Relationship Id="rId1746" Type="http://schemas.openxmlformats.org/officeDocument/2006/relationships/hyperlink" Target="https://techcombank.com/thong-tin/blog/giay-phep-kinh-doanh" TargetMode="External"/><Relationship Id="rId1747" Type="http://schemas.openxmlformats.org/officeDocument/2006/relationships/hyperlink" Target="https://techcombank.com/thong-tin/blog/chuyen-doi-hoa-don-dien-tu" TargetMode="External"/><Relationship Id="rId1748" Type="http://schemas.openxmlformats.org/officeDocument/2006/relationships/hyperlink" Target="https://techcombank.com/thong-tin/blog/dang-ky-kinh-doanh-la-gi" TargetMode="External"/><Relationship Id="rId1749" Type="http://schemas.openxmlformats.org/officeDocument/2006/relationships/hyperlink" Target="https://techcombank.com/thong-tin/blog/thay-doi-dia-chi-ho-kinh-doanh" TargetMode="External"/><Relationship Id="rId1740" Type="http://schemas.openxmlformats.org/officeDocument/2006/relationships/hyperlink" Target="https://techcombank.com/thong-tin/blog/vay-tin-chap-ho-kinh-doanh" TargetMode="External"/><Relationship Id="rId1710" Type="http://schemas.openxmlformats.org/officeDocument/2006/relationships/hyperlink" Target="https://techcombank.com/thong-tin/blog/hoa-don-dien-tu-ho-kinh-doanh" TargetMode="External"/><Relationship Id="rId1711" Type="http://schemas.openxmlformats.org/officeDocument/2006/relationships/hyperlink" Target="https://techcombank.com/thong-tin/blog/thue-khoan-ho-kinh-doanh-la-gi" TargetMode="External"/><Relationship Id="rId1712" Type="http://schemas.openxmlformats.org/officeDocument/2006/relationships/hyperlink" Target="https://techcombank.com/thong-tin/blog/ho-kinh-doanh-dong-thue-nhu-nao" TargetMode="External"/><Relationship Id="rId1713" Type="http://schemas.openxmlformats.org/officeDocument/2006/relationships/hyperlink" Target="https://techcombank.com/thong-tin/blog/dong-ma-so-thue-ho-kinh-doanh" TargetMode="External"/><Relationship Id="rId1714" Type="http://schemas.openxmlformats.org/officeDocument/2006/relationships/hyperlink" Target="https://techcombank.com/thong-tin/blog/one-stop-shop" TargetMode="External"/><Relationship Id="rId1715" Type="http://schemas.openxmlformats.org/officeDocument/2006/relationships/hyperlink" Target="https://techcombank.com/thong-tin/blog/thue-phi-co-dinh-khi-chuyen-doi-tu-ho-kinh-doanh-len-doanh-nghiep" TargetMode="External"/><Relationship Id="rId1716" Type="http://schemas.openxmlformats.org/officeDocument/2006/relationships/hyperlink" Target="https://techcombank.com/thong-tin/blog/tim-hieu-ve-chinh-sach-thue-moi" TargetMode="External"/><Relationship Id="rId1717" Type="http://schemas.openxmlformats.org/officeDocument/2006/relationships/hyperlink" Target="https://techcombank.com/thong-tin/blog/may-tinh-tien" TargetMode="External"/><Relationship Id="rId1718" Type="http://schemas.openxmlformats.org/officeDocument/2006/relationships/hyperlink" Target="https://techcombank.com/thong-tin/blog/kinh-nghiem-chuyen-doi-tu-ho-kinh-doanh-len-doanh-nghiep" TargetMode="External"/><Relationship Id="rId1719" Type="http://schemas.openxmlformats.org/officeDocument/2006/relationships/hyperlink" Target="https://techcombank.com/thong-tin/blog/top-phan-mem-ban-hang" TargetMode="External"/><Relationship Id="rId1700" Type="http://schemas.openxmlformats.org/officeDocument/2006/relationships/hyperlink" Target="https://techcombank.com/thong-tin/blog/barcode-la-gi" TargetMode="External"/><Relationship Id="rId1701" Type="http://schemas.openxmlformats.org/officeDocument/2006/relationships/hyperlink" Target="https://techcombank.com/thong-tin/blog/tra-cuu-ma-so-thue-ho-kinh-doanh" TargetMode="External"/><Relationship Id="rId1702" Type="http://schemas.openxmlformats.org/officeDocument/2006/relationships/hyperlink" Target="https://techcombank.com/thong-tin/blog/dang-ky-thue-ho-kinh-doanh-ca-the-online" TargetMode="External"/><Relationship Id="rId1703" Type="http://schemas.openxmlformats.org/officeDocument/2006/relationships/hyperlink" Target="https://techcombank.com/thong-tin/blog/chuyen-doi-so-ho-kinh-doanh" TargetMode="External"/><Relationship Id="rId1704" Type="http://schemas.openxmlformats.org/officeDocument/2006/relationships/hyperlink" Target="https://techcombank.com/thong-tin/blog/chinh-sach-thue-moi" TargetMode="External"/><Relationship Id="rId1705" Type="http://schemas.openxmlformats.org/officeDocument/2006/relationships/hyperlink" Target="https://techcombank.com/thong-tin/blog/hoa-don-dien-tu" TargetMode="External"/><Relationship Id="rId1706" Type="http://schemas.openxmlformats.org/officeDocument/2006/relationships/hyperlink" Target="https://techcombank.com/thong-tin/blog/luat-thuong-mai-dien-tu" TargetMode="External"/><Relationship Id="rId1707" Type="http://schemas.openxmlformats.org/officeDocument/2006/relationships/hyperlink" Target="https://techcombank.com/thong-tin/blog/ke-khai-thue-ho-kinh-doanh-ca-the-online" TargetMode="External"/><Relationship Id="rId1708" Type="http://schemas.openxmlformats.org/officeDocument/2006/relationships/hyperlink" Target="https://techcombank.com/thong-tin/blog/vay-the-chap-kinh-doanh" TargetMode="External"/><Relationship Id="rId1709" Type="http://schemas.openxmlformats.org/officeDocument/2006/relationships/hyperlink" Target="https://techcombank.com/thong-tin/blog/thue-thuong-mai-dien-tu" TargetMode="External"/><Relationship Id="rId40" Type="http://schemas.openxmlformats.org/officeDocument/2006/relationships/hyperlink" Target="https://techcombank.com/thong-tin/blog/thue-thuong-mai-dien-tu" TargetMode="External"/><Relationship Id="rId1334" Type="http://schemas.openxmlformats.org/officeDocument/2006/relationships/hyperlink" Target="https://techcombank.com/thong-tin/blog/bao-hiem-du-lich-quoc-te-nao-tot" TargetMode="External"/><Relationship Id="rId1335" Type="http://schemas.openxmlformats.org/officeDocument/2006/relationships/hyperlink" Target="https://techcombank.com/thong-tin/blog/ma-buu-chinh-the-tin-dung" TargetMode="External"/><Relationship Id="rId42" Type="http://schemas.openxmlformats.org/officeDocument/2006/relationships/hyperlink" Target="https://techcombank.com/thong-tin/blog/thue-thu-nhap-doanh-nghiep" TargetMode="External"/><Relationship Id="rId1336" Type="http://schemas.openxmlformats.org/officeDocument/2006/relationships/hyperlink" Target="https://techcombank.com/thong-tin/blog/the-tin-dung-quoc-te" TargetMode="External"/><Relationship Id="rId41" Type="http://schemas.openxmlformats.org/officeDocument/2006/relationships/hyperlink" Target="https://techcombank.com/thong-tin/blog/ho-kinh-doanh-dong-thue-nhu-nao" TargetMode="External"/><Relationship Id="rId1337" Type="http://schemas.openxmlformats.org/officeDocument/2006/relationships/hyperlink" Target="https://techcombank.com/thong-tin/blog/bib-techcombank" TargetMode="External"/><Relationship Id="rId44" Type="http://schemas.openxmlformats.org/officeDocument/2006/relationships/hyperlink" Target="https://techcombank.com/thong-tin/blog/ke-khai-thue-doanh-nghiep" TargetMode="External"/><Relationship Id="rId1338" Type="http://schemas.openxmlformats.org/officeDocument/2006/relationships/hyperlink" Target="https://techcombank.com/thong-tin/blog/the-ghi-no-noi-dia" TargetMode="External"/><Relationship Id="rId43" Type="http://schemas.openxmlformats.org/officeDocument/2006/relationships/hyperlink" Target="https://techcombank.com/thong-tin/blog/quyet-toan-thue-doanh-nghiep" TargetMode="External"/><Relationship Id="rId1339" Type="http://schemas.openxmlformats.org/officeDocument/2006/relationships/hyperlink" Target="https://techcombank.com/thong-tin/blog/iban-la-gi" TargetMode="External"/><Relationship Id="rId46" Type="http://schemas.openxmlformats.org/officeDocument/2006/relationships/hyperlink" Target="https://techcombank.com/thong-tin/blog/tien-chuyen-vao-tai-khoan-co-bi-tinh-thue-khong" TargetMode="External"/><Relationship Id="rId45" Type="http://schemas.openxmlformats.org/officeDocument/2006/relationships/hyperlink" Target="https://techcombank.com/thong-tin/blog/tra-cuu-no-thue-doanh-nghiep" TargetMode="External"/><Relationship Id="rId745" Type="http://schemas.openxmlformats.org/officeDocument/2006/relationships/hyperlink" Target="https://techcombank.com/thong-tin/blog/mat-the-tin-dung-co-bi-mat-tien-khong" TargetMode="External"/><Relationship Id="rId744" Type="http://schemas.openxmlformats.org/officeDocument/2006/relationships/hyperlink" Target="https://techcombank.com/thong-tin/blog/uu-dai-mua-ve-may-bay-bang-the-tin-dung" TargetMode="External"/><Relationship Id="rId743" Type="http://schemas.openxmlformats.org/officeDocument/2006/relationships/hyperlink" Target="https://techcombank.com/thong-tin/blog/the-tin-dung-mien-phi-thuong-nien" TargetMode="External"/><Relationship Id="rId742" Type="http://schemas.openxmlformats.org/officeDocument/2006/relationships/hyperlink" Target="https://techcombank.com/thong-tin/blog/cac-loai-the-tin-dung" TargetMode="External"/><Relationship Id="rId749" Type="http://schemas.openxmlformats.org/officeDocument/2006/relationships/hyperlink" Target="https://techcombank.com/thong-tin/blog/cach-lam-the-ngan-hang-chay-quang-cao-facebook" TargetMode="External"/><Relationship Id="rId748" Type="http://schemas.openxmlformats.org/officeDocument/2006/relationships/hyperlink" Target="https://techcombank.com/thong-tin/blog/the-tin-dung-nao-nhieu-uu-dai-nhat" TargetMode="External"/><Relationship Id="rId747" Type="http://schemas.openxmlformats.org/officeDocument/2006/relationships/hyperlink" Target="https://techcombank.com/thong-tin/blog/lam-the-atm-co-mat-phi-khong" TargetMode="External"/><Relationship Id="rId746" Type="http://schemas.openxmlformats.org/officeDocument/2006/relationships/hyperlink" Target="https://techcombank.com/thong-tin/blog/so-cvv-la-gi" TargetMode="External"/><Relationship Id="rId48" Type="http://schemas.openxmlformats.org/officeDocument/2006/relationships/hyperlink" Target="https://techcombank.com/thong-tin/blog/thue-thu-nhap-ca-nhan" TargetMode="External"/><Relationship Id="rId47" Type="http://schemas.openxmlformats.org/officeDocument/2006/relationships/hyperlink" Target="https://techcombank.com/thong-tin/blog/cach-tinh-thue-thu-nhap-ca-nhan-2025" TargetMode="External"/><Relationship Id="rId49" Type="http://schemas.openxmlformats.org/officeDocument/2006/relationships/hyperlink" Target="https://techcombank.com/thong-tin/blog/kiem-tra-thue-thu-nhap-ca-nhan" TargetMode="External"/><Relationship Id="rId741" Type="http://schemas.openxmlformats.org/officeDocument/2006/relationships/hyperlink" Target="https://techcombank.com/thong-tin/blog/uu-dai-the-tin-dung-techcombank-signature" TargetMode="External"/><Relationship Id="rId1330" Type="http://schemas.openxmlformats.org/officeDocument/2006/relationships/hyperlink" Target="https://techcombank.com/thong-tin/blog/ma-swift-ngan-hang" TargetMode="External"/><Relationship Id="rId740" Type="http://schemas.openxmlformats.org/officeDocument/2006/relationships/hyperlink" Target="https://techcombank.com/thong-tin/blog/mm-yy-la-gi" TargetMode="External"/><Relationship Id="rId1331" Type="http://schemas.openxmlformats.org/officeDocument/2006/relationships/hyperlink" Target="https://techcombank.com/thong-tin/blog/chuyen-tien-tu-my-ve-viet-nam" TargetMode="External"/><Relationship Id="rId1332" Type="http://schemas.openxmlformats.org/officeDocument/2006/relationships/hyperlink" Target="https://techcombank.com/thong-tin/blog/remittance-la-gi" TargetMode="External"/><Relationship Id="rId1333" Type="http://schemas.openxmlformats.org/officeDocument/2006/relationships/hyperlink" Target="https://techcombank.com/thong-tin/blog/thanh-toan-quoc-te" TargetMode="External"/><Relationship Id="rId1323" Type="http://schemas.openxmlformats.org/officeDocument/2006/relationships/hyperlink" Target="https://techcombank.com/thong-tin/blog/1-do-uc-bang-bao-nhieu-tien-viet" TargetMode="External"/><Relationship Id="rId1324" Type="http://schemas.openxmlformats.org/officeDocument/2006/relationships/hyperlink" Target="https://techcombank.com/thong-tin/blog/1-won-bang-bao-nhieu-tien-viet" TargetMode="External"/><Relationship Id="rId31" Type="http://schemas.openxmlformats.org/officeDocument/2006/relationships/hyperlink" Target="https://techcombank.com/thong-tin/blog/ke-khai-thue-ho-kinh-doanh-ca-the-online" TargetMode="External"/><Relationship Id="rId1325" Type="http://schemas.openxmlformats.org/officeDocument/2006/relationships/hyperlink" Target="https://techcombank.com/thong-tin/blog/1-trieu-won-bang-bao-nhieu-tien-viet" TargetMode="External"/><Relationship Id="rId30" Type="http://schemas.openxmlformats.org/officeDocument/2006/relationships/hyperlink" Target="https://techcombank.com/thong-tin/blog/quyet-toan-thue-thu-nhap-ca-nhan" TargetMode="External"/><Relationship Id="rId1326" Type="http://schemas.openxmlformats.org/officeDocument/2006/relationships/hyperlink" Target="https://techcombank.com/thong-tin/blog/thanh-toan-khi-du-lich-han-quoc" TargetMode="External"/><Relationship Id="rId33" Type="http://schemas.openxmlformats.org/officeDocument/2006/relationships/hyperlink" Target="https://techcombank.com/thong-tin/blog/nop-thue-hai-quan" TargetMode="External"/><Relationship Id="rId1327" Type="http://schemas.openxmlformats.org/officeDocument/2006/relationships/hyperlink" Target="https://techcombank.com/thong-tin/blog/chuyen-tien-tu-han-sang-viet-nam" TargetMode="External"/><Relationship Id="rId32" Type="http://schemas.openxmlformats.org/officeDocument/2006/relationships/hyperlink" Target="https://techcombank.com/thong-tin/blog/hoan-thue-thu-nhap-ca-nhan" TargetMode="External"/><Relationship Id="rId1328" Type="http://schemas.openxmlformats.org/officeDocument/2006/relationships/hyperlink" Target="https://techcombank.com/thong-tin/blog/kieu-hoi-la-gi" TargetMode="External"/><Relationship Id="rId35" Type="http://schemas.openxmlformats.org/officeDocument/2006/relationships/hyperlink" Target="https://techcombank.com/thong-tin/blog/tra-cuu-no-thue-hai-quan" TargetMode="External"/><Relationship Id="rId1329" Type="http://schemas.openxmlformats.org/officeDocument/2006/relationships/hyperlink" Target="https://techcombank.com/thong-tin/blog/nhan-tien-western-union" TargetMode="External"/><Relationship Id="rId34" Type="http://schemas.openxmlformats.org/officeDocument/2006/relationships/hyperlink" Target="https://techcombank.com/thong-tin/blog/hoan-thue-doanh-nghiep" TargetMode="External"/><Relationship Id="rId739" Type="http://schemas.openxmlformats.org/officeDocument/2006/relationships/hyperlink" Target="https://techcombank.com/thong-tin/blog/tai-khoan-doanh-nghiep-co-the-khong" TargetMode="External"/><Relationship Id="rId734" Type="http://schemas.openxmlformats.org/officeDocument/2006/relationships/hyperlink" Target="https://techcombank.com/thong-tin/blog/the-tin-dung-la-gi" TargetMode="External"/><Relationship Id="rId733" Type="http://schemas.openxmlformats.org/officeDocument/2006/relationships/hyperlink" Target="https://techcombank.com/thong-tin/blog/tien-gui-co-ky-han" TargetMode="External"/><Relationship Id="rId732" Type="http://schemas.openxmlformats.org/officeDocument/2006/relationships/hyperlink" Target="https://techcombank.com/thong-tin/blog/the-ghi-no-co-rut-tien-duoc-khong" TargetMode="External"/><Relationship Id="rId731" Type="http://schemas.openxmlformats.org/officeDocument/2006/relationships/hyperlink" Target="https://techcombank.com/thong-tin/blog/cach-su-dung-the-ghi-no" TargetMode="External"/><Relationship Id="rId738" Type="http://schemas.openxmlformats.org/officeDocument/2006/relationships/hyperlink" Target="https://techcombank.com/thong-tin/blog/co-nen-dung-the-tin-dung-khong" TargetMode="External"/><Relationship Id="rId737" Type="http://schemas.openxmlformats.org/officeDocument/2006/relationships/hyperlink" Target="https://techcombank.com/thong-tin/blog/mo-the-tin-dung-khong-can-chung-minh-thu-nhap" TargetMode="External"/><Relationship Id="rId736" Type="http://schemas.openxmlformats.org/officeDocument/2006/relationships/hyperlink" Target="https://techcombank.com/thong-tin/blog/lam-the-tin-dung-co-mat-phi-khong" TargetMode="External"/><Relationship Id="rId735" Type="http://schemas.openxmlformats.org/officeDocument/2006/relationships/hyperlink" Target="https://techcombank.com/thong-tin/blog/mo-the-tin-dung-chi-can-cccd" TargetMode="External"/><Relationship Id="rId37" Type="http://schemas.openxmlformats.org/officeDocument/2006/relationships/hyperlink" Target="https://techcombank.com/thong-tin/blog/truy-thu-thue-ho-kinh-doanh" TargetMode="External"/><Relationship Id="rId36" Type="http://schemas.openxmlformats.org/officeDocument/2006/relationships/hyperlink" Target="https://techcombank.com/thong-tin/blog/tra-cuu-no-thue-ho-kinh-doanh" TargetMode="External"/><Relationship Id="rId39" Type="http://schemas.openxmlformats.org/officeDocument/2006/relationships/hyperlink" Target="https://techcombank.com/thong-tin/blog/tra-cuu-no-thue-ca-nhan" TargetMode="External"/><Relationship Id="rId38" Type="http://schemas.openxmlformats.org/officeDocument/2006/relationships/hyperlink" Target="https://techcombank.com/thong-tin/blog/kiem-tra-thue-ho-kinh-doanh" TargetMode="External"/><Relationship Id="rId730" Type="http://schemas.openxmlformats.org/officeDocument/2006/relationships/hyperlink" Target="https://techcombank.com/thong-tin/blog/dang-vay-tra-gop-co-vay-them-duoc-khong" TargetMode="External"/><Relationship Id="rId1320" Type="http://schemas.openxmlformats.org/officeDocument/2006/relationships/hyperlink" Target="https://techcombank.com/thong-tin/blog/chuyen-tien-di-uc" TargetMode="External"/><Relationship Id="rId1321" Type="http://schemas.openxmlformats.org/officeDocument/2006/relationships/hyperlink" Target="https://techcombank.com/thong-tin/blog/chuyen-tien-tu-my-ve-viet-nam" TargetMode="External"/><Relationship Id="rId1322" Type="http://schemas.openxmlformats.org/officeDocument/2006/relationships/hyperlink" Target="https://techcombank.com/thong-tin/blog/1-cent-bang-bao-nhieu-tien-viet" TargetMode="External"/><Relationship Id="rId1356" Type="http://schemas.openxmlformats.org/officeDocument/2006/relationships/hyperlink" Target="https://techcombank.com/thong-tin/blog/gia-ca-phe-hom-nay" TargetMode="External"/><Relationship Id="rId2203" Type="http://schemas.openxmlformats.org/officeDocument/2006/relationships/hyperlink" Target="https://techcombank.com/thong-tin/blog/vay-mua-nha-tra-gop" TargetMode="External"/><Relationship Id="rId1357" Type="http://schemas.openxmlformats.org/officeDocument/2006/relationships/hyperlink" Target="https://techcombank.com/thong-tin/blog/gui-tien-du-hoc" TargetMode="External"/><Relationship Id="rId2204" Type="http://schemas.openxmlformats.org/officeDocument/2006/relationships/hyperlink" Target="https://techcombank.com/thong-tin/blog/quy-trinh-tat-toan-khoan-vay-the-chap" TargetMode="External"/><Relationship Id="rId20" Type="http://schemas.openxmlformats.org/officeDocument/2006/relationships/hyperlink" Target="https://techcombank.com/thong-tin/blog/thue-thu-nhap-doanh-nghiep" TargetMode="External"/><Relationship Id="rId1358" Type="http://schemas.openxmlformats.org/officeDocument/2006/relationships/hyperlink" Target="https://techcombank.com/thong-tin/blog/chuyen-tien-tro-cap-than-nhan-o-nuoc-ngoai" TargetMode="External"/><Relationship Id="rId2205" Type="http://schemas.openxmlformats.org/officeDocument/2006/relationships/hyperlink" Target="https://techcombank.com/thong-tin/blog/vay-40-trieu" TargetMode="External"/><Relationship Id="rId1359" Type="http://schemas.openxmlformats.org/officeDocument/2006/relationships/hyperlink" Target="https://techcombank.com/thong-tin/blog/tien-singapore" TargetMode="External"/><Relationship Id="rId2206" Type="http://schemas.openxmlformats.org/officeDocument/2006/relationships/hyperlink" Target="https://techcombank.com/thong-tin/blog/thu-tuc-mua-xe-tra-gop" TargetMode="External"/><Relationship Id="rId22" Type="http://schemas.openxmlformats.org/officeDocument/2006/relationships/hyperlink" Target="https://techcombank.com/thong-tin/blog/tra-cuu-no-thue-doanh-nghiep" TargetMode="External"/><Relationship Id="rId2207" Type="http://schemas.openxmlformats.org/officeDocument/2006/relationships/hyperlink" Target="https://techcombank.com/thong-tin/blog/vay-ngan-hang-chi-can-cccd" TargetMode="External"/><Relationship Id="rId21" Type="http://schemas.openxmlformats.org/officeDocument/2006/relationships/hyperlink" Target="https://techcombank.com/thong-tin/blog/ke-khai-thue-doanh-nghiep" TargetMode="External"/><Relationship Id="rId2208" Type="http://schemas.openxmlformats.org/officeDocument/2006/relationships/hyperlink" Target="https://techcombank.com/thong-tin/blog/tra-gop-shopee" TargetMode="External"/><Relationship Id="rId24" Type="http://schemas.openxmlformats.org/officeDocument/2006/relationships/hyperlink" Target="https://techcombank.com/thong-tin/blog/tien-chuyen-vao-tai-khoan-co-bi-tinh-thue-khong" TargetMode="External"/><Relationship Id="rId2209" Type="http://schemas.openxmlformats.org/officeDocument/2006/relationships/hyperlink" Target="https://techcombank.com/thong-tin/blog/tra-gop-hoc-phi" TargetMode="External"/><Relationship Id="rId23" Type="http://schemas.openxmlformats.org/officeDocument/2006/relationships/hyperlink" Target="https://techcombank.com/thong-tin/blog/nop-thue-hai-quan" TargetMode="External"/><Relationship Id="rId767" Type="http://schemas.openxmlformats.org/officeDocument/2006/relationships/hyperlink" Target="https://techcombank.com/thong-tin/blog/vay-ngan-hang-1-ty-moi-thang-tra-bao-nhieu" TargetMode="External"/><Relationship Id="rId766" Type="http://schemas.openxmlformats.org/officeDocument/2006/relationships/hyperlink" Target="https://techcombank.com/thong-tin/blog/phi-rut-tien-mat-the-tin-dung" TargetMode="External"/><Relationship Id="rId765" Type="http://schemas.openxmlformats.org/officeDocument/2006/relationships/hyperlink" Target="https://techcombank.com/thong-tin/blog/qua-han-thanh-toan-the-tin-dung-1-ngay" TargetMode="External"/><Relationship Id="rId764" Type="http://schemas.openxmlformats.org/officeDocument/2006/relationships/hyperlink" Target="https://techcombank.com/thong-tin/blog/lam-the-visa-o-dau" TargetMode="External"/><Relationship Id="rId769" Type="http://schemas.openxmlformats.org/officeDocument/2006/relationships/hyperlink" Target="https://techcombank.com/thong-tin/blog/the-tin-dung-den" TargetMode="External"/><Relationship Id="rId768" Type="http://schemas.openxmlformats.org/officeDocument/2006/relationships/hyperlink" Target="https://techcombank.com/thong-tin/blog/cach-thanh-toan-the-tin-dung" TargetMode="External"/><Relationship Id="rId26" Type="http://schemas.openxmlformats.org/officeDocument/2006/relationships/hyperlink" Target="https://techcombank.com/thong-tin/blog/kiem-tra-thue-thu-nhap-ca-nhan" TargetMode="External"/><Relationship Id="rId25" Type="http://schemas.openxmlformats.org/officeDocument/2006/relationships/hyperlink" Target="https://techcombank.com/thong-tin/blog/cach-tinh-thue-thu-nhap-ca-nhan-2025" TargetMode="External"/><Relationship Id="rId28" Type="http://schemas.openxmlformats.org/officeDocument/2006/relationships/hyperlink" Target="https://techcombank.com/thong-tin/blog/han-muc-vay-the-chap-so-do" TargetMode="External"/><Relationship Id="rId1350" Type="http://schemas.openxmlformats.org/officeDocument/2006/relationships/hyperlink" Target="https://techcombank.com/thong-tin/blog/nen-lam-the-visa-hay-noi-dia" TargetMode="External"/><Relationship Id="rId27" Type="http://schemas.openxmlformats.org/officeDocument/2006/relationships/hyperlink" Target="https://techcombank.com/thong-tin/blog/lai-suat-vay-the-chap-so-do" TargetMode="External"/><Relationship Id="rId1351" Type="http://schemas.openxmlformats.org/officeDocument/2006/relationships/hyperlink" Target="https://techcombank.com/thong-tin/blog/dinh-cu-chau-au" TargetMode="External"/><Relationship Id="rId763" Type="http://schemas.openxmlformats.org/officeDocument/2006/relationships/hyperlink" Target="https://techcombank.com/thong-tin/blog/the-tin-dung-quoc-te" TargetMode="External"/><Relationship Id="rId1352" Type="http://schemas.openxmlformats.org/officeDocument/2006/relationships/hyperlink" Target="https://techcombank.com/thong-tin/blog/vay-du-hoc" TargetMode="External"/><Relationship Id="rId29" Type="http://schemas.openxmlformats.org/officeDocument/2006/relationships/hyperlink" Target="https://techcombank.com/thong-tin/blog/lien-ket-tai-khoan-ngan-hang-voi-etax-mobile" TargetMode="External"/><Relationship Id="rId762" Type="http://schemas.openxmlformats.org/officeDocument/2006/relationships/hyperlink" Target="https://techcombank.com/thong-tin/blog/ma-buu-chinh-the-tin-dung" TargetMode="External"/><Relationship Id="rId1353" Type="http://schemas.openxmlformats.org/officeDocument/2006/relationships/hyperlink" Target="https://techcombank.com/thong-tin/blog/di-du-lich-nuoc-ngoai-can-chuan-bi-gi" TargetMode="External"/><Relationship Id="rId2200" Type="http://schemas.openxmlformats.org/officeDocument/2006/relationships/hyperlink" Target="https://techcombank.com/thong-tin/blog/dao-han-la-gi" TargetMode="External"/><Relationship Id="rId761" Type="http://schemas.openxmlformats.org/officeDocument/2006/relationships/hyperlink" Target="https://techcombank.com/thong-tin/blog/the-napas-la-gi" TargetMode="External"/><Relationship Id="rId1354" Type="http://schemas.openxmlformats.org/officeDocument/2006/relationships/hyperlink" Target="https://techcombank.com/thong-tin/blog/thu-tuc-chuyen-tien-ra-nuoc-ngoai" TargetMode="External"/><Relationship Id="rId2201" Type="http://schemas.openxmlformats.org/officeDocument/2006/relationships/hyperlink" Target="https://techcombank.com/thong-tin/blog/vay-mua-xe-tra-gop-ngan-hang-nao-tot-nhat" TargetMode="External"/><Relationship Id="rId760" Type="http://schemas.openxmlformats.org/officeDocument/2006/relationships/hyperlink" Target="https://techcombank.com/thong-tin/blog/lam-the-atm-bao-lau-co" TargetMode="External"/><Relationship Id="rId1355" Type="http://schemas.openxmlformats.org/officeDocument/2006/relationships/hyperlink" Target="https://techcombank.com/thong-tin/blog/gui-tien-sang-nuoc-ngoai" TargetMode="External"/><Relationship Id="rId2202" Type="http://schemas.openxmlformats.org/officeDocument/2006/relationships/hyperlink" Target="https://techcombank.com/thong-tin/blog/lai-suat-vay-thau-chi" TargetMode="External"/><Relationship Id="rId1345" Type="http://schemas.openxmlformats.org/officeDocument/2006/relationships/hyperlink" Target="https://techcombank.com/thong-tin/blog/the-visa-co-thanh-toan-quoc-te-duoc-khong" TargetMode="External"/><Relationship Id="rId1346" Type="http://schemas.openxmlformats.org/officeDocument/2006/relationships/hyperlink" Target="https://techcombank.com/thong-tin/blog/chuyen-tien-dinh-cu" TargetMode="External"/><Relationship Id="rId1347" Type="http://schemas.openxmlformats.org/officeDocument/2006/relationships/hyperlink" Target="https://techcombank.com/thong-tin/blog/thanh-toan-bang-the-quoc-te" TargetMode="External"/><Relationship Id="rId1348" Type="http://schemas.openxmlformats.org/officeDocument/2006/relationships/hyperlink" Target="https://techcombank.com/thong-tin/blog/han-muc-mua-ngoai-te-khi-di-du-lich" TargetMode="External"/><Relationship Id="rId11" Type="http://schemas.openxmlformats.org/officeDocument/2006/relationships/hyperlink" Target="https://techcombank.com/thong-tin/blog/quyet-toan-thue-thu-nhap-ca-nhan" TargetMode="External"/><Relationship Id="rId1349" Type="http://schemas.openxmlformats.org/officeDocument/2006/relationships/hyperlink" Target="https://techcombank.com/thong-tin/blog/ngoai-te-la-gi" TargetMode="External"/><Relationship Id="rId10" Type="http://schemas.openxmlformats.org/officeDocument/2006/relationships/hyperlink" Target="https://techcombank.com/thong-tin/blog/ho-so-thu-tuc-xoa-the-chap" TargetMode="External"/><Relationship Id="rId13" Type="http://schemas.openxmlformats.org/officeDocument/2006/relationships/hyperlink" Target="https://techcombank.com/thong-tin/blog/tra-cuu-no-thue-ho-kinh-doanh" TargetMode="External"/><Relationship Id="rId12" Type="http://schemas.openxmlformats.org/officeDocument/2006/relationships/hyperlink" Target="https://techcombank.com/thong-tin/blog/tra-cuu-no-thue-hai-quan" TargetMode="External"/><Relationship Id="rId756" Type="http://schemas.openxmlformats.org/officeDocument/2006/relationships/hyperlink" Target="https://techcombank.com/thong-tin/blog/the-visa-de-lam-gi" TargetMode="External"/><Relationship Id="rId755" Type="http://schemas.openxmlformats.org/officeDocument/2006/relationships/hyperlink" Target="https://techcombank.com/thong-tin/blog/tra-cuu-han-muc-the-tin-dung" TargetMode="External"/><Relationship Id="rId754" Type="http://schemas.openxmlformats.org/officeDocument/2006/relationships/hyperlink" Target="https://techcombank.com/thong-tin/blog/mua-truoc-tra-sau" TargetMode="External"/><Relationship Id="rId753" Type="http://schemas.openxmlformats.org/officeDocument/2006/relationships/hyperlink" Target="https://techcombank.com/thong-tin/blog/the-visa-co-can-mat-khau-khong" TargetMode="External"/><Relationship Id="rId759" Type="http://schemas.openxmlformats.org/officeDocument/2006/relationships/hyperlink" Target="https://techcombank.com/thong-tin/blog/cach-huy-the-tin-dung" TargetMode="External"/><Relationship Id="rId758" Type="http://schemas.openxmlformats.org/officeDocument/2006/relationships/hyperlink" Target="https://techcombank.com/thong-tin/blog/the-tin-dung-het-han" TargetMode="External"/><Relationship Id="rId757" Type="http://schemas.openxmlformats.org/officeDocument/2006/relationships/hyperlink" Target="https://techcombank.com/thong-tin/blog/the-ghi-no-va-the-tin-dung" TargetMode="External"/><Relationship Id="rId15" Type="http://schemas.openxmlformats.org/officeDocument/2006/relationships/hyperlink" Target="https://techcombank.com/thong-tin/blog/kiem-tra-thue-ho-kinh-doanh" TargetMode="External"/><Relationship Id="rId14" Type="http://schemas.openxmlformats.org/officeDocument/2006/relationships/hyperlink" Target="https://techcombank.com/thong-tin/blog/truy-thu-thue-ho-kinh-doanh" TargetMode="External"/><Relationship Id="rId17" Type="http://schemas.openxmlformats.org/officeDocument/2006/relationships/hyperlink" Target="https://techcombank.com/thong-tin/blog/hoan-thue-thu-nhap-ca-nhan" TargetMode="External"/><Relationship Id="rId16" Type="http://schemas.openxmlformats.org/officeDocument/2006/relationships/hyperlink" Target="https://techcombank.com/thong-tin/blog/tra-cuu-no-thue-ca-nhan" TargetMode="External"/><Relationship Id="rId1340" Type="http://schemas.openxmlformats.org/officeDocument/2006/relationships/hyperlink" Target="https://techcombank.com/thong-tin/blog/the-tin-dung-noi-dia" TargetMode="External"/><Relationship Id="rId19" Type="http://schemas.openxmlformats.org/officeDocument/2006/relationships/hyperlink" Target="https://techcombank.com/thong-tin/blog/thue-thuong-mai-dien-tu" TargetMode="External"/><Relationship Id="rId752" Type="http://schemas.openxmlformats.org/officeDocument/2006/relationships/hyperlink" Target="https://techcombank.com/thong-tin/blog/cach-lam-the-atm" TargetMode="External"/><Relationship Id="rId1341" Type="http://schemas.openxmlformats.org/officeDocument/2006/relationships/hyperlink" Target="https://techcombank.com/thong-tin/blog/app-ngan-hang-co-dung-duoc-o-nuoc-ngoai" TargetMode="External"/><Relationship Id="rId18" Type="http://schemas.openxmlformats.org/officeDocument/2006/relationships/hyperlink" Target="https://techcombank.com/thong-tin/blog/ke-khai-thue-ho-kinh-doanh-ca-the-online" TargetMode="External"/><Relationship Id="rId751" Type="http://schemas.openxmlformats.org/officeDocument/2006/relationships/hyperlink" Target="https://techcombank.com/thong-tin/blog/mua-iphone-17" TargetMode="External"/><Relationship Id="rId1342" Type="http://schemas.openxmlformats.org/officeDocument/2006/relationships/hyperlink" Target="https://techcombank.com/thong-tin/blog/cashback-the-thanh-toan" TargetMode="External"/><Relationship Id="rId750" Type="http://schemas.openxmlformats.org/officeDocument/2006/relationships/hyperlink" Target="https://techcombank.com/thong-tin/blog/eco-card" TargetMode="External"/><Relationship Id="rId1343" Type="http://schemas.openxmlformats.org/officeDocument/2006/relationships/hyperlink" Target="https://techcombank.com/thong-tin/blog/lam-the-thanh-toan-quoc-te" TargetMode="External"/><Relationship Id="rId1344" Type="http://schemas.openxmlformats.org/officeDocument/2006/relationships/hyperlink" Target="https://techcombank.com/thong-tin/blog/the-ghi-no-visa-la-gi" TargetMode="External"/><Relationship Id="rId84" Type="http://schemas.openxmlformats.org/officeDocument/2006/relationships/hyperlink" Target="https://techcombank.com/thong-tin/blog/cach-tinh-thue-ho-kinh-doanh-nho-le" TargetMode="External"/><Relationship Id="rId1774" Type="http://schemas.openxmlformats.org/officeDocument/2006/relationships/hyperlink" Target="https://techcombank.com/thong-tin/blog/phan-mem-xuat-hoa-don-dien-tu" TargetMode="External"/><Relationship Id="rId83" Type="http://schemas.openxmlformats.org/officeDocument/2006/relationships/hyperlink" Target="https://techcombank.com/thong-tin/blog/cach-tra-cuu-hoa-don-dien-tu" TargetMode="External"/><Relationship Id="rId1775" Type="http://schemas.openxmlformats.org/officeDocument/2006/relationships/hyperlink" Target="https://techcombank.com/thong-tin/blog/cach-lam-the-ngan-hang-chay-quang-cao-facebook" TargetMode="External"/><Relationship Id="rId86" Type="http://schemas.openxmlformats.org/officeDocument/2006/relationships/hyperlink" Target="https://techcombank.com/thong-tin/blog/hoa-don-dien-tu" TargetMode="External"/><Relationship Id="rId1776" Type="http://schemas.openxmlformats.org/officeDocument/2006/relationships/hyperlink" Target="https://techcombank.com/thong-tin/blog/ho-kinh-doanh-can-gi-o-tai-khoan-ngan-hang" TargetMode="External"/><Relationship Id="rId85" Type="http://schemas.openxmlformats.org/officeDocument/2006/relationships/hyperlink" Target="https://techcombank.com/thong-tin/blog/nhung-ho-kinh-doanh-duoc-mien-thue" TargetMode="External"/><Relationship Id="rId1777" Type="http://schemas.openxmlformats.org/officeDocument/2006/relationships/hyperlink" Target="https://techcombank.com/thong-tin/blog/du-no-la-gi" TargetMode="External"/><Relationship Id="rId88" Type="http://schemas.openxmlformats.org/officeDocument/2006/relationships/hyperlink" Target="https://techcombank.com/thong-tin/blog/hoa-don-dien-tu-ho-kinh-doanh" TargetMode="External"/><Relationship Id="rId1778" Type="http://schemas.openxmlformats.org/officeDocument/2006/relationships/hyperlink" Target="https://techcombank.com/thong-tin/blog/an-han-no-goc-la-gi" TargetMode="External"/><Relationship Id="rId87" Type="http://schemas.openxmlformats.org/officeDocument/2006/relationships/hyperlink" Target="https://techcombank.com/thong-tin/blog/voucher-phuc-long" TargetMode="External"/><Relationship Id="rId1779" Type="http://schemas.openxmlformats.org/officeDocument/2006/relationships/hyperlink" Target="https://techcombank.com/thong-tin/blog/lai-suat-tha-noi" TargetMode="External"/><Relationship Id="rId89" Type="http://schemas.openxmlformats.org/officeDocument/2006/relationships/hyperlink" Target="https://techcombank.com/thong-tin/blog/ho-kinh-doanh-dong-thue-nhu-nao" TargetMode="External"/><Relationship Id="rId709" Type="http://schemas.openxmlformats.org/officeDocument/2006/relationships/hyperlink" Target="https://techcombank.com/thong-tin/blog/cach-su-dung-tai-khoan-cong-ty" TargetMode="External"/><Relationship Id="rId708" Type="http://schemas.openxmlformats.org/officeDocument/2006/relationships/hyperlink" Target="https://techcombank.com/thong-tin/blog/cdm" TargetMode="External"/><Relationship Id="rId707" Type="http://schemas.openxmlformats.org/officeDocument/2006/relationships/hyperlink" Target="https://techcombank.com/thong-tin/blog/rut-tien-mat-tu-tai-khoan-doanh-nghiep" TargetMode="External"/><Relationship Id="rId706" Type="http://schemas.openxmlformats.org/officeDocument/2006/relationships/hyperlink" Target="https://techcombank.com/thong-tin/blog/thanh-toan-khong-dung-tien-mat" TargetMode="External"/><Relationship Id="rId80" Type="http://schemas.openxmlformats.org/officeDocument/2006/relationships/hyperlink" Target="https://techcombank.com/thong-tin/blog/hoan-thue-doanh-nghiep" TargetMode="External"/><Relationship Id="rId82" Type="http://schemas.openxmlformats.org/officeDocument/2006/relationships/hyperlink" Target="https://techcombank.com/thong-tin/blog/thue-thuong-mai-dien-tu" TargetMode="External"/><Relationship Id="rId81" Type="http://schemas.openxmlformats.org/officeDocument/2006/relationships/hyperlink" Target="https://techcombank.com/thong-tin/blog/chuyen-doi-hoa-don-dien-tu" TargetMode="External"/><Relationship Id="rId701" Type="http://schemas.openxmlformats.org/officeDocument/2006/relationships/hyperlink" Target="https://techcombank.com/thong-tin/blog/han-muc-the-tin-dung" TargetMode="External"/><Relationship Id="rId700" Type="http://schemas.openxmlformats.org/officeDocument/2006/relationships/hyperlink" Target="https://techcombank.com/thong-tin/blog/the-tin-dung-co-chuyen-khoan-duoc-khong" TargetMode="External"/><Relationship Id="rId705" Type="http://schemas.openxmlformats.org/officeDocument/2006/relationships/hyperlink" Target="https://techcombank.com/thong-tin/blog/tra-luong-tien-mat" TargetMode="External"/><Relationship Id="rId704" Type="http://schemas.openxmlformats.org/officeDocument/2006/relationships/hyperlink" Target="https://techcombank.com/thong-tin/blog/vi-dien-tu" TargetMode="External"/><Relationship Id="rId703" Type="http://schemas.openxmlformats.org/officeDocument/2006/relationships/hyperlink" Target="https://techcombank.com/thong-tin/blog/nop-tien-mat-vao-tai-khoan-cong-ty" TargetMode="External"/><Relationship Id="rId702" Type="http://schemas.openxmlformats.org/officeDocument/2006/relationships/hyperlink" Target="https://techcombank.com/thong-tin/blog/lai-suat-the-tin-dung" TargetMode="External"/><Relationship Id="rId1770" Type="http://schemas.openxmlformats.org/officeDocument/2006/relationships/hyperlink" Target="https://techcombank.com/thong-tin/blog/kinh-nghiem-chuyen-doi-tu-ho-kinh-doanh-len-doanh-nghiep" TargetMode="External"/><Relationship Id="rId1771" Type="http://schemas.openxmlformats.org/officeDocument/2006/relationships/hyperlink" Target="https://techcombank.com/thong-tin/blog/top-phan-mem-ban-hang" TargetMode="External"/><Relationship Id="rId1772" Type="http://schemas.openxmlformats.org/officeDocument/2006/relationships/hyperlink" Target="https://techcombank.com/thong-tin/blog/dieu-kien-vay-von-ngan-hang" TargetMode="External"/><Relationship Id="rId1773" Type="http://schemas.openxmlformats.org/officeDocument/2006/relationships/hyperlink" Target="https://techcombank.com/thong-tin/blog/phat-cham-dang-ky-thue-ho-kinh-doanh" TargetMode="External"/><Relationship Id="rId73" Type="http://schemas.openxmlformats.org/officeDocument/2006/relationships/hyperlink" Target="https://techcombank.com/thong-tin/blog/mua-chung-chi-quy" TargetMode="External"/><Relationship Id="rId1763" Type="http://schemas.openxmlformats.org/officeDocument/2006/relationships/hyperlink" Target="https://techcombank.com/thong-tin/blog/ho-kinh-doanh-dong-thue-nhu-nao" TargetMode="External"/><Relationship Id="rId72" Type="http://schemas.openxmlformats.org/officeDocument/2006/relationships/hyperlink" Target="https://techcombank.com/thong-tin/blog/danh-muc-dau-tu" TargetMode="External"/><Relationship Id="rId1764" Type="http://schemas.openxmlformats.org/officeDocument/2006/relationships/hyperlink" Target="https://techcombank.com/thong-tin/blog/dong-ma-so-thue-ho-kinh-doanh" TargetMode="External"/><Relationship Id="rId75" Type="http://schemas.openxmlformats.org/officeDocument/2006/relationships/hyperlink" Target="https://techcombank.com/thong-tin/blog/dau-co-va-dau-tu" TargetMode="External"/><Relationship Id="rId1765" Type="http://schemas.openxmlformats.org/officeDocument/2006/relationships/hyperlink" Target="https://techcombank.com/thong-tin/blog/one-stop-shop" TargetMode="External"/><Relationship Id="rId74" Type="http://schemas.openxmlformats.org/officeDocument/2006/relationships/hyperlink" Target="https://techcombank.com/thong-tin/blog/cach-tinh-loi-nhuan-chung-chi-tien-gui" TargetMode="External"/><Relationship Id="rId1766" Type="http://schemas.openxmlformats.org/officeDocument/2006/relationships/hyperlink" Target="https://techcombank.com/thong-tin/blog/thue-phi-co-dinh-khi-chuyen-doi-tu-ho-kinh-doanh-len-doanh-nghiep" TargetMode="External"/><Relationship Id="rId77" Type="http://schemas.openxmlformats.org/officeDocument/2006/relationships/hyperlink" Target="https://techcombank.com/thong-tin/blog/toi-uu-hoa-chi-phi-trong-doanh-nghiep" TargetMode="External"/><Relationship Id="rId1767" Type="http://schemas.openxmlformats.org/officeDocument/2006/relationships/hyperlink" Target="https://techcombank.com/thong-tin/blog/tim-hieu-ve-chinh-sach-thue-moi" TargetMode="External"/><Relationship Id="rId76" Type="http://schemas.openxmlformats.org/officeDocument/2006/relationships/hyperlink" Target="https://techcombank.com/thong-tin/blog/co-50-trieu-nen-mua-vang-hay-gui-tiet-kiem" TargetMode="External"/><Relationship Id="rId1768" Type="http://schemas.openxmlformats.org/officeDocument/2006/relationships/hyperlink" Target="https://techcombank.com/thong-tin/blog/may-tinh-tien" TargetMode="External"/><Relationship Id="rId79" Type="http://schemas.openxmlformats.org/officeDocument/2006/relationships/hyperlink" Target="https://techcombank.com/thong-tin/blog/ke-khai-thue-doanh-nghiep" TargetMode="External"/><Relationship Id="rId1769" Type="http://schemas.openxmlformats.org/officeDocument/2006/relationships/hyperlink" Target="https://techcombank.com/thong-tin/blog/ke-khai-thue-doanh-nghiep" TargetMode="External"/><Relationship Id="rId78" Type="http://schemas.openxmlformats.org/officeDocument/2006/relationships/hyperlink" Target="https://techcombank.com/thong-tin/blog/ngoai-hoi-la-gi" TargetMode="External"/><Relationship Id="rId71" Type="http://schemas.openxmlformats.org/officeDocument/2006/relationships/hyperlink" Target="https://techcombank.com/thong-tin/blog/ho-kinh-doanh-can-gi-o-tai-khoan-ngan-hang" TargetMode="External"/><Relationship Id="rId70" Type="http://schemas.openxmlformats.org/officeDocument/2006/relationships/hyperlink" Target="https://techcombank.com/thong-tin/blog/lai-suat-chung-chi-quy" TargetMode="External"/><Relationship Id="rId1760" Type="http://schemas.openxmlformats.org/officeDocument/2006/relationships/hyperlink" Target="https://techcombank.com/thong-tin/blog/khai-bao-tai-khoan-ngan-hang-voi-co-quan-thue" TargetMode="External"/><Relationship Id="rId1761" Type="http://schemas.openxmlformats.org/officeDocument/2006/relationships/hyperlink" Target="https://techcombank.com/thong-tin/blog/hoa-don-dien-tu-ho-kinh-doanh" TargetMode="External"/><Relationship Id="rId1762" Type="http://schemas.openxmlformats.org/officeDocument/2006/relationships/hyperlink" Target="https://techcombank.com/thong-tin/blog/thue-khoan-ho-kinh-doanh-la-gi" TargetMode="External"/><Relationship Id="rId62" Type="http://schemas.openxmlformats.org/officeDocument/2006/relationships/hyperlink" Target="https://techcombank.com/thong-tin/blog/thi-truong-trai-phieu-am-tro-lai-nha-dau-tu-san-sang-cho-nhung-co-hoi-sinh-loi-moi" TargetMode="External"/><Relationship Id="rId1312" Type="http://schemas.openxmlformats.org/officeDocument/2006/relationships/hyperlink" Target="https://techcombank.com/thong-tin/blog/high-net-worth-client-va-ultra-high-net-worth-client" TargetMode="External"/><Relationship Id="rId1796" Type="http://schemas.openxmlformats.org/officeDocument/2006/relationships/hyperlink" Target="https://techcombank.com/thong-tin/blog/vay-mua-xe-tra-gop-ngan-hang-nao-tot-nhat" TargetMode="External"/><Relationship Id="rId61" Type="http://schemas.openxmlformats.org/officeDocument/2006/relationships/hyperlink" Target="https://techcombank.com/thong-tin/blog/tim-hieu-ve-chinh-sach-thue-moi" TargetMode="External"/><Relationship Id="rId1313" Type="http://schemas.openxmlformats.org/officeDocument/2006/relationships/hyperlink" Target="https://techcombank.com/thong-tin/blog/xu-huong-ty-gia-usd" TargetMode="External"/><Relationship Id="rId1797" Type="http://schemas.openxmlformats.org/officeDocument/2006/relationships/hyperlink" Target="https://techcombank.com/thong-tin/blog/lai-suat-vay-thau-chi" TargetMode="External"/><Relationship Id="rId64" Type="http://schemas.openxmlformats.org/officeDocument/2006/relationships/hyperlink" Target="https://techcombank.com/thong-tin/blog/tra-cuu-no-thue-doanh-nghiep" TargetMode="External"/><Relationship Id="rId1314" Type="http://schemas.openxmlformats.org/officeDocument/2006/relationships/hyperlink" Target="https://techcombank.com/thong-tin/blog/gia-tri-tai-san-rong" TargetMode="External"/><Relationship Id="rId1798" Type="http://schemas.openxmlformats.org/officeDocument/2006/relationships/hyperlink" Target="https://techcombank.com/thong-tin/blog/vay-mua-nha-tra-gop" TargetMode="External"/><Relationship Id="rId63" Type="http://schemas.openxmlformats.org/officeDocument/2006/relationships/hyperlink" Target="https://techcombank.com/thong-tin/blog/ke-khai-thue-doanh-nghiep" TargetMode="External"/><Relationship Id="rId1315" Type="http://schemas.openxmlformats.org/officeDocument/2006/relationships/hyperlink" Target="https://techcombank.com/thong-tin/blog/lai-suat-gui-tiet-kiem-usd" TargetMode="External"/><Relationship Id="rId1799" Type="http://schemas.openxmlformats.org/officeDocument/2006/relationships/hyperlink" Target="https://techcombank.com/thong-tin/blog/cach-thanh-toan-the-tin-dung" TargetMode="External"/><Relationship Id="rId66" Type="http://schemas.openxmlformats.org/officeDocument/2006/relationships/hyperlink" Target="https://techcombank.com/thong-tin/blog/quan-ly-tai-chinh-doanh-nghiep-la-gi" TargetMode="External"/><Relationship Id="rId1316" Type="http://schemas.openxmlformats.org/officeDocument/2006/relationships/hyperlink" Target="https://techcombank.com/thong-tin/blog/gui-tiet-kiem-usd" TargetMode="External"/><Relationship Id="rId65" Type="http://schemas.openxmlformats.org/officeDocument/2006/relationships/hyperlink" Target="https://techcombank.com/thong-tin/blog/kinh-nghiem-mua-vang-tich-tru" TargetMode="External"/><Relationship Id="rId1317" Type="http://schemas.openxmlformats.org/officeDocument/2006/relationships/hyperlink" Target="https://techcombank.com/thong-tin/blog/doi-tien-do-o-dau" TargetMode="External"/><Relationship Id="rId68" Type="http://schemas.openxmlformats.org/officeDocument/2006/relationships/hyperlink" Target="https://techcombank.com/thong-tin/blog/gia-chung-chi-quy-la-gi" TargetMode="External"/><Relationship Id="rId1318" Type="http://schemas.openxmlformats.org/officeDocument/2006/relationships/hyperlink" Target="https://techcombank.com/thong-tin/blog/dieu-kien-mua-usd-tu-ngan-hang" TargetMode="External"/><Relationship Id="rId67" Type="http://schemas.openxmlformats.org/officeDocument/2006/relationships/hyperlink" Target="https://techcombank.com/thong-tin/blog/nha-dau-tu-giao-dich-trai-phieu-truc-tuyen-tang-manh-tro-lai" TargetMode="External"/><Relationship Id="rId1319" Type="http://schemas.openxmlformats.org/officeDocument/2006/relationships/hyperlink" Target="https://techcombank.com/thong-tin/blog/tien-singapore" TargetMode="External"/><Relationship Id="rId729" Type="http://schemas.openxmlformats.org/officeDocument/2006/relationships/hyperlink" Target="https://techcombank.com/thong-tin/blog/cay-atm-gan-day" TargetMode="External"/><Relationship Id="rId728" Type="http://schemas.openxmlformats.org/officeDocument/2006/relationships/hyperlink" Target="https://techcombank.com/thong-tin/blog/the-he-tre-day-manh-xu-huong-thanh-toan-khong-dung-tien-mat" TargetMode="External"/><Relationship Id="rId60" Type="http://schemas.openxmlformats.org/officeDocument/2006/relationships/hyperlink" Target="https://techcombank.com/thong-tin/blog/thue-doanh-nghiep" TargetMode="External"/><Relationship Id="rId723" Type="http://schemas.openxmlformats.org/officeDocument/2006/relationships/hyperlink" Target="https://techcombank.com/thong-tin/blog/xu-huong-thanh-toan-khong-dung-tien-mat-tai-viet-nam" TargetMode="External"/><Relationship Id="rId722" Type="http://schemas.openxmlformats.org/officeDocument/2006/relationships/hyperlink" Target="https://techcombank.com/thong-tin/blog/nang-han-muc-tin-dung" TargetMode="External"/><Relationship Id="rId721" Type="http://schemas.openxmlformats.org/officeDocument/2006/relationships/hyperlink" Target="https://techcombank.com/thong-tin/blog/cach-su-dung-the-tin-dung" TargetMode="External"/><Relationship Id="rId720" Type="http://schemas.openxmlformats.org/officeDocument/2006/relationships/hyperlink" Target="https://techcombank.com/thong-tin/blog/the-tin-dung-la-gi" TargetMode="External"/><Relationship Id="rId727" Type="http://schemas.openxmlformats.org/officeDocument/2006/relationships/hyperlink" Target="https://techcombank.com/thong-tin/blog/thanh-toan-khong-tien-mat-trong-nganh-giao-duc-co-hoi-va-thach-thuc" TargetMode="External"/><Relationship Id="rId726" Type="http://schemas.openxmlformats.org/officeDocument/2006/relationships/hyperlink" Target="https://techcombank.com/thong-tin/blog/cach-su-dung-the-visa-techcombank" TargetMode="External"/><Relationship Id="rId725" Type="http://schemas.openxmlformats.org/officeDocument/2006/relationships/hyperlink" Target="https://techcombank.com/thong-tin/blog/rut-tien-bao-hiem-nhan-tho-khi-het-han" TargetMode="External"/><Relationship Id="rId724" Type="http://schemas.openxmlformats.org/officeDocument/2006/relationships/hyperlink" Target="https://techcombank.com/thong-tin/blog/cach-rut-tien-atm" TargetMode="External"/><Relationship Id="rId69" Type="http://schemas.openxmlformats.org/officeDocument/2006/relationships/hyperlink" Target="https://techcombank.com/thong-tin/blog/lai-suat-tiet-kiem" TargetMode="External"/><Relationship Id="rId1790" Type="http://schemas.openxmlformats.org/officeDocument/2006/relationships/hyperlink" Target="https://techcombank.com/thong-tin/blog/the-visa-de-lam-gi" TargetMode="External"/><Relationship Id="rId1791" Type="http://schemas.openxmlformats.org/officeDocument/2006/relationships/hyperlink" Target="https://techcombank.com/thong-tin/blog/rui-ro-khi-vay-the-chap-ngan-hang" TargetMode="External"/><Relationship Id="rId1792" Type="http://schemas.openxmlformats.org/officeDocument/2006/relationships/hyperlink" Target="https://techcombank.com/thong-tin/blog/vay-tin-chap-va-vay-the-chap" TargetMode="External"/><Relationship Id="rId1793" Type="http://schemas.openxmlformats.org/officeDocument/2006/relationships/hyperlink" Target="https://techcombank.com/thong-tin/blog/lai-suat-vay-the-chap" TargetMode="External"/><Relationship Id="rId1310" Type="http://schemas.openxmlformats.org/officeDocument/2006/relationships/hyperlink" Target="https://techcombank.com/thong-tin/blog/thanh-toan-bang-the-quoc-te" TargetMode="External"/><Relationship Id="rId1794" Type="http://schemas.openxmlformats.org/officeDocument/2006/relationships/hyperlink" Target="https://techcombank.com/thong-tin/blog/tat-toan" TargetMode="External"/><Relationship Id="rId1311" Type="http://schemas.openxmlformats.org/officeDocument/2006/relationships/hyperlink" Target="https://techcombank.com/thong-tin/blog/1-dong-do-la-my-bang-bao-nhieu-tien-viet-nam" TargetMode="External"/><Relationship Id="rId1795" Type="http://schemas.openxmlformats.org/officeDocument/2006/relationships/hyperlink" Target="https://techcombank.com/thong-tin/blog/dao-han-la-gi" TargetMode="External"/><Relationship Id="rId51" Type="http://schemas.openxmlformats.org/officeDocument/2006/relationships/hyperlink" Target="https://techcombank.com/thong-tin/blog/nhung-chi-phi-khong-duoc-tru-khi-tinh-thue-tndn" TargetMode="External"/><Relationship Id="rId1301" Type="http://schemas.openxmlformats.org/officeDocument/2006/relationships/hyperlink" Target="https://techcombank.com/thong-tin/blog/1000-yen-bang-bao-nhieu-tien-viet" TargetMode="External"/><Relationship Id="rId1785" Type="http://schemas.openxmlformats.org/officeDocument/2006/relationships/hyperlink" Target="https://techcombank.com/thong-tin/blog/co-nen-mua-o-to-tra-gop" TargetMode="External"/><Relationship Id="rId50" Type="http://schemas.openxmlformats.org/officeDocument/2006/relationships/hyperlink" Target="https://techcombank.com/thong-tin/blog/nop-thue-dat-qua-ngan-hang" TargetMode="External"/><Relationship Id="rId1302" Type="http://schemas.openxmlformats.org/officeDocument/2006/relationships/hyperlink" Target="https://techcombank.com/thong-tin/blog/chuyen-tien-tu-nhat-ve-viet-nam" TargetMode="External"/><Relationship Id="rId1786" Type="http://schemas.openxmlformats.org/officeDocument/2006/relationships/hyperlink" Target="https://techcombank.com/thong-tin/blog/thanh-toan-khoan-vay" TargetMode="External"/><Relationship Id="rId53" Type="http://schemas.openxmlformats.org/officeDocument/2006/relationships/hyperlink" Target="https://techcombank.com/thong-tin/blog/doanh-nghiep-moi-thanh-lap-duoc-uu-dai-gi" TargetMode="External"/><Relationship Id="rId1303" Type="http://schemas.openxmlformats.org/officeDocument/2006/relationships/hyperlink" Target="https://techcombank.com/thong-tin/blog/thanh-toan-khi-du-lich-nhat-ban" TargetMode="External"/><Relationship Id="rId1787" Type="http://schemas.openxmlformats.org/officeDocument/2006/relationships/hyperlink" Target="https://techcombank.com/thong-tin/blog/vay-300-trieu" TargetMode="External"/><Relationship Id="rId52" Type="http://schemas.openxmlformats.org/officeDocument/2006/relationships/hyperlink" Target="https://techcombank.com/thong-tin/blog/quyet-toan-thue-doanh-nghiep" TargetMode="External"/><Relationship Id="rId1304" Type="http://schemas.openxmlformats.org/officeDocument/2006/relationships/hyperlink" Target="https://techcombank.com/thong-tin/blog/chixmax" TargetMode="External"/><Relationship Id="rId1788" Type="http://schemas.openxmlformats.org/officeDocument/2006/relationships/hyperlink" Target="https://techcombank.com/thong-tin/blog/kiem-tra-no-xau" TargetMode="External"/><Relationship Id="rId55" Type="http://schemas.openxmlformats.org/officeDocument/2006/relationships/hyperlink" Target="https://techcombank.com/thong-tin/blog/hoan-thue-doanh-nghiep" TargetMode="External"/><Relationship Id="rId1305" Type="http://schemas.openxmlformats.org/officeDocument/2006/relationships/hyperlink" Target="https://techcombank.com/thong-tin/blog/han-muc-mua-ngoai-te-khi-di-du-lich" TargetMode="External"/><Relationship Id="rId1789" Type="http://schemas.openxmlformats.org/officeDocument/2006/relationships/hyperlink" Target="https://techcombank.com/thong-tin/blog/mua-truoc-tra-sau" TargetMode="External"/><Relationship Id="rId54" Type="http://schemas.openxmlformats.org/officeDocument/2006/relationships/hyperlink" Target="https://techcombank.com/thong-tin/blog/loi-nhuan" TargetMode="External"/><Relationship Id="rId1306" Type="http://schemas.openxmlformats.org/officeDocument/2006/relationships/hyperlink" Target="https://techcombank.com/thong-tin/blog/thanh-toan-khi-du-lich-thai-lan" TargetMode="External"/><Relationship Id="rId57" Type="http://schemas.openxmlformats.org/officeDocument/2006/relationships/hyperlink" Target="https://techcombank.com/thong-tin/blog/giai-dap-ve-thue-doanh-nghiep" TargetMode="External"/><Relationship Id="rId1307" Type="http://schemas.openxmlformats.org/officeDocument/2006/relationships/hyperlink" Target="https://techcombank.com/thong-tin/blog/thanh-toan-qr-thai-lan" TargetMode="External"/><Relationship Id="rId56" Type="http://schemas.openxmlformats.org/officeDocument/2006/relationships/hyperlink" Target="https://techcombank.com/thong-tin/blog/cach-tinh-thue-thu-nhap-doanh-nghiep" TargetMode="External"/><Relationship Id="rId1308" Type="http://schemas.openxmlformats.org/officeDocument/2006/relationships/hyperlink" Target="https://techcombank.com/thong-tin/blog/han-muc-mua-ngoai-te-khi-di-du-lich" TargetMode="External"/><Relationship Id="rId1309" Type="http://schemas.openxmlformats.org/officeDocument/2006/relationships/hyperlink" Target="https://techcombank.com/thong-tin/blog/di-du-lich-nuoc-ngoai-can-chuan-bi-gi" TargetMode="External"/><Relationship Id="rId719" Type="http://schemas.openxmlformats.org/officeDocument/2006/relationships/hyperlink" Target="https://techcombank.com/thong-tin/blog/vay-tien-mat" TargetMode="External"/><Relationship Id="rId718" Type="http://schemas.openxmlformats.org/officeDocument/2006/relationships/hyperlink" Target="https://techcombank.com/thong-tin/blog/bi-nuot-the-atm-phai-lam-sao" TargetMode="External"/><Relationship Id="rId717" Type="http://schemas.openxmlformats.org/officeDocument/2006/relationships/hyperlink" Target="https://techcombank.com/thong-tin/blog/thanh-toan-khong-dung-tien-mat-tro-thanh-xu-huong-tang-truong-chong-mat" TargetMode="External"/><Relationship Id="rId712" Type="http://schemas.openxmlformats.org/officeDocument/2006/relationships/hyperlink" Target="https://techcombank.com/thong-tin/blog/the-visa-de-lam-gi" TargetMode="External"/><Relationship Id="rId711" Type="http://schemas.openxmlformats.org/officeDocument/2006/relationships/hyperlink" Target="https://techcombank.com/thong-tin/blog/tra-cuu-han-muc-the-tin-dung" TargetMode="External"/><Relationship Id="rId710" Type="http://schemas.openxmlformats.org/officeDocument/2006/relationships/hyperlink" Target="https://techcombank.com/thong-tin/blog/rut-tien-bang-ma-qr-khac-ngan-hang-duoc-khong" TargetMode="External"/><Relationship Id="rId716" Type="http://schemas.openxmlformats.org/officeDocument/2006/relationships/hyperlink" Target="https://techcombank.com/thong-tin/blog/ty-le-thanh-toan-khong-dung-tien-mat-trong-linh-vuc-y-te-con-han-che" TargetMode="External"/><Relationship Id="rId715" Type="http://schemas.openxmlformats.org/officeDocument/2006/relationships/hyperlink" Target="https://techcombank.com/thong-tin/blog/rut-tien-bang-ma-qr-la-gi-cach-thuc-hien-nhu-the-nao" TargetMode="External"/><Relationship Id="rId714" Type="http://schemas.openxmlformats.org/officeDocument/2006/relationships/hyperlink" Target="https://techcombank.com/thong-tin/blog/rut-tien-tiet-kiem-truoc-thoi-han" TargetMode="External"/><Relationship Id="rId713" Type="http://schemas.openxmlformats.org/officeDocument/2006/relationships/hyperlink" Target="https://techcombank.com/thong-tin/blog/the-atm-khong-rut-duoc-tien" TargetMode="External"/><Relationship Id="rId59" Type="http://schemas.openxmlformats.org/officeDocument/2006/relationships/hyperlink" Target="https://techcombank.com/thong-tin/blog/kiem-tra-ma-so-thue-doanh-nghiep" TargetMode="External"/><Relationship Id="rId58" Type="http://schemas.openxmlformats.org/officeDocument/2006/relationships/hyperlink" Target="https://techcombank.com/thong-tin/blog/loi-nhuan-rong" TargetMode="External"/><Relationship Id="rId1780" Type="http://schemas.openxmlformats.org/officeDocument/2006/relationships/hyperlink" Target="https://techcombank.com/thong-tin/blog/cong-thuc-tinh-lai-suat-thuc" TargetMode="External"/><Relationship Id="rId1781" Type="http://schemas.openxmlformats.org/officeDocument/2006/relationships/hyperlink" Target="https://techcombank.com/thong-tin/blog/vay-tra-gop" TargetMode="External"/><Relationship Id="rId1782" Type="http://schemas.openxmlformats.org/officeDocument/2006/relationships/hyperlink" Target="https://techcombank.com/thong-tin/blog/lai-suat-vay-kinh-doanh" TargetMode="External"/><Relationship Id="rId1783" Type="http://schemas.openxmlformats.org/officeDocument/2006/relationships/hyperlink" Target="https://techcombank.com/thong-tin/blog/cac-hinh-thuc-vay-von-ngan-hang" TargetMode="External"/><Relationship Id="rId1300" Type="http://schemas.openxmlformats.org/officeDocument/2006/relationships/hyperlink" Target="https://techcombank.com/thong-tin/blog/1-yen-bang-bao-nhieu-tien-viet-nam" TargetMode="External"/><Relationship Id="rId1784" Type="http://schemas.openxmlformats.org/officeDocument/2006/relationships/hyperlink" Target="https://techcombank.com/thong-tin/blog/loi-nhuan" TargetMode="External"/><Relationship Id="rId2269" Type="http://schemas.openxmlformats.org/officeDocument/2006/relationships/hyperlink" Target="https://techcombank.com/thong-tin/blog/mo-tai-khoan-tiet-kiem-cho-con" TargetMode="External"/><Relationship Id="rId349" Type="http://schemas.openxmlformats.org/officeDocument/2006/relationships/hyperlink" Target="https://techcombank.com/thong-tin/blog/cach-nhan-tien-tu-nuoc-ngoai-ve-viet-nam" TargetMode="External"/><Relationship Id="rId348" Type="http://schemas.openxmlformats.org/officeDocument/2006/relationships/hyperlink" Target="https://techcombank.com/thong-tin/blog/chuyen-tien-tu-duc-ve-viet-nam" TargetMode="External"/><Relationship Id="rId347" Type="http://schemas.openxmlformats.org/officeDocument/2006/relationships/hyperlink" Target="https://techcombank.com/thong-tin/blog/gui-tien-sang-nuoc-ngoai" TargetMode="External"/><Relationship Id="rId346" Type="http://schemas.openxmlformats.org/officeDocument/2006/relationships/hyperlink" Target="https://techcombank.com/thong-tin/blog/thu-tuc-chuyen-tien-ra-nuoc-ngoai" TargetMode="External"/><Relationship Id="rId2260" Type="http://schemas.openxmlformats.org/officeDocument/2006/relationships/hyperlink" Target="https://techcombank.com/thong-tin/blog/qua-han-thanh-toan-the-tin-dung-1-ngay" TargetMode="External"/><Relationship Id="rId341" Type="http://schemas.openxmlformats.org/officeDocument/2006/relationships/hyperlink" Target="https://techcombank.com/thong-tin/blog/the-ghi-no-co-chuyen-khoan-duoc-khong" TargetMode="External"/><Relationship Id="rId2261" Type="http://schemas.openxmlformats.org/officeDocument/2006/relationships/hyperlink" Target="https://techcombank.com/thong-tin/blog/co-nen-gui-tiet-kiem-ngan-hang" TargetMode="External"/><Relationship Id="rId340" Type="http://schemas.openxmlformats.org/officeDocument/2006/relationships/hyperlink" Target="https://techcombank.com/thong-tin/blog/cach-chuyen-tien-qua-ma-qr-techcombank" TargetMode="External"/><Relationship Id="rId2262" Type="http://schemas.openxmlformats.org/officeDocument/2006/relationships/hyperlink" Target="https://techcombank.com/thong-tin/blog/lai-suat-tiet-kiem" TargetMode="External"/><Relationship Id="rId2263" Type="http://schemas.openxmlformats.org/officeDocument/2006/relationships/hyperlink" Target="https://techcombank.com/thong-tin/blog/co-nen-gui-tiet-kiem-online" TargetMode="External"/><Relationship Id="rId2264" Type="http://schemas.openxmlformats.org/officeDocument/2006/relationships/hyperlink" Target="https://techcombank.com/thong-tin/blog/gui-tiet-kiem-ngan-hang-van-la-lua-chon-an-toan-trong-thoi-ky-kinh-te-con-nhieu-bien-dong" TargetMode="External"/><Relationship Id="rId345" Type="http://schemas.openxmlformats.org/officeDocument/2006/relationships/hyperlink" Target="https://techcombank.com/thong-tin/blog/tai-khoan-cong-ty-co-chuyen-online-duoc-khong" TargetMode="External"/><Relationship Id="rId2265" Type="http://schemas.openxmlformats.org/officeDocument/2006/relationships/hyperlink" Target="https://techcombank.com/thong-tin/blog/cach-gui-tiet-kiem-online" TargetMode="External"/><Relationship Id="rId344" Type="http://schemas.openxmlformats.org/officeDocument/2006/relationships/hyperlink" Target="https://techcombank.com/thong-tin/blog/cam-nang-dinh-cu-my" TargetMode="External"/><Relationship Id="rId2266" Type="http://schemas.openxmlformats.org/officeDocument/2006/relationships/hyperlink" Target="https://techcombank.com/thong-tin/blog/gui-tien-ngan-hang-co-an-toan-khong" TargetMode="External"/><Relationship Id="rId343" Type="http://schemas.openxmlformats.org/officeDocument/2006/relationships/hyperlink" Target="https://techcombank.com/thong-tin/blog/dinh-cu-chau-au" TargetMode="External"/><Relationship Id="rId2267" Type="http://schemas.openxmlformats.org/officeDocument/2006/relationships/hyperlink" Target="https://techcombank.com/thong-tin/blog/dau-tu-trai-phieu-doanh-nghiep-dung-ham-lai-suat-cao" TargetMode="External"/><Relationship Id="rId342" Type="http://schemas.openxmlformats.org/officeDocument/2006/relationships/hyperlink" Target="https://techcombank.com/thong-tin/blog/chuyen-tien-dinh-cu" TargetMode="External"/><Relationship Id="rId2268" Type="http://schemas.openxmlformats.org/officeDocument/2006/relationships/hyperlink" Target="https://techcombank.com/thong-tin/blog/nen-gui-tiet-kiem-6-thang-hay-1-nam" TargetMode="External"/><Relationship Id="rId2258" Type="http://schemas.openxmlformats.org/officeDocument/2006/relationships/hyperlink" Target="https://techcombank.com/thong-tin/blog/lai-suat-vay-thau-chi" TargetMode="External"/><Relationship Id="rId2259" Type="http://schemas.openxmlformats.org/officeDocument/2006/relationships/hyperlink" Target="https://techcombank.com/thong-tin/blog/tien-gui-khong-ky-han" TargetMode="External"/><Relationship Id="rId338" Type="http://schemas.openxmlformats.org/officeDocument/2006/relationships/hyperlink" Target="https://techcombank.com/thong-tin/blog/xac-thuc-sinh-trac-hoc-khi-chuyen-tien" TargetMode="External"/><Relationship Id="rId337" Type="http://schemas.openxmlformats.org/officeDocument/2006/relationships/hyperlink" Target="https://techcombank.com/thong-tin/blog/mo-tai-khoan-ngan-hang-co-mat-phi-khong" TargetMode="External"/><Relationship Id="rId336" Type="http://schemas.openxmlformats.org/officeDocument/2006/relationships/hyperlink" Target="https://techcombank.com/thong-tin/blog/vi-dien-tu-la-gi" TargetMode="External"/><Relationship Id="rId335" Type="http://schemas.openxmlformats.org/officeDocument/2006/relationships/hyperlink" Target="https://techcombank.com/thong-tin/blog/ma-swift-ngan-hang" TargetMode="External"/><Relationship Id="rId339" Type="http://schemas.openxmlformats.org/officeDocument/2006/relationships/hyperlink" Target="https://techcombank.com/thong-tin/blog/app-vay-tien-nhanh" TargetMode="External"/><Relationship Id="rId330" Type="http://schemas.openxmlformats.org/officeDocument/2006/relationships/hyperlink" Target="https://techcombank.com/thong-tin/blog/the-tin-dung-co-chuyen-khoan-duoc-khong" TargetMode="External"/><Relationship Id="rId2250" Type="http://schemas.openxmlformats.org/officeDocument/2006/relationships/hyperlink" Target="https://techcombank.com/thong-tin/blog/diem-loyalty-la-gi" TargetMode="External"/><Relationship Id="rId2251" Type="http://schemas.openxmlformats.org/officeDocument/2006/relationships/hyperlink" Target="https://techcombank.com/thong-tin/blog/techcombank-oneu" TargetMode="External"/><Relationship Id="rId2252" Type="http://schemas.openxmlformats.org/officeDocument/2006/relationships/hyperlink" Target="https://techcombank.com/thong-tin/blog/gui-tiet-kiem-theo-ngay" TargetMode="External"/><Relationship Id="rId2253" Type="http://schemas.openxmlformats.org/officeDocument/2006/relationships/hyperlink" Target="https://techcombank.com/thong-tin/blog/gui-tiet-kiem-vang" TargetMode="External"/><Relationship Id="rId334" Type="http://schemas.openxmlformats.org/officeDocument/2006/relationships/hyperlink" Target="https://techcombank.com/thong-tin/blog/cach-su-dung-the-visa-techcombank" TargetMode="External"/><Relationship Id="rId2254" Type="http://schemas.openxmlformats.org/officeDocument/2006/relationships/hyperlink" Target="https://techcombank.com/thong-tin/blog/nen-gui-tiet-kiem-thong-thuong-hay-tich-luy" TargetMode="External"/><Relationship Id="rId333" Type="http://schemas.openxmlformats.org/officeDocument/2006/relationships/hyperlink" Target="https://techcombank.com/thong-tin/blog/cach-chuyen-khoan-bang-dien-thoai" TargetMode="External"/><Relationship Id="rId2255" Type="http://schemas.openxmlformats.org/officeDocument/2006/relationships/hyperlink" Target="https://techcombank.com/thong-tin/blog/tai-sao-gui-tiet-kiem-online-lai-suat-cao-hon" TargetMode="External"/><Relationship Id="rId332" Type="http://schemas.openxmlformats.org/officeDocument/2006/relationships/hyperlink" Target="https://techcombank.com/thong-tin/blog/nguoi-duoc-bao-hiem-la-gi" TargetMode="External"/><Relationship Id="rId2256" Type="http://schemas.openxmlformats.org/officeDocument/2006/relationships/hyperlink" Target="https://techcombank.com/thong-tin/blog/rui-ro-khi-vay-the-chap-ngan-hang" TargetMode="External"/><Relationship Id="rId331" Type="http://schemas.openxmlformats.org/officeDocument/2006/relationships/hyperlink" Target="https://techcombank.com/thong-tin/blog/iban-la-gi" TargetMode="External"/><Relationship Id="rId2257" Type="http://schemas.openxmlformats.org/officeDocument/2006/relationships/hyperlink" Target="https://techcombank.com/thong-tin/blog/lai-kep-ngan-hang" TargetMode="External"/><Relationship Id="rId370" Type="http://schemas.openxmlformats.org/officeDocument/2006/relationships/hyperlink" Target="https://techcombank.com/thong-tin/blog/sai-lam-ve-tai-chinh-ca-nhan" TargetMode="External"/><Relationship Id="rId369" Type="http://schemas.openxmlformats.org/officeDocument/2006/relationships/hyperlink" Target="https://techcombank.com/thong-tin/blog/lam-the-atm-co-mat-phi-khong" TargetMode="External"/><Relationship Id="rId368" Type="http://schemas.openxmlformats.org/officeDocument/2006/relationships/hyperlink" Target="https://techcombank.com/thong-tin/blog/li-xi-so-dep" TargetMode="External"/><Relationship Id="rId2280" Type="http://schemas.openxmlformats.org/officeDocument/2006/relationships/hyperlink" Target="https://techcombank.com/thong-tin/blog/gui-tiet-kiem-ngoai-te" TargetMode="External"/><Relationship Id="rId2281" Type="http://schemas.openxmlformats.org/officeDocument/2006/relationships/hyperlink" Target="https://techcombank.com/thong-tin/blog/lai-suat-ngan-hang-cho-vay-xay-nha" TargetMode="External"/><Relationship Id="rId2282" Type="http://schemas.openxmlformats.org/officeDocument/2006/relationships/hyperlink" Target="https://techcombank.com/thong-tin/blog/rui-ro-khi-gui-tiet-kiem-ngan-hang" TargetMode="External"/><Relationship Id="rId363" Type="http://schemas.openxmlformats.org/officeDocument/2006/relationships/hyperlink" Target="https://techcombank.com/thong-tin/blog/cach-lam-the-atm" TargetMode="External"/><Relationship Id="rId2283" Type="http://schemas.openxmlformats.org/officeDocument/2006/relationships/hyperlink" Target="https://techcombank.com/thong-tin/blog/gui-tiet-kiem-hang-thang" TargetMode="External"/><Relationship Id="rId362" Type="http://schemas.openxmlformats.org/officeDocument/2006/relationships/hyperlink" Target="https://techcombank.com/thong-tin/blog/hoc-sinh-sinh-vien-nen-lam-the-ngan-hang-nao" TargetMode="External"/><Relationship Id="rId2284" Type="http://schemas.openxmlformats.org/officeDocument/2006/relationships/hyperlink" Target="https://techcombank.com/thong-tin/blog/cach-tiet-kiem-tien" TargetMode="External"/><Relationship Id="rId361" Type="http://schemas.openxmlformats.org/officeDocument/2006/relationships/hyperlink" Target="https://techcombank.com/thong-tin/blog/mo-tai-khoan-ngan-hang-cho-tre-em" TargetMode="External"/><Relationship Id="rId2285" Type="http://schemas.openxmlformats.org/officeDocument/2006/relationships/hyperlink" Target="https://techcombank.com/thong-tin/blog/tra-no-vay-thau-chi-nhu-the-nao" TargetMode="External"/><Relationship Id="rId360" Type="http://schemas.openxmlformats.org/officeDocument/2006/relationships/hyperlink" Target="https://techcombank.com/thong-tin/blog/1000-yen-bang-bao-nhieu-tien-viet" TargetMode="External"/><Relationship Id="rId2286" Type="http://schemas.openxmlformats.org/officeDocument/2006/relationships/hyperlink" Target="https://techcombank.com/thong-tin/blog/rut-tien-bao-hiem-nhan-tho-khi-het-han" TargetMode="External"/><Relationship Id="rId367" Type="http://schemas.openxmlformats.org/officeDocument/2006/relationships/hyperlink" Target="https://techcombank.com/thong-tin/blog/the-he-ke-can" TargetMode="External"/><Relationship Id="rId2287" Type="http://schemas.openxmlformats.org/officeDocument/2006/relationships/hyperlink" Target="https://techcombank.com/thong-tin/blog/cach-tinh-lai-vay-ngan-hang" TargetMode="External"/><Relationship Id="rId366" Type="http://schemas.openxmlformats.org/officeDocument/2006/relationships/hyperlink" Target="https://techcombank.com/thong-tin/blog/tap-doan-thanh-quang-khoi-sac-kinh-doanh-nho-nguon-von-vay-tin-dung-techcombank-tren-nen-tang-misa-lending" TargetMode="External"/><Relationship Id="rId2288" Type="http://schemas.openxmlformats.org/officeDocument/2006/relationships/hyperlink" Target="https://techcombank.com/thong-tin/blog/gui-tiet-kiem-online-bi-mat-tien" TargetMode="External"/><Relationship Id="rId365" Type="http://schemas.openxmlformats.org/officeDocument/2006/relationships/hyperlink" Target="https://techcombank.com/thong-tin/blog/lam-the-atm-bao-lau-co" TargetMode="External"/><Relationship Id="rId2289" Type="http://schemas.openxmlformats.org/officeDocument/2006/relationships/hyperlink" Target="https://techcombank.com/thong-tin/blog/kinh-nghiem-gui-tiet-kiem-online" TargetMode="External"/><Relationship Id="rId364" Type="http://schemas.openxmlformats.org/officeDocument/2006/relationships/hyperlink" Target="https://techcombank.com/thong-tin/blog/1-nguoi-co-the-lam-duoc-bao-nhieu-the-atm" TargetMode="External"/><Relationship Id="rId95" Type="http://schemas.openxmlformats.org/officeDocument/2006/relationships/hyperlink" Target="https://techcombank.com/thong-tin/blog/the-tin-dung-co-chuyen-khoan-duoc-khong" TargetMode="External"/><Relationship Id="rId94" Type="http://schemas.openxmlformats.org/officeDocument/2006/relationships/hyperlink" Target="https://techcombank.com/thong-tin/blog/phan-mem-xuat-hoa-don-dien-tu" TargetMode="External"/><Relationship Id="rId97" Type="http://schemas.openxmlformats.org/officeDocument/2006/relationships/hyperlink" Target="https://techcombank.com/thong-tin/blog/tra-cuu-hoa-don-nuoc" TargetMode="External"/><Relationship Id="rId96" Type="http://schemas.openxmlformats.org/officeDocument/2006/relationships/hyperlink" Target="https://techcombank.com/thong-tin/blog/app-dong-tien-dien-online" TargetMode="External"/><Relationship Id="rId99" Type="http://schemas.openxmlformats.org/officeDocument/2006/relationships/hyperlink" Target="https://techcombank.com/thong-tin/blog/thanh-toan-hoa-don-tieu-dung" TargetMode="External"/><Relationship Id="rId98" Type="http://schemas.openxmlformats.org/officeDocument/2006/relationships/hyperlink" Target="https://techcombank.com/thong-tin/blog/tra-cuu-hoa-don-tien-dien" TargetMode="External"/><Relationship Id="rId91" Type="http://schemas.openxmlformats.org/officeDocument/2006/relationships/hyperlink" Target="https://techcombank.com/thong-tin/blog/one-stop-shop" TargetMode="External"/><Relationship Id="rId90" Type="http://schemas.openxmlformats.org/officeDocument/2006/relationships/hyperlink" Target="https://techcombank.com/thong-tin/blog/thue-doanh-nghiep" TargetMode="External"/><Relationship Id="rId93" Type="http://schemas.openxmlformats.org/officeDocument/2006/relationships/hyperlink" Target="https://techcombank.com/thong-tin/blog/may-tinh-tien" TargetMode="External"/><Relationship Id="rId92" Type="http://schemas.openxmlformats.org/officeDocument/2006/relationships/hyperlink" Target="https://techcombank.com/thong-tin/blog/tim-hieu-ve-chinh-sach-thue-moi" TargetMode="External"/><Relationship Id="rId359" Type="http://schemas.openxmlformats.org/officeDocument/2006/relationships/hyperlink" Target="https://techcombank.com/thong-tin/blog/tien-trung-quoc" TargetMode="External"/><Relationship Id="rId358" Type="http://schemas.openxmlformats.org/officeDocument/2006/relationships/hyperlink" Target="https://techcombank.com/thong-tin/blog/1000-won-bang-bao-nhieu-tien-viet" TargetMode="External"/><Relationship Id="rId357" Type="http://schemas.openxmlformats.org/officeDocument/2006/relationships/hyperlink" Target="https://techcombank.com/thong-tin/blog/chuyen-tien-tu-my-ve-viet-nam" TargetMode="External"/><Relationship Id="rId2270" Type="http://schemas.openxmlformats.org/officeDocument/2006/relationships/hyperlink" Target="https://techcombank.com/thong-tin/blog/lai-suat-the-tin-dung" TargetMode="External"/><Relationship Id="rId2271" Type="http://schemas.openxmlformats.org/officeDocument/2006/relationships/hyperlink" Target="https://techcombank.com/thong-tin/blog/quy-gia-dinh" TargetMode="External"/><Relationship Id="rId352" Type="http://schemas.openxmlformats.org/officeDocument/2006/relationships/hyperlink" Target="https://techcombank.com/thong-tin/blog/chuyen-tien-tu-nhat-ve-viet-nam" TargetMode="External"/><Relationship Id="rId2272" Type="http://schemas.openxmlformats.org/officeDocument/2006/relationships/hyperlink" Target="https://techcombank.com/thong-tin/blog/lai-suat-vay-the-chap-so-do" TargetMode="External"/><Relationship Id="rId351" Type="http://schemas.openxmlformats.org/officeDocument/2006/relationships/hyperlink" Target="https://techcombank.com/thong-tin/blog/chuyen-tien-tu-han-sang-viet-nam" TargetMode="External"/><Relationship Id="rId2273" Type="http://schemas.openxmlformats.org/officeDocument/2006/relationships/hyperlink" Target="https://techcombank.com/thong-tin/blog/gui-tiet-kiem-lay-lai-hang-thang" TargetMode="External"/><Relationship Id="rId350" Type="http://schemas.openxmlformats.org/officeDocument/2006/relationships/hyperlink" Target="https://techcombank.com/thong-tin/blog/chuyen-tien-tro-cap-than-nhan-o-nuoc-ngoai" TargetMode="External"/><Relationship Id="rId2274" Type="http://schemas.openxmlformats.org/officeDocument/2006/relationships/hyperlink" Target="https://techcombank.com/thong-tin/blog/rui-ro-khi-gui-tiet-kiem-online" TargetMode="External"/><Relationship Id="rId2275" Type="http://schemas.openxmlformats.org/officeDocument/2006/relationships/hyperlink" Target="https://techcombank.com/thong-tin/blog/tich-luy-tai-san" TargetMode="External"/><Relationship Id="rId356" Type="http://schemas.openxmlformats.org/officeDocument/2006/relationships/hyperlink" Target="https://techcombank.com/thong-tin/blog/tien-lao" TargetMode="External"/><Relationship Id="rId2276" Type="http://schemas.openxmlformats.org/officeDocument/2006/relationships/hyperlink" Target="https://techcombank.com/thong-tin/blog/cach-tinh-lai-suat-tien-gui-tiet-kiem" TargetMode="External"/><Relationship Id="rId355" Type="http://schemas.openxmlformats.org/officeDocument/2006/relationships/hyperlink" Target="https://techcombank.com/thong-tin/blog/chuyen-tien-di-uc" TargetMode="External"/><Relationship Id="rId2277" Type="http://schemas.openxmlformats.org/officeDocument/2006/relationships/hyperlink" Target="https://techcombank.com/thong-tin/blog/lai-suat-tha-noi" TargetMode="External"/><Relationship Id="rId354" Type="http://schemas.openxmlformats.org/officeDocument/2006/relationships/hyperlink" Target="https://techcombank.com/thong-tin/blog/tien-nhat" TargetMode="External"/><Relationship Id="rId2278" Type="http://schemas.openxmlformats.org/officeDocument/2006/relationships/hyperlink" Target="https://techcombank.com/thong-tin/blog/lai-suat-vay-tieu-dung" TargetMode="External"/><Relationship Id="rId353" Type="http://schemas.openxmlformats.org/officeDocument/2006/relationships/hyperlink" Target="https://techcombank.com/thong-tin/blog/tien-thai-lan" TargetMode="External"/><Relationship Id="rId2279" Type="http://schemas.openxmlformats.org/officeDocument/2006/relationships/hyperlink" Target="https://techcombank.com/thong-tin/blog/chon-kenh-dau-tu-an-toan-trong-boi-canh-thi-truong-bien-dong" TargetMode="External"/><Relationship Id="rId1378" Type="http://schemas.openxmlformats.org/officeDocument/2006/relationships/hyperlink" Target="https://techcombank.com/thong-tin/blog/gui-tien-du-hoc" TargetMode="External"/><Relationship Id="rId2225" Type="http://schemas.openxmlformats.org/officeDocument/2006/relationships/hyperlink" Target="https://techcombank.com/thong-tin/blog/cach-su-dung-the-visa-techcombank" TargetMode="External"/><Relationship Id="rId1379" Type="http://schemas.openxmlformats.org/officeDocument/2006/relationships/hyperlink" Target="https://techcombank.com/thong-tin/blog/ngoai-hoi-la-gi" TargetMode="External"/><Relationship Id="rId2226" Type="http://schemas.openxmlformats.org/officeDocument/2006/relationships/hyperlink" Target="https://techcombank.com/thong-tin/blog/lai-suat-vay-ngan-hang" TargetMode="External"/><Relationship Id="rId2227" Type="http://schemas.openxmlformats.org/officeDocument/2006/relationships/hyperlink" Target="https://techcombank.com/thong-tin/blog/du-no-tin-dung-la-gi" TargetMode="External"/><Relationship Id="rId2228" Type="http://schemas.openxmlformats.org/officeDocument/2006/relationships/hyperlink" Target="https://techcombank.com/thong-tin/blog/mua-nha-tra-gop-dua-truoc-100-trieu" TargetMode="External"/><Relationship Id="rId2229" Type="http://schemas.openxmlformats.org/officeDocument/2006/relationships/hyperlink" Target="https://techcombank.com/thong-tin/blog/vay-han-muc-la-gi" TargetMode="External"/><Relationship Id="rId305" Type="http://schemas.openxmlformats.org/officeDocument/2006/relationships/hyperlink" Target="https://techcombank.com/thong-tin/blog/lai-suat-vay-ngan-hang" TargetMode="External"/><Relationship Id="rId789" Type="http://schemas.openxmlformats.org/officeDocument/2006/relationships/hyperlink" Target="https://techcombank.com/thong-tin/blog/thanh-toan-tra-gop-qua-the-tin-dung" TargetMode="External"/><Relationship Id="rId304" Type="http://schemas.openxmlformats.org/officeDocument/2006/relationships/hyperlink" Target="https://techcombank.com/thong-tin/blog/the-tin-dung-mien-lai-55-ngay" TargetMode="External"/><Relationship Id="rId788" Type="http://schemas.openxmlformats.org/officeDocument/2006/relationships/hyperlink" Target="https://techcombank.com/thong-tin/blog/cach-dang-ky-the-visa" TargetMode="External"/><Relationship Id="rId303" Type="http://schemas.openxmlformats.org/officeDocument/2006/relationships/hyperlink" Target="https://techcombank.com/thong-tin/blog/gui-tiet-kiem-ngoai-te" TargetMode="External"/><Relationship Id="rId787" Type="http://schemas.openxmlformats.org/officeDocument/2006/relationships/hyperlink" Target="https://techcombank.com/thong-tin/blog/thanh-toan-tien-dien-bang-the-tin-dung" TargetMode="External"/><Relationship Id="rId302" Type="http://schemas.openxmlformats.org/officeDocument/2006/relationships/hyperlink" Target="https://techcombank.com/thong-tin/blog/hoc-sinh-sinh-vien-nen-lam-the-ngan-hang-nao" TargetMode="External"/><Relationship Id="rId786" Type="http://schemas.openxmlformats.org/officeDocument/2006/relationships/hyperlink" Target="https://techcombank.com/thong-tin/blog/tra-gop-shopee" TargetMode="External"/><Relationship Id="rId309" Type="http://schemas.openxmlformats.org/officeDocument/2006/relationships/hyperlink" Target="https://techcombank.com/thong-tin/blog/lai-suat-vay-tin-chap" TargetMode="External"/><Relationship Id="rId308" Type="http://schemas.openxmlformats.org/officeDocument/2006/relationships/hyperlink" Target="https://techcombank.com/thong-tin/blog/lai-suat-vay-mua-o-to" TargetMode="External"/><Relationship Id="rId307" Type="http://schemas.openxmlformats.org/officeDocument/2006/relationships/hyperlink" Target="https://techcombank.com/thong-tin/blog/lai-suat-chung-chi-tien-gui-cac-ngan-hang" TargetMode="External"/><Relationship Id="rId306" Type="http://schemas.openxmlformats.org/officeDocument/2006/relationships/hyperlink" Target="https://techcombank.com/thong-tin/blog/mat-the-tin-dung-co-lam-lai-duoc-khong" TargetMode="External"/><Relationship Id="rId781" Type="http://schemas.openxmlformats.org/officeDocument/2006/relationships/hyperlink" Target="https://techcombank.com/thong-tin/blog/lam-the-visa-mat-bao-lau" TargetMode="External"/><Relationship Id="rId1370" Type="http://schemas.openxmlformats.org/officeDocument/2006/relationships/hyperlink" Target="https://techcombank.com/thong-tin/blog/ngoai-te-la-gi" TargetMode="External"/><Relationship Id="rId780" Type="http://schemas.openxmlformats.org/officeDocument/2006/relationships/hyperlink" Target="https://techcombank.com/thong-tin/blog/3d-secure" TargetMode="External"/><Relationship Id="rId1371" Type="http://schemas.openxmlformats.org/officeDocument/2006/relationships/hyperlink" Target="https://techcombank.com/thong-tin/blog/tai-khoan-ngan-hang-la-gi" TargetMode="External"/><Relationship Id="rId1372" Type="http://schemas.openxmlformats.org/officeDocument/2006/relationships/hyperlink" Target="https://techcombank.com/thong-tin/blog/lai-suat-gui-tiet-kiem-usd" TargetMode="External"/><Relationship Id="rId1373" Type="http://schemas.openxmlformats.org/officeDocument/2006/relationships/hyperlink" Target="https://techcombank.com/thong-tin/blog/gui-tiet-kiem-usd" TargetMode="External"/><Relationship Id="rId2220" Type="http://schemas.openxmlformats.org/officeDocument/2006/relationships/hyperlink" Target="https://techcombank.com/thong-tin/blog/vay-mua-nha-o-xa-hoi" TargetMode="External"/><Relationship Id="rId301" Type="http://schemas.openxmlformats.org/officeDocument/2006/relationships/hyperlink" Target="https://techcombank.com/thong-tin/blog/lai-suat-vay-tieu-dung" TargetMode="External"/><Relationship Id="rId785" Type="http://schemas.openxmlformats.org/officeDocument/2006/relationships/hyperlink" Target="https://techcombank.com/thong-tin/blog/thanh-toan-toi-thieu-the-tin-dung" TargetMode="External"/><Relationship Id="rId1374" Type="http://schemas.openxmlformats.org/officeDocument/2006/relationships/hyperlink" Target="https://techcombank.com/thong-tin/blog/gui-tien-sang-nuoc-ngoai" TargetMode="External"/><Relationship Id="rId2221" Type="http://schemas.openxmlformats.org/officeDocument/2006/relationships/hyperlink" Target="https://techcombank.com/thong-tin/blog/kinh-nghiem-vay-tien-ngan-hang-xay-nha" TargetMode="External"/><Relationship Id="rId300" Type="http://schemas.openxmlformats.org/officeDocument/2006/relationships/hyperlink" Target="https://techcombank.com/thong-tin/blog/vay-sinh-vien" TargetMode="External"/><Relationship Id="rId784" Type="http://schemas.openxmlformats.org/officeDocument/2006/relationships/hyperlink" Target="https://techcombank.com/thong-tin/blog/the-tin-dung-ao" TargetMode="External"/><Relationship Id="rId1375" Type="http://schemas.openxmlformats.org/officeDocument/2006/relationships/hyperlink" Target="https://techcombank.com/thong-tin/blog/quy-dinh-ve-mua-ban-ngoai-te-cua-doanh-nghiep" TargetMode="External"/><Relationship Id="rId2222" Type="http://schemas.openxmlformats.org/officeDocument/2006/relationships/hyperlink" Target="https://techcombank.com/thong-tin/blog/vay-tin-chap-theo-luong" TargetMode="External"/><Relationship Id="rId783" Type="http://schemas.openxmlformats.org/officeDocument/2006/relationships/hyperlink" Target="https://techcombank.com/thong-tin/blog/mo-the-tin-dung-co-loi-ich-gi" TargetMode="External"/><Relationship Id="rId1376" Type="http://schemas.openxmlformats.org/officeDocument/2006/relationships/hyperlink" Target="https://techcombank.com/thong-tin/blog/gia-ca-phe-hom-nay" TargetMode="External"/><Relationship Id="rId2223" Type="http://schemas.openxmlformats.org/officeDocument/2006/relationships/hyperlink" Target="https://techcombank.com/thong-tin/blog/tra-gop-qua-the-tin-dung" TargetMode="External"/><Relationship Id="rId782" Type="http://schemas.openxmlformats.org/officeDocument/2006/relationships/hyperlink" Target="https://techcombank.com/thong-tin/blog/lai-suat-the-tin-dung" TargetMode="External"/><Relationship Id="rId1377" Type="http://schemas.openxmlformats.org/officeDocument/2006/relationships/hyperlink" Target="https://techcombank.com/thong-tin/blog/chuyen-tien-tu-duc-ve-viet-nam" TargetMode="External"/><Relationship Id="rId2224" Type="http://schemas.openxmlformats.org/officeDocument/2006/relationships/hyperlink" Target="https://techcombank.com/thong-tin/blog/cach-tinh-lai-vay-ngan-hang" TargetMode="External"/><Relationship Id="rId1367" Type="http://schemas.openxmlformats.org/officeDocument/2006/relationships/hyperlink" Target="https://techcombank.com/thong-tin/blog/1-trieu-do-bang-bao-nhieu-tien-viet" TargetMode="External"/><Relationship Id="rId2214" Type="http://schemas.openxmlformats.org/officeDocument/2006/relationships/hyperlink" Target="https://techcombank.com/thong-tin/blog/vay-15-trieu" TargetMode="External"/><Relationship Id="rId1368" Type="http://schemas.openxmlformats.org/officeDocument/2006/relationships/hyperlink" Target="https://techcombank.com/thong-tin/blog/gui-tiet-kiem-ngoai-te" TargetMode="External"/><Relationship Id="rId2215" Type="http://schemas.openxmlformats.org/officeDocument/2006/relationships/hyperlink" Target="https://techcombank.com/thong-tin/blog/lai-suat-vay-tieu-dung" TargetMode="External"/><Relationship Id="rId1369" Type="http://schemas.openxmlformats.org/officeDocument/2006/relationships/hyperlink" Target="https://techcombank.com/thong-tin/blog/chuyen-tien-dinh-cu" TargetMode="External"/><Relationship Id="rId2216" Type="http://schemas.openxmlformats.org/officeDocument/2006/relationships/hyperlink" Target="https://techcombank.com/thong-tin/blog/lam-ho-so-tra-gop-dien-thoai" TargetMode="External"/><Relationship Id="rId2217" Type="http://schemas.openxmlformats.org/officeDocument/2006/relationships/hyperlink" Target="https://techcombank.com/thong-tin/blog/vay-30-trieu" TargetMode="External"/><Relationship Id="rId2218" Type="http://schemas.openxmlformats.org/officeDocument/2006/relationships/hyperlink" Target="https://techcombank.com/thong-tin/blog/thu-tuc-vay-von-ngan-hang-de-xay-nha" TargetMode="External"/><Relationship Id="rId2219" Type="http://schemas.openxmlformats.org/officeDocument/2006/relationships/hyperlink" Target="https://techcombank.com/thong-tin/blog/cach-su-dung-the-tin-dung" TargetMode="External"/><Relationship Id="rId778" Type="http://schemas.openxmlformats.org/officeDocument/2006/relationships/hyperlink" Target="https://techcombank.com/thong-tin/blog/mo-the-tin-dung-han-muc-cao" TargetMode="External"/><Relationship Id="rId777" Type="http://schemas.openxmlformats.org/officeDocument/2006/relationships/hyperlink" Target="https://techcombank.com/thong-tin/blog/the-tin-dung-techcombank-visa-eco" TargetMode="External"/><Relationship Id="rId776" Type="http://schemas.openxmlformats.org/officeDocument/2006/relationships/hyperlink" Target="https://techcombank.com/thong-tin/blog/the-tin-dung-co-chuyen-khoan-duoc-khong" TargetMode="External"/><Relationship Id="rId775" Type="http://schemas.openxmlformats.org/officeDocument/2006/relationships/hyperlink" Target="https://techcombank.com/thong-tin/blog/uu-dai-mo-the-tin-dung" TargetMode="External"/><Relationship Id="rId779" Type="http://schemas.openxmlformats.org/officeDocument/2006/relationships/hyperlink" Target="https://techcombank.com/thong-tin/blog/uu-dai-the-tin-dung" TargetMode="External"/><Relationship Id="rId770" Type="http://schemas.openxmlformats.org/officeDocument/2006/relationships/hyperlink" Target="https://techcombank.com/thong-tin/blog/the-ghi-no-la-gi" TargetMode="External"/><Relationship Id="rId1360" Type="http://schemas.openxmlformats.org/officeDocument/2006/relationships/hyperlink" Target="https://techcombank.com/thong-tin/blog/chuyen-tien-di-uc" TargetMode="External"/><Relationship Id="rId1361" Type="http://schemas.openxmlformats.org/officeDocument/2006/relationships/hyperlink" Target="https://techcombank.com/thong-tin/blog/1000-yen-bang-bao-nhieu-tien-viet" TargetMode="External"/><Relationship Id="rId1362" Type="http://schemas.openxmlformats.org/officeDocument/2006/relationships/hyperlink" Target="https://techcombank.com/thong-tin/blog/xu-huong-ty-gia-usd" TargetMode="External"/><Relationship Id="rId774" Type="http://schemas.openxmlformats.org/officeDocument/2006/relationships/hyperlink" Target="https://techcombank.com/thong-tin/blog/thanh-toan-online-bang-the-tin-dung" TargetMode="External"/><Relationship Id="rId1363" Type="http://schemas.openxmlformats.org/officeDocument/2006/relationships/hyperlink" Target="https://techcombank.com/thong-tin/blog/dieu-kien-mua-usd-tu-ngan-hang" TargetMode="External"/><Relationship Id="rId2210" Type="http://schemas.openxmlformats.org/officeDocument/2006/relationships/hyperlink" Target="https://techcombank.com/thong-tin/blog/thanh-toan-tra-gop-qua-the-tin-dung" TargetMode="External"/><Relationship Id="rId773" Type="http://schemas.openxmlformats.org/officeDocument/2006/relationships/hyperlink" Target="https://techcombank.com/thong-tin/blog/mo-the-ghi-no" TargetMode="External"/><Relationship Id="rId1364" Type="http://schemas.openxmlformats.org/officeDocument/2006/relationships/hyperlink" Target="https://techcombank.com/thong-tin/blog/han-muc-mua-ngoai-te-khi-di-du-lich" TargetMode="External"/><Relationship Id="rId2211" Type="http://schemas.openxmlformats.org/officeDocument/2006/relationships/hyperlink" Target="https://techcombank.com/thong-tin/blog/tra-gop-lazada" TargetMode="External"/><Relationship Id="rId772" Type="http://schemas.openxmlformats.org/officeDocument/2006/relationships/hyperlink" Target="https://techcombank.com/thong-tin/blog/no-xau-co-lam-the-visa-duoc-khong" TargetMode="External"/><Relationship Id="rId1365" Type="http://schemas.openxmlformats.org/officeDocument/2006/relationships/hyperlink" Target="https://techcombank.com/thong-tin/blog/ty-gia-cac-ngan-hang" TargetMode="External"/><Relationship Id="rId2212" Type="http://schemas.openxmlformats.org/officeDocument/2006/relationships/hyperlink" Target="https://techcombank.com/thong-tin/blog/lai-suat-vay-the-chap-so-do" TargetMode="External"/><Relationship Id="rId771" Type="http://schemas.openxmlformats.org/officeDocument/2006/relationships/hyperlink" Target="https://techcombank.com/thong-tin/blog/dao-han-the-tin-dung" TargetMode="External"/><Relationship Id="rId1366" Type="http://schemas.openxmlformats.org/officeDocument/2006/relationships/hyperlink" Target="https://techcombank.com/thong-tin/blog/di-du-lich-nuoc-ngoai-can-chuan-bi-gi" TargetMode="External"/><Relationship Id="rId2213" Type="http://schemas.openxmlformats.org/officeDocument/2006/relationships/hyperlink" Target="https://techcombank.com/thong-tin/blog/nen-mua-xe-tra-gop-hay-tra-thang" TargetMode="External"/><Relationship Id="rId2247" Type="http://schemas.openxmlformats.org/officeDocument/2006/relationships/hyperlink" Target="https://techcombank.com/thong-tin/blog/nen-de-tien-trong-the-hay-gui-tiet-kiem" TargetMode="External"/><Relationship Id="rId2248" Type="http://schemas.openxmlformats.org/officeDocument/2006/relationships/hyperlink" Target="https://techcombank.com/thong-tin/blog/lai-suat-vay-kinh-doanh" TargetMode="External"/><Relationship Id="rId2249" Type="http://schemas.openxmlformats.org/officeDocument/2006/relationships/hyperlink" Target="https://techcombank.com/thong-tin/blog/cong-thuc-tinh-lai-suat-thuc" TargetMode="External"/><Relationship Id="rId327" Type="http://schemas.openxmlformats.org/officeDocument/2006/relationships/hyperlink" Target="https://techcombank.com/thong-tin/blog/loa-ting-ting" TargetMode="External"/><Relationship Id="rId326" Type="http://schemas.openxmlformats.org/officeDocument/2006/relationships/hyperlink" Target="https://techcombank.com/thong-tin/blog/cach-tao-ma-qr-code-mien-phi" TargetMode="External"/><Relationship Id="rId325" Type="http://schemas.openxmlformats.org/officeDocument/2006/relationships/hyperlink" Target="https://techcombank.com/thong-tin/blog/cach-su-dung-tai-khoan-cong-ty" TargetMode="External"/><Relationship Id="rId324" Type="http://schemas.openxmlformats.org/officeDocument/2006/relationships/hyperlink" Target="https://techcombank.com/thong-tin/blog/cdm" TargetMode="External"/><Relationship Id="rId329" Type="http://schemas.openxmlformats.org/officeDocument/2006/relationships/hyperlink" Target="https://techcombank.com/thong-tin/blog/uu-diem-cua-blockchain" TargetMode="External"/><Relationship Id="rId1390" Type="http://schemas.openxmlformats.org/officeDocument/2006/relationships/hyperlink" Target="https://techcombank.com/thong-tin/blog/chuyen-tien-tu-my-ve-viet-nam" TargetMode="External"/><Relationship Id="rId328" Type="http://schemas.openxmlformats.org/officeDocument/2006/relationships/hyperlink" Target="https://techcombank.com/thong-tin/blog/cach-lay-lai-tien-da-chuyen-khoan-khi-bi-lua" TargetMode="External"/><Relationship Id="rId1391" Type="http://schemas.openxmlformats.org/officeDocument/2006/relationships/hyperlink" Target="https://techcombank.com/thong-tin/blog/1000-won-bang-bao-nhieu-tien-viet" TargetMode="External"/><Relationship Id="rId1392" Type="http://schemas.openxmlformats.org/officeDocument/2006/relationships/hyperlink" Target="https://techcombank.com/thong-tin/blog/tien-dai-loan" TargetMode="External"/><Relationship Id="rId1393" Type="http://schemas.openxmlformats.org/officeDocument/2006/relationships/hyperlink" Target="https://techcombank.com/thong-tin/blog/tien-trung-quoc" TargetMode="External"/><Relationship Id="rId2240" Type="http://schemas.openxmlformats.org/officeDocument/2006/relationships/hyperlink" Target="https://techcombank.com/thong-tin/blog/vay-mua-dien-thoai" TargetMode="External"/><Relationship Id="rId1394" Type="http://schemas.openxmlformats.org/officeDocument/2006/relationships/hyperlink" Target="https://techcombank.com/thong-tin/blog/1-van-te-bang-bao-nhieu-tien-viet" TargetMode="External"/><Relationship Id="rId2241" Type="http://schemas.openxmlformats.org/officeDocument/2006/relationships/hyperlink" Target="https://techcombank.com/thong-tin/blog/vay-the-chap-hop-dong-mua-ban-can-ho" TargetMode="External"/><Relationship Id="rId1395" Type="http://schemas.openxmlformats.org/officeDocument/2006/relationships/hyperlink" Target="https://techcombank.com/thong-tin/blog/1-cent-bang-bao-nhieu-tien-viet" TargetMode="External"/><Relationship Id="rId2242" Type="http://schemas.openxmlformats.org/officeDocument/2006/relationships/hyperlink" Target="https://techcombank.com/thong-tin/blog/lai-suat-cho-vay-doanh-nghiep" TargetMode="External"/><Relationship Id="rId323" Type="http://schemas.openxmlformats.org/officeDocument/2006/relationships/hyperlink" Target="https://techcombank.com/thong-tin/blog/remittance-la-gi" TargetMode="External"/><Relationship Id="rId1396" Type="http://schemas.openxmlformats.org/officeDocument/2006/relationships/hyperlink" Target="https://techcombank.com/thong-tin/blog/1000-te-bang-bao-nhieu-tien-viet" TargetMode="External"/><Relationship Id="rId2243" Type="http://schemas.openxmlformats.org/officeDocument/2006/relationships/hyperlink" Target="https://techcombank.com/thong-tin/blog/cach-tiet-kiem-100-trieu-1-nam" TargetMode="External"/><Relationship Id="rId322" Type="http://schemas.openxmlformats.org/officeDocument/2006/relationships/hyperlink" Target="https://techcombank.com/thong-tin/blog/luu-y-khi-chuyen-tien-vao-tai-khoan-cong-ty" TargetMode="External"/><Relationship Id="rId1397" Type="http://schemas.openxmlformats.org/officeDocument/2006/relationships/hyperlink" Target="https://techcombank.com/thong-tin/blog/100-riel-bang-bao-nhieu-tien-viet-nam" TargetMode="External"/><Relationship Id="rId2244" Type="http://schemas.openxmlformats.org/officeDocument/2006/relationships/hyperlink" Target="https://techcombank.com/thong-tin/blog/co-50-trieu-nen-mua-vang-hay-gui-tiet-kiem" TargetMode="External"/><Relationship Id="rId321" Type="http://schemas.openxmlformats.org/officeDocument/2006/relationships/hyperlink" Target="https://techcombank.com/thong-tin/blog/ma-qr-ngan-hang-khong-hop-le" TargetMode="External"/><Relationship Id="rId1398" Type="http://schemas.openxmlformats.org/officeDocument/2006/relationships/hyperlink" Target="https://techcombank.com/thong-tin/blog/tien-malaysia" TargetMode="External"/><Relationship Id="rId2245" Type="http://schemas.openxmlformats.org/officeDocument/2006/relationships/hyperlink" Target="https://techcombank.com/thong-tin/blog/gui-tiet-kiem-tich-luy-la-gi" TargetMode="External"/><Relationship Id="rId320" Type="http://schemas.openxmlformats.org/officeDocument/2006/relationships/hyperlink" Target="https://techcombank.com/thong-tin/blog/loa-thong-bao-chuyen-khoan" TargetMode="External"/><Relationship Id="rId1399" Type="http://schemas.openxmlformats.org/officeDocument/2006/relationships/hyperlink" Target="https://techcombank.com/thong-tin/blog/tien-indonesia" TargetMode="External"/><Relationship Id="rId2246" Type="http://schemas.openxmlformats.org/officeDocument/2006/relationships/hyperlink" Target="https://techcombank.com/thong-tin/blog/quy-trinh-gui-tien-tiet-kiem" TargetMode="External"/><Relationship Id="rId1389" Type="http://schemas.openxmlformats.org/officeDocument/2006/relationships/hyperlink" Target="https://techcombank.com/thong-tin/blog/tien-lao" TargetMode="External"/><Relationship Id="rId2236" Type="http://schemas.openxmlformats.org/officeDocument/2006/relationships/hyperlink" Target="https://techcombank.com/thong-tin/blog/quy-trinh-cho-vay-tieu-dung" TargetMode="External"/><Relationship Id="rId2237" Type="http://schemas.openxmlformats.org/officeDocument/2006/relationships/hyperlink" Target="https://techcombank.com/thong-tin/blog/vay-20-trieu" TargetMode="External"/><Relationship Id="rId2238" Type="http://schemas.openxmlformats.org/officeDocument/2006/relationships/hyperlink" Target="https://techcombank.com/thong-tin/blog/kinh-nghiem-vay-tien-mua-nha" TargetMode="External"/><Relationship Id="rId2239" Type="http://schemas.openxmlformats.org/officeDocument/2006/relationships/hyperlink" Target="https://techcombank.com/thong-tin/blog/vay-tin-chap-la-gi" TargetMode="External"/><Relationship Id="rId316" Type="http://schemas.openxmlformats.org/officeDocument/2006/relationships/hyperlink" Target="https://techcombank.com/thong-tin/blog/chuyen-khoan-lien-ngan-hang" TargetMode="External"/><Relationship Id="rId315" Type="http://schemas.openxmlformats.org/officeDocument/2006/relationships/hyperlink" Target="https://techcombank.com/thong-tin/blog/cach-chuyen-tien" TargetMode="External"/><Relationship Id="rId799" Type="http://schemas.openxmlformats.org/officeDocument/2006/relationships/hyperlink" Target="https://techcombank.com/thong-tin/blog/cach-su-dung-the-tin-dung" TargetMode="External"/><Relationship Id="rId314" Type="http://schemas.openxmlformats.org/officeDocument/2006/relationships/hyperlink" Target="https://techcombank.com/thong-tin/blog/ty-gia-la-gi" TargetMode="External"/><Relationship Id="rId798" Type="http://schemas.openxmlformats.org/officeDocument/2006/relationships/hyperlink" Target="https://techcombank.com/thong-tin/blog/lam-the-visa-online" TargetMode="External"/><Relationship Id="rId313" Type="http://schemas.openxmlformats.org/officeDocument/2006/relationships/hyperlink" Target="https://techcombank.com/thong-tin/blog/ty-gia-cac-ngan-hang" TargetMode="External"/><Relationship Id="rId797" Type="http://schemas.openxmlformats.org/officeDocument/2006/relationships/hyperlink" Target="https://techcombank.com/thong-tin/blog/hoc-sinh-sinh-vien-nen-lam-the-ngan-hang-nao" TargetMode="External"/><Relationship Id="rId319" Type="http://schemas.openxmlformats.org/officeDocument/2006/relationships/hyperlink" Target="https://techcombank.com/thong-tin/blog/ngan-hang-thu-huong-la-gi" TargetMode="External"/><Relationship Id="rId318" Type="http://schemas.openxmlformats.org/officeDocument/2006/relationships/hyperlink" Target="https://techcombank.com/thong-tin/blog/chuyen-nham-tien-co-lay-lai-duoc-khong" TargetMode="External"/><Relationship Id="rId317" Type="http://schemas.openxmlformats.org/officeDocument/2006/relationships/hyperlink" Target="https://techcombank.com/thong-tin/blog/ma-giao-dich-la-gi" TargetMode="External"/><Relationship Id="rId1380" Type="http://schemas.openxmlformats.org/officeDocument/2006/relationships/hyperlink" Target="https://techcombank.com/thong-tin/blog/dinar-kuwait" TargetMode="External"/><Relationship Id="rId792" Type="http://schemas.openxmlformats.org/officeDocument/2006/relationships/hyperlink" Target="https://techcombank.com/thong-tin/blog/cic-la-gi" TargetMode="External"/><Relationship Id="rId1381" Type="http://schemas.openxmlformats.org/officeDocument/2006/relationships/hyperlink" Target="https://techcombank.com/thong-tin/blog/phi-chuyen-doi-ngoai-te" TargetMode="External"/><Relationship Id="rId791" Type="http://schemas.openxmlformats.org/officeDocument/2006/relationships/hyperlink" Target="https://techcombank.com/thong-tin/blog/the-tin-dung-co-ma-pin-khong" TargetMode="External"/><Relationship Id="rId1382" Type="http://schemas.openxmlformats.org/officeDocument/2006/relationships/hyperlink" Target="https://techcombank.com/thong-tin/blog/chuyen-tien-tu-han-sang-viet-nam" TargetMode="External"/><Relationship Id="rId790" Type="http://schemas.openxmlformats.org/officeDocument/2006/relationships/hyperlink" Target="https://techcombank.com/thong-tin/blog/tra-gop-lazada" TargetMode="External"/><Relationship Id="rId1383" Type="http://schemas.openxmlformats.org/officeDocument/2006/relationships/hyperlink" Target="https://techcombank.com/thong-tin/blog/chuyen-tien-tu-nhat-ve-viet-nam" TargetMode="External"/><Relationship Id="rId2230" Type="http://schemas.openxmlformats.org/officeDocument/2006/relationships/hyperlink" Target="https://techcombank.com/thong-tin/blog/lai-suat-vay-mua-o-to" TargetMode="External"/><Relationship Id="rId1384" Type="http://schemas.openxmlformats.org/officeDocument/2006/relationships/hyperlink" Target="https://techcombank.com/thong-tin/blog/tien-singapore" TargetMode="External"/><Relationship Id="rId2231" Type="http://schemas.openxmlformats.org/officeDocument/2006/relationships/hyperlink" Target="https://techcombank.com/thong-tin/blog/no-xau-nhom-2" TargetMode="External"/><Relationship Id="rId312" Type="http://schemas.openxmlformats.org/officeDocument/2006/relationships/hyperlink" Target="https://techcombank.com/thong-tin/blog/viet-kieu-co-mo-duoc-tai-khoan-ngan-hang-khong" TargetMode="External"/><Relationship Id="rId796" Type="http://schemas.openxmlformats.org/officeDocument/2006/relationships/hyperlink" Target="https://techcombank.com/thong-tin/blog/lam-ho-so-tra-gop-dien-thoai" TargetMode="External"/><Relationship Id="rId1385" Type="http://schemas.openxmlformats.org/officeDocument/2006/relationships/hyperlink" Target="https://techcombank.com/thong-tin/blog/tien-thai-lan" TargetMode="External"/><Relationship Id="rId2232" Type="http://schemas.openxmlformats.org/officeDocument/2006/relationships/hyperlink" Target="https://techcombank.com/thong-tin/blog/lai-suat-vay-tin-chap" TargetMode="External"/><Relationship Id="rId311" Type="http://schemas.openxmlformats.org/officeDocument/2006/relationships/hyperlink" Target="https://techcombank.com/thong-tin/blog/vip-ngan-hang" TargetMode="External"/><Relationship Id="rId795" Type="http://schemas.openxmlformats.org/officeDocument/2006/relationships/hyperlink" Target="https://techcombank.com/thong-tin/blog/the-tin-dung-noi-dia" TargetMode="External"/><Relationship Id="rId1386" Type="http://schemas.openxmlformats.org/officeDocument/2006/relationships/hyperlink" Target="https://techcombank.com/thong-tin/blog/tien-nhat" TargetMode="External"/><Relationship Id="rId2233" Type="http://schemas.openxmlformats.org/officeDocument/2006/relationships/hyperlink" Target="https://techcombank.com/thong-tin/blog/co-100-trieu-co-mua-nen-mua-tra-gop" TargetMode="External"/><Relationship Id="rId310" Type="http://schemas.openxmlformats.org/officeDocument/2006/relationships/hyperlink" Target="https://techcombank.com/thong-tin/blog/bao-hiem-vat-chat-xe-o-to" TargetMode="External"/><Relationship Id="rId794" Type="http://schemas.openxmlformats.org/officeDocument/2006/relationships/hyperlink" Target="https://techcombank.com/thong-tin/blog/sao-ke-the-tin-dung-la-gi" TargetMode="External"/><Relationship Id="rId1387" Type="http://schemas.openxmlformats.org/officeDocument/2006/relationships/hyperlink" Target="https://techcombank.com/thong-tin/blog/1-man-bang-bao-nhieu-tien-viet" TargetMode="External"/><Relationship Id="rId2234" Type="http://schemas.openxmlformats.org/officeDocument/2006/relationships/hyperlink" Target="https://techcombank.com/thong-tin/blog/bao-hiem-vat-chat-xe-o-to" TargetMode="External"/><Relationship Id="rId793" Type="http://schemas.openxmlformats.org/officeDocument/2006/relationships/hyperlink" Target="https://techcombank.com/thong-tin/blog/the-mastercard-la-gi" TargetMode="External"/><Relationship Id="rId1388" Type="http://schemas.openxmlformats.org/officeDocument/2006/relationships/hyperlink" Target="https://techcombank.com/thong-tin/blog/chuyen-tien-di-uc" TargetMode="External"/><Relationship Id="rId2235" Type="http://schemas.openxmlformats.org/officeDocument/2006/relationships/hyperlink" Target="https://techcombank.com/thong-tin/blog/han-muc-tra-gop-the-tin-dung" TargetMode="External"/><Relationship Id="rId297" Type="http://schemas.openxmlformats.org/officeDocument/2006/relationships/hyperlink" Target="https://techcombank.com/thong-tin/blog/uu-dai-mo-the-tin-dung" TargetMode="External"/><Relationship Id="rId296" Type="http://schemas.openxmlformats.org/officeDocument/2006/relationships/hyperlink" Target="https://techcombank.com/thong-tin/blog/lai-suat-tiet-kiem" TargetMode="External"/><Relationship Id="rId295" Type="http://schemas.openxmlformats.org/officeDocument/2006/relationships/hyperlink" Target="https://techcombank.com/thong-tin/blog/lam-the-visa-o-dau" TargetMode="External"/><Relationship Id="rId294" Type="http://schemas.openxmlformats.org/officeDocument/2006/relationships/hyperlink" Target="https://techcombank.com/thong-tin/blog/vay-mua-xe-tra-gop-ngan-hang-nao-tot-nhat" TargetMode="External"/><Relationship Id="rId299" Type="http://schemas.openxmlformats.org/officeDocument/2006/relationships/hyperlink" Target="https://techcombank.com/thong-tin/blog/cach-tinh-lai-suat-tien-gui-tiet-kiem" TargetMode="External"/><Relationship Id="rId298" Type="http://schemas.openxmlformats.org/officeDocument/2006/relationships/hyperlink" Target="https://techcombank.com/thong-tin/blog/app-ngan-hang" TargetMode="External"/><Relationship Id="rId271" Type="http://schemas.openxmlformats.org/officeDocument/2006/relationships/hyperlink" Target="https://techcombank.com/thong-tin/blog/so-du-tai-khoan-thanh-toan" TargetMode="External"/><Relationship Id="rId270" Type="http://schemas.openxmlformats.org/officeDocument/2006/relationships/hyperlink" Target="https://techcombank.com/thong-tin/blog/tai-khoan-ngan-hang-duoi-50k-co-bi-khoa-khong" TargetMode="External"/><Relationship Id="rId269" Type="http://schemas.openxmlformats.org/officeDocument/2006/relationships/hyperlink" Target="https://techcombank.com/thong-tin/blog/gui-tiet-kiem-hang-thang" TargetMode="External"/><Relationship Id="rId264" Type="http://schemas.openxmlformats.org/officeDocument/2006/relationships/hyperlink" Target="https://techcombank.com/thong-tin/blog/mo-tai-khoan-ngan-hang-trung-so-dien-thoai" TargetMode="External"/><Relationship Id="rId263" Type="http://schemas.openxmlformats.org/officeDocument/2006/relationships/hyperlink" Target="https://techcombank.com/thong-tin/blog/tai-khoan-ngan-hang-con-0-dong-co-sao-khong" TargetMode="External"/><Relationship Id="rId262" Type="http://schemas.openxmlformats.org/officeDocument/2006/relationships/hyperlink" Target="https://techcombank.com/thong-tin/blog/ho-kinh-doanh-can-gi-o-tai-khoan-ngan-hang" TargetMode="External"/><Relationship Id="rId261" Type="http://schemas.openxmlformats.org/officeDocument/2006/relationships/hyperlink" Target="https://techcombank.com/thong-tin/blog/mo-tai-khoan-tiet-kiem-cho-con" TargetMode="External"/><Relationship Id="rId268" Type="http://schemas.openxmlformats.org/officeDocument/2006/relationships/hyperlink" Target="https://techcombank.com/thong-tin/blog/99999-co-y-nghia-gi" TargetMode="External"/><Relationship Id="rId267" Type="http://schemas.openxmlformats.org/officeDocument/2006/relationships/hyperlink" Target="https://techcombank.com/thong-tin/blog/nho-nguoi-than-mo-tai-khoan-ngan-hang" TargetMode="External"/><Relationship Id="rId266" Type="http://schemas.openxmlformats.org/officeDocument/2006/relationships/hyperlink" Target="https://techcombank.com/thong-tin/blog/so-the-ngan-hang" TargetMode="External"/><Relationship Id="rId265" Type="http://schemas.openxmlformats.org/officeDocument/2006/relationships/hyperlink" Target="https://techcombank.com/thong-tin/blog/tai-khoan-ngan-hang-bi-khoa" TargetMode="External"/><Relationship Id="rId260" Type="http://schemas.openxmlformats.org/officeDocument/2006/relationships/hyperlink" Target="https://techcombank.com/thong-tin/blog/mat-so-dien-thoai-dang-ky-tai-khoan-ngan-hang" TargetMode="External"/><Relationship Id="rId259" Type="http://schemas.openxmlformats.org/officeDocument/2006/relationships/hyperlink" Target="https://techcombank.com/thong-tin/blog/mo-tai-khoan-ngan-hang-duoi-18-tuoi" TargetMode="External"/><Relationship Id="rId258" Type="http://schemas.openxmlformats.org/officeDocument/2006/relationships/hyperlink" Target="https://techcombank.com/thong-tin/blog/mau-mo-tai-khoan-doanh-nghiep-techcombank" TargetMode="External"/><Relationship Id="rId2290" Type="http://schemas.openxmlformats.org/officeDocument/2006/relationships/hyperlink" Target="https://techcombank.com/thong-tin/blog/vay-thau-chi-bang-so-tiet-kiem" TargetMode="External"/><Relationship Id="rId2291" Type="http://schemas.openxmlformats.org/officeDocument/2006/relationships/hyperlink" Target="https://techcombank.com/thong-tin/blog/lai-suat-vay-ngan-hang" TargetMode="External"/><Relationship Id="rId2292" Type="http://schemas.openxmlformats.org/officeDocument/2006/relationships/hyperlink" Target="https://techcombank.com/thong-tin/blog/gui-tiet-kiem-online-co-rut-truoc-han-duoc-khong" TargetMode="External"/><Relationship Id="rId2293" Type="http://schemas.openxmlformats.org/officeDocument/2006/relationships/hyperlink" Target="https://techcombank.com/thong-tin/blog/gui-tiet-kiem-online-quay-vong-ca-goc-va-lai" TargetMode="External"/><Relationship Id="rId253" Type="http://schemas.openxmlformats.org/officeDocument/2006/relationships/hyperlink" Target="https://techcombank.com/thong-tin/blog/88-la-gi" TargetMode="External"/><Relationship Id="rId2294" Type="http://schemas.openxmlformats.org/officeDocument/2006/relationships/hyperlink" Target="https://techcombank.com/thong-tin/blog/chung-chi-tien-gui-khac-gi-so-tiet-kiem" TargetMode="External"/><Relationship Id="rId252" Type="http://schemas.openxmlformats.org/officeDocument/2006/relationships/hyperlink" Target="https://techcombank.com/thong-tin/blog/tai-khoan-ngan-hang-chua-toi-da-bao-nhieu-tien" TargetMode="External"/><Relationship Id="rId2295" Type="http://schemas.openxmlformats.org/officeDocument/2006/relationships/hyperlink" Target="https://techcombank.com/thong-tin/blog/tich-diem-doi-qua" TargetMode="External"/><Relationship Id="rId251" Type="http://schemas.openxmlformats.org/officeDocument/2006/relationships/hyperlink" Target="https://techcombank.com/thong-tin/blog/lo-so-tai-khoan-ngan-hang-co-sao-khong" TargetMode="External"/><Relationship Id="rId2296" Type="http://schemas.openxmlformats.org/officeDocument/2006/relationships/hyperlink" Target="https://techcombank.com/thong-tin/blog/so-sanh-gui-tiet-kiem-online-va-tai-quay" TargetMode="External"/><Relationship Id="rId250" Type="http://schemas.openxmlformats.org/officeDocument/2006/relationships/hyperlink" Target="https://techcombank.com/thong-tin/blog/cach-lien-ket-tai-khoan-ngan-hang-voi-vneid" TargetMode="External"/><Relationship Id="rId2297" Type="http://schemas.openxmlformats.org/officeDocument/2006/relationships/hyperlink" Target="https://techcombank.com/thong-tin/blog/lai-suat-vay-tin-chap" TargetMode="External"/><Relationship Id="rId257" Type="http://schemas.openxmlformats.org/officeDocument/2006/relationships/hyperlink" Target="https://techcombank.com/thong-tin/blog/cach-dong-tien-dien-qua-tai-khoan-ngan-hang" TargetMode="External"/><Relationship Id="rId2298" Type="http://schemas.openxmlformats.org/officeDocument/2006/relationships/hyperlink" Target="https://techcombank.com/thong-tin/blog/cach-tiet-kiem-tien-sinh-loi" TargetMode="External"/><Relationship Id="rId256" Type="http://schemas.openxmlformats.org/officeDocument/2006/relationships/hyperlink" Target="https://techcombank.com/thong-tin/blog/cach-chon-so-tai-khoan-dep" TargetMode="External"/><Relationship Id="rId2299" Type="http://schemas.openxmlformats.org/officeDocument/2006/relationships/hyperlink" Target="https://techcombank.com/thong-tin/blog/vay-20-trieu" TargetMode="External"/><Relationship Id="rId255" Type="http://schemas.openxmlformats.org/officeDocument/2006/relationships/hyperlink" Target="https://techcombank.com/thong-tin/blog/thue-thu-nhap-ca-nhan" TargetMode="External"/><Relationship Id="rId254" Type="http://schemas.openxmlformats.org/officeDocument/2006/relationships/hyperlink" Target="https://techcombank.com/thong-tin/blog/dang-ky-nhieu-tai-khoan-ngan-hang-co-sao-khong" TargetMode="External"/><Relationship Id="rId293" Type="http://schemas.openxmlformats.org/officeDocument/2006/relationships/hyperlink" Target="https://techcombank.com/thong-tin/blog/su-hop-tac-cua-ngan-hang-va-fintech-tren-hanh-trinh-chuyen-doi-so" TargetMode="External"/><Relationship Id="rId292" Type="http://schemas.openxmlformats.org/officeDocument/2006/relationships/hyperlink" Target="https://techcombank.com/thong-tin/blog/nen-vay-the-chap-ngan-hang-nao" TargetMode="External"/><Relationship Id="rId291" Type="http://schemas.openxmlformats.org/officeDocument/2006/relationships/hyperlink" Target="https://techcombank.com/thong-tin/blog/nen-vay-tin-chap-o-dau" TargetMode="External"/><Relationship Id="rId290" Type="http://schemas.openxmlformats.org/officeDocument/2006/relationships/hyperlink" Target="https://techcombank.com/thong-tin/blog/dieu-kien-vay-von-ngan-hang" TargetMode="External"/><Relationship Id="rId286" Type="http://schemas.openxmlformats.org/officeDocument/2006/relationships/hyperlink" Target="https://techcombank.com/thong-tin/blog/gui-tien-ngan-hang-co-an-toan-khong" TargetMode="External"/><Relationship Id="rId285" Type="http://schemas.openxmlformats.org/officeDocument/2006/relationships/hyperlink" Target="https://techcombank.com/thong-tin/blog/app-ngan-hang-uy-tin" TargetMode="External"/><Relationship Id="rId284" Type="http://schemas.openxmlformats.org/officeDocument/2006/relationships/hyperlink" Target="https://techcombank.com/thong-tin/blog/viet-kieu-co-mo-duoc-tai-khoan-ngan-hang-khong" TargetMode="External"/><Relationship Id="rId283" Type="http://schemas.openxmlformats.org/officeDocument/2006/relationships/hyperlink" Target="https://techcombank.com/thong-tin/blog/chi-phi-mo-tai-khoan-ngan-hang-cho-cong-ty" TargetMode="External"/><Relationship Id="rId289" Type="http://schemas.openxmlformats.org/officeDocument/2006/relationships/hyperlink" Target="https://techcombank.com/thong-tin/blog/gia-tri-thuong-hieu" TargetMode="External"/><Relationship Id="rId288" Type="http://schemas.openxmlformats.org/officeDocument/2006/relationships/hyperlink" Target="https://techcombank.com/thong-tin/blog/gio-lam-viec-ngan-hang" TargetMode="External"/><Relationship Id="rId287" Type="http://schemas.openxmlformats.org/officeDocument/2006/relationships/hyperlink" Target="https://techcombank.com/thong-tin/blog/nen-mo-tai-khoan-ngan-hang-nao-cho-doanh-nghiep" TargetMode="External"/><Relationship Id="rId282" Type="http://schemas.openxmlformats.org/officeDocument/2006/relationships/hyperlink" Target="https://techcombank.com/thong-tin/blog/vip-ngan-hang" TargetMode="External"/><Relationship Id="rId281" Type="http://schemas.openxmlformats.org/officeDocument/2006/relationships/hyperlink" Target="https://techcombank.com/thong-tin/blog/so-tai-khoan-ngan-hang" TargetMode="External"/><Relationship Id="rId280" Type="http://schemas.openxmlformats.org/officeDocument/2006/relationships/hyperlink" Target="https://techcombank.com/thong-tin/blog/tai-khoan-tiet-kiem" TargetMode="External"/><Relationship Id="rId275" Type="http://schemas.openxmlformats.org/officeDocument/2006/relationships/hyperlink" Target="https://techcombank.com/thong-tin/blog/cach-bao-ve-tai-khoan" TargetMode="External"/><Relationship Id="rId274" Type="http://schemas.openxmlformats.org/officeDocument/2006/relationships/hyperlink" Target="https://techcombank.com/thong-tin/blog/ten-dang-nhap-tai-khoan-ngan-hang-la-gi" TargetMode="External"/><Relationship Id="rId273" Type="http://schemas.openxmlformats.org/officeDocument/2006/relationships/hyperlink" Target="https://techcombank.com/thong-tin/blog/chi-tra-luong-huu" TargetMode="External"/><Relationship Id="rId272" Type="http://schemas.openxmlformats.org/officeDocument/2006/relationships/hyperlink" Target="https://techcombank.com/thong-tin/blog/mo-tai-khoan-ngan-hang-bang-so-dien-thoai" TargetMode="External"/><Relationship Id="rId279" Type="http://schemas.openxmlformats.org/officeDocument/2006/relationships/hyperlink" Target="https://techcombank.com/thong-tin/blog/bao-nhieu-tuoi-duoc-mo-tai-khoan-ngan-hang" TargetMode="External"/><Relationship Id="rId278" Type="http://schemas.openxmlformats.org/officeDocument/2006/relationships/hyperlink" Target="https://techcombank.com/thong-tin/blog/thanh-toan-tra-sau-viettel-bang-tai-khoan-ngan-hang" TargetMode="External"/><Relationship Id="rId277" Type="http://schemas.openxmlformats.org/officeDocument/2006/relationships/hyperlink" Target="https://techcombank.com/thong-tin/blog/cach-kiem-tra-tai-khoan-ngan-hang" TargetMode="External"/><Relationship Id="rId276" Type="http://schemas.openxmlformats.org/officeDocument/2006/relationships/hyperlink" Target="https://techcombank.com/thong-tin/blog/cach-sao-ke-tai-khoan-ngan-hang" TargetMode="External"/><Relationship Id="rId1851" Type="http://schemas.openxmlformats.org/officeDocument/2006/relationships/hyperlink" Target="https://techcombank.com/thong-tin/blog/cac-hinh-thuc-vay-von-ngan-hang" TargetMode="External"/><Relationship Id="rId1852" Type="http://schemas.openxmlformats.org/officeDocument/2006/relationships/hyperlink" Target="https://techcombank.com/thong-tin/blog/vay-san-xuat-kinh-doanh" TargetMode="External"/><Relationship Id="rId1853" Type="http://schemas.openxmlformats.org/officeDocument/2006/relationships/hyperlink" Target="https://techcombank.com/thong-tin/blog/vay-the-chap-kinh-doanh" TargetMode="External"/><Relationship Id="rId1854" Type="http://schemas.openxmlformats.org/officeDocument/2006/relationships/hyperlink" Target="https://techcombank.com/thong-tin/blog/vay-the-chap-khong-tra-duoc" TargetMode="External"/><Relationship Id="rId1855" Type="http://schemas.openxmlformats.org/officeDocument/2006/relationships/hyperlink" Target="https://techcombank.com/thong-tin/blog/vay-the-chap-so-bao-hiem-xa-hoi" TargetMode="External"/><Relationship Id="rId1856" Type="http://schemas.openxmlformats.org/officeDocument/2006/relationships/hyperlink" Target="https://techcombank.com/thong-tin/blog/rui-ro-khi-vay-the-chap-ngan-hang" TargetMode="External"/><Relationship Id="rId1857" Type="http://schemas.openxmlformats.org/officeDocument/2006/relationships/hyperlink" Target="https://techcombank.com/thong-tin/blog/vay-tin-chap-va-vay-the-chap" TargetMode="External"/><Relationship Id="rId1858" Type="http://schemas.openxmlformats.org/officeDocument/2006/relationships/hyperlink" Target="https://techcombank.com/thong-tin/blog/lai-suat-vay-the-chap" TargetMode="External"/><Relationship Id="rId1859" Type="http://schemas.openxmlformats.org/officeDocument/2006/relationships/hyperlink" Target="https://techcombank.com/thong-tin/blog/quy-trinh-tat-toan-khoan-vay-the-chap" TargetMode="External"/><Relationship Id="rId1850" Type="http://schemas.openxmlformats.org/officeDocument/2006/relationships/hyperlink" Target="https://techcombank.com/thong-tin/blog/thu-tuc-vay-von-kinh-doanh-nho" TargetMode="External"/><Relationship Id="rId1840" Type="http://schemas.openxmlformats.org/officeDocument/2006/relationships/hyperlink" Target="https://techcombank.com/thong-tin/blog/vay-mua-dien-thoai" TargetMode="External"/><Relationship Id="rId1841" Type="http://schemas.openxmlformats.org/officeDocument/2006/relationships/hyperlink" Target="https://techcombank.com/thong-tin/blog/vay-the-chap-hop-dong-mua-ban-can-ho" TargetMode="External"/><Relationship Id="rId1842" Type="http://schemas.openxmlformats.org/officeDocument/2006/relationships/hyperlink" Target="https://techcombank.com/thong-tin/blog/lai-suat-cho-vay-doanh-nghiep" TargetMode="External"/><Relationship Id="rId1843" Type="http://schemas.openxmlformats.org/officeDocument/2006/relationships/hyperlink" Target="https://techcombank.com/thong-tin/blog/han-muc-vay-the-chap-so-do" TargetMode="External"/><Relationship Id="rId1844" Type="http://schemas.openxmlformats.org/officeDocument/2006/relationships/hyperlink" Target="https://techcombank.com/thong-tin/blog/vay-the-chap-so-hong" TargetMode="External"/><Relationship Id="rId1845" Type="http://schemas.openxmlformats.org/officeDocument/2006/relationships/hyperlink" Target="https://techcombank.com/thong-tin/blog/kinh-nghiem-vay-the-chap-ngan-hang" TargetMode="External"/><Relationship Id="rId1846" Type="http://schemas.openxmlformats.org/officeDocument/2006/relationships/hyperlink" Target="https://techcombank.com/thong-tin/blog/nen-vay-the-chap-ngan-hang-nao" TargetMode="External"/><Relationship Id="rId1847" Type="http://schemas.openxmlformats.org/officeDocument/2006/relationships/hyperlink" Target="https://techcombank.com/thong-tin/blog/vay-the-chap-la-gi" TargetMode="External"/><Relationship Id="rId1848" Type="http://schemas.openxmlformats.org/officeDocument/2006/relationships/hyperlink" Target="https://techcombank.com/thong-tin/blog/vay-von-doanh-nghiep-khong-the-chap" TargetMode="External"/><Relationship Id="rId1849" Type="http://schemas.openxmlformats.org/officeDocument/2006/relationships/hyperlink" Target="https://techcombank.com/thong-tin/blog/vay-ngan-han" TargetMode="External"/><Relationship Id="rId1873" Type="http://schemas.openxmlformats.org/officeDocument/2006/relationships/hyperlink" Target="https://techcombank.com/thong-tin/blog/vay-tra-gop" TargetMode="External"/><Relationship Id="rId1874" Type="http://schemas.openxmlformats.org/officeDocument/2006/relationships/hyperlink" Target="https://techcombank.com/thong-tin/blog/vay-the-chap-hop-dong-mua-ban-can-ho" TargetMode="External"/><Relationship Id="rId1875" Type="http://schemas.openxmlformats.org/officeDocument/2006/relationships/hyperlink" Target="https://techcombank.com/thong-tin/blog/quy-trinh-tat-toan-khoan-vay-the-chap" TargetMode="External"/><Relationship Id="rId1876" Type="http://schemas.openxmlformats.org/officeDocument/2006/relationships/hyperlink" Target="https://techcombank.com/thong-tin/blog/tat-toan" TargetMode="External"/><Relationship Id="rId1877" Type="http://schemas.openxmlformats.org/officeDocument/2006/relationships/hyperlink" Target="https://techcombank.com/thong-tin/blog/the-chap-la-gi" TargetMode="External"/><Relationship Id="rId1878" Type="http://schemas.openxmlformats.org/officeDocument/2006/relationships/hyperlink" Target="https://techcombank.com/thong-tin/blog/vay-the-chap-khong-tra-duoc" TargetMode="External"/><Relationship Id="rId1879" Type="http://schemas.openxmlformats.org/officeDocument/2006/relationships/hyperlink" Target="https://techcombank.com/thong-tin/blog/giai-ngan-vay-the-chap" TargetMode="External"/><Relationship Id="rId1870" Type="http://schemas.openxmlformats.org/officeDocument/2006/relationships/hyperlink" Target="https://techcombank.com/thong-tin/blog/lai-suat-vay-mua-o-to" TargetMode="External"/><Relationship Id="rId1871" Type="http://schemas.openxmlformats.org/officeDocument/2006/relationships/hyperlink" Target="https://techcombank.com/thong-tin/blog/the-chap-la-gi" TargetMode="External"/><Relationship Id="rId1872" Type="http://schemas.openxmlformats.org/officeDocument/2006/relationships/hyperlink" Target="https://techcombank.com/thong-tin/blog/vay-the-chap-khong-chung-minh-thu-nhap" TargetMode="External"/><Relationship Id="rId1862" Type="http://schemas.openxmlformats.org/officeDocument/2006/relationships/hyperlink" Target="https://techcombank.com/thong-tin/blog/ho-so-thu-tuc-xoa-the-chap" TargetMode="External"/><Relationship Id="rId1863" Type="http://schemas.openxmlformats.org/officeDocument/2006/relationships/hyperlink" Target="https://techcombank.com/thong-tin/blog/nen-mua-xe-tra-gop-hay-tra-thang" TargetMode="External"/><Relationship Id="rId1864" Type="http://schemas.openxmlformats.org/officeDocument/2006/relationships/hyperlink" Target="https://techcombank.com/thong-tin/blog/giai-ngan-vay-the-chap" TargetMode="External"/><Relationship Id="rId1865" Type="http://schemas.openxmlformats.org/officeDocument/2006/relationships/hyperlink" Target="https://techcombank.com/thong-tin/blog/no-xau-co-vay-the-chap-duoc-khong" TargetMode="External"/><Relationship Id="rId1866" Type="http://schemas.openxmlformats.org/officeDocument/2006/relationships/hyperlink" Target="https://techcombank.com/thong-tin/blog/phi-vay-the-chap" TargetMode="External"/><Relationship Id="rId1867" Type="http://schemas.openxmlformats.org/officeDocument/2006/relationships/hyperlink" Target="https://techcombank.com/thong-tin/blog/cac-hinh-thuc-cho-vay-tieu-dung" TargetMode="External"/><Relationship Id="rId1868" Type="http://schemas.openxmlformats.org/officeDocument/2006/relationships/hyperlink" Target="https://techcombank.com/thong-tin/blog/vay-the-chap-toi-da-duoc-bao-nhieu" TargetMode="External"/><Relationship Id="rId1869" Type="http://schemas.openxmlformats.org/officeDocument/2006/relationships/hyperlink" Target="https://techcombank.com/thong-tin/blog/dieu-kien-vay-the-chap" TargetMode="External"/><Relationship Id="rId1860" Type="http://schemas.openxmlformats.org/officeDocument/2006/relationships/hyperlink" Target="https://techcombank.com/thong-tin/blog/vay-the-chap-xe-o-to-cu" TargetMode="External"/><Relationship Id="rId1861" Type="http://schemas.openxmlformats.org/officeDocument/2006/relationships/hyperlink" Target="https://techcombank.com/thong-tin/blog/vay-the-chap-qua-luong" TargetMode="External"/><Relationship Id="rId1810" Type="http://schemas.openxmlformats.org/officeDocument/2006/relationships/hyperlink" Target="https://techcombank.com/thong-tin/blog/nen-mua-xe-tra-gop-hay-tra-thang" TargetMode="External"/><Relationship Id="rId1811" Type="http://schemas.openxmlformats.org/officeDocument/2006/relationships/hyperlink" Target="https://techcombank.com/thong-tin/blog/vay-15-trieu" TargetMode="External"/><Relationship Id="rId1812" Type="http://schemas.openxmlformats.org/officeDocument/2006/relationships/hyperlink" Target="https://techcombank.com/thong-tin/blog/sao-ke-the-tin-dung-la-gi" TargetMode="External"/><Relationship Id="rId1813" Type="http://schemas.openxmlformats.org/officeDocument/2006/relationships/hyperlink" Target="https://techcombank.com/thong-tin/blog/lai-suat-vay-tieu-dung" TargetMode="External"/><Relationship Id="rId1814" Type="http://schemas.openxmlformats.org/officeDocument/2006/relationships/hyperlink" Target="https://techcombank.com/thong-tin/blog/lam-ho-so-tra-gop-dien-thoai" TargetMode="External"/><Relationship Id="rId1815" Type="http://schemas.openxmlformats.org/officeDocument/2006/relationships/hyperlink" Target="https://techcombank.com/thong-tin/blog/vay-30-trieu" TargetMode="External"/><Relationship Id="rId1816" Type="http://schemas.openxmlformats.org/officeDocument/2006/relationships/hyperlink" Target="https://techcombank.com/thong-tin/blog/thu-tuc-vay-von-ngan-hang-de-xay-nha" TargetMode="External"/><Relationship Id="rId1817" Type="http://schemas.openxmlformats.org/officeDocument/2006/relationships/hyperlink" Target="https://techcombank.com/thong-tin/blog/lai-suat-ngan-hang-cho-vay-xay-nha" TargetMode="External"/><Relationship Id="rId1818" Type="http://schemas.openxmlformats.org/officeDocument/2006/relationships/hyperlink" Target="https://techcombank.com/thong-tin/blog/cach-su-dung-the-tin-dung" TargetMode="External"/><Relationship Id="rId1819" Type="http://schemas.openxmlformats.org/officeDocument/2006/relationships/hyperlink" Target="https://techcombank.com/thong-tin/blog/vay-mua-nha-o-xa-hoi" TargetMode="External"/><Relationship Id="rId1800" Type="http://schemas.openxmlformats.org/officeDocument/2006/relationships/hyperlink" Target="https://techcombank.com/thong-tin/blog/quy-trinh-tat-toan-khoan-vay-the-chap" TargetMode="External"/><Relationship Id="rId1801" Type="http://schemas.openxmlformats.org/officeDocument/2006/relationships/hyperlink" Target="https://techcombank.com/thong-tin/blog/vay-40-trieu" TargetMode="External"/><Relationship Id="rId1802" Type="http://schemas.openxmlformats.org/officeDocument/2006/relationships/hyperlink" Target="https://techcombank.com/thong-tin/blog/thu-tuc-mua-xe-tra-gop" TargetMode="External"/><Relationship Id="rId1803" Type="http://schemas.openxmlformats.org/officeDocument/2006/relationships/hyperlink" Target="https://techcombank.com/thong-tin/blog/vay-100-trieu" TargetMode="External"/><Relationship Id="rId1804" Type="http://schemas.openxmlformats.org/officeDocument/2006/relationships/hyperlink" Target="https://techcombank.com/thong-tin/blog/vay-ngan-hang-chi-can-cccd" TargetMode="External"/><Relationship Id="rId1805" Type="http://schemas.openxmlformats.org/officeDocument/2006/relationships/hyperlink" Target="https://techcombank.com/thong-tin/blog/tra-gop-shopee" TargetMode="External"/><Relationship Id="rId1806" Type="http://schemas.openxmlformats.org/officeDocument/2006/relationships/hyperlink" Target="https://techcombank.com/thong-tin/blog/tra-gop-hoc-phi" TargetMode="External"/><Relationship Id="rId1807" Type="http://schemas.openxmlformats.org/officeDocument/2006/relationships/hyperlink" Target="https://techcombank.com/thong-tin/blog/thanh-toan-tra-gop-qua-the-tin-dung" TargetMode="External"/><Relationship Id="rId1808" Type="http://schemas.openxmlformats.org/officeDocument/2006/relationships/hyperlink" Target="https://techcombank.com/thong-tin/blog/tra-gop-lazada" TargetMode="External"/><Relationship Id="rId1809" Type="http://schemas.openxmlformats.org/officeDocument/2006/relationships/hyperlink" Target="https://techcombank.com/thong-tin/blog/lai-suat-vay-the-chap-so-do" TargetMode="External"/><Relationship Id="rId1830" Type="http://schemas.openxmlformats.org/officeDocument/2006/relationships/hyperlink" Target="https://techcombank.com/thong-tin/blog/no-xau-nhom-2" TargetMode="External"/><Relationship Id="rId1831" Type="http://schemas.openxmlformats.org/officeDocument/2006/relationships/hyperlink" Target="https://techcombank.com/thong-tin/blog/lai-suat-vay-tin-chap" TargetMode="External"/><Relationship Id="rId1832" Type="http://schemas.openxmlformats.org/officeDocument/2006/relationships/hyperlink" Target="https://techcombank.com/thong-tin/blog/co-100-trieu-co-mua-nen-mua-tra-gop" TargetMode="External"/><Relationship Id="rId1833" Type="http://schemas.openxmlformats.org/officeDocument/2006/relationships/hyperlink" Target="https://techcombank.com/thong-tin/blog/dang-vay-tra-gop-co-vay-them-duoc-khong" TargetMode="External"/><Relationship Id="rId1834" Type="http://schemas.openxmlformats.org/officeDocument/2006/relationships/hyperlink" Target="https://techcombank.com/thong-tin/blog/bao-hiem-vat-chat-xe-o-to" TargetMode="External"/><Relationship Id="rId1835" Type="http://schemas.openxmlformats.org/officeDocument/2006/relationships/hyperlink" Target="https://techcombank.com/thong-tin/blog/han-muc-tra-gop-the-tin-dung" TargetMode="External"/><Relationship Id="rId1836" Type="http://schemas.openxmlformats.org/officeDocument/2006/relationships/hyperlink" Target="https://techcombank.com/thong-tin/blog/quy-trinh-cho-vay-tieu-dung" TargetMode="External"/><Relationship Id="rId1837" Type="http://schemas.openxmlformats.org/officeDocument/2006/relationships/hyperlink" Target="https://techcombank.com/thong-tin/blog/vay-20-trieu" TargetMode="External"/><Relationship Id="rId1838" Type="http://schemas.openxmlformats.org/officeDocument/2006/relationships/hyperlink" Target="https://techcombank.com/thong-tin/blog/kinh-nghiem-vay-tien-mua-nha" TargetMode="External"/><Relationship Id="rId1839" Type="http://schemas.openxmlformats.org/officeDocument/2006/relationships/hyperlink" Target="https://techcombank.com/thong-tin/blog/vay-tin-chap-la-gi" TargetMode="External"/><Relationship Id="rId1820" Type="http://schemas.openxmlformats.org/officeDocument/2006/relationships/hyperlink" Target="https://techcombank.com/thong-tin/blog/vay-200-trieu" TargetMode="External"/><Relationship Id="rId1821" Type="http://schemas.openxmlformats.org/officeDocument/2006/relationships/hyperlink" Target="https://techcombank.com/thong-tin/blog/kinh-nghiem-vay-tien-ngan-hang-xay-nha" TargetMode="External"/><Relationship Id="rId1822" Type="http://schemas.openxmlformats.org/officeDocument/2006/relationships/hyperlink" Target="https://techcombank.com/thong-tin/blog/vay-tin-chap-theo-luong" TargetMode="External"/><Relationship Id="rId1823" Type="http://schemas.openxmlformats.org/officeDocument/2006/relationships/hyperlink" Target="https://techcombank.com/thong-tin/blog/tra-gop-qua-the-tin-dung" TargetMode="External"/><Relationship Id="rId1824" Type="http://schemas.openxmlformats.org/officeDocument/2006/relationships/hyperlink" Target="https://techcombank.com/thong-tin/blog/cach-su-dung-the-visa-techcombank" TargetMode="External"/><Relationship Id="rId1825" Type="http://schemas.openxmlformats.org/officeDocument/2006/relationships/hyperlink" Target="https://techcombank.com/thong-tin/blog/lai-suat-vay-ngan-hang" TargetMode="External"/><Relationship Id="rId1826" Type="http://schemas.openxmlformats.org/officeDocument/2006/relationships/hyperlink" Target="https://techcombank.com/thong-tin/blog/du-no-tin-dung-la-gi" TargetMode="External"/><Relationship Id="rId1827" Type="http://schemas.openxmlformats.org/officeDocument/2006/relationships/hyperlink" Target="https://techcombank.com/thong-tin/blog/mua-nha-tra-gop-dua-truoc-100-trieu" TargetMode="External"/><Relationship Id="rId1828" Type="http://schemas.openxmlformats.org/officeDocument/2006/relationships/hyperlink" Target="https://techcombank.com/thong-tin/blog/vay-han-muc-la-gi" TargetMode="External"/><Relationship Id="rId1829" Type="http://schemas.openxmlformats.org/officeDocument/2006/relationships/hyperlink" Target="https://techcombank.com/thong-tin/blog/lai-suat-vay-mua-o-to" TargetMode="External"/><Relationship Id="rId1455" Type="http://schemas.openxmlformats.org/officeDocument/2006/relationships/hyperlink" Target="https://techcombank.com/thong-tin/blog/cach-su-dung-the-tin-dung" TargetMode="External"/><Relationship Id="rId2302" Type="http://schemas.openxmlformats.org/officeDocument/2006/relationships/hyperlink" Target="https://techcombank.com/thong-tin/blog/tien-gui-co-ky-han" TargetMode="External"/><Relationship Id="rId1456" Type="http://schemas.openxmlformats.org/officeDocument/2006/relationships/hyperlink" Target="https://techcombank.com/thong-tin/blog/vay-mua-nha-o-xa-hoi" TargetMode="External"/><Relationship Id="rId2303" Type="http://schemas.openxmlformats.org/officeDocument/2006/relationships/hyperlink" Target="https://techcombank.com/thong-tin/blog/lai-suat-gui-tiet-kiem-usd" TargetMode="External"/><Relationship Id="rId1457" Type="http://schemas.openxmlformats.org/officeDocument/2006/relationships/hyperlink" Target="https://techcombank.com/thong-tin/blog/vay-200-trieu" TargetMode="External"/><Relationship Id="rId2304" Type="http://schemas.openxmlformats.org/officeDocument/2006/relationships/hyperlink" Target="https://techcombank.com/thong-tin/blog/gui-tiet-kiem-usd" TargetMode="External"/><Relationship Id="rId1458" Type="http://schemas.openxmlformats.org/officeDocument/2006/relationships/hyperlink" Target="https://techcombank.com/thong-tin/blog/kinh-nghiem-vay-tien-ngan-hang-xay-nha" TargetMode="External"/><Relationship Id="rId2305" Type="http://schemas.openxmlformats.org/officeDocument/2006/relationships/hyperlink" Target="https://techcombank.com/thong-tin/blog/vay-tien-online" TargetMode="External"/><Relationship Id="rId1459" Type="http://schemas.openxmlformats.org/officeDocument/2006/relationships/hyperlink" Target="https://techcombank.com/thong-tin/blog/giai-ngan-vay-the-chap" TargetMode="External"/><Relationship Id="rId2306" Type="http://schemas.openxmlformats.org/officeDocument/2006/relationships/hyperlink" Target="https://techcombank.com/thong-tin/blog/vay-ngan-hang-chi-can-cccd" TargetMode="External"/><Relationship Id="rId2307" Type="http://schemas.openxmlformats.org/officeDocument/2006/relationships/hyperlink" Target="https://techcombank.com/thong-tin/blog/vay-30-trieu" TargetMode="External"/><Relationship Id="rId2308" Type="http://schemas.openxmlformats.org/officeDocument/2006/relationships/hyperlink" Target="https://techcombank.com/thong-tin/blog/vay-50-trieu" TargetMode="External"/><Relationship Id="rId2309" Type="http://schemas.openxmlformats.org/officeDocument/2006/relationships/hyperlink" Target="https://techcombank.com/thong-tin/blog/vay-sieu-toc" TargetMode="External"/><Relationship Id="rId629" Type="http://schemas.openxmlformats.org/officeDocument/2006/relationships/hyperlink" Target="https://techcombank.com/thong-tin/blog/1-cmnd-dang-ky-duoc-may-tai-khoan-ngan-hang" TargetMode="External"/><Relationship Id="rId624" Type="http://schemas.openxmlformats.org/officeDocument/2006/relationships/hyperlink" Target="https://techcombank.com/thong-tin/blog/kiem-tra-no-xau" TargetMode="External"/><Relationship Id="rId623" Type="http://schemas.openxmlformats.org/officeDocument/2006/relationships/hyperlink" Target="https://techcombank.com/thong-tin/blog/dang-ky-ma-so-thue-ca-nhan" TargetMode="External"/><Relationship Id="rId622" Type="http://schemas.openxmlformats.org/officeDocument/2006/relationships/hyperlink" Target="https://techcombank.com/thong-tin/blog/tra-cuu-ma-so-thue-ho-kinh-doanh" TargetMode="External"/><Relationship Id="rId621" Type="http://schemas.openxmlformats.org/officeDocument/2006/relationships/hyperlink" Target="https://techcombank.com/thong-tin/blog/mo-tai-khoan-ngan-hang-bang-so-dien-thoai" TargetMode="External"/><Relationship Id="rId628" Type="http://schemas.openxmlformats.org/officeDocument/2006/relationships/hyperlink" Target="https://techcombank.com/thong-tin/blog/vay-50-trieu" TargetMode="External"/><Relationship Id="rId627" Type="http://schemas.openxmlformats.org/officeDocument/2006/relationships/hyperlink" Target="https://techcombank.com/thong-tin/blog/mo-the-tin-dung-chi-can-cccd" TargetMode="External"/><Relationship Id="rId626" Type="http://schemas.openxmlformats.org/officeDocument/2006/relationships/hyperlink" Target="https://techcombank.com/thong-tin/blog/vay-ngan-hang-chi-can-cccd" TargetMode="External"/><Relationship Id="rId625" Type="http://schemas.openxmlformats.org/officeDocument/2006/relationships/hyperlink" Target="https://techcombank.com/thong-tin/blog/no-xau-la-gi" TargetMode="External"/><Relationship Id="rId1450" Type="http://schemas.openxmlformats.org/officeDocument/2006/relationships/hyperlink" Target="https://techcombank.com/thong-tin/blog/nen-mua-xe-tra-gop-hay-tra-thang" TargetMode="External"/><Relationship Id="rId620" Type="http://schemas.openxmlformats.org/officeDocument/2006/relationships/hyperlink" Target="https://techcombank.com/thong-tin/blog/cach-dang-ky-dinh-danh-muc-2" TargetMode="External"/><Relationship Id="rId1451" Type="http://schemas.openxmlformats.org/officeDocument/2006/relationships/hyperlink" Target="https://techcombank.com/thong-tin/blog/vay-15-trieu" TargetMode="External"/><Relationship Id="rId1452" Type="http://schemas.openxmlformats.org/officeDocument/2006/relationships/hyperlink" Target="https://techcombank.com/thong-tin/blog/lam-ho-so-tra-gop-dien-thoai" TargetMode="External"/><Relationship Id="rId1453" Type="http://schemas.openxmlformats.org/officeDocument/2006/relationships/hyperlink" Target="https://techcombank.com/thong-tin/blog/vay-the-chap-so-hong" TargetMode="External"/><Relationship Id="rId2300" Type="http://schemas.openxmlformats.org/officeDocument/2006/relationships/hyperlink" Target="https://techcombank.com/thong-tin/blog/vay-tin-chap-la-gi" TargetMode="External"/><Relationship Id="rId1454" Type="http://schemas.openxmlformats.org/officeDocument/2006/relationships/hyperlink" Target="https://techcombank.com/thong-tin/blog/vay-30-trieu" TargetMode="External"/><Relationship Id="rId2301" Type="http://schemas.openxmlformats.org/officeDocument/2006/relationships/hyperlink" Target="https://techcombank.com/thong-tin/blog/tien-nhan-roi-nen-lam-gi" TargetMode="External"/><Relationship Id="rId1444" Type="http://schemas.openxmlformats.org/officeDocument/2006/relationships/hyperlink" Target="https://techcombank.com/thong-tin/blog/tra-gop-shopee" TargetMode="External"/><Relationship Id="rId1445" Type="http://schemas.openxmlformats.org/officeDocument/2006/relationships/hyperlink" Target="https://techcombank.com/thong-tin/blog/tra-gop-hoc-phi" TargetMode="External"/><Relationship Id="rId1446" Type="http://schemas.openxmlformats.org/officeDocument/2006/relationships/hyperlink" Target="https://techcombank.com/thong-tin/blog/thanh-toan-tra-gop-qua-the-tin-dung" TargetMode="External"/><Relationship Id="rId1447" Type="http://schemas.openxmlformats.org/officeDocument/2006/relationships/hyperlink" Target="https://techcombank.com/thong-tin/blog/tra-gop-lazada" TargetMode="External"/><Relationship Id="rId1448" Type="http://schemas.openxmlformats.org/officeDocument/2006/relationships/hyperlink" Target="https://techcombank.com/thong-tin/blog/bi-quyet-tiet-kiem-tien-mua-nha" TargetMode="External"/><Relationship Id="rId1449" Type="http://schemas.openxmlformats.org/officeDocument/2006/relationships/hyperlink" Target="https://techcombank.com/thong-tin/blog/lai-suat-vay-the-chap-so-do" TargetMode="External"/><Relationship Id="rId619" Type="http://schemas.openxmlformats.org/officeDocument/2006/relationships/hyperlink" Target="https://techcombank.com/thong-tin/blog/ekyc-la-gi" TargetMode="External"/><Relationship Id="rId618" Type="http://schemas.openxmlformats.org/officeDocument/2006/relationships/hyperlink" Target="https://techcombank.com/thong-tin/blog/cach-lien-ket-tai-khoan-ngan-hang-voi-vneid" TargetMode="External"/><Relationship Id="rId613" Type="http://schemas.openxmlformats.org/officeDocument/2006/relationships/hyperlink" Target="https://techcombank.com/thong-tin/blog/cach-su-dung-the-ghi-no" TargetMode="External"/><Relationship Id="rId612" Type="http://schemas.openxmlformats.org/officeDocument/2006/relationships/hyperlink" Target="https://techcombank.com/thong-tin/blog/the-visa-co-rut-tien-duoc-khong" TargetMode="External"/><Relationship Id="rId611" Type="http://schemas.openxmlformats.org/officeDocument/2006/relationships/hyperlink" Target="https://techcombank.com/thong-tin/blog/cach-chuyen-tien" TargetMode="External"/><Relationship Id="rId610" Type="http://schemas.openxmlformats.org/officeDocument/2006/relationships/hyperlink" Target="https://techcombank.com/thong-tin/blog/the-atm-tu" TargetMode="External"/><Relationship Id="rId617" Type="http://schemas.openxmlformats.org/officeDocument/2006/relationships/hyperlink" Target="https://techcombank.com/thong-tin/blog/xac-thuc-sinh-trac-hoc-khi-chuyen-tien" TargetMode="External"/><Relationship Id="rId616" Type="http://schemas.openxmlformats.org/officeDocument/2006/relationships/hyperlink" Target="https://techcombank.com/thong-tin/blog/tien-gui-co-ky-han" TargetMode="External"/><Relationship Id="rId615" Type="http://schemas.openxmlformats.org/officeDocument/2006/relationships/hyperlink" Target="https://techcombank.com/thong-tin/blog/the-ghi-no-co-rut-tien-duoc-khong" TargetMode="External"/><Relationship Id="rId614" Type="http://schemas.openxmlformats.org/officeDocument/2006/relationships/hyperlink" Target="https://techcombank.com/thong-tin/blog/cach-chuyen-tien-qua-ma-qr-techcombank" TargetMode="External"/><Relationship Id="rId1440" Type="http://schemas.openxmlformats.org/officeDocument/2006/relationships/hyperlink" Target="https://techcombank.com/thong-tin/blog/vay-40-trieu" TargetMode="External"/><Relationship Id="rId1441" Type="http://schemas.openxmlformats.org/officeDocument/2006/relationships/hyperlink" Target="https://techcombank.com/thong-tin/blog/vay-the-chap-qua-luong" TargetMode="External"/><Relationship Id="rId1442" Type="http://schemas.openxmlformats.org/officeDocument/2006/relationships/hyperlink" Target="https://techcombank.com/thong-tin/blog/thu-tuc-mua-xe-tra-gop" TargetMode="External"/><Relationship Id="rId1443" Type="http://schemas.openxmlformats.org/officeDocument/2006/relationships/hyperlink" Target="https://techcombank.com/thong-tin/blog/vay-100-trieu" TargetMode="External"/><Relationship Id="rId1477" Type="http://schemas.openxmlformats.org/officeDocument/2006/relationships/hyperlink" Target="https://techcombank.com/thong-tin/blog/vay-mua-dien-thoai" TargetMode="External"/><Relationship Id="rId2324" Type="http://schemas.openxmlformats.org/officeDocument/2006/relationships/hyperlink" Target="https://techcombank.com/thong-tin/blog/lai-suat-vay-tin-chap" TargetMode="External"/><Relationship Id="rId1478" Type="http://schemas.openxmlformats.org/officeDocument/2006/relationships/hyperlink" Target="https://techcombank.com/thong-tin/blog/vay-the-chap-hop-dong-mua-ban-can-ho" TargetMode="External"/><Relationship Id="rId2325" Type="http://schemas.openxmlformats.org/officeDocument/2006/relationships/hyperlink" Target="https://techcombank.com/thong-tin/blog/dieu-kien-vay-von-ngan-hang" TargetMode="External"/><Relationship Id="rId1479" Type="http://schemas.openxmlformats.org/officeDocument/2006/relationships/hyperlink" Target="https://techcombank.com/thong-tin/blog/dat-ve-may-bay" TargetMode="External"/><Relationship Id="rId2326" Type="http://schemas.openxmlformats.org/officeDocument/2006/relationships/hyperlink" Target="https://techcombank.com/thong-tin/blog/lai-suat-qua-han" TargetMode="External"/><Relationship Id="rId2327" Type="http://schemas.openxmlformats.org/officeDocument/2006/relationships/hyperlink" Target="https://techcombank.com/thong-tin/blog/lai-suat-vay-kinh-doanh" TargetMode="External"/><Relationship Id="rId2328" Type="http://schemas.openxmlformats.org/officeDocument/2006/relationships/hyperlink" Target="https://techcombank.com/thong-tin/blog/loi-nhuan" TargetMode="External"/><Relationship Id="rId2329" Type="http://schemas.openxmlformats.org/officeDocument/2006/relationships/hyperlink" Target="https://techcombank.com/thong-tin/blog/vay-tin-chap-va-vay-the-chap" TargetMode="External"/><Relationship Id="rId646" Type="http://schemas.openxmlformats.org/officeDocument/2006/relationships/hyperlink" Target="https://techcombank.com/thong-tin/blog/voucher-xanh-sm" TargetMode="External"/><Relationship Id="rId645" Type="http://schemas.openxmlformats.org/officeDocument/2006/relationships/hyperlink" Target="https://techcombank.com/thong-tin/blog/ngan-hang-so-cho-doanh-nghiep" TargetMode="External"/><Relationship Id="rId644" Type="http://schemas.openxmlformats.org/officeDocument/2006/relationships/hyperlink" Target="https://techcombank.com/thong-tin/blog/thuc-day-thi-truong-the-noi-dia-va-xu-huong-thanh-toan-tuong-lai" TargetMode="External"/><Relationship Id="rId643" Type="http://schemas.openxmlformats.org/officeDocument/2006/relationships/hyperlink" Target="https://techcombank.com/thong-tin/blog/dat-xe-xanh-sm" TargetMode="External"/><Relationship Id="rId649" Type="http://schemas.openxmlformats.org/officeDocument/2006/relationships/hyperlink" Target="https://techcombank.com/thong-tin/blog/xu-huong-tieu-dung" TargetMode="External"/><Relationship Id="rId648" Type="http://schemas.openxmlformats.org/officeDocument/2006/relationships/hyperlink" Target="https://techcombank.com/thong-tin/blog/phan-bo-tai-san" TargetMode="External"/><Relationship Id="rId647" Type="http://schemas.openxmlformats.org/officeDocument/2006/relationships/hyperlink" Target="https://techcombank.com/thong-tin/blog/bao-hiem-pin-xe-dien" TargetMode="External"/><Relationship Id="rId1470" Type="http://schemas.openxmlformats.org/officeDocument/2006/relationships/hyperlink" Target="https://techcombank.com/thong-tin/blog/co-100-trieu-co-mua-nen-mua-tra-gop" TargetMode="External"/><Relationship Id="rId1471" Type="http://schemas.openxmlformats.org/officeDocument/2006/relationships/hyperlink" Target="https://techcombank.com/thong-tin/blog/dang-vay-tra-gop-co-vay-them-duoc-khong" TargetMode="External"/><Relationship Id="rId1472" Type="http://schemas.openxmlformats.org/officeDocument/2006/relationships/hyperlink" Target="https://techcombank.com/thong-tin/blog/vay-the-chap-khong-chung-minh-thu-nhap" TargetMode="External"/><Relationship Id="rId642" Type="http://schemas.openxmlformats.org/officeDocument/2006/relationships/hyperlink" Target="https://techcombank.com/thong-tin/blog/mr-eco" TargetMode="External"/><Relationship Id="rId1473" Type="http://schemas.openxmlformats.org/officeDocument/2006/relationships/hyperlink" Target="https://techcombank.com/thong-tin/blog/bao-hiem-vat-chat-xe-o-to" TargetMode="External"/><Relationship Id="rId2320" Type="http://schemas.openxmlformats.org/officeDocument/2006/relationships/hyperlink" Target="https://techcombank.com/thong-tin/blog/vay-the-chap-hop-dong-mua-ban-can-ho" TargetMode="External"/><Relationship Id="rId641" Type="http://schemas.openxmlformats.org/officeDocument/2006/relationships/hyperlink" Target="https://techcombank.com/thong-tin/blog/chinh-sach-thue-moi" TargetMode="External"/><Relationship Id="rId1474" Type="http://schemas.openxmlformats.org/officeDocument/2006/relationships/hyperlink" Target="https://techcombank.com/thong-tin/blog/han-muc-tra-gop-the-tin-dung" TargetMode="External"/><Relationship Id="rId2321" Type="http://schemas.openxmlformats.org/officeDocument/2006/relationships/hyperlink" Target="https://techcombank.com/thong-tin/blog/vay-du-hoc" TargetMode="External"/><Relationship Id="rId640" Type="http://schemas.openxmlformats.org/officeDocument/2006/relationships/hyperlink" Target="https://techcombank.com/thong-tin/blog/cach-quan-ly-tai-san" TargetMode="External"/><Relationship Id="rId1475" Type="http://schemas.openxmlformats.org/officeDocument/2006/relationships/hyperlink" Target="https://techcombank.com/thong-tin/blog/vay-tra-gop" TargetMode="External"/><Relationship Id="rId2322" Type="http://schemas.openxmlformats.org/officeDocument/2006/relationships/hyperlink" Target="https://techcombank.com/thong-tin/blog/lai-suat-la-gi" TargetMode="External"/><Relationship Id="rId1476" Type="http://schemas.openxmlformats.org/officeDocument/2006/relationships/hyperlink" Target="https://techcombank.com/thong-tin/blog/vay-20-trieu" TargetMode="External"/><Relationship Id="rId2323" Type="http://schemas.openxmlformats.org/officeDocument/2006/relationships/hyperlink" Target="https://techcombank.com/thong-tin/blog/lai-suat-vay-tieu-dung" TargetMode="External"/><Relationship Id="rId1466" Type="http://schemas.openxmlformats.org/officeDocument/2006/relationships/hyperlink" Target="https://techcombank.com/thong-tin/blog/vay-the-chap-toi-da-duoc-bao-nhieu" TargetMode="External"/><Relationship Id="rId2313" Type="http://schemas.openxmlformats.org/officeDocument/2006/relationships/hyperlink" Target="https://techcombank.com/thong-tin/blog/vay-tin-chap-toi-da-duoc-bao-nhieu" TargetMode="External"/><Relationship Id="rId1467" Type="http://schemas.openxmlformats.org/officeDocument/2006/relationships/hyperlink" Target="https://techcombank.com/thong-tin/blog/dieu-kien-vay-the-chap" TargetMode="External"/><Relationship Id="rId2314" Type="http://schemas.openxmlformats.org/officeDocument/2006/relationships/hyperlink" Target="https://techcombank.com/thong-tin/blog/kinh-nghiem-vay-tien-ngan-hang-xay-nha" TargetMode="External"/><Relationship Id="rId1468" Type="http://schemas.openxmlformats.org/officeDocument/2006/relationships/hyperlink" Target="https://techcombank.com/thong-tin/blog/lai-suat-vay-mua-o-to" TargetMode="External"/><Relationship Id="rId2315" Type="http://schemas.openxmlformats.org/officeDocument/2006/relationships/hyperlink" Target="https://techcombank.com/thong-tin/blog/lai-suat-vay-ngan-hang" TargetMode="External"/><Relationship Id="rId1469" Type="http://schemas.openxmlformats.org/officeDocument/2006/relationships/hyperlink" Target="https://techcombank.com/thong-tin/blog/the-chap-la-gi" TargetMode="External"/><Relationship Id="rId2316" Type="http://schemas.openxmlformats.org/officeDocument/2006/relationships/hyperlink" Target="https://techcombank.com/thong-tin/blog/dang-vay-tra-gop-co-vay-them-duoc-khong" TargetMode="External"/><Relationship Id="rId2317" Type="http://schemas.openxmlformats.org/officeDocument/2006/relationships/hyperlink" Target="https://techcombank.com/thong-tin/blog/vay-tra-gop" TargetMode="External"/><Relationship Id="rId2318" Type="http://schemas.openxmlformats.org/officeDocument/2006/relationships/hyperlink" Target="https://techcombank.com/thong-tin/blog/quy-trinh-cho-vay-tieu-dung" TargetMode="External"/><Relationship Id="rId2319" Type="http://schemas.openxmlformats.org/officeDocument/2006/relationships/hyperlink" Target="https://techcombank.com/thong-tin/blog/kinh-nghiem-vay-tien-mua-nha" TargetMode="External"/><Relationship Id="rId635" Type="http://schemas.openxmlformats.org/officeDocument/2006/relationships/hyperlink" Target="https://techcombank.com/thong-tin/blog/tieu-dung-xanh" TargetMode="External"/><Relationship Id="rId634" Type="http://schemas.openxmlformats.org/officeDocument/2006/relationships/hyperlink" Target="https://techcombank.com/thong-tin/blog/the-ghi-no-visa-la-gi" TargetMode="External"/><Relationship Id="rId633" Type="http://schemas.openxmlformats.org/officeDocument/2006/relationships/hyperlink" Target="https://techcombank.com/thong-tin/blog/xu-huong-song-xanh" TargetMode="External"/><Relationship Id="rId632" Type="http://schemas.openxmlformats.org/officeDocument/2006/relationships/hyperlink" Target="https://techcombank.com/thong-tin/blog/san-pham-xanh" TargetMode="External"/><Relationship Id="rId639" Type="http://schemas.openxmlformats.org/officeDocument/2006/relationships/hyperlink" Target="https://techcombank.com/thong-tin/blog/luu-y-khi-chuyen-doi-tu-ho-kinh-doanh-len-doanh-nghiep" TargetMode="External"/><Relationship Id="rId638" Type="http://schemas.openxmlformats.org/officeDocument/2006/relationships/hyperlink" Target="https://techcombank.com/thong-tin/blog/loi-nhuan-rong" TargetMode="External"/><Relationship Id="rId637" Type="http://schemas.openxmlformats.org/officeDocument/2006/relationships/hyperlink" Target="https://techcombank.com/thong-tin/blog/tai-khoan-doanh-nghiep-co-the-khong" TargetMode="External"/><Relationship Id="rId636" Type="http://schemas.openxmlformats.org/officeDocument/2006/relationships/hyperlink" Target="https://techcombank.com/thong-tin/blog/tap-doan-thanh-quang-khoi-sac-kinh-doanh-nho-nguon-von-vay-tin-dung-techcombank-tren-nen-tang-misa-lending" TargetMode="External"/><Relationship Id="rId1460" Type="http://schemas.openxmlformats.org/officeDocument/2006/relationships/hyperlink" Target="https://techcombank.com/thong-tin/blog/tra-gop-qua-the-tin-dung" TargetMode="External"/><Relationship Id="rId1461" Type="http://schemas.openxmlformats.org/officeDocument/2006/relationships/hyperlink" Target="https://techcombank.com/thong-tin/blog/cach-su-dung-the-visa-techcombank" TargetMode="External"/><Relationship Id="rId631" Type="http://schemas.openxmlformats.org/officeDocument/2006/relationships/hyperlink" Target="https://techcombank.com/thong-tin/blog/dau-chan-carbon" TargetMode="External"/><Relationship Id="rId1462" Type="http://schemas.openxmlformats.org/officeDocument/2006/relationships/hyperlink" Target="https://techcombank.com/thong-tin/blog/no-xau-co-vay-the-chap-duoc-khong" TargetMode="External"/><Relationship Id="rId630" Type="http://schemas.openxmlformats.org/officeDocument/2006/relationships/hyperlink" Target="https://techcombank.com/thong-tin/blog/app-vay-tien-nhanh" TargetMode="External"/><Relationship Id="rId1463" Type="http://schemas.openxmlformats.org/officeDocument/2006/relationships/hyperlink" Target="https://techcombank.com/thong-tin/blog/han-muc-vay-the-chap-so-do" TargetMode="External"/><Relationship Id="rId2310" Type="http://schemas.openxmlformats.org/officeDocument/2006/relationships/hyperlink" Target="https://techcombank.com/thong-tin/blog/vay-kinh-doanh-online" TargetMode="External"/><Relationship Id="rId1464" Type="http://schemas.openxmlformats.org/officeDocument/2006/relationships/hyperlink" Target="https://techcombank.com/thong-tin/blog/mua-nha-tra-gop-dua-truoc-100-trieu" TargetMode="External"/><Relationship Id="rId2311" Type="http://schemas.openxmlformats.org/officeDocument/2006/relationships/hyperlink" Target="https://techcombank.com/thong-tin/blog/vay-the-chap-qua-luong" TargetMode="External"/><Relationship Id="rId1465" Type="http://schemas.openxmlformats.org/officeDocument/2006/relationships/hyperlink" Target="https://techcombank.com/thong-tin/blog/phi-vay-the-chap" TargetMode="External"/><Relationship Id="rId2312" Type="http://schemas.openxmlformats.org/officeDocument/2006/relationships/hyperlink" Target="https://techcombank.com/thong-tin/blog/vay-tien-mat" TargetMode="External"/><Relationship Id="rId1411" Type="http://schemas.openxmlformats.org/officeDocument/2006/relationships/hyperlink" Target="https://techcombank.com/thong-tin/blog/1-euro-bang-bao-nhieu-tien-viet" TargetMode="External"/><Relationship Id="rId1895" Type="http://schemas.openxmlformats.org/officeDocument/2006/relationships/hyperlink" Target="https://techcombank.com/thong-tin/blog/vay-the-chap-qua-luong" TargetMode="External"/><Relationship Id="rId1412" Type="http://schemas.openxmlformats.org/officeDocument/2006/relationships/hyperlink" Target="https://techcombank.com/thong-tin/blog/1-do-uc-bang-bao-nhieu-tien-viet" TargetMode="External"/><Relationship Id="rId1896" Type="http://schemas.openxmlformats.org/officeDocument/2006/relationships/hyperlink" Target="https://techcombank.com/thong-tin/blog/lai-suat-vay-the-chap-so-do" TargetMode="External"/><Relationship Id="rId1413" Type="http://schemas.openxmlformats.org/officeDocument/2006/relationships/hyperlink" Target="https://techcombank.com/thong-tin/blog/ty-gia-la-gi" TargetMode="External"/><Relationship Id="rId1897" Type="http://schemas.openxmlformats.org/officeDocument/2006/relationships/hyperlink" Target="https://techcombank.com/thong-tin/blog/tat-toan-chung-chi-tien-gui" TargetMode="External"/><Relationship Id="rId1414" Type="http://schemas.openxmlformats.org/officeDocument/2006/relationships/hyperlink" Target="https://techcombank.com/thong-tin/blog/ty-gia-hoi-doai-la-gi" TargetMode="External"/><Relationship Id="rId1898" Type="http://schemas.openxmlformats.org/officeDocument/2006/relationships/hyperlink" Target="https://techcombank.com/thong-tin/blog/nen-mua-xe-tra-gop-hay-tra-thang" TargetMode="External"/><Relationship Id="rId1415" Type="http://schemas.openxmlformats.org/officeDocument/2006/relationships/hyperlink" Target="https://techcombank.com/thong-tin/blog/co-nen-vay-ngan-hang-mua-nha" TargetMode="External"/><Relationship Id="rId1899" Type="http://schemas.openxmlformats.org/officeDocument/2006/relationships/hyperlink" Target="https://techcombank.com/thong-tin/blog/vay-the-chap-so-hong" TargetMode="External"/><Relationship Id="rId1416" Type="http://schemas.openxmlformats.org/officeDocument/2006/relationships/hyperlink" Target="https://techcombank.com/thong-tin/blog/thu-tuc-vay-ngan-hang-mua-nha" TargetMode="External"/><Relationship Id="rId1417" Type="http://schemas.openxmlformats.org/officeDocument/2006/relationships/hyperlink" Target="https://techcombank.com/thong-tin/blog/kinh-nghiem-vay-tien-mua-nha" TargetMode="External"/><Relationship Id="rId1418" Type="http://schemas.openxmlformats.org/officeDocument/2006/relationships/hyperlink" Target="https://techcombank.com/thong-tin/blog/vay-mua-chung-cu" TargetMode="External"/><Relationship Id="rId1419" Type="http://schemas.openxmlformats.org/officeDocument/2006/relationships/hyperlink" Target="https://techcombank.com/thong-tin/blog/lai-suat-vay-the-chap" TargetMode="External"/><Relationship Id="rId1890" Type="http://schemas.openxmlformats.org/officeDocument/2006/relationships/hyperlink" Target="https://techcombank.com/thong-tin/blog/rui-ro-khi-vay-the-chap-ngan-hang" TargetMode="External"/><Relationship Id="rId1891" Type="http://schemas.openxmlformats.org/officeDocument/2006/relationships/hyperlink" Target="https://techcombank.com/thong-tin/blog/vay-tin-chap-va-vay-the-chap" TargetMode="External"/><Relationship Id="rId1892" Type="http://schemas.openxmlformats.org/officeDocument/2006/relationships/hyperlink" Target="https://techcombank.com/thong-tin/blog/lai-suat-vay-the-chap" TargetMode="External"/><Relationship Id="rId1893" Type="http://schemas.openxmlformats.org/officeDocument/2006/relationships/hyperlink" Target="https://techcombank.com/thong-tin/blog/kinh-nghiem-vay-the-chap-ngan-hang" TargetMode="External"/><Relationship Id="rId1410" Type="http://schemas.openxmlformats.org/officeDocument/2006/relationships/hyperlink" Target="https://techcombank.com/thong-tin/blog/bien-dong-ty-gia-voi-doanh-nghiep-sme" TargetMode="External"/><Relationship Id="rId1894" Type="http://schemas.openxmlformats.org/officeDocument/2006/relationships/hyperlink" Target="https://techcombank.com/thong-tin/blog/vay-the-chap-xe-o-to-cu" TargetMode="External"/><Relationship Id="rId1400" Type="http://schemas.openxmlformats.org/officeDocument/2006/relationships/hyperlink" Target="https://techcombank.com/thong-tin/blog/1000-yen-bang-bao-nhieu-tien-viet" TargetMode="External"/><Relationship Id="rId1884" Type="http://schemas.openxmlformats.org/officeDocument/2006/relationships/hyperlink" Target="https://techcombank.com/thong-tin/blog/vay-san-xuat-kinh-doanh" TargetMode="External"/><Relationship Id="rId1401" Type="http://schemas.openxmlformats.org/officeDocument/2006/relationships/hyperlink" Target="https://techcombank.com/thong-tin/blog/xu-huong-ty-gia-usd" TargetMode="External"/><Relationship Id="rId1885" Type="http://schemas.openxmlformats.org/officeDocument/2006/relationships/hyperlink" Target="https://techcombank.com/thong-tin/blog/vay-the-chap-kinh-doanh" TargetMode="External"/><Relationship Id="rId1402" Type="http://schemas.openxmlformats.org/officeDocument/2006/relationships/hyperlink" Target="https://techcombank.com/thong-tin/blog/vnd-to-myr" TargetMode="External"/><Relationship Id="rId1886" Type="http://schemas.openxmlformats.org/officeDocument/2006/relationships/hyperlink" Target="https://techcombank.com/thong-tin/blog/vay-the-chap-so-bao-hiem-xa-hoi" TargetMode="External"/><Relationship Id="rId1403" Type="http://schemas.openxmlformats.org/officeDocument/2006/relationships/hyperlink" Target="https://techcombank.com/thong-tin/blog/1-van-tien-dai-loan-bang-bao-nhieu-tien-viet" TargetMode="External"/><Relationship Id="rId1887" Type="http://schemas.openxmlformats.org/officeDocument/2006/relationships/hyperlink" Target="https://techcombank.com/thong-tin/blog/nen-vay-the-chap-ngan-hang-nao" TargetMode="External"/><Relationship Id="rId1404" Type="http://schemas.openxmlformats.org/officeDocument/2006/relationships/hyperlink" Target="https://techcombank.com/thong-tin/blog/1-dong-do-la-my-bang-bao-nhieu-tien-viet-nam" TargetMode="External"/><Relationship Id="rId1888" Type="http://schemas.openxmlformats.org/officeDocument/2006/relationships/hyperlink" Target="https://techcombank.com/thong-tin/blog/vay-the-chap-la-gi" TargetMode="External"/><Relationship Id="rId1405" Type="http://schemas.openxmlformats.org/officeDocument/2006/relationships/hyperlink" Target="https://techcombank.com/thong-tin/blog/1-won-bang-bao-nhieu-tien-viet" TargetMode="External"/><Relationship Id="rId1889" Type="http://schemas.openxmlformats.org/officeDocument/2006/relationships/hyperlink" Target="https://techcombank.com/thong-tin/blog/tat-toan-so-tiet-kiem" TargetMode="External"/><Relationship Id="rId1406" Type="http://schemas.openxmlformats.org/officeDocument/2006/relationships/hyperlink" Target="https://techcombank.com/thong-tin/blog/1-trieu-won-bang-bao-nhieu-tien-viet" TargetMode="External"/><Relationship Id="rId1407" Type="http://schemas.openxmlformats.org/officeDocument/2006/relationships/hyperlink" Target="https://techcombank.com/thong-tin/blog/1-te-bang-bao-nhieu-tien-viet-nam" TargetMode="External"/><Relationship Id="rId1408" Type="http://schemas.openxmlformats.org/officeDocument/2006/relationships/hyperlink" Target="https://techcombank.com/thong-tin/blog/1-yen-bang-bao-nhieu-tien-viet-nam" TargetMode="External"/><Relationship Id="rId1409" Type="http://schemas.openxmlformats.org/officeDocument/2006/relationships/hyperlink" Target="https://techcombank.com/thong-tin/blog/cach-tinh-ty-gia-ky-han" TargetMode="External"/><Relationship Id="rId1880" Type="http://schemas.openxmlformats.org/officeDocument/2006/relationships/hyperlink" Target="https://techcombank.com/thong-tin/blog/vay-von-doanh-nghiep-khong-the-chap" TargetMode="External"/><Relationship Id="rId1881" Type="http://schemas.openxmlformats.org/officeDocument/2006/relationships/hyperlink" Target="https://techcombank.com/thong-tin/blog/vay-ngan-han" TargetMode="External"/><Relationship Id="rId1882" Type="http://schemas.openxmlformats.org/officeDocument/2006/relationships/hyperlink" Target="https://techcombank.com/thong-tin/blog/thu-tuc-vay-von-kinh-doanh-nho" TargetMode="External"/><Relationship Id="rId1883" Type="http://schemas.openxmlformats.org/officeDocument/2006/relationships/hyperlink" Target="https://techcombank.com/thong-tin/blog/cac-hinh-thuc-vay-von-ngan-hang" TargetMode="External"/><Relationship Id="rId1433" Type="http://schemas.openxmlformats.org/officeDocument/2006/relationships/hyperlink" Target="https://techcombank.com/thong-tin/blog/vay-tin-chap-va-vay-the-chap" TargetMode="External"/><Relationship Id="rId1434" Type="http://schemas.openxmlformats.org/officeDocument/2006/relationships/hyperlink" Target="https://techcombank.com/thong-tin/blog/kinh-nghiem-vay-the-chap-ngan-hang" TargetMode="External"/><Relationship Id="rId1435" Type="http://schemas.openxmlformats.org/officeDocument/2006/relationships/hyperlink" Target="https://techcombank.com/thong-tin/blog/vay-mua-xe-tra-gop-ngan-hang-nao-tot-nhat" TargetMode="External"/><Relationship Id="rId1436" Type="http://schemas.openxmlformats.org/officeDocument/2006/relationships/hyperlink" Target="https://techcombank.com/thong-tin/blog/chuyen-gia-du-doan-gia-bat-dong-san-2025-va-cac-no-luc-tu-ngan-hang" TargetMode="External"/><Relationship Id="rId1437" Type="http://schemas.openxmlformats.org/officeDocument/2006/relationships/hyperlink" Target="https://techcombank.com/thong-tin/blog/vay-mua-nha-tra-gop" TargetMode="External"/><Relationship Id="rId1438" Type="http://schemas.openxmlformats.org/officeDocument/2006/relationships/hyperlink" Target="https://techcombank.com/thong-tin/blog/quy-trinh-tat-toan-khoan-vay-the-chap" TargetMode="External"/><Relationship Id="rId1439" Type="http://schemas.openxmlformats.org/officeDocument/2006/relationships/hyperlink" Target="https://techcombank.com/thong-tin/blog/vay-the-chap-xe-o-to-cu" TargetMode="External"/><Relationship Id="rId609" Type="http://schemas.openxmlformats.org/officeDocument/2006/relationships/hyperlink" Target="https://techcombank.com/thong-tin/blog/rut-tien-mat-tu-the-tin-dung" TargetMode="External"/><Relationship Id="rId608" Type="http://schemas.openxmlformats.org/officeDocument/2006/relationships/hyperlink" Target="https://techcombank.com/thong-tin/blog/so-du-tien-gui-la-gi" TargetMode="External"/><Relationship Id="rId607" Type="http://schemas.openxmlformats.org/officeDocument/2006/relationships/hyperlink" Target="https://techcombank.com/thong-tin/blog/chuyen-doi-the-atm" TargetMode="External"/><Relationship Id="rId602" Type="http://schemas.openxmlformats.org/officeDocument/2006/relationships/hyperlink" Target="https://techcombank.com/thong-tin/blog/cach-kich-hoat-the-atm" TargetMode="External"/><Relationship Id="rId601" Type="http://schemas.openxmlformats.org/officeDocument/2006/relationships/hyperlink" Target="https://techcombank.com/thong-tin/blog/1-nguoi-co-the-lam-duoc-bao-nhieu-the-atm" TargetMode="External"/><Relationship Id="rId600" Type="http://schemas.openxmlformats.org/officeDocument/2006/relationships/hyperlink" Target="https://techcombank.com/thong-tin/blog/cach-su-dung-the-tin-dung" TargetMode="External"/><Relationship Id="rId606" Type="http://schemas.openxmlformats.org/officeDocument/2006/relationships/hyperlink" Target="https://techcombank.com/thong-tin/blog/1-cmnd-dang-ky-duoc-may-tai-khoan-ngan-hang" TargetMode="External"/><Relationship Id="rId605" Type="http://schemas.openxmlformats.org/officeDocument/2006/relationships/hyperlink" Target="https://techcombank.com/thong-tin/blog/atm-la-gi" TargetMode="External"/><Relationship Id="rId604" Type="http://schemas.openxmlformats.org/officeDocument/2006/relationships/hyperlink" Target="https://techcombank.com/thong-tin/blog/cach-su-dung-the-visa-techcombank" TargetMode="External"/><Relationship Id="rId603" Type="http://schemas.openxmlformats.org/officeDocument/2006/relationships/hyperlink" Target="https://techcombank.com/thong-tin/blog/rut-tien-bao-hiem-nhan-tho-khi-het-han" TargetMode="External"/><Relationship Id="rId1430" Type="http://schemas.openxmlformats.org/officeDocument/2006/relationships/hyperlink" Target="https://techcombank.com/thong-tin/blog/vay-the-chap-la-gi" TargetMode="External"/><Relationship Id="rId1431" Type="http://schemas.openxmlformats.org/officeDocument/2006/relationships/hyperlink" Target="https://techcombank.com/thong-tin/blog/the-visa-de-lam-gi" TargetMode="External"/><Relationship Id="rId1432" Type="http://schemas.openxmlformats.org/officeDocument/2006/relationships/hyperlink" Target="https://techcombank.com/thong-tin/blog/rui-ro-khi-vay-the-chap-ngan-hang" TargetMode="External"/><Relationship Id="rId1422" Type="http://schemas.openxmlformats.org/officeDocument/2006/relationships/hyperlink" Target="https://techcombank.com/thong-tin/blog/vay-the-chap-kinh-doanh" TargetMode="External"/><Relationship Id="rId1423" Type="http://schemas.openxmlformats.org/officeDocument/2006/relationships/hyperlink" Target="https://techcombank.com/thong-tin/blog/co-nen-mua-o-to-tra-gop" TargetMode="External"/><Relationship Id="rId1424" Type="http://schemas.openxmlformats.org/officeDocument/2006/relationships/hyperlink" Target="https://techcombank.com/thong-tin/blog/vay-the-chap-khong-tra-duoc" TargetMode="External"/><Relationship Id="rId1425" Type="http://schemas.openxmlformats.org/officeDocument/2006/relationships/hyperlink" Target="https://techcombank.com/thong-tin/blog/vay-the-chap-so-bao-hiem-xa-hoi" TargetMode="External"/><Relationship Id="rId1426" Type="http://schemas.openxmlformats.org/officeDocument/2006/relationships/hyperlink" Target="https://techcombank.com/thong-tin/blog/vay-300-trieu" TargetMode="External"/><Relationship Id="rId1427" Type="http://schemas.openxmlformats.org/officeDocument/2006/relationships/hyperlink" Target="https://techcombank.com/thong-tin/blog/thanh-toan-phi-quan-ly-chung-cu" TargetMode="External"/><Relationship Id="rId1428" Type="http://schemas.openxmlformats.org/officeDocument/2006/relationships/hyperlink" Target="https://techcombank.com/thong-tin/blog/nen-vay-the-chap-ngan-hang-nao" TargetMode="External"/><Relationship Id="rId1429" Type="http://schemas.openxmlformats.org/officeDocument/2006/relationships/hyperlink" Target="https://techcombank.com/thong-tin/blog/mua-truoc-tra-sau" TargetMode="External"/><Relationship Id="rId1420" Type="http://schemas.openxmlformats.org/officeDocument/2006/relationships/hyperlink" Target="https://techcombank.com/thong-tin/blog/thu-tuc-vay-von-kinh-doanh-nho" TargetMode="External"/><Relationship Id="rId1421" Type="http://schemas.openxmlformats.org/officeDocument/2006/relationships/hyperlink" Target="https://techcombank.com/thong-tin/blog/cac-hinh-thuc-vay-von-ngan-hang" TargetMode="External"/><Relationship Id="rId1059" Type="http://schemas.openxmlformats.org/officeDocument/2006/relationships/hyperlink" Target="https://techcombank.com/thong-tin/blog/lich-su-tin-dung" TargetMode="External"/><Relationship Id="rId228" Type="http://schemas.openxmlformats.org/officeDocument/2006/relationships/hyperlink" Target="https://techcombank.com/thong-tin/blog/so-6868" TargetMode="External"/><Relationship Id="rId227" Type="http://schemas.openxmlformats.org/officeDocument/2006/relationships/hyperlink" Target="https://techcombank.com/thong-tin/blog/so-du-tien-gui-la-gi" TargetMode="External"/><Relationship Id="rId226" Type="http://schemas.openxmlformats.org/officeDocument/2006/relationships/hyperlink" Target="https://techcombank.com/thong-tin/blog/so-du-tai-khoan-thanh-toan" TargetMode="External"/><Relationship Id="rId225" Type="http://schemas.openxmlformats.org/officeDocument/2006/relationships/hyperlink" Target="https://techcombank.com/thong-tin/blog/99999-co-y-nghia-gi" TargetMode="External"/><Relationship Id="rId2380" Type="http://schemas.openxmlformats.org/officeDocument/2006/relationships/hyperlink" Target="https://techcombank.com/thong-tin/blog/vay-200-trieu" TargetMode="External"/><Relationship Id="rId229" Type="http://schemas.openxmlformats.org/officeDocument/2006/relationships/hyperlink" Target="https://techcombank.com/thong-tin/blog/y-nghia-so-68" TargetMode="External"/><Relationship Id="rId1050" Type="http://schemas.openxmlformats.org/officeDocument/2006/relationships/hyperlink" Target="https://techcombank.com/thong-tin/blog/so-luong-the-tin-dung-noi-dia-dang-luu-hanh-da-tang-42-so-voi-cung-ky-nam-2022" TargetMode="External"/><Relationship Id="rId2381" Type="http://schemas.openxmlformats.org/officeDocument/2006/relationships/hyperlink" Target="https://techcombank.com/thong-tin/blog/kinh-nghiem-vay-tien-ngan-hang-xay-nha" TargetMode="External"/><Relationship Id="rId220" Type="http://schemas.openxmlformats.org/officeDocument/2006/relationships/hyperlink" Target="https://techcombank.com/thong-tin/blog/day-so-phat-tai-phat-loc" TargetMode="External"/><Relationship Id="rId1051" Type="http://schemas.openxmlformats.org/officeDocument/2006/relationships/hyperlink" Target="https://techcombank.com/thong-tin/blog/no-xau-nhom-2" TargetMode="External"/><Relationship Id="rId2382" Type="http://schemas.openxmlformats.org/officeDocument/2006/relationships/hyperlink" Target="https://techcombank.com/thong-tin/blog/vay-tien-online" TargetMode="External"/><Relationship Id="rId1052" Type="http://schemas.openxmlformats.org/officeDocument/2006/relationships/hyperlink" Target="https://techcombank.com/thong-tin/blog/the-ghi-no-visa-la-gi" TargetMode="External"/><Relationship Id="rId2383" Type="http://schemas.openxmlformats.org/officeDocument/2006/relationships/hyperlink" Target="https://techcombank.com/thong-tin/blog/vay-tin-chap-no-xau" TargetMode="External"/><Relationship Id="rId1053" Type="http://schemas.openxmlformats.org/officeDocument/2006/relationships/hyperlink" Target="https://techcombank.com/thong-tin/blog/uu-dai-mua-iphone-18" TargetMode="External"/><Relationship Id="rId2384" Type="http://schemas.openxmlformats.org/officeDocument/2006/relationships/hyperlink" Target="https://techcombank.com/thong-tin/blog/lai-suat-vay-ngan-hang" TargetMode="External"/><Relationship Id="rId1054" Type="http://schemas.openxmlformats.org/officeDocument/2006/relationships/hyperlink" Target="https://techcombank.com/thong-tin/blog/so-the-tin-dung" TargetMode="External"/><Relationship Id="rId2385" Type="http://schemas.openxmlformats.org/officeDocument/2006/relationships/hyperlink" Target="https://techcombank.com/thong-tin/blog/cac-hinh-thuc-cho-vay-tieu-dung" TargetMode="External"/><Relationship Id="rId224" Type="http://schemas.openxmlformats.org/officeDocument/2006/relationships/hyperlink" Target="https://techcombank.com/thong-tin/blog/so-tai-khoan-dep" TargetMode="External"/><Relationship Id="rId1055" Type="http://schemas.openxmlformats.org/officeDocument/2006/relationships/hyperlink" Target="https://techcombank.com/thong-tin/blog/han-muc-tra-gop-the-tin-dung" TargetMode="External"/><Relationship Id="rId2386" Type="http://schemas.openxmlformats.org/officeDocument/2006/relationships/hyperlink" Target="https://techcombank.com/thong-tin/blog/dang-vay-tra-gop-co-vay-them-duoc-khong" TargetMode="External"/><Relationship Id="rId223" Type="http://schemas.openxmlformats.org/officeDocument/2006/relationships/hyperlink" Target="https://techcombank.com/thong-tin/blog/so-the-ngan-hang" TargetMode="External"/><Relationship Id="rId1056" Type="http://schemas.openxmlformats.org/officeDocument/2006/relationships/hyperlink" Target="https://techcombank.com/thong-tin/blog/the-tin-dung-hoan-tien" TargetMode="External"/><Relationship Id="rId2387" Type="http://schemas.openxmlformats.org/officeDocument/2006/relationships/hyperlink" Target="https://techcombank.com/thong-tin/blog/app-vay-tien-nhanh" TargetMode="External"/><Relationship Id="rId222" Type="http://schemas.openxmlformats.org/officeDocument/2006/relationships/hyperlink" Target="https://techcombank.com/thong-tin/blog/so-8386" TargetMode="External"/><Relationship Id="rId1057" Type="http://schemas.openxmlformats.org/officeDocument/2006/relationships/hyperlink" Target="https://techcombank.com/thong-tin/blog/sang-ngang-the-tin-dung" TargetMode="External"/><Relationship Id="rId2388" Type="http://schemas.openxmlformats.org/officeDocument/2006/relationships/hyperlink" Target="https://techcombank.com/thong-tin/blog/vay-tra-gop" TargetMode="External"/><Relationship Id="rId221" Type="http://schemas.openxmlformats.org/officeDocument/2006/relationships/hyperlink" Target="https://techcombank.com/thong-tin/blog/66666-co-y-nghia-gi" TargetMode="External"/><Relationship Id="rId1058" Type="http://schemas.openxmlformats.org/officeDocument/2006/relationships/hyperlink" Target="https://techcombank.com/thong-tin/blog/tai-khoan-ngan-hang-la-gi" TargetMode="External"/><Relationship Id="rId2389" Type="http://schemas.openxmlformats.org/officeDocument/2006/relationships/hyperlink" Target="https://techcombank.com/thong-tin/blog/quy-trinh-cho-vay-tieu-dung" TargetMode="External"/><Relationship Id="rId1048" Type="http://schemas.openxmlformats.org/officeDocument/2006/relationships/hyperlink" Target="https://techcombank.com/thong-tin/blog/the-tin-dung-phu-la-gi" TargetMode="External"/><Relationship Id="rId2379" Type="http://schemas.openxmlformats.org/officeDocument/2006/relationships/hyperlink" Target="https://techcombank.com/thong-tin/blog/vay-tien-mat" TargetMode="External"/><Relationship Id="rId1049" Type="http://schemas.openxmlformats.org/officeDocument/2006/relationships/hyperlink" Target="https://techcombank.com/thong-tin/blog/rut-tien-mat-tu-the-tin-dung" TargetMode="External"/><Relationship Id="rId217" Type="http://schemas.openxmlformats.org/officeDocument/2006/relationships/hyperlink" Target="https://techcombank.com/thong-tin/blog/lo-so-tai-khoan-ngan-hang-co-sao-khong" TargetMode="External"/><Relationship Id="rId216" Type="http://schemas.openxmlformats.org/officeDocument/2006/relationships/hyperlink" Target="https://techcombank.com/thong-tin/blog/cdm" TargetMode="External"/><Relationship Id="rId215" Type="http://schemas.openxmlformats.org/officeDocument/2006/relationships/hyperlink" Target="https://techcombank.com/thong-tin/blog/co-nen-mua-so-tai-khoan-ngan-hang-dep" TargetMode="External"/><Relationship Id="rId699" Type="http://schemas.openxmlformats.org/officeDocument/2006/relationships/hyperlink" Target="https://techcombank.com/thong-tin/blog/the-visa-co-rut-tien-duoc-khong" TargetMode="External"/><Relationship Id="rId214" Type="http://schemas.openxmlformats.org/officeDocument/2006/relationships/hyperlink" Target="https://techcombank.com/thong-tin/blog/cach-kiem-tra-tai-khoan-ngan-hang-cua-cong-ty" TargetMode="External"/><Relationship Id="rId698" Type="http://schemas.openxmlformats.org/officeDocument/2006/relationships/hyperlink" Target="https://techcombank.com/thong-tin/blog/phi-rut-tien-mat-the-tin-dung" TargetMode="External"/><Relationship Id="rId219" Type="http://schemas.openxmlformats.org/officeDocument/2006/relationships/hyperlink" Target="https://techcombank.com/thong-tin/blog/8868" TargetMode="External"/><Relationship Id="rId218" Type="http://schemas.openxmlformats.org/officeDocument/2006/relationships/hyperlink" Target="https://techcombank.com/thong-tin/blog/cach-chon-so-tai-khoan-dep" TargetMode="External"/><Relationship Id="rId2370" Type="http://schemas.openxmlformats.org/officeDocument/2006/relationships/hyperlink" Target="https://techcombank.com/thong-tin/blog/thu-tuc-vay-von-kinh-doanh-nho" TargetMode="External"/><Relationship Id="rId693" Type="http://schemas.openxmlformats.org/officeDocument/2006/relationships/hyperlink" Target="https://techcombank.com/thong-tin/blog/luu-y-khi-su-dung-the-tin-dung" TargetMode="External"/><Relationship Id="rId1040" Type="http://schemas.openxmlformats.org/officeDocument/2006/relationships/hyperlink" Target="https://techcombank.com/thong-tin/blog/no-xau-mo-the-tin-dung-duoc-khong" TargetMode="External"/><Relationship Id="rId2371" Type="http://schemas.openxmlformats.org/officeDocument/2006/relationships/hyperlink" Target="https://techcombank.com/thong-tin/blog/cac-hinh-thuc-vay-von-ngan-hang" TargetMode="External"/><Relationship Id="rId692" Type="http://schemas.openxmlformats.org/officeDocument/2006/relationships/hyperlink" Target="https://techcombank.com/thong-tin/blog/no-the-tin-dung-qua-han" TargetMode="External"/><Relationship Id="rId1041" Type="http://schemas.openxmlformats.org/officeDocument/2006/relationships/hyperlink" Target="https://techcombank.com/thong-tin/blog/no-the-tin-dung-qua-han" TargetMode="External"/><Relationship Id="rId2372" Type="http://schemas.openxmlformats.org/officeDocument/2006/relationships/hyperlink" Target="https://techcombank.com/thong-tin/blog/vay-san-xuat-kinh-doanh" TargetMode="External"/><Relationship Id="rId691" Type="http://schemas.openxmlformats.org/officeDocument/2006/relationships/hyperlink" Target="https://techcombank.com/thong-tin/blog/no-xau-mo-the-tin-dung-duoc-khong" TargetMode="External"/><Relationship Id="rId1042" Type="http://schemas.openxmlformats.org/officeDocument/2006/relationships/hyperlink" Target="https://techcombank.com/thong-tin/blog/mo-the-tin-dung-chi-can-cccd" TargetMode="External"/><Relationship Id="rId2373" Type="http://schemas.openxmlformats.org/officeDocument/2006/relationships/hyperlink" Target="https://techcombank.com/thong-tin/blog/tin-chap-doanh-nghiep" TargetMode="External"/><Relationship Id="rId690" Type="http://schemas.openxmlformats.org/officeDocument/2006/relationships/hyperlink" Target="https://techcombank.com/thong-tin/blog/the-tin-dung-bi-khoa" TargetMode="External"/><Relationship Id="rId1043" Type="http://schemas.openxmlformats.org/officeDocument/2006/relationships/hyperlink" Target="https://techcombank.com/thong-tin/blog/luu-y-khi-su-dung-the-tin-dung" TargetMode="External"/><Relationship Id="rId2374" Type="http://schemas.openxmlformats.org/officeDocument/2006/relationships/hyperlink" Target="https://techcombank.com/thong-tin/blog/cho-vay-tieu-dung-la-gi" TargetMode="External"/><Relationship Id="rId213" Type="http://schemas.openxmlformats.org/officeDocument/2006/relationships/hyperlink" Target="https://techcombank.com/thong-tin/blog/sms-banking" TargetMode="External"/><Relationship Id="rId697" Type="http://schemas.openxmlformats.org/officeDocument/2006/relationships/hyperlink" Target="https://techcombank.com/thong-tin/blog/dieu-kien-vay-the-chap" TargetMode="External"/><Relationship Id="rId1044" Type="http://schemas.openxmlformats.org/officeDocument/2006/relationships/hyperlink" Target="https://techcombank.com/thong-tin/blog/thoi-gian-hoan-tien-the-tin-dung" TargetMode="External"/><Relationship Id="rId2375" Type="http://schemas.openxmlformats.org/officeDocument/2006/relationships/hyperlink" Target="https://techcombank.com/thong-tin/blog/vay-the-chap-qua-luong" TargetMode="External"/><Relationship Id="rId212" Type="http://schemas.openxmlformats.org/officeDocument/2006/relationships/hyperlink" Target="https://techcombank.com/thong-tin/blog/ma-giao-dich-la-gi" TargetMode="External"/><Relationship Id="rId696" Type="http://schemas.openxmlformats.org/officeDocument/2006/relationships/hyperlink" Target="https://techcombank.com/thong-tin/blog/vay-tin-chap-no-xau" TargetMode="External"/><Relationship Id="rId1045" Type="http://schemas.openxmlformats.org/officeDocument/2006/relationships/hyperlink" Target="https://techcombank.com/thong-tin/blog/mat-the-tin-dung-co-lam-lai-duoc-khong" TargetMode="External"/><Relationship Id="rId2376" Type="http://schemas.openxmlformats.org/officeDocument/2006/relationships/hyperlink" Target="https://techcombank.com/thong-tin/blog/vay-ngan-hang-chi-can-cccd" TargetMode="External"/><Relationship Id="rId211" Type="http://schemas.openxmlformats.org/officeDocument/2006/relationships/hyperlink" Target="https://techcombank.com/thong-tin/blog/so-du-kha-dung" TargetMode="External"/><Relationship Id="rId695" Type="http://schemas.openxmlformats.org/officeDocument/2006/relationships/hyperlink" Target="https://techcombank.com/thong-tin/blog/han-muc-vay-the-chap-so-do" TargetMode="External"/><Relationship Id="rId1046" Type="http://schemas.openxmlformats.org/officeDocument/2006/relationships/hyperlink" Target="https://techcombank.com/thong-tin/blog/mo-the-tin-dung-khong-can-chung-minh-thu-nhap" TargetMode="External"/><Relationship Id="rId2377" Type="http://schemas.openxmlformats.org/officeDocument/2006/relationships/hyperlink" Target="https://techcombank.com/thong-tin/blog/nhu-cau-vay-tieu-dung-cua-nguoi-viet-du-kien-tang-manh-trong-thoi-gian-toi" TargetMode="External"/><Relationship Id="rId210" Type="http://schemas.openxmlformats.org/officeDocument/2006/relationships/hyperlink" Target="https://techcombank.com/thong-tin/blog/so-tai-khoan-ngan-hang" TargetMode="External"/><Relationship Id="rId694" Type="http://schemas.openxmlformats.org/officeDocument/2006/relationships/hyperlink" Target="https://techcombank.com/thong-tin/blog/no-xau-co-vay-the-chap-duoc-khong" TargetMode="External"/><Relationship Id="rId1047" Type="http://schemas.openxmlformats.org/officeDocument/2006/relationships/hyperlink" Target="https://techcombank.com/thong-tin/blog/the-tin-dung-vip" TargetMode="External"/><Relationship Id="rId2378" Type="http://schemas.openxmlformats.org/officeDocument/2006/relationships/hyperlink" Target="https://techcombank.com/thong-tin/blog/lai-suat-vay-tieu-dung" TargetMode="External"/><Relationship Id="rId249" Type="http://schemas.openxmlformats.org/officeDocument/2006/relationships/hyperlink" Target="https://techcombank.com/thong-tin/blog/cach-doi-mat-khau-tai-khoan-ngan-hang" TargetMode="External"/><Relationship Id="rId248" Type="http://schemas.openxmlformats.org/officeDocument/2006/relationships/hyperlink" Target="https://techcombank.com/thong-tin/blog/nap-tien-vao-tai-khoan-ngan-hang" TargetMode="External"/><Relationship Id="rId247" Type="http://schemas.openxmlformats.org/officeDocument/2006/relationships/hyperlink" Target="https://techcombank.com/thong-tin/blog/techcombank-sinh-loi-tu-dong" TargetMode="External"/><Relationship Id="rId1070" Type="http://schemas.openxmlformats.org/officeDocument/2006/relationships/hyperlink" Target="https://techcombank.com/thong-tin/blog/no-xau-la-gi" TargetMode="External"/><Relationship Id="rId1071" Type="http://schemas.openxmlformats.org/officeDocument/2006/relationships/hyperlink" Target="https://techcombank.com/thong-tin/blog/han-muc-thau-chi-la-gi" TargetMode="External"/><Relationship Id="rId1072" Type="http://schemas.openxmlformats.org/officeDocument/2006/relationships/hyperlink" Target="https://techcombank.com/thong-tin/blog/qua-han-thanh-toan-the-tin-dung-1-ngay" TargetMode="External"/><Relationship Id="rId242" Type="http://schemas.openxmlformats.org/officeDocument/2006/relationships/hyperlink" Target="https://techcombank.com/thong-tin/blog/cach-lien-ket-epass-voi-tai-khoan-ngan-hang" TargetMode="External"/><Relationship Id="rId1073" Type="http://schemas.openxmlformats.org/officeDocument/2006/relationships/hyperlink" Target="https://techcombank.com/thong-tin/blog/cho-vay-tieu-dung-la-gi" TargetMode="External"/><Relationship Id="rId241" Type="http://schemas.openxmlformats.org/officeDocument/2006/relationships/hyperlink" Target="https://techcombank.com/thong-tin/blog/cach-kiem-tra-tai-khoan-ngan-hang-cua-cong-ty" TargetMode="External"/><Relationship Id="rId1074" Type="http://schemas.openxmlformats.org/officeDocument/2006/relationships/hyperlink" Target="https://techcombank.com/thong-tin/blog/no-xau-co-lam-the-visa-duoc-khong" TargetMode="External"/><Relationship Id="rId240" Type="http://schemas.openxmlformats.org/officeDocument/2006/relationships/hyperlink" Target="https://techcombank.com/thong-tin/blog/lien-ket-tai-khoan-ngan-hang-voi-etax-mobile" TargetMode="External"/><Relationship Id="rId1075" Type="http://schemas.openxmlformats.org/officeDocument/2006/relationships/hyperlink" Target="https://techcombank.com/thong-tin/blog/thu-tuc-vay-ngan-hang-mua-nha" TargetMode="External"/><Relationship Id="rId1076" Type="http://schemas.openxmlformats.org/officeDocument/2006/relationships/hyperlink" Target="https://techcombank.com/thong-tin/blog/thanh-toan-toi-thieu-the-tin-dung" TargetMode="External"/><Relationship Id="rId246" Type="http://schemas.openxmlformats.org/officeDocument/2006/relationships/hyperlink" Target="https://techcombank.com/thong-tin/blog/mo-them-tai-khoan-ngan-hang-cho-cong-ty" TargetMode="External"/><Relationship Id="rId1077" Type="http://schemas.openxmlformats.org/officeDocument/2006/relationships/hyperlink" Target="https://techcombank.com/thong-tin/blog/spaylater" TargetMode="External"/><Relationship Id="rId245" Type="http://schemas.openxmlformats.org/officeDocument/2006/relationships/hyperlink" Target="https://techcombank.com/thong-tin/blog/nen-mo-tai-khoan-ngan-hang-nao-cho-doanh-nghiep" TargetMode="External"/><Relationship Id="rId1078" Type="http://schemas.openxmlformats.org/officeDocument/2006/relationships/hyperlink" Target="https://techcombank.com/thong-tin/blog/lai-suat-vay-the-chap-so-do" TargetMode="External"/><Relationship Id="rId244" Type="http://schemas.openxmlformats.org/officeDocument/2006/relationships/hyperlink" Target="https://techcombank.com/thong-tin/blog/khai-bao-tai-khoan-ngan-hang-voi-co-quan-thue" TargetMode="External"/><Relationship Id="rId1079" Type="http://schemas.openxmlformats.org/officeDocument/2006/relationships/hyperlink" Target="https://techcombank.com/thong-tin/blog/no-nhom-3" TargetMode="External"/><Relationship Id="rId243" Type="http://schemas.openxmlformats.org/officeDocument/2006/relationships/hyperlink" Target="https://techcombank.com/thong-tin/blog/co-nen-mua-so-tai-khoan-ngan-hang-dep" TargetMode="External"/><Relationship Id="rId239" Type="http://schemas.openxmlformats.org/officeDocument/2006/relationships/hyperlink" Target="https://techcombank.com/thong-tin/blog/mo-tai-khoan-ho-kinh-doanh" TargetMode="External"/><Relationship Id="rId238" Type="http://schemas.openxmlformats.org/officeDocument/2006/relationships/hyperlink" Target="https://techcombank.com/thong-tin/blog/dong-tai-khoan-ngan-hang-cong-ty" TargetMode="External"/><Relationship Id="rId237" Type="http://schemas.openxmlformats.org/officeDocument/2006/relationships/hyperlink" Target="https://techcombank.com/thong-tin/blog/mo-tai-khoan-doanh-nghiep" TargetMode="External"/><Relationship Id="rId236" Type="http://schemas.openxmlformats.org/officeDocument/2006/relationships/hyperlink" Target="https://techcombank.com/thong-tin/blog/1-cmnd-dang-ky-duoc-may-tai-khoan-ngan-hang" TargetMode="External"/><Relationship Id="rId2390" Type="http://schemas.openxmlformats.org/officeDocument/2006/relationships/hyperlink" Target="https://techcombank.com/thong-tin/blog/vay-20-trieu" TargetMode="External"/><Relationship Id="rId1060" Type="http://schemas.openxmlformats.org/officeDocument/2006/relationships/hyperlink" Target="https://techcombank.com/thong-tin/blog/dieu-kien-vay-von-ngan-hang" TargetMode="External"/><Relationship Id="rId2391" Type="http://schemas.openxmlformats.org/officeDocument/2006/relationships/hyperlink" Target="https://techcombank.com/thong-tin/blog/kinh-nghiem-vay-tien-mua-nha" TargetMode="External"/><Relationship Id="rId1061" Type="http://schemas.openxmlformats.org/officeDocument/2006/relationships/hyperlink" Target="https://techcombank.com/thong-tin/blog/no-xau-co-vay-the-chap-duoc-khong" TargetMode="External"/><Relationship Id="rId2392" Type="http://schemas.openxmlformats.org/officeDocument/2006/relationships/hyperlink" Target="https://techcombank.com/thong-tin/blog/vay-tin-chap-khong-tra-duoc-co-sao-khong" TargetMode="External"/><Relationship Id="rId231" Type="http://schemas.openxmlformats.org/officeDocument/2006/relationships/hyperlink" Target="https://techcombank.com/thong-tin/blog/vip-ngan-hang" TargetMode="External"/><Relationship Id="rId1062" Type="http://schemas.openxmlformats.org/officeDocument/2006/relationships/hyperlink" Target="https://techcombank.com/thong-tin/blog/tin-dung-la-gi" TargetMode="External"/><Relationship Id="rId2393" Type="http://schemas.openxmlformats.org/officeDocument/2006/relationships/hyperlink" Target="https://techcombank.com/thong-tin/blog/vay-du-hoc" TargetMode="External"/><Relationship Id="rId230" Type="http://schemas.openxmlformats.org/officeDocument/2006/relationships/hyperlink" Target="https://techcombank.com/thong-tin/blog/cach-chuyen-tien" TargetMode="External"/><Relationship Id="rId1063" Type="http://schemas.openxmlformats.org/officeDocument/2006/relationships/hyperlink" Target="https://techcombank.com/thong-tin/blog/du-no-tin-dung-la-gi" TargetMode="External"/><Relationship Id="rId2394" Type="http://schemas.openxmlformats.org/officeDocument/2006/relationships/hyperlink" Target="https://techcombank.com/thong-tin/blog/no-chu-y-la-gi" TargetMode="External"/><Relationship Id="rId1064" Type="http://schemas.openxmlformats.org/officeDocument/2006/relationships/hyperlink" Target="https://techcombank.com/thong-tin/blog/vay-san-xuat-kinh-doanh" TargetMode="External"/><Relationship Id="rId2395" Type="http://schemas.openxmlformats.org/officeDocument/2006/relationships/hyperlink" Target="https://techcombank.com/thong-tin/blog/no-nhom-3" TargetMode="External"/><Relationship Id="rId1065" Type="http://schemas.openxmlformats.org/officeDocument/2006/relationships/hyperlink" Target="https://techcombank.com/thong-tin/blog/vay-the-chap-khong-tra-duoc" TargetMode="External"/><Relationship Id="rId2396" Type="http://schemas.openxmlformats.org/officeDocument/2006/relationships/hyperlink" Target="https://techcombank.com/thong-tin/blog/du-no-tin-dung-la-gi" TargetMode="External"/><Relationship Id="rId235" Type="http://schemas.openxmlformats.org/officeDocument/2006/relationships/hyperlink" Target="https://techcombank.com/thong-tin/blog/mo-tai-khoan-ngan-hang-co-mat-phi-khong" TargetMode="External"/><Relationship Id="rId1066" Type="http://schemas.openxmlformats.org/officeDocument/2006/relationships/hyperlink" Target="https://techcombank.com/thong-tin/blog/no-chu-y-la-gi" TargetMode="External"/><Relationship Id="rId2397" Type="http://schemas.openxmlformats.org/officeDocument/2006/relationships/hyperlink" Target="https://techcombank.com/thong-tin/blog/no-the-tin-dung-qua-han" TargetMode="External"/><Relationship Id="rId234" Type="http://schemas.openxmlformats.org/officeDocument/2006/relationships/hyperlink" Target="https://techcombank.com/thong-tin/blog/mo-tai-khoan-ngan-hang-online-co-an-toan-khong" TargetMode="External"/><Relationship Id="rId1067" Type="http://schemas.openxmlformats.org/officeDocument/2006/relationships/hyperlink" Target="https://techcombank.com/thong-tin/blog/diem-tin-dung" TargetMode="External"/><Relationship Id="rId2398" Type="http://schemas.openxmlformats.org/officeDocument/2006/relationships/hyperlink" Target="https://techcombank.com/thong-tin/blog/no-xau" TargetMode="External"/><Relationship Id="rId233" Type="http://schemas.openxmlformats.org/officeDocument/2006/relationships/hyperlink" Target="https://techcombank.com/thong-tin/blog/tai-khoan-thanh-toan-la-gi" TargetMode="External"/><Relationship Id="rId1068" Type="http://schemas.openxmlformats.org/officeDocument/2006/relationships/hyperlink" Target="https://techcombank.com/thong-tin/blog/kiem-tra-no-xau" TargetMode="External"/><Relationship Id="rId2399" Type="http://schemas.openxmlformats.org/officeDocument/2006/relationships/hyperlink" Target="https://techcombank.com/thong-tin/blog/du-no-la-gi" TargetMode="External"/><Relationship Id="rId232" Type="http://schemas.openxmlformats.org/officeDocument/2006/relationships/hyperlink" Target="https://techcombank.com/thong-tin/blog/tai-khoan-ngan-hang-la-gi" TargetMode="External"/><Relationship Id="rId1069" Type="http://schemas.openxmlformats.org/officeDocument/2006/relationships/hyperlink" Target="https://techcombank.com/thong-tin/blog/no-xau" TargetMode="External"/><Relationship Id="rId1015" Type="http://schemas.openxmlformats.org/officeDocument/2006/relationships/hyperlink" Target="https://techcombank.com/thong-tin/blog/mo-the-tin-dung-han-muc-cao" TargetMode="External"/><Relationship Id="rId1499" Type="http://schemas.openxmlformats.org/officeDocument/2006/relationships/hyperlink" Target="https://techcombank.com/thong-tin/blog/voucher-phuc-long" TargetMode="External"/><Relationship Id="rId2346" Type="http://schemas.openxmlformats.org/officeDocument/2006/relationships/hyperlink" Target="https://techcombank.com/thong-tin/blog/vay-thau-chi-bang-so-tiet-kiem" TargetMode="External"/><Relationship Id="rId1016" Type="http://schemas.openxmlformats.org/officeDocument/2006/relationships/hyperlink" Target="https://techcombank.com/thong-tin/blog/uu-dai-the-tin-dung" TargetMode="External"/><Relationship Id="rId2347" Type="http://schemas.openxmlformats.org/officeDocument/2006/relationships/hyperlink" Target="https://techcombank.com/thong-tin/blog/no-xau-co-lam-the-visa-duoc-khong" TargetMode="External"/><Relationship Id="rId1017" Type="http://schemas.openxmlformats.org/officeDocument/2006/relationships/hyperlink" Target="https://techcombank.com/thong-tin/blog/3d-secure" TargetMode="External"/><Relationship Id="rId2348" Type="http://schemas.openxmlformats.org/officeDocument/2006/relationships/hyperlink" Target="https://techcombank.com/thong-tin/blog/no-xau-mo-the-tin-dung-duoc-khong" TargetMode="External"/><Relationship Id="rId1018" Type="http://schemas.openxmlformats.org/officeDocument/2006/relationships/hyperlink" Target="https://techcombank.com/thong-tin/blog/lai-suat-the-tin-dung" TargetMode="External"/><Relationship Id="rId2349" Type="http://schemas.openxmlformats.org/officeDocument/2006/relationships/hyperlink" Target="https://techcombank.com/thong-tin/blog/vay-tin-chap-no-xau" TargetMode="External"/><Relationship Id="rId1019" Type="http://schemas.openxmlformats.org/officeDocument/2006/relationships/hyperlink" Target="https://techcombank.com/thong-tin/blog/mo-the-tin-dung-co-loi-ich-gi" TargetMode="External"/><Relationship Id="rId668" Type="http://schemas.openxmlformats.org/officeDocument/2006/relationships/hyperlink" Target="https://techcombank.com/thong-tin/blog/hoc-cach-tiet-kiem-tien-luong" TargetMode="External"/><Relationship Id="rId667" Type="http://schemas.openxmlformats.org/officeDocument/2006/relationships/hyperlink" Target="https://techcombank.com/thong-tin/blog/dau-tu-dai-han" TargetMode="External"/><Relationship Id="rId666" Type="http://schemas.openxmlformats.org/officeDocument/2006/relationships/hyperlink" Target="https://techcombank.com/thong-tin/blog/6-chiec-lo-tai-chinh-ca-nhan" TargetMode="External"/><Relationship Id="rId665" Type="http://schemas.openxmlformats.org/officeDocument/2006/relationships/hyperlink" Target="https://techcombank.com/thong-tin/blog/esg" TargetMode="External"/><Relationship Id="rId669" Type="http://schemas.openxmlformats.org/officeDocument/2006/relationships/hyperlink" Target="https://techcombank.com/thong-tin/blog/chuyen-doi-xanh" TargetMode="External"/><Relationship Id="rId1490" Type="http://schemas.openxmlformats.org/officeDocument/2006/relationships/hyperlink" Target="https://techcombank.com/thong-tin/blog/kichi-kichi" TargetMode="External"/><Relationship Id="rId660" Type="http://schemas.openxmlformats.org/officeDocument/2006/relationships/hyperlink" Target="https://techcombank.com/thong-tin/blog/giao-thong-xanh" TargetMode="External"/><Relationship Id="rId1491" Type="http://schemas.openxmlformats.org/officeDocument/2006/relationships/hyperlink" Target="https://techcombank.com/thong-tin/blog/ma-giam-gia-shopee" TargetMode="External"/><Relationship Id="rId1492" Type="http://schemas.openxmlformats.org/officeDocument/2006/relationships/hyperlink" Target="https://techcombank.com/thong-tin/blog/voucher-starbucks" TargetMode="External"/><Relationship Id="rId1493" Type="http://schemas.openxmlformats.org/officeDocument/2006/relationships/hyperlink" Target="https://techcombank.com/thong-tin/blog/voucher-cgv" TargetMode="External"/><Relationship Id="rId2340" Type="http://schemas.openxmlformats.org/officeDocument/2006/relationships/hyperlink" Target="https://techcombank.com/thong-tin/blog/thoi-han-vay-thau-chi" TargetMode="External"/><Relationship Id="rId1010" Type="http://schemas.openxmlformats.org/officeDocument/2006/relationships/hyperlink" Target="https://techcombank.com/thong-tin/blog/dao-han-the-tin-dung" TargetMode="External"/><Relationship Id="rId1494" Type="http://schemas.openxmlformats.org/officeDocument/2006/relationships/hyperlink" Target="https://techcombank.com/thong-tin/blog/cua-hang-tien-loi" TargetMode="External"/><Relationship Id="rId2341" Type="http://schemas.openxmlformats.org/officeDocument/2006/relationships/hyperlink" Target="https://techcombank.com/thong-tin/blog/tra-no-vay-thau-chi-nhu-the-nao" TargetMode="External"/><Relationship Id="rId664" Type="http://schemas.openxmlformats.org/officeDocument/2006/relationships/hyperlink" Target="https://techcombank.com/thong-tin/blog/ngan-hang-xanh" TargetMode="External"/><Relationship Id="rId1011" Type="http://schemas.openxmlformats.org/officeDocument/2006/relationships/hyperlink" Target="https://techcombank.com/thong-tin/blog/thanh-toan-online-bang-the-tin-dung" TargetMode="External"/><Relationship Id="rId1495" Type="http://schemas.openxmlformats.org/officeDocument/2006/relationships/hyperlink" Target="https://techcombank.com/thong-tin/blog/voucher-highland" TargetMode="External"/><Relationship Id="rId2342" Type="http://schemas.openxmlformats.org/officeDocument/2006/relationships/hyperlink" Target="https://techcombank.com/thong-tin/blog/vay-han-muc-la-gi" TargetMode="External"/><Relationship Id="rId663" Type="http://schemas.openxmlformats.org/officeDocument/2006/relationships/hyperlink" Target="https://techcombank.com/thong-tin/blog/tieu-dung-ben-vung" TargetMode="External"/><Relationship Id="rId1012" Type="http://schemas.openxmlformats.org/officeDocument/2006/relationships/hyperlink" Target="https://techcombank.com/thong-tin/blog/uu-dai-mo-the-tin-dung" TargetMode="External"/><Relationship Id="rId1496" Type="http://schemas.openxmlformats.org/officeDocument/2006/relationships/hyperlink" Target="https://techcombank.com/thong-tin/blog/ma-giam-xanh-sm" TargetMode="External"/><Relationship Id="rId2343" Type="http://schemas.openxmlformats.org/officeDocument/2006/relationships/hyperlink" Target="https://techcombank.com/thong-tin/blog/cac-hinh-thuc-vay-von-ngan-hang" TargetMode="External"/><Relationship Id="rId662" Type="http://schemas.openxmlformats.org/officeDocument/2006/relationships/hyperlink" Target="https://techcombank.com/thong-tin/blog/ke-hoach-huu-tri" TargetMode="External"/><Relationship Id="rId1013" Type="http://schemas.openxmlformats.org/officeDocument/2006/relationships/hyperlink" Target="https://techcombank.com/thong-tin/blog/the-tin-dung-co-chuyen-khoan-duoc-khong" TargetMode="External"/><Relationship Id="rId1497" Type="http://schemas.openxmlformats.org/officeDocument/2006/relationships/hyperlink" Target="https://techcombank.com/thong-tin/blog/voucher-kfc" TargetMode="External"/><Relationship Id="rId2344" Type="http://schemas.openxmlformats.org/officeDocument/2006/relationships/hyperlink" Target="https://techcombank.com/thong-tin/blog/vay-san-xuat-kinh-doanh" TargetMode="External"/><Relationship Id="rId661" Type="http://schemas.openxmlformats.org/officeDocument/2006/relationships/hyperlink" Target="https://techcombank.com/thong-tin/blog/tich-luy-tai-san" TargetMode="External"/><Relationship Id="rId1014" Type="http://schemas.openxmlformats.org/officeDocument/2006/relationships/hyperlink" Target="https://techcombank.com/thong-tin/blog/the-tin-dung-techcombank-visa-eco" TargetMode="External"/><Relationship Id="rId1498" Type="http://schemas.openxmlformats.org/officeDocument/2006/relationships/hyperlink" Target="https://techcombank.com/thong-tin/blog/mr-eco" TargetMode="External"/><Relationship Id="rId2345" Type="http://schemas.openxmlformats.org/officeDocument/2006/relationships/hyperlink" Target="https://techcombank.com/thong-tin/blog/cach-tinh-lai-vay-ngan-hang" TargetMode="External"/><Relationship Id="rId1004" Type="http://schemas.openxmlformats.org/officeDocument/2006/relationships/hyperlink" Target="https://techcombank.com/thong-tin/blog/the-tin-dung-quoc-te" TargetMode="External"/><Relationship Id="rId1488" Type="http://schemas.openxmlformats.org/officeDocument/2006/relationships/hyperlink" Target="https://techcombank.com/thong-tin/blog/yakimono" TargetMode="External"/><Relationship Id="rId2335" Type="http://schemas.openxmlformats.org/officeDocument/2006/relationships/hyperlink" Target="https://techcombank.com/thong-tin/blog/lai-suat-vay-mua-o-to" TargetMode="External"/><Relationship Id="rId1005" Type="http://schemas.openxmlformats.org/officeDocument/2006/relationships/hyperlink" Target="https://techcombank.com/thong-tin/blog/qua-han-thanh-toan-the-tin-dung-1-ngay" TargetMode="External"/><Relationship Id="rId1489" Type="http://schemas.openxmlformats.org/officeDocument/2006/relationships/hyperlink" Target="https://techcombank.com/thong-tin/blog/chixmax" TargetMode="External"/><Relationship Id="rId2336" Type="http://schemas.openxmlformats.org/officeDocument/2006/relationships/hyperlink" Target="https://techcombank.com/thong-tin/blog/vay-tin-chap-la-gi" TargetMode="External"/><Relationship Id="rId1006" Type="http://schemas.openxmlformats.org/officeDocument/2006/relationships/hyperlink" Target="https://techcombank.com/thong-tin/blog/phi-rut-tien-mat-the-tin-dung" TargetMode="External"/><Relationship Id="rId2337" Type="http://schemas.openxmlformats.org/officeDocument/2006/relationships/hyperlink" Target="https://techcombank.com/thong-tin/blog/lai-suat-cho-vay-doanh-nghiep" TargetMode="External"/><Relationship Id="rId1007" Type="http://schemas.openxmlformats.org/officeDocument/2006/relationships/hyperlink" Target="https://techcombank.com/thong-tin/blog/vay-ngan-hang-1-ty-moi-thang-tra-bao-nhieu" TargetMode="External"/><Relationship Id="rId2338" Type="http://schemas.openxmlformats.org/officeDocument/2006/relationships/hyperlink" Target="https://techcombank.com/thong-tin/blog/han-muc-thau-chi-la-gi" TargetMode="External"/><Relationship Id="rId1008" Type="http://schemas.openxmlformats.org/officeDocument/2006/relationships/hyperlink" Target="https://techcombank.com/thong-tin/blog/cach-thanh-toan-the-tin-dung" TargetMode="External"/><Relationship Id="rId2339" Type="http://schemas.openxmlformats.org/officeDocument/2006/relationships/hyperlink" Target="https://techcombank.com/thong-tin/blog/lai-suat-vay-thau-chi" TargetMode="External"/><Relationship Id="rId1009" Type="http://schemas.openxmlformats.org/officeDocument/2006/relationships/hyperlink" Target="https://techcombank.com/thong-tin/blog/the-tin-dung-den" TargetMode="External"/><Relationship Id="rId657" Type="http://schemas.openxmlformats.org/officeDocument/2006/relationships/hyperlink" Target="https://techcombank.com/thong-tin/blog/the-tin-dung-techcombank-visa-eco" TargetMode="External"/><Relationship Id="rId656" Type="http://schemas.openxmlformats.org/officeDocument/2006/relationships/hyperlink" Target="https://techcombank.com/thong-tin/blog/mo-the-ghi-no" TargetMode="External"/><Relationship Id="rId655" Type="http://schemas.openxmlformats.org/officeDocument/2006/relationships/hyperlink" Target="https://techcombank.com/thong-tin/blog/the-ghi-no-la-gi" TargetMode="External"/><Relationship Id="rId654" Type="http://schemas.openxmlformats.org/officeDocument/2006/relationships/hyperlink" Target="https://techcombank.com/thong-tin/blog/gia-tri-tai-san-rong" TargetMode="External"/><Relationship Id="rId659" Type="http://schemas.openxmlformats.org/officeDocument/2006/relationships/hyperlink" Target="https://techcombank.com/thong-tin/blog/cach-nap-tien-vao-the-ghi-no" TargetMode="External"/><Relationship Id="rId658" Type="http://schemas.openxmlformats.org/officeDocument/2006/relationships/hyperlink" Target="https://techcombank.com/thong-tin/blog/the-ghi-no-noi-dia" TargetMode="External"/><Relationship Id="rId1480" Type="http://schemas.openxmlformats.org/officeDocument/2006/relationships/hyperlink" Target="https://techcombank.com/thong-tin/blog/mua-ve-may-bay-gia-re" TargetMode="External"/><Relationship Id="rId1481" Type="http://schemas.openxmlformats.org/officeDocument/2006/relationships/hyperlink" Target="https://techcombank.com/thong-tin/blog/techcombank-oneu" TargetMode="External"/><Relationship Id="rId1482" Type="http://schemas.openxmlformats.org/officeDocument/2006/relationships/hyperlink" Target="https://techcombank.com/thong-tin/blog/tich-diem-doi-qua" TargetMode="External"/><Relationship Id="rId1483" Type="http://schemas.openxmlformats.org/officeDocument/2006/relationships/hyperlink" Target="https://techcombank.com/thong-tin/blog/tiet-kiem-khi-di-du-lich" TargetMode="External"/><Relationship Id="rId2330" Type="http://schemas.openxmlformats.org/officeDocument/2006/relationships/hyperlink" Target="https://techcombank.com/thong-tin/blog/lai-suat-vay-the-chap" TargetMode="External"/><Relationship Id="rId653" Type="http://schemas.openxmlformats.org/officeDocument/2006/relationships/hyperlink" Target="https://techcombank.com/thong-tin/blog/khau-vi-nha-dau-tu-tpdn-thay-doi-the-nao-sau-nhung-bien-dong-vua-qua" TargetMode="External"/><Relationship Id="rId1000" Type="http://schemas.openxmlformats.org/officeDocument/2006/relationships/hyperlink" Target="https://techcombank.com/thong-tin/blog/tra-cuu-han-muc-the-tin-dung" TargetMode="External"/><Relationship Id="rId1484" Type="http://schemas.openxmlformats.org/officeDocument/2006/relationships/hyperlink" Target="https://techcombank.com/thong-tin/blog/giam-gia-be" TargetMode="External"/><Relationship Id="rId2331" Type="http://schemas.openxmlformats.org/officeDocument/2006/relationships/hyperlink" Target="https://techcombank.com/thong-tin/blog/lai-suat-vay-thau-chi" TargetMode="External"/><Relationship Id="rId652" Type="http://schemas.openxmlformats.org/officeDocument/2006/relationships/hyperlink" Target="https://techcombank.com/thong-tin/blog/the-ghi-no-va-the-tin-dung" TargetMode="External"/><Relationship Id="rId1001" Type="http://schemas.openxmlformats.org/officeDocument/2006/relationships/hyperlink" Target="https://techcombank.com/thong-tin/blog/the-ghi-no-va-the-tin-dung" TargetMode="External"/><Relationship Id="rId1485" Type="http://schemas.openxmlformats.org/officeDocument/2006/relationships/hyperlink" Target="https://techcombank.com/thong-tin/blog/4p-pizza" TargetMode="External"/><Relationship Id="rId2332" Type="http://schemas.openxmlformats.org/officeDocument/2006/relationships/hyperlink" Target="https://techcombank.com/thong-tin/blog/lai-suat-vay-the-chap-so-do" TargetMode="External"/><Relationship Id="rId651" Type="http://schemas.openxmlformats.org/officeDocument/2006/relationships/hyperlink" Target="https://techcombank.com/thong-tin/blog/cach-tiet-kiem-tien-hieu-qua-cho-gia-dinh" TargetMode="External"/><Relationship Id="rId1002" Type="http://schemas.openxmlformats.org/officeDocument/2006/relationships/hyperlink" Target="https://techcombank.com/thong-tin/blog/co-nen-dung-the-tin-dung-khong" TargetMode="External"/><Relationship Id="rId1486" Type="http://schemas.openxmlformats.org/officeDocument/2006/relationships/hyperlink" Target="https://techcombank.com/thong-tin/blog/doi-dam-bay" TargetMode="External"/><Relationship Id="rId2333" Type="http://schemas.openxmlformats.org/officeDocument/2006/relationships/hyperlink" Target="https://techcombank.com/thong-tin/blog/lai-suat-ngan-hang-cho-vay-xay-nha" TargetMode="External"/><Relationship Id="rId650" Type="http://schemas.openxmlformats.org/officeDocument/2006/relationships/hyperlink" Target="https://techcombank.com/thong-tin/blog/cach-lam-the-ngan-hang-chay-quang-cao-facebook" TargetMode="External"/><Relationship Id="rId1003" Type="http://schemas.openxmlformats.org/officeDocument/2006/relationships/hyperlink" Target="https://techcombank.com/thong-tin/blog/ma-buu-chinh-the-tin-dung" TargetMode="External"/><Relationship Id="rId1487" Type="http://schemas.openxmlformats.org/officeDocument/2006/relationships/hyperlink" Target="https://techcombank.com/thong-tin/blog/voucher-the-coffee-house" TargetMode="External"/><Relationship Id="rId2334" Type="http://schemas.openxmlformats.org/officeDocument/2006/relationships/hyperlink" Target="https://techcombank.com/thong-tin/blog/cach-tinh-lai-vay-ngan-hang" TargetMode="External"/><Relationship Id="rId1037" Type="http://schemas.openxmlformats.org/officeDocument/2006/relationships/hyperlink" Target="https://techcombank.com/thong-tin/blog/tra-gop-qua-the-tin-dung" TargetMode="External"/><Relationship Id="rId2368" Type="http://schemas.openxmlformats.org/officeDocument/2006/relationships/hyperlink" Target="https://techcombank.com/thong-tin/blog/vay-tin-chap-ho-kinh-doanh" TargetMode="External"/><Relationship Id="rId1038" Type="http://schemas.openxmlformats.org/officeDocument/2006/relationships/hyperlink" Target="https://techcombank.com/thong-tin/blog/lam-the-tin-dung-co-mat-phi-khong" TargetMode="External"/><Relationship Id="rId2369" Type="http://schemas.openxmlformats.org/officeDocument/2006/relationships/hyperlink" Target="https://techcombank.com/thong-tin/blog/vay-tin-chap-cho-doanh-nghiep-moi-thanh-lap" TargetMode="External"/><Relationship Id="rId1039" Type="http://schemas.openxmlformats.org/officeDocument/2006/relationships/hyperlink" Target="https://techcombank.com/thong-tin/blog/kich-hoat-the-tin-dung-techcombank" TargetMode="External"/><Relationship Id="rId206" Type="http://schemas.openxmlformats.org/officeDocument/2006/relationships/hyperlink" Target="https://techcombank.com/thong-tin/blog/vay-the-chap-qua-luong" TargetMode="External"/><Relationship Id="rId205" Type="http://schemas.openxmlformats.org/officeDocument/2006/relationships/hyperlink" Target="https://techcombank.com/thong-tin/blog/chinh-sach-tang-luong-huu" TargetMode="External"/><Relationship Id="rId689" Type="http://schemas.openxmlformats.org/officeDocument/2006/relationships/hyperlink" Target="https://techcombank.com/thong-tin/blog/spaylater" TargetMode="External"/><Relationship Id="rId204" Type="http://schemas.openxmlformats.org/officeDocument/2006/relationships/hyperlink" Target="https://techcombank.com/thong-tin/blog/ho-kinh-doanh-dong-thue-nhu-nao" TargetMode="External"/><Relationship Id="rId688" Type="http://schemas.openxmlformats.org/officeDocument/2006/relationships/hyperlink" Target="https://techcombank.com/thong-tin/blog/thanh-toan-toi-thieu-the-tin-dung" TargetMode="External"/><Relationship Id="rId203" Type="http://schemas.openxmlformats.org/officeDocument/2006/relationships/hyperlink" Target="https://techcombank.com/thong-tin/blog/app-tra-luong" TargetMode="External"/><Relationship Id="rId687" Type="http://schemas.openxmlformats.org/officeDocument/2006/relationships/hyperlink" Target="https://techcombank.com/thong-tin/blog/no-xau-co-lam-the-visa-duoc-khong" TargetMode="External"/><Relationship Id="rId209" Type="http://schemas.openxmlformats.org/officeDocument/2006/relationships/hyperlink" Target="https://techcombank.com/thong-tin/blog/hoc-cach-tiet-kiem-tien-luong" TargetMode="External"/><Relationship Id="rId208" Type="http://schemas.openxmlformats.org/officeDocument/2006/relationships/hyperlink" Target="https://techcombank.com/thong-tin/blog/chi-tra-luong-huu" TargetMode="External"/><Relationship Id="rId207" Type="http://schemas.openxmlformats.org/officeDocument/2006/relationships/hyperlink" Target="https://techcombank.com/thong-tin/blog/kiem-tra-thue-thu-nhap-ca-nhan" TargetMode="External"/><Relationship Id="rId682" Type="http://schemas.openxmlformats.org/officeDocument/2006/relationships/hyperlink" Target="https://techcombank.com/thong-tin/blog/kiem-tra-no-xau" TargetMode="External"/><Relationship Id="rId2360" Type="http://schemas.openxmlformats.org/officeDocument/2006/relationships/hyperlink" Target="https://techcombank.com/thong-tin/blog/the-tin-dung-bi-khoa" TargetMode="External"/><Relationship Id="rId681" Type="http://schemas.openxmlformats.org/officeDocument/2006/relationships/hyperlink" Target="https://techcombank.com/thong-tin/blog/vay-the-chap-khong-tra-duoc" TargetMode="External"/><Relationship Id="rId1030" Type="http://schemas.openxmlformats.org/officeDocument/2006/relationships/hyperlink" Target="https://techcombank.com/thong-tin/blog/the-tin-dung-noi-dia" TargetMode="External"/><Relationship Id="rId2361" Type="http://schemas.openxmlformats.org/officeDocument/2006/relationships/hyperlink" Target="https://techcombank.com/thong-tin/blog/no-the-tin-dung-qua-han" TargetMode="External"/><Relationship Id="rId680" Type="http://schemas.openxmlformats.org/officeDocument/2006/relationships/hyperlink" Target="https://techcombank.com/thong-tin/blog/no-xau-nhom-2" TargetMode="External"/><Relationship Id="rId1031" Type="http://schemas.openxmlformats.org/officeDocument/2006/relationships/hyperlink" Target="https://techcombank.com/thong-tin/blog/lam-ho-so-tra-gop-dien-thoai" TargetMode="External"/><Relationship Id="rId2362" Type="http://schemas.openxmlformats.org/officeDocument/2006/relationships/hyperlink" Target="https://techcombank.com/thong-tin/blog/lich-su-tin-dung" TargetMode="External"/><Relationship Id="rId1032" Type="http://schemas.openxmlformats.org/officeDocument/2006/relationships/hyperlink" Target="https://techcombank.com/thong-tin/blog/the-tin-dung-la-gi" TargetMode="External"/><Relationship Id="rId2363" Type="http://schemas.openxmlformats.org/officeDocument/2006/relationships/hyperlink" Target="https://techcombank.com/thong-tin/blog/vay-tin-chap-la-gi" TargetMode="External"/><Relationship Id="rId202" Type="http://schemas.openxmlformats.org/officeDocument/2006/relationships/hyperlink" Target="https://techcombank.com/thong-tin/blog/nhung-ho-kinh-doanh-duoc-mien-thue" TargetMode="External"/><Relationship Id="rId686" Type="http://schemas.openxmlformats.org/officeDocument/2006/relationships/hyperlink" Target="https://techcombank.com/thong-tin/blog/qua-han-thanh-toan-the-tin-dung-1-ngay" TargetMode="External"/><Relationship Id="rId1033" Type="http://schemas.openxmlformats.org/officeDocument/2006/relationships/hyperlink" Target="https://techcombank.com/thong-tin/blog/cach-su-dung-the-tin-dung" TargetMode="External"/><Relationship Id="rId2364" Type="http://schemas.openxmlformats.org/officeDocument/2006/relationships/hyperlink" Target="https://techcombank.com/thong-tin/blog/ho-so-vay-tin-chap" TargetMode="External"/><Relationship Id="rId201" Type="http://schemas.openxmlformats.org/officeDocument/2006/relationships/hyperlink" Target="https://techcombank.com/thong-tin/blog/tra-cuu-no-thue-ca-nhan" TargetMode="External"/><Relationship Id="rId685" Type="http://schemas.openxmlformats.org/officeDocument/2006/relationships/hyperlink" Target="https://techcombank.com/thong-tin/blog/han-muc-thau-chi-la-gi" TargetMode="External"/><Relationship Id="rId1034" Type="http://schemas.openxmlformats.org/officeDocument/2006/relationships/hyperlink" Target="https://techcombank.com/thong-tin/blog/han-muc-the-tin-dung" TargetMode="External"/><Relationship Id="rId2365" Type="http://schemas.openxmlformats.org/officeDocument/2006/relationships/hyperlink" Target="https://techcombank.com/thong-tin/blog/vay-tin-chap-toi-da-duoc-bao-nhieu" TargetMode="External"/><Relationship Id="rId200" Type="http://schemas.openxmlformats.org/officeDocument/2006/relationships/hyperlink" Target="https://techcombank.com/thong-tin/blog/tra-luong-tien-mat" TargetMode="External"/><Relationship Id="rId684" Type="http://schemas.openxmlformats.org/officeDocument/2006/relationships/hyperlink" Target="https://techcombank.com/thong-tin/blog/no-xau-la-gi" TargetMode="External"/><Relationship Id="rId1035" Type="http://schemas.openxmlformats.org/officeDocument/2006/relationships/hyperlink" Target="https://techcombank.com/thong-tin/blog/nang-han-muc-tin-dung" TargetMode="External"/><Relationship Id="rId2366" Type="http://schemas.openxmlformats.org/officeDocument/2006/relationships/hyperlink" Target="https://techcombank.com/thong-tin/blog/vay-tin-chap-va-vay-the-chap" TargetMode="External"/><Relationship Id="rId683" Type="http://schemas.openxmlformats.org/officeDocument/2006/relationships/hyperlink" Target="https://techcombank.com/thong-tin/blog/no-xau" TargetMode="External"/><Relationship Id="rId1036" Type="http://schemas.openxmlformats.org/officeDocument/2006/relationships/hyperlink" Target="https://techcombank.com/thong-tin/blog/the-tin-dung-mien-lai-55-ngay" TargetMode="External"/><Relationship Id="rId2367" Type="http://schemas.openxmlformats.org/officeDocument/2006/relationships/hyperlink" Target="https://techcombank.com/thong-tin/blog/lai-suat-vay-tin-chap" TargetMode="External"/><Relationship Id="rId1026" Type="http://schemas.openxmlformats.org/officeDocument/2006/relationships/hyperlink" Target="https://techcombank.com/thong-tin/blog/lam-the-tin-dung" TargetMode="External"/><Relationship Id="rId2357" Type="http://schemas.openxmlformats.org/officeDocument/2006/relationships/hyperlink" Target="https://techcombank.com/thong-tin/blog/spaylater" TargetMode="External"/><Relationship Id="rId1027" Type="http://schemas.openxmlformats.org/officeDocument/2006/relationships/hyperlink" Target="https://techcombank.com/thong-tin/blog/the-tin-dung-co-ma-pin-khong" TargetMode="External"/><Relationship Id="rId2358" Type="http://schemas.openxmlformats.org/officeDocument/2006/relationships/hyperlink" Target="https://techcombank.com/thong-tin/blog/no-nhom-3" TargetMode="External"/><Relationship Id="rId1028" Type="http://schemas.openxmlformats.org/officeDocument/2006/relationships/hyperlink" Target="https://techcombank.com/thong-tin/blog/cic-la-gi" TargetMode="External"/><Relationship Id="rId2359" Type="http://schemas.openxmlformats.org/officeDocument/2006/relationships/hyperlink" Target="https://techcombank.com/thong-tin/blog/cic-la-gi" TargetMode="External"/><Relationship Id="rId1029" Type="http://schemas.openxmlformats.org/officeDocument/2006/relationships/hyperlink" Target="https://techcombank.com/thong-tin/blog/sao-ke-the-tin-dung-la-gi" TargetMode="External"/><Relationship Id="rId679" Type="http://schemas.openxmlformats.org/officeDocument/2006/relationships/hyperlink" Target="https://techcombank.com/thong-tin/blog/no-chu-y-la-gi" TargetMode="External"/><Relationship Id="rId678" Type="http://schemas.openxmlformats.org/officeDocument/2006/relationships/hyperlink" Target="https://techcombank.com/thong-tin/blog/no-nhom-3" TargetMode="External"/><Relationship Id="rId677" Type="http://schemas.openxmlformats.org/officeDocument/2006/relationships/hyperlink" Target="https://techcombank.com/thong-tin/blog/lich-su-tin-dung" TargetMode="External"/><Relationship Id="rId676" Type="http://schemas.openxmlformats.org/officeDocument/2006/relationships/hyperlink" Target="https://techcombank.com/thong-tin/blog/diem-tin-dung" TargetMode="External"/><Relationship Id="rId671" Type="http://schemas.openxmlformats.org/officeDocument/2006/relationships/hyperlink" Target="https://techcombank.com/thong-tin/blog/lap-ke-hoach-chi-tieu-ca-nhan" TargetMode="External"/><Relationship Id="rId670" Type="http://schemas.openxmlformats.org/officeDocument/2006/relationships/hyperlink" Target="https://techcombank.com/thong-tin/blog/cach-su-dung-the-ghi-no" TargetMode="External"/><Relationship Id="rId2350" Type="http://schemas.openxmlformats.org/officeDocument/2006/relationships/hyperlink" Target="https://techcombank.com/thong-tin/blog/no-xau-co-vay-the-chap-duoc-khong" TargetMode="External"/><Relationship Id="rId1020" Type="http://schemas.openxmlformats.org/officeDocument/2006/relationships/hyperlink" Target="https://techcombank.com/thong-tin/blog/the-tin-dung-ao" TargetMode="External"/><Relationship Id="rId2351" Type="http://schemas.openxmlformats.org/officeDocument/2006/relationships/hyperlink" Target="https://techcombank.com/thong-tin/blog/no-xau-nhom-2" TargetMode="External"/><Relationship Id="rId1021" Type="http://schemas.openxmlformats.org/officeDocument/2006/relationships/hyperlink" Target="https://techcombank.com/thong-tin/blog/thanh-toan-toi-thieu-the-tin-dung" TargetMode="External"/><Relationship Id="rId2352" Type="http://schemas.openxmlformats.org/officeDocument/2006/relationships/hyperlink" Target="https://techcombank.com/thong-tin/blog/no-chu-y-la-gi" TargetMode="External"/><Relationship Id="rId675" Type="http://schemas.openxmlformats.org/officeDocument/2006/relationships/hyperlink" Target="https://techcombank.com/thong-tin/blog/toi-uu-hoa-chi-phi-trong-doanh-nghiep" TargetMode="External"/><Relationship Id="rId1022" Type="http://schemas.openxmlformats.org/officeDocument/2006/relationships/hyperlink" Target="https://techcombank.com/thong-tin/blog/tra-gop-shopee" TargetMode="External"/><Relationship Id="rId2353" Type="http://schemas.openxmlformats.org/officeDocument/2006/relationships/hyperlink" Target="https://techcombank.com/thong-tin/blog/diem-tin-dung" TargetMode="External"/><Relationship Id="rId674" Type="http://schemas.openxmlformats.org/officeDocument/2006/relationships/hyperlink" Target="https://techcombank.com/thong-tin/blog/the-ghi-no-co-rut-tien-duoc-khong" TargetMode="External"/><Relationship Id="rId1023" Type="http://schemas.openxmlformats.org/officeDocument/2006/relationships/hyperlink" Target="https://techcombank.com/thong-tin/blog/thanh-toan-tien-dien-bang-the-tin-dung" TargetMode="External"/><Relationship Id="rId2354" Type="http://schemas.openxmlformats.org/officeDocument/2006/relationships/hyperlink" Target="https://techcombank.com/thong-tin/blog/no-xau" TargetMode="External"/><Relationship Id="rId673" Type="http://schemas.openxmlformats.org/officeDocument/2006/relationships/hyperlink" Target="https://techcombank.com/thong-tin/blog/the-nao-la-tiet-kiem" TargetMode="External"/><Relationship Id="rId1024" Type="http://schemas.openxmlformats.org/officeDocument/2006/relationships/hyperlink" Target="https://techcombank.com/thong-tin/blog/thanh-toan-tra-gop-qua-the-tin-dung" TargetMode="External"/><Relationship Id="rId2355" Type="http://schemas.openxmlformats.org/officeDocument/2006/relationships/hyperlink" Target="https://techcombank.com/thong-tin/blog/no-xau-la-gi" TargetMode="External"/><Relationship Id="rId672" Type="http://schemas.openxmlformats.org/officeDocument/2006/relationships/hyperlink" Target="https://techcombank.com/thong-tin/blog/the-ghi-no-co-chuyen-khoan-duoc-khong" TargetMode="External"/><Relationship Id="rId1025" Type="http://schemas.openxmlformats.org/officeDocument/2006/relationships/hyperlink" Target="https://techcombank.com/thong-tin/blog/tra-gop-lazada" TargetMode="External"/><Relationship Id="rId2356" Type="http://schemas.openxmlformats.org/officeDocument/2006/relationships/hyperlink" Target="https://techcombank.com/thong-tin/blog/thanh-toan-toi-thieu-the-tin-dung" TargetMode="External"/><Relationship Id="rId190" Type="http://schemas.openxmlformats.org/officeDocument/2006/relationships/hyperlink" Target="https://techcombank.com/thong-tin/blog/vay-ngan-hang-1-ty-moi-thang-tra-bao-nhieu" TargetMode="External"/><Relationship Id="rId194" Type="http://schemas.openxmlformats.org/officeDocument/2006/relationships/hyperlink" Target="https://techcombank.com/thong-tin/blog/quyet-toan-thue-thu-nhap-ca-nhan" TargetMode="External"/><Relationship Id="rId193" Type="http://schemas.openxmlformats.org/officeDocument/2006/relationships/hyperlink" Target="https://techcombank.com/thong-tin/blog/cach-huy-thanh-toan-tien-dien" TargetMode="External"/><Relationship Id="rId192" Type="http://schemas.openxmlformats.org/officeDocument/2006/relationships/hyperlink" Target="https://techcombank.com/thong-tin/blog/thanh-toan-hoa-don-tieu-dung" TargetMode="External"/><Relationship Id="rId191" Type="http://schemas.openxmlformats.org/officeDocument/2006/relationships/hyperlink" Target="https://techcombank.com/thong-tin/blog/nap-tien-dien-thoai-online" TargetMode="External"/><Relationship Id="rId187" Type="http://schemas.openxmlformats.org/officeDocument/2006/relationships/hyperlink" Target="https://techcombank.com/thong-tin/blog/tim-hieu-ve-chinh-sach-thue-moi" TargetMode="External"/><Relationship Id="rId186" Type="http://schemas.openxmlformats.org/officeDocument/2006/relationships/hyperlink" Target="https://techcombank.com/thong-tin/blog/one-stop-shop" TargetMode="External"/><Relationship Id="rId185" Type="http://schemas.openxmlformats.org/officeDocument/2006/relationships/hyperlink" Target="https://techcombank.com/thong-tin/blog/hoa-don-dien-tu-ho-kinh-doanh" TargetMode="External"/><Relationship Id="rId184" Type="http://schemas.openxmlformats.org/officeDocument/2006/relationships/hyperlink" Target="https://techcombank.com/thong-tin/blog/hoa-don-dien-tu" TargetMode="External"/><Relationship Id="rId189" Type="http://schemas.openxmlformats.org/officeDocument/2006/relationships/hyperlink" Target="https://techcombank.com/thong-tin/blog/phan-mem-xuat-hoa-don-dien-tu" TargetMode="External"/><Relationship Id="rId188" Type="http://schemas.openxmlformats.org/officeDocument/2006/relationships/hyperlink" Target="https://techcombank.com/thong-tin/blog/may-tinh-tien" TargetMode="External"/><Relationship Id="rId183" Type="http://schemas.openxmlformats.org/officeDocument/2006/relationships/hyperlink" Target="https://techcombank.com/thong-tin/blog/chuyen-doi-hoa-don-dien-tu" TargetMode="External"/><Relationship Id="rId182" Type="http://schemas.openxmlformats.org/officeDocument/2006/relationships/hyperlink" Target="https://techcombank.com/thong-tin/blog/cach-tra-cuu-hoa-don-dien-tu" TargetMode="External"/><Relationship Id="rId181" Type="http://schemas.openxmlformats.org/officeDocument/2006/relationships/hyperlink" Target="https://techcombank.com/thong-tin/blog/thanh-toan-tien-dien-bang-the-tin-dung" TargetMode="External"/><Relationship Id="rId180" Type="http://schemas.openxmlformats.org/officeDocument/2006/relationships/hyperlink" Target="https://techcombank.com/thong-tin/blog/app-dong-tien-dien-online" TargetMode="External"/><Relationship Id="rId176" Type="http://schemas.openxmlformats.org/officeDocument/2006/relationships/hyperlink" Target="https://techcombank.com/thong-tin/blog/app-dong-tien-dien-online" TargetMode="External"/><Relationship Id="rId175" Type="http://schemas.openxmlformats.org/officeDocument/2006/relationships/hyperlink" Target="https://techcombank.com/thong-tin/blog/thanh-toan-tien-internet-online" TargetMode="External"/><Relationship Id="rId174" Type="http://schemas.openxmlformats.org/officeDocument/2006/relationships/hyperlink" Target="https://techcombank.com/thong-tin/blog/mat-so-dien-thoai-dang-ky-tai-khoan-ngan-hang" TargetMode="External"/><Relationship Id="rId173" Type="http://schemas.openxmlformats.org/officeDocument/2006/relationships/hyperlink" Target="https://techcombank.com/thong-tin/blog/cach-nap-the-mobi" TargetMode="External"/><Relationship Id="rId179" Type="http://schemas.openxmlformats.org/officeDocument/2006/relationships/hyperlink" Target="https://techcombank.com/thong-tin/blog/cach-dong-tien-dien-qua-tai-khoan-ngan-hang" TargetMode="External"/><Relationship Id="rId178" Type="http://schemas.openxmlformats.org/officeDocument/2006/relationships/hyperlink" Target="https://techcombank.com/thong-tin/blog/tra-cuu-hoa-don-tien-dien" TargetMode="External"/><Relationship Id="rId177" Type="http://schemas.openxmlformats.org/officeDocument/2006/relationships/hyperlink" Target="https://techcombank.com/thong-tin/blog/gia-dien-sinh-hoat" TargetMode="External"/><Relationship Id="rId1910" Type="http://schemas.openxmlformats.org/officeDocument/2006/relationships/hyperlink" Target="https://techcombank.com/thong-tin/blog/vay-the-chap-khong-chung-minh-thu-nhap" TargetMode="External"/><Relationship Id="rId1911" Type="http://schemas.openxmlformats.org/officeDocument/2006/relationships/hyperlink" Target="https://techcombank.com/thong-tin/blog/vay-tra-gop" TargetMode="External"/><Relationship Id="rId1912" Type="http://schemas.openxmlformats.org/officeDocument/2006/relationships/hyperlink" Target="https://techcombank.com/thong-tin/blog/vay-the-chap-hop-dong-mua-ban-can-ho" TargetMode="External"/><Relationship Id="rId1913" Type="http://schemas.openxmlformats.org/officeDocument/2006/relationships/hyperlink" Target="https://techcombank.com/thong-tin/blog/nen-gui-tiet-kiem-6-thang-hay-1-nam" TargetMode="External"/><Relationship Id="rId1914" Type="http://schemas.openxmlformats.org/officeDocument/2006/relationships/hyperlink" Target="https://techcombank.com/thong-tin/blog/tai-sao-gui-tiet-kiem-online-lai-suat-cao-hon" TargetMode="External"/><Relationship Id="rId1915" Type="http://schemas.openxmlformats.org/officeDocument/2006/relationships/hyperlink" Target="https://techcombank.com/thong-tin/blog/co-nen-gui-tiet-kiem-ngan-hang" TargetMode="External"/><Relationship Id="rId1916" Type="http://schemas.openxmlformats.org/officeDocument/2006/relationships/hyperlink" Target="https://techcombank.com/thong-tin/blog/tien-gui-co-ky-han" TargetMode="External"/><Relationship Id="rId1917" Type="http://schemas.openxmlformats.org/officeDocument/2006/relationships/hyperlink" Target="https://techcombank.com/thong-tin/blog/so-sanh-gui-tiet-kiem-online-va-tai-quay" TargetMode="External"/><Relationship Id="rId1918" Type="http://schemas.openxmlformats.org/officeDocument/2006/relationships/hyperlink" Target="https://techcombank.com/thong-tin/blog/so-tiet-kiem-ngan-hang" TargetMode="External"/><Relationship Id="rId1919" Type="http://schemas.openxmlformats.org/officeDocument/2006/relationships/hyperlink" Target="https://techcombank.com/thong-tin/blog/quy-trinh-gui-tien-tiet-kiem" TargetMode="External"/><Relationship Id="rId1900" Type="http://schemas.openxmlformats.org/officeDocument/2006/relationships/hyperlink" Target="https://techcombank.com/thong-tin/blog/no-xau-mo-the-tin-dung-duoc-khong" TargetMode="External"/><Relationship Id="rId1901" Type="http://schemas.openxmlformats.org/officeDocument/2006/relationships/hyperlink" Target="https://techcombank.com/thong-tin/blog/no-xau-co-vay-the-chap-duoc-khong" TargetMode="External"/><Relationship Id="rId1902" Type="http://schemas.openxmlformats.org/officeDocument/2006/relationships/hyperlink" Target="https://techcombank.com/thong-tin/blog/han-muc-vay-the-chap-so-do" TargetMode="External"/><Relationship Id="rId1903" Type="http://schemas.openxmlformats.org/officeDocument/2006/relationships/hyperlink" Target="https://techcombank.com/thong-tin/blog/gui-tiet-kiem-online-co-rut-truoc-han-duoc-khong" TargetMode="External"/><Relationship Id="rId1904" Type="http://schemas.openxmlformats.org/officeDocument/2006/relationships/hyperlink" Target="https://techcombank.com/thong-tin/blog/phi-vay-the-chap" TargetMode="External"/><Relationship Id="rId1905" Type="http://schemas.openxmlformats.org/officeDocument/2006/relationships/hyperlink" Target="https://techcombank.com/thong-tin/blog/cac-hinh-thuc-cho-vay-tieu-dung" TargetMode="External"/><Relationship Id="rId1906" Type="http://schemas.openxmlformats.org/officeDocument/2006/relationships/hyperlink" Target="https://techcombank.com/thong-tin/blog/vay-the-chap-toi-da-duoc-bao-nhieu" TargetMode="External"/><Relationship Id="rId1907" Type="http://schemas.openxmlformats.org/officeDocument/2006/relationships/hyperlink" Target="https://techcombank.com/thong-tin/blog/dieu-kien-vay-the-chap" TargetMode="External"/><Relationship Id="rId1908" Type="http://schemas.openxmlformats.org/officeDocument/2006/relationships/hyperlink" Target="https://techcombank.com/thong-tin/blog/lai-suat-vay-mua-o-to" TargetMode="External"/><Relationship Id="rId1909" Type="http://schemas.openxmlformats.org/officeDocument/2006/relationships/hyperlink" Target="https://techcombank.com/thong-tin/blog/chung-chi-tien-gui-co-duoc-rut-truoc-han" TargetMode="External"/><Relationship Id="rId198" Type="http://schemas.openxmlformats.org/officeDocument/2006/relationships/hyperlink" Target="https://techcombank.com/thong-tin/blog/luong-huu" TargetMode="External"/><Relationship Id="rId197" Type="http://schemas.openxmlformats.org/officeDocument/2006/relationships/hyperlink" Target="https://techcombank.com/thong-tin/blog/sao-ke-luong" TargetMode="External"/><Relationship Id="rId196" Type="http://schemas.openxmlformats.org/officeDocument/2006/relationships/hyperlink" Target="https://techcombank.com/thong-tin/blog/dang-ky-ma-so-thue-ca-nhan" TargetMode="External"/><Relationship Id="rId195" Type="http://schemas.openxmlformats.org/officeDocument/2006/relationships/hyperlink" Target="https://techcombank.com/thong-tin/blog/hoan-thue-thu-nhap-ca-nhan" TargetMode="External"/><Relationship Id="rId199" Type="http://schemas.openxmlformats.org/officeDocument/2006/relationships/hyperlink" Target="https://techcombank.com/thong-tin/blog/cach-tinh-thue-ho-kinh-doanh-nho-le" TargetMode="External"/><Relationship Id="rId150" Type="http://schemas.openxmlformats.org/officeDocument/2006/relationships/hyperlink" Target="https://techcombank.com/thong-tin/blog/loi-nhuan" TargetMode="External"/><Relationship Id="rId149" Type="http://schemas.openxmlformats.org/officeDocument/2006/relationships/hyperlink" Target="https://techcombank.com/thong-tin/blog/khau-hao-la-gi" TargetMode="External"/><Relationship Id="rId148" Type="http://schemas.openxmlformats.org/officeDocument/2006/relationships/hyperlink" Target="https://techcombank.com/thong-tin/blog/chuan-bi-cho-doanh-nghiep-khoi-nghiep-truoc-nhung-thay-doi-ve-thue" TargetMode="External"/><Relationship Id="rId1090" Type="http://schemas.openxmlformats.org/officeDocument/2006/relationships/hyperlink" Target="https://techcombank.com/thong-tin/blog/no-xau-nhom-2" TargetMode="External"/><Relationship Id="rId1091" Type="http://schemas.openxmlformats.org/officeDocument/2006/relationships/hyperlink" Target="https://techcombank.com/thong-tin/blog/co-100-trieu-co-mua-nen-mua-tra-gop" TargetMode="External"/><Relationship Id="rId1092" Type="http://schemas.openxmlformats.org/officeDocument/2006/relationships/hyperlink" Target="https://techcombank.com/thong-tin/blog/dang-vay-tra-gop-co-vay-them-duoc-khong" TargetMode="External"/><Relationship Id="rId1093" Type="http://schemas.openxmlformats.org/officeDocument/2006/relationships/hyperlink" Target="https://techcombank.com/thong-tin/blog/vay-20-trieu" TargetMode="External"/><Relationship Id="rId1094" Type="http://schemas.openxmlformats.org/officeDocument/2006/relationships/hyperlink" Target="https://techcombank.com/thong-tin/blog/thanh-toan-toi-thieu-the-tin-dung" TargetMode="External"/><Relationship Id="rId143" Type="http://schemas.openxmlformats.org/officeDocument/2006/relationships/hyperlink" Target="https://techcombank.com/thong-tin/blog/chi-phi-mo-tai-khoan-ngan-hang-cho-cong-ty" TargetMode="External"/><Relationship Id="rId1095" Type="http://schemas.openxmlformats.org/officeDocument/2006/relationships/hyperlink" Target="https://techcombank.com/thong-tin/blog/qua-han-thanh-toan-the-tin-dung-1-ngay" TargetMode="External"/><Relationship Id="rId142" Type="http://schemas.openxmlformats.org/officeDocument/2006/relationships/hyperlink" Target="https://techcombank.com/thong-tin/blog/tai-khoan-cong-ty-co-chuyen-online-duoc-khong" TargetMode="External"/><Relationship Id="rId1096" Type="http://schemas.openxmlformats.org/officeDocument/2006/relationships/hyperlink" Target="https://techcombank.com/thong-tin/blog/sao-ke-the-tin-dung-la-gi" TargetMode="External"/><Relationship Id="rId141" Type="http://schemas.openxmlformats.org/officeDocument/2006/relationships/hyperlink" Target="https://techcombank.com/thong-tin/blog/mau-mo-tai-khoan-doanh-nghiep-techcombank" TargetMode="External"/><Relationship Id="rId1097" Type="http://schemas.openxmlformats.org/officeDocument/2006/relationships/hyperlink" Target="https://techcombank.com/thong-tin/blog/no-the-tin-dung-qua-han" TargetMode="External"/><Relationship Id="rId140" Type="http://schemas.openxmlformats.org/officeDocument/2006/relationships/hyperlink" Target="https://techcombank.com/thong-tin/blog/sao-ke-tai-khoan-doanh-nghiep" TargetMode="External"/><Relationship Id="rId1098" Type="http://schemas.openxmlformats.org/officeDocument/2006/relationships/hyperlink" Target="https://techcombank.com/thong-tin/blog/the-tin-dung-mien-lai-55-ngay" TargetMode="External"/><Relationship Id="rId147" Type="http://schemas.openxmlformats.org/officeDocument/2006/relationships/hyperlink" Target="https://techcombank.com/thong-tin/blog/cach-doc-bao-cao-tai-chinh" TargetMode="External"/><Relationship Id="rId1099" Type="http://schemas.openxmlformats.org/officeDocument/2006/relationships/hyperlink" Target="https://techcombank.com/thong-tin/blog/du-no-la-gi" TargetMode="External"/><Relationship Id="rId146" Type="http://schemas.openxmlformats.org/officeDocument/2006/relationships/hyperlink" Target="https://techcombank.com/thong-tin/blog/loi-nhuan-rong" TargetMode="External"/><Relationship Id="rId145" Type="http://schemas.openxmlformats.org/officeDocument/2006/relationships/hyperlink" Target="https://techcombank.com/thong-tin/blog/khau-hao" TargetMode="External"/><Relationship Id="rId144" Type="http://schemas.openxmlformats.org/officeDocument/2006/relationships/hyperlink" Target="https://techcombank.com/thong-tin/blog/nhung-chi-phi-khong-duoc-tru-khi-tinh-thue-tndn" TargetMode="External"/><Relationship Id="rId139" Type="http://schemas.openxmlformats.org/officeDocument/2006/relationships/hyperlink" Target="https://techcombank.com/thong-tin/blog/rut-tien-mat-tu-tai-khoan-doanh-nghiep" TargetMode="External"/><Relationship Id="rId138" Type="http://schemas.openxmlformats.org/officeDocument/2006/relationships/hyperlink" Target="https://techcombank.com/thong-tin/blog/tai-khoan-doanh-nghiep-co-the-khong" TargetMode="External"/><Relationship Id="rId137" Type="http://schemas.openxmlformats.org/officeDocument/2006/relationships/hyperlink" Target="https://techcombank.com/thong-tin/blog/dong-tai-khoan-ngan-hang-cong-ty" TargetMode="External"/><Relationship Id="rId1080" Type="http://schemas.openxmlformats.org/officeDocument/2006/relationships/hyperlink" Target="https://techcombank.com/thong-tin/blog/cic-la-gi" TargetMode="External"/><Relationship Id="rId1081" Type="http://schemas.openxmlformats.org/officeDocument/2006/relationships/hyperlink" Target="https://techcombank.com/thong-tin/blog/the-tin-dung-bi-khoa" TargetMode="External"/><Relationship Id="rId1082" Type="http://schemas.openxmlformats.org/officeDocument/2006/relationships/hyperlink" Target="https://techcombank.com/thong-tin/blog/no-xau-mo-the-tin-dung-duoc-khong" TargetMode="External"/><Relationship Id="rId1083" Type="http://schemas.openxmlformats.org/officeDocument/2006/relationships/hyperlink" Target="https://techcombank.com/thong-tin/blog/no-the-tin-dung-qua-han" TargetMode="External"/><Relationship Id="rId132" Type="http://schemas.openxmlformats.org/officeDocument/2006/relationships/hyperlink" Target="https://techcombank.com/thong-tin/blog/luu-y-khi-chuyen-tien-vao-tai-khoan-cong-ty" TargetMode="External"/><Relationship Id="rId1084" Type="http://schemas.openxmlformats.org/officeDocument/2006/relationships/hyperlink" Target="https://techcombank.com/thong-tin/blog/luu-y-khi-su-dung-the-tin-dung" TargetMode="External"/><Relationship Id="rId131" Type="http://schemas.openxmlformats.org/officeDocument/2006/relationships/hyperlink" Target="https://techcombank.com/thong-tin/blog/mo-tai-khoan-doanh-nghiep" TargetMode="External"/><Relationship Id="rId1085" Type="http://schemas.openxmlformats.org/officeDocument/2006/relationships/hyperlink" Target="https://techcombank.com/thong-tin/blog/han-muc-vay-the-chap-so-do" TargetMode="External"/><Relationship Id="rId130" Type="http://schemas.openxmlformats.org/officeDocument/2006/relationships/hyperlink" Target="https://techcombank.com/thong-tin/blog/thu-tuc-thanh-lap-doanh-nghiep" TargetMode="External"/><Relationship Id="rId1086" Type="http://schemas.openxmlformats.org/officeDocument/2006/relationships/hyperlink" Target="https://techcombank.com/thong-tin/blog/vay-tin-chap-no-xau" TargetMode="External"/><Relationship Id="rId1087" Type="http://schemas.openxmlformats.org/officeDocument/2006/relationships/hyperlink" Target="https://techcombank.com/thong-tin/blog/mua-nha-tra-gop-dua-truoc-100-trieu" TargetMode="External"/><Relationship Id="rId136" Type="http://schemas.openxmlformats.org/officeDocument/2006/relationships/hyperlink" Target="https://techcombank.com/thong-tin/blog/nop-tien-mat-vao-tai-khoan-cong-ty" TargetMode="External"/><Relationship Id="rId1088" Type="http://schemas.openxmlformats.org/officeDocument/2006/relationships/hyperlink" Target="https://techcombank.com/thong-tin/blog/dieu-kien-vay-the-chap" TargetMode="External"/><Relationship Id="rId135" Type="http://schemas.openxmlformats.org/officeDocument/2006/relationships/hyperlink" Target="https://techcombank.com/thong-tin/blog/tra-luong-tien-mat" TargetMode="External"/><Relationship Id="rId1089" Type="http://schemas.openxmlformats.org/officeDocument/2006/relationships/hyperlink" Target="https://techcombank.com/thong-tin/blog/vay-han-muc-la-gi" TargetMode="External"/><Relationship Id="rId134" Type="http://schemas.openxmlformats.org/officeDocument/2006/relationships/hyperlink" Target="https://techcombank.com/thong-tin/blog/tien-chuyen-vao-tai-khoan-co-bi-tinh-thue-khong" TargetMode="External"/><Relationship Id="rId133" Type="http://schemas.openxmlformats.org/officeDocument/2006/relationships/hyperlink" Target="https://techcombank.com/thong-tin/blog/cach-su-dung-tai-khoan-cong-ty" TargetMode="External"/><Relationship Id="rId172" Type="http://schemas.openxmlformats.org/officeDocument/2006/relationships/hyperlink" Target="https://techcombank.com/thong-tin/blog/cach-nap-the-vina" TargetMode="External"/><Relationship Id="rId171" Type="http://schemas.openxmlformats.org/officeDocument/2006/relationships/hyperlink" Target="https://techcombank.com/thong-tin/blog/thanh-toan-tra-sau-viettel-bang-tai-khoan-ngan-hang" TargetMode="External"/><Relationship Id="rId170" Type="http://schemas.openxmlformats.org/officeDocument/2006/relationships/hyperlink" Target="https://techcombank.com/thong-tin/blog/nap-tien-dien-thoai-online" TargetMode="External"/><Relationship Id="rId165" Type="http://schemas.openxmlformats.org/officeDocument/2006/relationships/hyperlink" Target="https://techcombank.com/thong-tin/blog/dau-co-va-dau-tu" TargetMode="External"/><Relationship Id="rId164" Type="http://schemas.openxmlformats.org/officeDocument/2006/relationships/hyperlink" Target="https://techcombank.com/thong-tin/blog/cach-tinh-loi-nhuan-chung-chi-tien-gui" TargetMode="External"/><Relationship Id="rId163" Type="http://schemas.openxmlformats.org/officeDocument/2006/relationships/hyperlink" Target="https://techcombank.com/thong-tin/blog/mua-chung-chi-quy" TargetMode="External"/><Relationship Id="rId162" Type="http://schemas.openxmlformats.org/officeDocument/2006/relationships/hyperlink" Target="https://techcombank.com/thong-tin/blog/danh-muc-dau-tu" TargetMode="External"/><Relationship Id="rId169" Type="http://schemas.openxmlformats.org/officeDocument/2006/relationships/hyperlink" Target="https://techcombank.com/thong-tin/blog/cach-nap-the" TargetMode="External"/><Relationship Id="rId168" Type="http://schemas.openxmlformats.org/officeDocument/2006/relationships/hyperlink" Target="https://techcombank.com/thong-tin/blog/ngoai-hoi-la-gi" TargetMode="External"/><Relationship Id="rId167" Type="http://schemas.openxmlformats.org/officeDocument/2006/relationships/hyperlink" Target="https://techcombank.com/thong-tin/blog/toi-uu-hoa-chi-phi-trong-doanh-nghiep" TargetMode="External"/><Relationship Id="rId166" Type="http://schemas.openxmlformats.org/officeDocument/2006/relationships/hyperlink" Target="https://techcombank.com/thong-tin/blog/co-50-trieu-nen-mua-vang-hay-gui-tiet-kiem" TargetMode="External"/><Relationship Id="rId161" Type="http://schemas.openxmlformats.org/officeDocument/2006/relationships/hyperlink" Target="https://techcombank.com/thong-tin/blog/ho-kinh-doanh-can-gi-o-tai-khoan-ngan-hang" TargetMode="External"/><Relationship Id="rId160" Type="http://schemas.openxmlformats.org/officeDocument/2006/relationships/hyperlink" Target="https://techcombank.com/thong-tin/blog/lai-suat-chung-chi-quy" TargetMode="External"/><Relationship Id="rId159" Type="http://schemas.openxmlformats.org/officeDocument/2006/relationships/hyperlink" Target="https://techcombank.com/thong-tin/blog/lai-suat-tiet-kiem" TargetMode="External"/><Relationship Id="rId154" Type="http://schemas.openxmlformats.org/officeDocument/2006/relationships/hyperlink" Target="https://techcombank.com/thong-tin/blog/thi-truong-trai-phieu-am-tro-lai-nha-dau-tu-san-sang-cho-nhung-co-hoi-sinh-loi-moi" TargetMode="External"/><Relationship Id="rId153" Type="http://schemas.openxmlformats.org/officeDocument/2006/relationships/hyperlink" Target="https://techcombank.com/thong-tin/blog/thue-thu-nhap-doanh-nghiep" TargetMode="External"/><Relationship Id="rId152" Type="http://schemas.openxmlformats.org/officeDocument/2006/relationships/hyperlink" Target="https://techcombank.com/thong-tin/blog/tim-hieu-ve-chinh-sach-thue-moi" TargetMode="External"/><Relationship Id="rId151" Type="http://schemas.openxmlformats.org/officeDocument/2006/relationships/hyperlink" Target="https://techcombank.com/thong-tin/blog/thue-doanh-nghiep" TargetMode="External"/><Relationship Id="rId158" Type="http://schemas.openxmlformats.org/officeDocument/2006/relationships/hyperlink" Target="https://techcombank.com/thong-tin/blog/gia-chung-chi-quy-la-gi" TargetMode="External"/><Relationship Id="rId157" Type="http://schemas.openxmlformats.org/officeDocument/2006/relationships/hyperlink" Target="https://techcombank.com/thong-tin/blog/nha-dau-tu-giao-dich-trai-phieu-truc-tuyen-tang-manh-tro-lai" TargetMode="External"/><Relationship Id="rId156" Type="http://schemas.openxmlformats.org/officeDocument/2006/relationships/hyperlink" Target="https://techcombank.com/thong-tin/blog/quan-ly-tai-chinh-doanh-nghiep-la-gi" TargetMode="External"/><Relationship Id="rId155" Type="http://schemas.openxmlformats.org/officeDocument/2006/relationships/hyperlink" Target="https://techcombank.com/thong-tin/blog/kinh-nghiem-mua-vang-tich-tru" TargetMode="External"/><Relationship Id="rId1972" Type="http://schemas.openxmlformats.org/officeDocument/2006/relationships/hyperlink" Target="https://techcombank.com/thong-tin/blog/lai-suat-tiet-kiem" TargetMode="External"/><Relationship Id="rId1973" Type="http://schemas.openxmlformats.org/officeDocument/2006/relationships/hyperlink" Target="https://techcombank.com/thong-tin/blog/co-nen-gui-tiet-kiem-online" TargetMode="External"/><Relationship Id="rId1974" Type="http://schemas.openxmlformats.org/officeDocument/2006/relationships/hyperlink" Target="https://techcombank.com/thong-tin/blog/gui-tiet-kiem-ngan-hang-van-la-lua-chon-an-toan-trong-thoi-ky-kinh-te-con-nhieu-bien-dong" TargetMode="External"/><Relationship Id="rId1975" Type="http://schemas.openxmlformats.org/officeDocument/2006/relationships/hyperlink" Target="https://techcombank.com/thong-tin/blog/cach-gui-tiet-kiem-online" TargetMode="External"/><Relationship Id="rId1976" Type="http://schemas.openxmlformats.org/officeDocument/2006/relationships/hyperlink" Target="https://techcombank.com/thong-tin/blog/gui-tien-ngan-hang-co-an-toan-khong" TargetMode="External"/><Relationship Id="rId1977" Type="http://schemas.openxmlformats.org/officeDocument/2006/relationships/hyperlink" Target="https://techcombank.com/thong-tin/blog/dau-tu-trai-phieu-doanh-nghiep-dung-ham-lai-suat-cao" TargetMode="External"/><Relationship Id="rId1978" Type="http://schemas.openxmlformats.org/officeDocument/2006/relationships/hyperlink" Target="https://techcombank.com/thong-tin/blog/nen-gui-tiet-kiem-6-thang-hay-1-nam" TargetMode="External"/><Relationship Id="rId1979" Type="http://schemas.openxmlformats.org/officeDocument/2006/relationships/hyperlink" Target="https://techcombank.com/thong-tin/blog/lai-suat-the-tin-dung" TargetMode="External"/><Relationship Id="rId1970" Type="http://schemas.openxmlformats.org/officeDocument/2006/relationships/hyperlink" Target="https://techcombank.com/thong-tin/blog/qua-han-thanh-toan-the-tin-dung-1-ngay" TargetMode="External"/><Relationship Id="rId1971" Type="http://schemas.openxmlformats.org/officeDocument/2006/relationships/hyperlink" Target="https://techcombank.com/thong-tin/blog/co-nen-gui-tiet-kiem-ngan-hang" TargetMode="External"/><Relationship Id="rId1961" Type="http://schemas.openxmlformats.org/officeDocument/2006/relationships/hyperlink" Target="https://techcombank.com/thong-tin/blog/cong-thuc-tinh-lai-suat-thuc" TargetMode="External"/><Relationship Id="rId1962" Type="http://schemas.openxmlformats.org/officeDocument/2006/relationships/hyperlink" Target="https://techcombank.com/thong-tin/blog/quy-trinh-gui-tien-tiet-kiem" TargetMode="External"/><Relationship Id="rId1963" Type="http://schemas.openxmlformats.org/officeDocument/2006/relationships/hyperlink" Target="https://techcombank.com/thong-tin/blog/gui-tiet-kiem-theo-ngay" TargetMode="External"/><Relationship Id="rId1964" Type="http://schemas.openxmlformats.org/officeDocument/2006/relationships/hyperlink" Target="https://techcombank.com/thong-tin/blog/gui-tiet-kiem-vang" TargetMode="External"/><Relationship Id="rId1965" Type="http://schemas.openxmlformats.org/officeDocument/2006/relationships/hyperlink" Target="https://techcombank.com/thong-tin/blog/nen-gui-tiet-kiem-thong-thuong-hay-tich-luy" TargetMode="External"/><Relationship Id="rId1966" Type="http://schemas.openxmlformats.org/officeDocument/2006/relationships/hyperlink" Target="https://techcombank.com/thong-tin/blog/tai-sao-gui-tiet-kiem-online-lai-suat-cao-hon" TargetMode="External"/><Relationship Id="rId1967" Type="http://schemas.openxmlformats.org/officeDocument/2006/relationships/hyperlink" Target="https://techcombank.com/thong-tin/blog/rui-ro-khi-vay-the-chap-ngan-hang" TargetMode="External"/><Relationship Id="rId1968" Type="http://schemas.openxmlformats.org/officeDocument/2006/relationships/hyperlink" Target="https://techcombank.com/thong-tin/blog/nen-de-tien-trong-the-hay-gui-tiet-kiem" TargetMode="External"/><Relationship Id="rId1969" Type="http://schemas.openxmlformats.org/officeDocument/2006/relationships/hyperlink" Target="https://techcombank.com/thong-tin/blog/lai-suat-vay-thau-chi" TargetMode="External"/><Relationship Id="rId1960" Type="http://schemas.openxmlformats.org/officeDocument/2006/relationships/hyperlink" Target="https://techcombank.com/thong-tin/blog/lai-suat-vay-kinh-doanh" TargetMode="External"/><Relationship Id="rId1510" Type="http://schemas.openxmlformats.org/officeDocument/2006/relationships/hyperlink" Target="https://techcombank.com/thong-tin/blog/bao-hiem-du-lich-quoc-te-nao-tot" TargetMode="External"/><Relationship Id="rId1994" Type="http://schemas.openxmlformats.org/officeDocument/2006/relationships/hyperlink" Target="https://techcombank.com/thong-tin/blog/lai-suat-vay-ngan-hang" TargetMode="External"/><Relationship Id="rId1511" Type="http://schemas.openxmlformats.org/officeDocument/2006/relationships/hyperlink" Target="https://techcombank.com/thong-tin/blog/dac-san-ha-long" TargetMode="External"/><Relationship Id="rId1995" Type="http://schemas.openxmlformats.org/officeDocument/2006/relationships/hyperlink" Target="https://techcombank.com/thong-tin/blog/gui-tiet-kiem-online-co-rut-truoc-han-duoc-khong" TargetMode="External"/><Relationship Id="rId1512" Type="http://schemas.openxmlformats.org/officeDocument/2006/relationships/hyperlink" Target="https://techcombank.com/thong-tin/blog/minigame-world-cup" TargetMode="External"/><Relationship Id="rId1996" Type="http://schemas.openxmlformats.org/officeDocument/2006/relationships/hyperlink" Target="https://techcombank.com/thong-tin/blog/gui-tiet-kiem-online-quay-vong-ca-goc-va-lai" TargetMode="External"/><Relationship Id="rId1513" Type="http://schemas.openxmlformats.org/officeDocument/2006/relationships/hyperlink" Target="https://techcombank.com/thong-tin/blog/voucher-winmart" TargetMode="External"/><Relationship Id="rId1997" Type="http://schemas.openxmlformats.org/officeDocument/2006/relationships/hyperlink" Target="https://techcombank.com/thong-tin/blog/chung-chi-tien-gui-khac-gi-so-tiet-kiem" TargetMode="External"/><Relationship Id="rId1514" Type="http://schemas.openxmlformats.org/officeDocument/2006/relationships/hyperlink" Target="https://techcombank.com/thong-tin/blog/bao-hiem-hanh-ly" TargetMode="External"/><Relationship Id="rId1998" Type="http://schemas.openxmlformats.org/officeDocument/2006/relationships/hyperlink" Target="https://techcombank.com/thong-tin/blog/dau-tu-dai-han" TargetMode="External"/><Relationship Id="rId1515" Type="http://schemas.openxmlformats.org/officeDocument/2006/relationships/hyperlink" Target="https://techcombank.com/thong-tin/blog/dac-san-da-nang" TargetMode="External"/><Relationship Id="rId1999" Type="http://schemas.openxmlformats.org/officeDocument/2006/relationships/hyperlink" Target="https://techcombank.com/thong-tin/blog/so-sanh-gui-tiet-kiem-online-va-tai-quay" TargetMode="External"/><Relationship Id="rId1516" Type="http://schemas.openxmlformats.org/officeDocument/2006/relationships/hyperlink" Target="https://techcombank.com/thong-tin/blog/dac-san-nha-trang" TargetMode="External"/><Relationship Id="rId1517" Type="http://schemas.openxmlformats.org/officeDocument/2006/relationships/hyperlink" Target="https://techcombank.com/thong-tin/blog/ban-do-du-lich" TargetMode="External"/><Relationship Id="rId1518" Type="http://schemas.openxmlformats.org/officeDocument/2006/relationships/hyperlink" Target="https://techcombank.com/thong-tin/blog/bib-techcombank" TargetMode="External"/><Relationship Id="rId1519" Type="http://schemas.openxmlformats.org/officeDocument/2006/relationships/hyperlink" Target="https://techcombank.com/thong-tin/blog/giao-thong-xanh" TargetMode="External"/><Relationship Id="rId1990" Type="http://schemas.openxmlformats.org/officeDocument/2006/relationships/hyperlink" Target="https://techcombank.com/thong-tin/blog/cach-tinh-lai-vay-ngan-hang" TargetMode="External"/><Relationship Id="rId1991" Type="http://schemas.openxmlformats.org/officeDocument/2006/relationships/hyperlink" Target="https://techcombank.com/thong-tin/blog/gui-tiet-kiem-online-bi-mat-tien" TargetMode="External"/><Relationship Id="rId1992" Type="http://schemas.openxmlformats.org/officeDocument/2006/relationships/hyperlink" Target="https://techcombank.com/thong-tin/blog/kinh-nghiem-gui-tiet-kiem-online" TargetMode="External"/><Relationship Id="rId1993" Type="http://schemas.openxmlformats.org/officeDocument/2006/relationships/hyperlink" Target="https://techcombank.com/thong-tin/blog/vay-thau-chi-bang-so-tiet-kiem" TargetMode="External"/><Relationship Id="rId1983" Type="http://schemas.openxmlformats.org/officeDocument/2006/relationships/hyperlink" Target="https://techcombank.com/thong-tin/blog/lai-suat-tha-noi" TargetMode="External"/><Relationship Id="rId1500" Type="http://schemas.openxmlformats.org/officeDocument/2006/relationships/hyperlink" Target="https://techcombank.com/thong-tin/blog/voucher-grab" TargetMode="External"/><Relationship Id="rId1984" Type="http://schemas.openxmlformats.org/officeDocument/2006/relationships/hyperlink" Target="https://techcombank.com/thong-tin/blog/lai-suat-vay-tieu-dung" TargetMode="External"/><Relationship Id="rId1501" Type="http://schemas.openxmlformats.org/officeDocument/2006/relationships/hyperlink" Target="https://techcombank.com/thong-tin/blog/dat-xe-xanh-sm" TargetMode="External"/><Relationship Id="rId1985" Type="http://schemas.openxmlformats.org/officeDocument/2006/relationships/hyperlink" Target="https://techcombank.com/thong-tin/blog/chon-kenh-dau-tu-an-toan-trong-boi-canh-thi-truong-bien-dong" TargetMode="External"/><Relationship Id="rId1502" Type="http://schemas.openxmlformats.org/officeDocument/2006/relationships/hyperlink" Target="https://techcombank.com/thong-tin/blog/shang-chi" TargetMode="External"/><Relationship Id="rId1986" Type="http://schemas.openxmlformats.org/officeDocument/2006/relationships/hyperlink" Target="https://techcombank.com/thong-tin/blog/gui-tiet-kiem-ngoai-te" TargetMode="External"/><Relationship Id="rId1503" Type="http://schemas.openxmlformats.org/officeDocument/2006/relationships/hyperlink" Target="https://techcombank.com/thong-tin/blog/tous-les-jours" TargetMode="External"/><Relationship Id="rId1987" Type="http://schemas.openxmlformats.org/officeDocument/2006/relationships/hyperlink" Target="https://techcombank.com/thong-tin/blog/lai-suat-ngan-hang-cho-vay-xay-nha" TargetMode="External"/><Relationship Id="rId1504" Type="http://schemas.openxmlformats.org/officeDocument/2006/relationships/hyperlink" Target="https://techcombank.com/thong-tin/blog/woomaster" TargetMode="External"/><Relationship Id="rId1988" Type="http://schemas.openxmlformats.org/officeDocument/2006/relationships/hyperlink" Target="https://techcombank.com/thong-tin/blog/rui-ro-khi-gui-tiet-kiem-ngan-hang" TargetMode="External"/><Relationship Id="rId1505" Type="http://schemas.openxmlformats.org/officeDocument/2006/relationships/hyperlink" Target="https://techcombank.com/thong-tin/blog/voucher-xanh-sm" TargetMode="External"/><Relationship Id="rId1989" Type="http://schemas.openxmlformats.org/officeDocument/2006/relationships/hyperlink" Target="https://techcombank.com/thong-tin/blog/tra-no-vay-thau-chi-nhu-the-nao" TargetMode="External"/><Relationship Id="rId1506" Type="http://schemas.openxmlformats.org/officeDocument/2006/relationships/hyperlink" Target="https://techcombank.com/thong-tin/blog/diem-loyalty-la-gi" TargetMode="External"/><Relationship Id="rId1507" Type="http://schemas.openxmlformats.org/officeDocument/2006/relationships/hyperlink" Target="https://techcombank.com/thong-tin/blog/thanh-toan-ve-may-bay-online" TargetMode="External"/><Relationship Id="rId1508" Type="http://schemas.openxmlformats.org/officeDocument/2006/relationships/hyperlink" Target="https://techcombank.com/thong-tin/blog/uu-dai-mua-ve-may-bay-bang-the-tin-dung" TargetMode="External"/><Relationship Id="rId1509" Type="http://schemas.openxmlformats.org/officeDocument/2006/relationships/hyperlink" Target="https://techcombank.com/thong-tin/blog/dac-san-hai-phong" TargetMode="External"/><Relationship Id="rId1980" Type="http://schemas.openxmlformats.org/officeDocument/2006/relationships/hyperlink" Target="https://techcombank.com/thong-tin/blog/gui-tiet-kiem-tich-luy-la-gi" TargetMode="External"/><Relationship Id="rId1981" Type="http://schemas.openxmlformats.org/officeDocument/2006/relationships/hyperlink" Target="https://techcombank.com/thong-tin/blog/lai-suat-vay-the-chap-so-do" TargetMode="External"/><Relationship Id="rId1982" Type="http://schemas.openxmlformats.org/officeDocument/2006/relationships/hyperlink" Target="https://techcombank.com/thong-tin/blog/rui-ro-khi-gui-tiet-kiem-online" TargetMode="External"/><Relationship Id="rId1930" Type="http://schemas.openxmlformats.org/officeDocument/2006/relationships/hyperlink" Target="https://techcombank.com/thong-tin/blog/gui-tien-ngan-hang-co-an-toan-khong" TargetMode="External"/><Relationship Id="rId1931" Type="http://schemas.openxmlformats.org/officeDocument/2006/relationships/hyperlink" Target="https://techcombank.com/thong-tin/blog/dau-tu-trai-phieu-doanh-nghiep-dung-ham-lai-suat-cao" TargetMode="External"/><Relationship Id="rId1932" Type="http://schemas.openxmlformats.org/officeDocument/2006/relationships/hyperlink" Target="https://techcombank.com/thong-tin/blog/casa-la-gi" TargetMode="External"/><Relationship Id="rId1933" Type="http://schemas.openxmlformats.org/officeDocument/2006/relationships/hyperlink" Target="https://techcombank.com/thong-tin/blog/gui-tiet-kiem-tich-luy-la-gi" TargetMode="External"/><Relationship Id="rId1934" Type="http://schemas.openxmlformats.org/officeDocument/2006/relationships/hyperlink" Target="https://techcombank.com/thong-tin/blog/gui-tiet-kiem-lay-lai-hang-thang" TargetMode="External"/><Relationship Id="rId1935" Type="http://schemas.openxmlformats.org/officeDocument/2006/relationships/hyperlink" Target="https://techcombank.com/thong-tin/blog/rui-ro-khi-gui-tiet-kiem-online" TargetMode="External"/><Relationship Id="rId1936" Type="http://schemas.openxmlformats.org/officeDocument/2006/relationships/hyperlink" Target="https://techcombank.com/thong-tin/blog/cach-tinh-lai-suat-tien-gui-tiet-kiem" TargetMode="External"/><Relationship Id="rId1937" Type="http://schemas.openxmlformats.org/officeDocument/2006/relationships/hyperlink" Target="https://techcombank.com/thong-tin/blog/chon-kenh-dau-tu-an-toan-trong-boi-canh-thi-truong-bien-dong" TargetMode="External"/><Relationship Id="rId1938" Type="http://schemas.openxmlformats.org/officeDocument/2006/relationships/hyperlink" Target="https://techcombank.com/thong-tin/blog/mo-so-tiet-kiem-can-bao-nhieu-tien" TargetMode="External"/><Relationship Id="rId1939" Type="http://schemas.openxmlformats.org/officeDocument/2006/relationships/hyperlink" Target="https://techcombank.com/thong-tin/blog/gui-tiet-kiem-ngoai-te" TargetMode="External"/><Relationship Id="rId1920" Type="http://schemas.openxmlformats.org/officeDocument/2006/relationships/hyperlink" Target="https://techcombank.com/thong-tin/blog/gui-tiet-kiem-theo-ngay" TargetMode="External"/><Relationship Id="rId1921" Type="http://schemas.openxmlformats.org/officeDocument/2006/relationships/hyperlink" Target="https://techcombank.com/thong-tin/blog/gui-tiet-kiem-vang" TargetMode="External"/><Relationship Id="rId1922" Type="http://schemas.openxmlformats.org/officeDocument/2006/relationships/hyperlink" Target="https://techcombank.com/thong-tin/blog/gia-cao-su" TargetMode="External"/><Relationship Id="rId1923" Type="http://schemas.openxmlformats.org/officeDocument/2006/relationships/hyperlink" Target="https://techcombank.com/thong-tin/blog/nen-gui-tiet-kiem-thong-thuong-hay-tich-luy" TargetMode="External"/><Relationship Id="rId1924" Type="http://schemas.openxmlformats.org/officeDocument/2006/relationships/hyperlink" Target="https://techcombank.com/thong-tin/blog/nen-de-tien-trong-the-hay-gui-tiet-kiem" TargetMode="External"/><Relationship Id="rId1925" Type="http://schemas.openxmlformats.org/officeDocument/2006/relationships/hyperlink" Target="https://techcombank.com/thong-tin/blog/tien-gui-khong-ky-han" TargetMode="External"/><Relationship Id="rId1926" Type="http://schemas.openxmlformats.org/officeDocument/2006/relationships/hyperlink" Target="https://techcombank.com/thong-tin/blog/vay-mua-nha-tra-gop" TargetMode="External"/><Relationship Id="rId1927" Type="http://schemas.openxmlformats.org/officeDocument/2006/relationships/hyperlink" Target="https://techcombank.com/thong-tin/blog/co-nen-gui-tiet-kiem-online" TargetMode="External"/><Relationship Id="rId1928" Type="http://schemas.openxmlformats.org/officeDocument/2006/relationships/hyperlink" Target="https://techcombank.com/thong-tin/blog/gui-tiet-kiem-ngan-hang-van-la-lua-chon-an-toan-trong-thoi-ky-kinh-te-con-nhieu-bien-dong" TargetMode="External"/><Relationship Id="rId1929" Type="http://schemas.openxmlformats.org/officeDocument/2006/relationships/hyperlink" Target="https://techcombank.com/thong-tin/blog/cach-gui-tiet-kiem-online" TargetMode="External"/><Relationship Id="rId1950" Type="http://schemas.openxmlformats.org/officeDocument/2006/relationships/hyperlink" Target="https://techcombank.com/thong-tin/blog/co-50-trieu-nen-mua-vang-hay-gui-tiet-kiem" TargetMode="External"/><Relationship Id="rId1951" Type="http://schemas.openxmlformats.org/officeDocument/2006/relationships/hyperlink" Target="https://techcombank.com/thong-tin/blog/lai-suat-cho-vay-doanh-nghiep" TargetMode="External"/><Relationship Id="rId1952" Type="http://schemas.openxmlformats.org/officeDocument/2006/relationships/hyperlink" Target="https://techcombank.com/thong-tin/blog/lai-suat-gui-tiet-kiem-usd" TargetMode="External"/><Relationship Id="rId1953" Type="http://schemas.openxmlformats.org/officeDocument/2006/relationships/hyperlink" Target="https://techcombank.com/thong-tin/blog/gui-tiet-kiem-usd" TargetMode="External"/><Relationship Id="rId1954" Type="http://schemas.openxmlformats.org/officeDocument/2006/relationships/hyperlink" Target="https://techcombank.com/thong-tin/blog/cach-tinh-ty-gia-ky-han" TargetMode="External"/><Relationship Id="rId1955" Type="http://schemas.openxmlformats.org/officeDocument/2006/relationships/hyperlink" Target="https://techcombank.com/thong-tin/blog/lai-kep-ngan-hang" TargetMode="External"/><Relationship Id="rId1956" Type="http://schemas.openxmlformats.org/officeDocument/2006/relationships/hyperlink" Target="https://techcombank.com/thong-tin/blog/gui-tiet-kiem-lay-lai-hang-thang" TargetMode="External"/><Relationship Id="rId1957" Type="http://schemas.openxmlformats.org/officeDocument/2006/relationships/hyperlink" Target="https://techcombank.com/thong-tin/blog/gui-tiet-kiem-hang-thang" TargetMode="External"/><Relationship Id="rId1958" Type="http://schemas.openxmlformats.org/officeDocument/2006/relationships/hyperlink" Target="https://techcombank.com/thong-tin/blog/tien-gui-khong-ky-han" TargetMode="External"/><Relationship Id="rId1959" Type="http://schemas.openxmlformats.org/officeDocument/2006/relationships/hyperlink" Target="https://techcombank.com/thong-tin/blog/dao-han-la-gi" TargetMode="External"/><Relationship Id="rId1940" Type="http://schemas.openxmlformats.org/officeDocument/2006/relationships/hyperlink" Target="https://techcombank.com/thong-tin/blog/rui-ro-khi-gui-tiet-kiem-ngan-hang" TargetMode="External"/><Relationship Id="rId1941" Type="http://schemas.openxmlformats.org/officeDocument/2006/relationships/hyperlink" Target="https://techcombank.com/thong-tin/blog/gui-tiet-kiem-hang-thang" TargetMode="External"/><Relationship Id="rId1942" Type="http://schemas.openxmlformats.org/officeDocument/2006/relationships/hyperlink" Target="https://techcombank.com/thong-tin/blog/xu-huong-dau-tu-trai-phieu-ky-han-duoi-mot-nam-lua-chon-an-toan-khi-thi-truong-bien-dong" TargetMode="External"/><Relationship Id="rId1943" Type="http://schemas.openxmlformats.org/officeDocument/2006/relationships/hyperlink" Target="https://techcombank.com/thong-tin/blog/gui-tiet-kiem-online-bi-mat-tien" TargetMode="External"/><Relationship Id="rId1944" Type="http://schemas.openxmlformats.org/officeDocument/2006/relationships/hyperlink" Target="https://techcombank.com/thong-tin/blog/kinh-nghiem-gui-tiet-kiem-online" TargetMode="External"/><Relationship Id="rId1945" Type="http://schemas.openxmlformats.org/officeDocument/2006/relationships/hyperlink" Target="https://techcombank.com/thong-tin/blog/gui-tiet-kiem-online-co-rut-truoc-han-duoc-khong" TargetMode="External"/><Relationship Id="rId1946" Type="http://schemas.openxmlformats.org/officeDocument/2006/relationships/hyperlink" Target="https://techcombank.com/thong-tin/blog/gui-tiet-kiem-online-quay-vong-ca-goc-va-lai" TargetMode="External"/><Relationship Id="rId1947" Type="http://schemas.openxmlformats.org/officeDocument/2006/relationships/hyperlink" Target="https://techcombank.com/thong-tin/blog/chung-chi-tien-gui-khac-gi-so-tiet-kiem" TargetMode="External"/><Relationship Id="rId1948" Type="http://schemas.openxmlformats.org/officeDocument/2006/relationships/hyperlink" Target="https://techcombank.com/thong-tin/blog/chung-chi-tien-gui-co-duoc-rut-truoc-han" TargetMode="External"/><Relationship Id="rId1949" Type="http://schemas.openxmlformats.org/officeDocument/2006/relationships/hyperlink" Target="https://techcombank.com/thong-tin/blog/cach-tiet-kiem-tien-sinh-loi" TargetMode="External"/><Relationship Id="rId1576" Type="http://schemas.openxmlformats.org/officeDocument/2006/relationships/hyperlink" Target="https://techcombank.com/thong-tin/blog/hoan-thue-thu-nhap-ca-nhan" TargetMode="External"/><Relationship Id="rId2423" Type="http://schemas.openxmlformats.org/officeDocument/2006/relationships/hyperlink" Target="https://techcombank.com/thong-tin/blog/no-chu-y-la-gi" TargetMode="External"/><Relationship Id="rId1577" Type="http://schemas.openxmlformats.org/officeDocument/2006/relationships/hyperlink" Target="https://techcombank.com/thong-tin/blog/dang-ky-kinh-doanh-la-gi" TargetMode="External"/><Relationship Id="rId2424" Type="http://schemas.openxmlformats.org/officeDocument/2006/relationships/hyperlink" Target="https://techcombank.com/thong-tin/blog/kiem-tra-no-xau" TargetMode="External"/><Relationship Id="rId1578" Type="http://schemas.openxmlformats.org/officeDocument/2006/relationships/hyperlink" Target="https://techcombank.com/thong-tin/blog/thay-doi-dia-chi-ho-kinh-doanh" TargetMode="External"/><Relationship Id="rId2425" Type="http://schemas.openxmlformats.org/officeDocument/2006/relationships/hyperlink" Target="https://techcombank.com/thong-tin/blog/no-xau" TargetMode="External"/><Relationship Id="rId1579" Type="http://schemas.openxmlformats.org/officeDocument/2006/relationships/hyperlink" Target="https://techcombank.com/thong-tin/blog/cach-dang-ky-ma-so-thue-ho-kinh-doanh-online" TargetMode="External"/><Relationship Id="rId2426" Type="http://schemas.openxmlformats.org/officeDocument/2006/relationships/hyperlink" Target="https://techcombank.com/thong-tin/blog/vay-tin-chap-va-vay-the-chap" TargetMode="External"/><Relationship Id="rId2427" Type="http://schemas.openxmlformats.org/officeDocument/2006/relationships/hyperlink" Target="https://techcombank.com/thong-tin/blog/no-xau-la-gi" TargetMode="External"/><Relationship Id="rId2428" Type="http://schemas.openxmlformats.org/officeDocument/2006/relationships/hyperlink" Target="https://techcombank.com/thong-tin/blog/qua-han-thanh-toan-the-tin-dung-1-ngay" TargetMode="External"/><Relationship Id="rId2429" Type="http://schemas.openxmlformats.org/officeDocument/2006/relationships/hyperlink" Target="https://techcombank.com/thong-tin/blog/no-xau-co-lam-the-visa-duoc-khong" TargetMode="External"/><Relationship Id="rId509" Type="http://schemas.openxmlformats.org/officeDocument/2006/relationships/hyperlink" Target="https://techcombank.com/thong-tin/blog/cach-doi-mat-khau-tai-khoan-ngan-hang" TargetMode="External"/><Relationship Id="rId508" Type="http://schemas.openxmlformats.org/officeDocument/2006/relationships/hyperlink" Target="https://techcombank.com/thong-tin/blog/cach-nop-thue-dien-tu" TargetMode="External"/><Relationship Id="rId503" Type="http://schemas.openxmlformats.org/officeDocument/2006/relationships/hyperlink" Target="https://techcombank.com/thong-tin/blog/tra-cuu-no-thue-doanh-nghiep" TargetMode="External"/><Relationship Id="rId987" Type="http://schemas.openxmlformats.org/officeDocument/2006/relationships/hyperlink" Target="https://techcombank.com/thong-tin/blog/tai-khoan-doanh-nghiep-co-the-khong" TargetMode="External"/><Relationship Id="rId502" Type="http://schemas.openxmlformats.org/officeDocument/2006/relationships/hyperlink" Target="https://techcombank.com/thong-tin/blog/ho-kinh-doanh-dong-thue-nhu-nao" TargetMode="External"/><Relationship Id="rId986" Type="http://schemas.openxmlformats.org/officeDocument/2006/relationships/hyperlink" Target="https://techcombank.com/thong-tin/blog/the-tin-dung-het-han" TargetMode="External"/><Relationship Id="rId501" Type="http://schemas.openxmlformats.org/officeDocument/2006/relationships/hyperlink" Target="https://techcombank.com/thong-tin/blog/ke-khai-thue-ho-kinh-doanh-ca-the-online" TargetMode="External"/><Relationship Id="rId985" Type="http://schemas.openxmlformats.org/officeDocument/2006/relationships/hyperlink" Target="https://techcombank.com/thong-tin/blog/the-tin-dung-bi-khoa" TargetMode="External"/><Relationship Id="rId500" Type="http://schemas.openxmlformats.org/officeDocument/2006/relationships/hyperlink" Target="https://techcombank.com/thong-tin/blog/nhung-ho-kinh-doanh-duoc-mien-thue" TargetMode="External"/><Relationship Id="rId984" Type="http://schemas.openxmlformats.org/officeDocument/2006/relationships/hyperlink" Target="https://techcombank.com/thong-tin/blog/cach-khoa-the-ngan-hang" TargetMode="External"/><Relationship Id="rId507" Type="http://schemas.openxmlformats.org/officeDocument/2006/relationships/hyperlink" Target="https://techcombank.com/thong-tin/blog/nop-thue-dat-qua-ngan-hang" TargetMode="External"/><Relationship Id="rId506" Type="http://schemas.openxmlformats.org/officeDocument/2006/relationships/hyperlink" Target="https://techcombank.com/thong-tin/blog/thue-thu-nhap-ca-nhan" TargetMode="External"/><Relationship Id="rId505" Type="http://schemas.openxmlformats.org/officeDocument/2006/relationships/hyperlink" Target="https://techcombank.com/thong-tin/blog/cach-tinh-thue-thu-nhap-ca-nhan-2025" TargetMode="External"/><Relationship Id="rId989" Type="http://schemas.openxmlformats.org/officeDocument/2006/relationships/hyperlink" Target="https://techcombank.com/thong-tin/blog/uu-dai-the-tin-dung-techcombank-signature" TargetMode="External"/><Relationship Id="rId504" Type="http://schemas.openxmlformats.org/officeDocument/2006/relationships/hyperlink" Target="https://techcombank.com/thong-tin/blog/tien-chuyen-vao-tai-khoan-co-bi-tinh-thue-khong" TargetMode="External"/><Relationship Id="rId988" Type="http://schemas.openxmlformats.org/officeDocument/2006/relationships/hyperlink" Target="https://techcombank.com/thong-tin/blog/mm-yy-la-gi" TargetMode="External"/><Relationship Id="rId1570" Type="http://schemas.openxmlformats.org/officeDocument/2006/relationships/hyperlink" Target="https://techcombank.com/thong-tin/blog/thu-tuc-vay-von-kinh-doanh-nho" TargetMode="External"/><Relationship Id="rId1571" Type="http://schemas.openxmlformats.org/officeDocument/2006/relationships/hyperlink" Target="https://techcombank.com/thong-tin/blog/kiem-tra-thue-ho-kinh-doanh" TargetMode="External"/><Relationship Id="rId983" Type="http://schemas.openxmlformats.org/officeDocument/2006/relationships/hyperlink" Target="https://techcombank.com/thong-tin/blog/khong-su-dung-the-tin-dung-co-mat-phi-khong" TargetMode="External"/><Relationship Id="rId1572" Type="http://schemas.openxmlformats.org/officeDocument/2006/relationships/hyperlink" Target="https://techcombank.com/thong-tin/blog/cac-sai-lam-pho-bien-khi-chuyen-doi-ho-kinh-doanh-len-sme" TargetMode="External"/><Relationship Id="rId982" Type="http://schemas.openxmlformats.org/officeDocument/2006/relationships/hyperlink" Target="https://techcombank.com/thong-tin/blog/phi-thuong-nien-la-gi" TargetMode="External"/><Relationship Id="rId1573" Type="http://schemas.openxmlformats.org/officeDocument/2006/relationships/hyperlink" Target="https://techcombank.com/thong-tin/blog/giay-phep-kinh-doanh" TargetMode="External"/><Relationship Id="rId2420" Type="http://schemas.openxmlformats.org/officeDocument/2006/relationships/hyperlink" Target="https://techcombank.com/thong-tin/blog/vay-san-xuat-kinh-doanh" TargetMode="External"/><Relationship Id="rId981" Type="http://schemas.openxmlformats.org/officeDocument/2006/relationships/hyperlink" Target="https://techcombank.com/thong-tin/blog/tai-khoan-ngan-hang-la-gi" TargetMode="External"/><Relationship Id="rId1574" Type="http://schemas.openxmlformats.org/officeDocument/2006/relationships/hyperlink" Target="https://techcombank.com/thong-tin/blog/tra-cuu-no-thue-ca-nhan" TargetMode="External"/><Relationship Id="rId2421" Type="http://schemas.openxmlformats.org/officeDocument/2006/relationships/hyperlink" Target="https://techcombank.com/thong-tin/blog/tin-chap-doanh-nghiep" TargetMode="External"/><Relationship Id="rId980" Type="http://schemas.openxmlformats.org/officeDocument/2006/relationships/hyperlink" Target="https://techcombank.com/thong-tin/blog/sang-ngang-the-tin-dung" TargetMode="External"/><Relationship Id="rId1575" Type="http://schemas.openxmlformats.org/officeDocument/2006/relationships/hyperlink" Target="https://techcombank.com/thong-tin/blog/chuyen-doi-hoa-don-dien-tu" TargetMode="External"/><Relationship Id="rId2422" Type="http://schemas.openxmlformats.org/officeDocument/2006/relationships/hyperlink" Target="https://techcombank.com/thong-tin/blog/nen-vay-tin-chap-o-dau" TargetMode="External"/><Relationship Id="rId1565" Type="http://schemas.openxmlformats.org/officeDocument/2006/relationships/hyperlink" Target="https://techcombank.com/thong-tin/blog/nen-thanh-lap-ho-kinh-doanh-ke-khai-hay-doanh-nghiep" TargetMode="External"/><Relationship Id="rId2412" Type="http://schemas.openxmlformats.org/officeDocument/2006/relationships/hyperlink" Target="https://techcombank.com/thong-tin/blog/no-the-tin-dung-qua-han" TargetMode="External"/><Relationship Id="rId1566" Type="http://schemas.openxmlformats.org/officeDocument/2006/relationships/hyperlink" Target="https://techcombank.com/thong-tin/blog/due-diligence" TargetMode="External"/><Relationship Id="rId2413" Type="http://schemas.openxmlformats.org/officeDocument/2006/relationships/hyperlink" Target="https://techcombank.com/thong-tin/blog/vay-tin-chap-la-gi" TargetMode="External"/><Relationship Id="rId1567" Type="http://schemas.openxmlformats.org/officeDocument/2006/relationships/hyperlink" Target="https://techcombank.com/thong-tin/blog/vay-tin-chap-ho-kinh-doanh" TargetMode="External"/><Relationship Id="rId2414" Type="http://schemas.openxmlformats.org/officeDocument/2006/relationships/hyperlink" Target="https://techcombank.com/thong-tin/blog/tat-toan" TargetMode="External"/><Relationship Id="rId1568" Type="http://schemas.openxmlformats.org/officeDocument/2006/relationships/hyperlink" Target="https://techcombank.com/thong-tin/blog/tra-cuu-no-thue-ho-kinh-doanh" TargetMode="External"/><Relationship Id="rId2415" Type="http://schemas.openxmlformats.org/officeDocument/2006/relationships/hyperlink" Target="https://techcombank.com/thong-tin/blog/du-no-la-gi" TargetMode="External"/><Relationship Id="rId1569" Type="http://schemas.openxmlformats.org/officeDocument/2006/relationships/hyperlink" Target="https://techcombank.com/thong-tin/blog/lien-ket-tai-khoan-ngan-hang-voi-etax-mobile" TargetMode="External"/><Relationship Id="rId2416" Type="http://schemas.openxmlformats.org/officeDocument/2006/relationships/hyperlink" Target="https://techcombank.com/thong-tin/blog/vay-tin-chap-ho-kinh-doanh" TargetMode="External"/><Relationship Id="rId2417" Type="http://schemas.openxmlformats.org/officeDocument/2006/relationships/hyperlink" Target="https://techcombank.com/thong-tin/blog/vay-tin-chap-cho-doanh-nghiep-moi-thanh-lap" TargetMode="External"/><Relationship Id="rId2418" Type="http://schemas.openxmlformats.org/officeDocument/2006/relationships/hyperlink" Target="https://techcombank.com/thong-tin/blog/thu-tuc-vay-von-kinh-doanh-nho" TargetMode="External"/><Relationship Id="rId2419" Type="http://schemas.openxmlformats.org/officeDocument/2006/relationships/hyperlink" Target="https://techcombank.com/thong-tin/blog/cac-hinh-thuc-vay-von-ngan-hang" TargetMode="External"/><Relationship Id="rId976" Type="http://schemas.openxmlformats.org/officeDocument/2006/relationships/hyperlink" Target="https://techcombank.com/thong-tin/blog/uu-dai-mua-iphone-18" TargetMode="External"/><Relationship Id="rId975" Type="http://schemas.openxmlformats.org/officeDocument/2006/relationships/hyperlink" Target="https://techcombank.com/thong-tin/blog/the-ghi-no-visa-la-gi" TargetMode="External"/><Relationship Id="rId974" Type="http://schemas.openxmlformats.org/officeDocument/2006/relationships/hyperlink" Target="https://techcombank.com/thong-tin/blog/no-xau-nhom-2" TargetMode="External"/><Relationship Id="rId973" Type="http://schemas.openxmlformats.org/officeDocument/2006/relationships/hyperlink" Target="https://techcombank.com/thong-tin/blog/so-luong-the-tin-dung-noi-dia-dang-luu-hanh-da-tang-42-so-voi-cung-ky-nam-2022" TargetMode="External"/><Relationship Id="rId979" Type="http://schemas.openxmlformats.org/officeDocument/2006/relationships/hyperlink" Target="https://techcombank.com/thong-tin/blog/han-muc-tra-gop-the-tin-dung" TargetMode="External"/><Relationship Id="rId978" Type="http://schemas.openxmlformats.org/officeDocument/2006/relationships/hyperlink" Target="https://techcombank.com/thong-tin/blog/so-the-tin-dung" TargetMode="External"/><Relationship Id="rId977" Type="http://schemas.openxmlformats.org/officeDocument/2006/relationships/hyperlink" Target="https://techcombank.com/thong-tin/blog/khong-su-dung-the-tin-dung-co-mat-phi-khong" TargetMode="External"/><Relationship Id="rId1560" Type="http://schemas.openxmlformats.org/officeDocument/2006/relationships/hyperlink" Target="https://techcombank.com/thong-tin/blog/chuyen-doi-ho-kinh-doanh-len-doanh-nghiep" TargetMode="External"/><Relationship Id="rId972" Type="http://schemas.openxmlformats.org/officeDocument/2006/relationships/hyperlink" Target="https://techcombank.com/thong-tin/blog/rut-tien-mat-tu-the-tin-dung" TargetMode="External"/><Relationship Id="rId1561" Type="http://schemas.openxmlformats.org/officeDocument/2006/relationships/hyperlink" Target="https://techcombank.com/thong-tin/blog/thanh-toan-khong-dung-tien-mat" TargetMode="External"/><Relationship Id="rId971" Type="http://schemas.openxmlformats.org/officeDocument/2006/relationships/hyperlink" Target="https://techcombank.com/thong-tin/blog/the-tin-dung-phu-la-gi" TargetMode="External"/><Relationship Id="rId1562" Type="http://schemas.openxmlformats.org/officeDocument/2006/relationships/hyperlink" Target="https://techcombank.com/thong-tin/blog/mo-tai-khoan-ho-kinh-doanh" TargetMode="External"/><Relationship Id="rId970" Type="http://schemas.openxmlformats.org/officeDocument/2006/relationships/hyperlink" Target="https://techcombank.com/thong-tin/blog/the-tin-dung-vip" TargetMode="External"/><Relationship Id="rId1563" Type="http://schemas.openxmlformats.org/officeDocument/2006/relationships/hyperlink" Target="https://techcombank.com/thong-tin/blog/nhung-chi-phi-khong-duoc-tru-khi-tinh-thue-tndn" TargetMode="External"/><Relationship Id="rId2410" Type="http://schemas.openxmlformats.org/officeDocument/2006/relationships/hyperlink" Target="https://techcombank.com/thong-tin/blog/vay-the-chap-khong-tra-duoc" TargetMode="External"/><Relationship Id="rId1564" Type="http://schemas.openxmlformats.org/officeDocument/2006/relationships/hyperlink" Target="https://techcombank.com/thong-tin/blog/giai-dap-ve-thue-doanh-nghiep" TargetMode="External"/><Relationship Id="rId2411" Type="http://schemas.openxmlformats.org/officeDocument/2006/relationships/hyperlink" Target="https://techcombank.com/thong-tin/blog/lai-suat-qua-han" TargetMode="External"/><Relationship Id="rId1114" Type="http://schemas.openxmlformats.org/officeDocument/2006/relationships/hyperlink" Target="https://techcombank.com/thong-tin/blog/tra-cuu-han-muc-the-tin-dung" TargetMode="External"/><Relationship Id="rId1598" Type="http://schemas.openxmlformats.org/officeDocument/2006/relationships/hyperlink" Target="https://techcombank.com/thong-tin/blog/dong-ma-so-thue-ho-kinh-doanh" TargetMode="External"/><Relationship Id="rId2445" Type="http://schemas.openxmlformats.org/officeDocument/2006/relationships/hyperlink" Target="https://techcombank.com/thong-tin/blog/mua-chung-chi-quy" TargetMode="External"/><Relationship Id="rId1115" Type="http://schemas.openxmlformats.org/officeDocument/2006/relationships/hyperlink" Target="https://techcombank.com/thong-tin/blog/the-ghi-no-va-the-tin-dung" TargetMode="External"/><Relationship Id="rId1599" Type="http://schemas.openxmlformats.org/officeDocument/2006/relationships/hyperlink" Target="https://techcombank.com/thong-tin/blog/thue-doanh-nghiep" TargetMode="External"/><Relationship Id="rId2446" Type="http://schemas.openxmlformats.org/officeDocument/2006/relationships/hyperlink" Target="https://techcombank.com/thong-tin/blog/dau-tu-quy-mo" TargetMode="External"/><Relationship Id="rId1116" Type="http://schemas.openxmlformats.org/officeDocument/2006/relationships/hyperlink" Target="https://techcombank.com/thong-tin/blog/the-tin-dung-het-han" TargetMode="External"/><Relationship Id="rId2447" Type="http://schemas.openxmlformats.org/officeDocument/2006/relationships/hyperlink" Target="https://techcombank.com/thong-tin/blog/app-theo-doi-chung-chi-quy" TargetMode="External"/><Relationship Id="rId1117" Type="http://schemas.openxmlformats.org/officeDocument/2006/relationships/hyperlink" Target="https://techcombank.com/thong-tin/blog/cach-huy-the-tin-dung" TargetMode="External"/><Relationship Id="rId2448" Type="http://schemas.openxmlformats.org/officeDocument/2006/relationships/hyperlink" Target="https://techcombank.com/thong-tin/blog/chung-chi-quy-va-co-phieu" TargetMode="External"/><Relationship Id="rId1118" Type="http://schemas.openxmlformats.org/officeDocument/2006/relationships/hyperlink" Target="https://techcombank.com/thong-tin/blog/co-nen-dung-the-tin-dung-khong" TargetMode="External"/><Relationship Id="rId2449" Type="http://schemas.openxmlformats.org/officeDocument/2006/relationships/hyperlink" Target="https://techcombank.com/thong-tin/blog/wacc-la-gi" TargetMode="External"/><Relationship Id="rId1119" Type="http://schemas.openxmlformats.org/officeDocument/2006/relationships/hyperlink" Target="https://techcombank.com/thong-tin/blog/ma-buu-chinh-the-tin-dung" TargetMode="External"/><Relationship Id="rId525" Type="http://schemas.openxmlformats.org/officeDocument/2006/relationships/hyperlink" Target="https://techcombank.com/thong-tin/blog/cach-thanh-toan-the-tin-dung" TargetMode="External"/><Relationship Id="rId524" Type="http://schemas.openxmlformats.org/officeDocument/2006/relationships/hyperlink" Target="https://techcombank.com/thong-tin/blog/vay-ngan-hang-1-ty-moi-thang-tra-bao-nhieu" TargetMode="External"/><Relationship Id="rId523" Type="http://schemas.openxmlformats.org/officeDocument/2006/relationships/hyperlink" Target="https://techcombank.com/thong-tin/blog/ngan-hang-thu-huong-la-gi" TargetMode="External"/><Relationship Id="rId522" Type="http://schemas.openxmlformats.org/officeDocument/2006/relationships/hyperlink" Target="https://techcombank.com/thong-tin/blog/ma-otp-la-gi" TargetMode="External"/><Relationship Id="rId529" Type="http://schemas.openxmlformats.org/officeDocument/2006/relationships/hyperlink" Target="https://techcombank.com/thong-tin/blog/thanh-toan-tien-dien-bang-the-tin-dung" TargetMode="External"/><Relationship Id="rId528" Type="http://schemas.openxmlformats.org/officeDocument/2006/relationships/hyperlink" Target="https://techcombank.com/thong-tin/blog/cach-khoa-the-ngan-hang" TargetMode="External"/><Relationship Id="rId527" Type="http://schemas.openxmlformats.org/officeDocument/2006/relationships/hyperlink" Target="https://techcombank.com/thong-tin/blog/cach-nap-tien-vao-the-ghi-no" TargetMode="External"/><Relationship Id="rId526" Type="http://schemas.openxmlformats.org/officeDocument/2006/relationships/hyperlink" Target="https://techcombank.com/thong-tin/blog/cach-gui-tiet-kiem-online" TargetMode="External"/><Relationship Id="rId1590" Type="http://schemas.openxmlformats.org/officeDocument/2006/relationships/hyperlink" Target="https://techcombank.com/thong-tin/blog/ke-khai-thue-ho-kinh-doanh-ca-the-online" TargetMode="External"/><Relationship Id="rId1591" Type="http://schemas.openxmlformats.org/officeDocument/2006/relationships/hyperlink" Target="https://techcombank.com/thong-tin/blog/vay-the-chap-kinh-doanh" TargetMode="External"/><Relationship Id="rId1592" Type="http://schemas.openxmlformats.org/officeDocument/2006/relationships/hyperlink" Target="https://techcombank.com/thong-tin/blog/thue-thuong-mai-dien-tu" TargetMode="External"/><Relationship Id="rId1593" Type="http://schemas.openxmlformats.org/officeDocument/2006/relationships/hyperlink" Target="https://techcombank.com/thong-tin/blog/hieu-hiet-ve-tuan-thu-thue-cho-cac-doanh-nghiep-khoi-nghiep" TargetMode="External"/><Relationship Id="rId2440" Type="http://schemas.openxmlformats.org/officeDocument/2006/relationships/hyperlink" Target="https://techcombank.com/thong-tin/blog/no-xau-nhom-2" TargetMode="External"/><Relationship Id="rId521" Type="http://schemas.openxmlformats.org/officeDocument/2006/relationships/hyperlink" Target="https://techcombank.com/thong-tin/blog/lo-ma-qr-ngan-hang-co-sao-khong" TargetMode="External"/><Relationship Id="rId1110" Type="http://schemas.openxmlformats.org/officeDocument/2006/relationships/hyperlink" Target="https://techcombank.com/thong-tin/blog/cach-lam-the-ngan-hang-chay-quang-cao-facebook" TargetMode="External"/><Relationship Id="rId1594" Type="http://schemas.openxmlformats.org/officeDocument/2006/relationships/hyperlink" Target="https://techcombank.com/thong-tin/blog/khai-bao-tai-khoan-ngan-hang-voi-co-quan-thue" TargetMode="External"/><Relationship Id="rId2441" Type="http://schemas.openxmlformats.org/officeDocument/2006/relationships/hyperlink" Target="https://techcombank.com/thong-tin/blog/lai-suat-vay-tin-chap" TargetMode="External"/><Relationship Id="rId520" Type="http://schemas.openxmlformats.org/officeDocument/2006/relationships/hyperlink" Target="https://techcombank.com/thong-tin/blog/lo-so-tai-khoan-ngan-hang-co-sao-khong" TargetMode="External"/><Relationship Id="rId1111" Type="http://schemas.openxmlformats.org/officeDocument/2006/relationships/hyperlink" Target="https://techcombank.com/thong-tin/blog/mua-iphone-17" TargetMode="External"/><Relationship Id="rId1595" Type="http://schemas.openxmlformats.org/officeDocument/2006/relationships/hyperlink" Target="https://techcombank.com/thong-tin/blog/loi-nhuan" TargetMode="External"/><Relationship Id="rId2442" Type="http://schemas.openxmlformats.org/officeDocument/2006/relationships/hyperlink" Target="https://techcombank.com/thong-tin/blog/vay-tra-gop" TargetMode="External"/><Relationship Id="rId1112" Type="http://schemas.openxmlformats.org/officeDocument/2006/relationships/hyperlink" Target="https://techcombank.com/thong-tin/blog/the-visa-co-can-mat-khau-khong" TargetMode="External"/><Relationship Id="rId1596" Type="http://schemas.openxmlformats.org/officeDocument/2006/relationships/hyperlink" Target="https://techcombank.com/thong-tin/blog/hoa-don-dien-tu-ho-kinh-doanh" TargetMode="External"/><Relationship Id="rId2443" Type="http://schemas.openxmlformats.org/officeDocument/2006/relationships/hyperlink" Target="https://techcombank.com/thong-tin/blog/vay-20-trieu" TargetMode="External"/><Relationship Id="rId1113" Type="http://schemas.openxmlformats.org/officeDocument/2006/relationships/hyperlink" Target="https://techcombank.com/thong-tin/blog/mua-truoc-tra-sau" TargetMode="External"/><Relationship Id="rId1597" Type="http://schemas.openxmlformats.org/officeDocument/2006/relationships/hyperlink" Target="https://techcombank.com/thong-tin/blog/chuan-bi-cho-doanh-nghiep-khoi-nghiep-truoc-nhung-thay-doi-ve-thue" TargetMode="External"/><Relationship Id="rId2444" Type="http://schemas.openxmlformats.org/officeDocument/2006/relationships/hyperlink" Target="https://techcombank.com/thong-tin/blog/chung-chi-quy" TargetMode="External"/><Relationship Id="rId1103" Type="http://schemas.openxmlformats.org/officeDocument/2006/relationships/hyperlink" Target="https://techcombank.com/thong-tin/blog/uu-dai-the-tin-dung-techcombank-signature" TargetMode="External"/><Relationship Id="rId1587" Type="http://schemas.openxmlformats.org/officeDocument/2006/relationships/hyperlink" Target="https://techcombank.com/thong-tin/blog/chinh-sach-thue-moi" TargetMode="External"/><Relationship Id="rId2434" Type="http://schemas.openxmlformats.org/officeDocument/2006/relationships/hyperlink" Target="https://techcombank.com/thong-tin/blog/vay-200-trieu" TargetMode="External"/><Relationship Id="rId1104" Type="http://schemas.openxmlformats.org/officeDocument/2006/relationships/hyperlink" Target="https://techcombank.com/thong-tin/blog/cac-loai-the-tin-dung" TargetMode="External"/><Relationship Id="rId1588" Type="http://schemas.openxmlformats.org/officeDocument/2006/relationships/hyperlink" Target="https://techcombank.com/thong-tin/blog/hoa-don-dien-tu" TargetMode="External"/><Relationship Id="rId2435" Type="http://schemas.openxmlformats.org/officeDocument/2006/relationships/hyperlink" Target="https://techcombank.com/thong-tin/blog/the-tin-dung-bi-khoa" TargetMode="External"/><Relationship Id="rId1105" Type="http://schemas.openxmlformats.org/officeDocument/2006/relationships/hyperlink" Target="https://techcombank.com/thong-tin/blog/the-tin-dung-mien-phi-thuong-nien" TargetMode="External"/><Relationship Id="rId1589" Type="http://schemas.openxmlformats.org/officeDocument/2006/relationships/hyperlink" Target="https://techcombank.com/thong-tin/blog/luat-thuong-mai-dien-tu" TargetMode="External"/><Relationship Id="rId2436" Type="http://schemas.openxmlformats.org/officeDocument/2006/relationships/hyperlink" Target="https://techcombank.com/thong-tin/blog/no-xau-mo-the-tin-dung-duoc-khong" TargetMode="External"/><Relationship Id="rId1106" Type="http://schemas.openxmlformats.org/officeDocument/2006/relationships/hyperlink" Target="https://techcombank.com/thong-tin/blog/uu-dai-mua-ve-may-bay-bang-the-tin-dung" TargetMode="External"/><Relationship Id="rId2437" Type="http://schemas.openxmlformats.org/officeDocument/2006/relationships/hyperlink" Target="https://techcombank.com/thong-tin/blog/no-xau-co-vay-the-chap-duoc-khong" TargetMode="External"/><Relationship Id="rId1107" Type="http://schemas.openxmlformats.org/officeDocument/2006/relationships/hyperlink" Target="https://techcombank.com/thong-tin/blog/mat-the-tin-dung-co-bi-mat-tien-khong" TargetMode="External"/><Relationship Id="rId2438" Type="http://schemas.openxmlformats.org/officeDocument/2006/relationships/hyperlink" Target="https://techcombank.com/thong-tin/blog/vay-tin-chap-no-xau" TargetMode="External"/><Relationship Id="rId1108" Type="http://schemas.openxmlformats.org/officeDocument/2006/relationships/hyperlink" Target="https://techcombank.com/thong-tin/blog/so-cvv-la-gi" TargetMode="External"/><Relationship Id="rId2439" Type="http://schemas.openxmlformats.org/officeDocument/2006/relationships/hyperlink" Target="https://techcombank.com/thong-tin/blog/cac-hinh-thuc-cho-vay-tieu-dung" TargetMode="External"/><Relationship Id="rId1109" Type="http://schemas.openxmlformats.org/officeDocument/2006/relationships/hyperlink" Target="https://techcombank.com/thong-tin/blog/the-tin-dung-nao-nhieu-uu-dai-nhat" TargetMode="External"/><Relationship Id="rId519" Type="http://schemas.openxmlformats.org/officeDocument/2006/relationships/hyperlink" Target="https://techcombank.com/thong-tin/blog/the-visa-co-can-mat-khau-khong" TargetMode="External"/><Relationship Id="rId514" Type="http://schemas.openxmlformats.org/officeDocument/2006/relationships/hyperlink" Target="https://techcombank.com/thong-tin/blog/gui-ma-qr-ngan-hang" TargetMode="External"/><Relationship Id="rId998" Type="http://schemas.openxmlformats.org/officeDocument/2006/relationships/hyperlink" Target="https://techcombank.com/thong-tin/blog/the-visa-co-can-mat-khau-khong" TargetMode="External"/><Relationship Id="rId513" Type="http://schemas.openxmlformats.org/officeDocument/2006/relationships/hyperlink" Target="https://techcombank.com/thong-tin/blog/mat-so-dien-thoai-dang-ky-tai-khoan-ngan-hang" TargetMode="External"/><Relationship Id="rId997" Type="http://schemas.openxmlformats.org/officeDocument/2006/relationships/hyperlink" Target="https://techcombank.com/thong-tin/blog/mua-iphone-17" TargetMode="External"/><Relationship Id="rId512" Type="http://schemas.openxmlformats.org/officeDocument/2006/relationships/hyperlink" Target="https://techcombank.com/thong-tin/blog/smart-otp-la-gi" TargetMode="External"/><Relationship Id="rId996" Type="http://schemas.openxmlformats.org/officeDocument/2006/relationships/hyperlink" Target="https://techcombank.com/thong-tin/blog/cach-lam-the-ngan-hang-chay-quang-cao-facebook" TargetMode="External"/><Relationship Id="rId511" Type="http://schemas.openxmlformats.org/officeDocument/2006/relationships/hyperlink" Target="https://techcombank.com/thong-tin/blog/cach-bao-ve-tai-khoan" TargetMode="External"/><Relationship Id="rId995" Type="http://schemas.openxmlformats.org/officeDocument/2006/relationships/hyperlink" Target="https://techcombank.com/thong-tin/blog/the-tin-dung-nao-nhieu-uu-dai-nhat" TargetMode="External"/><Relationship Id="rId518" Type="http://schemas.openxmlformats.org/officeDocument/2006/relationships/hyperlink" Target="https://techcombank.com/thong-tin/blog/cach-lam-the-atm" TargetMode="External"/><Relationship Id="rId517" Type="http://schemas.openxmlformats.org/officeDocument/2006/relationships/hyperlink" Target="https://techcombank.com/thong-tin/blog/thanh-toan-ve-may-bay-online" TargetMode="External"/><Relationship Id="rId516" Type="http://schemas.openxmlformats.org/officeDocument/2006/relationships/hyperlink" Target="https://techcombank.com/thong-tin/blog/cach-kiem-tra-tai-khoan-ngan-hang-cua-cong-ty" TargetMode="External"/><Relationship Id="rId515" Type="http://schemas.openxmlformats.org/officeDocument/2006/relationships/hyperlink" Target="https://techcombank.com/thong-tin/blog/so-du-kha-dung" TargetMode="External"/><Relationship Id="rId999" Type="http://schemas.openxmlformats.org/officeDocument/2006/relationships/hyperlink" Target="https://techcombank.com/thong-tin/blog/mua-truoc-tra-sau" TargetMode="External"/><Relationship Id="rId990" Type="http://schemas.openxmlformats.org/officeDocument/2006/relationships/hyperlink" Target="https://techcombank.com/thong-tin/blog/cac-loai-the-tin-dung" TargetMode="External"/><Relationship Id="rId1580" Type="http://schemas.openxmlformats.org/officeDocument/2006/relationships/hyperlink" Target="https://techcombank.com/thong-tin/blog/luu-y-khi-chuyen-doi-tu-ho-kinh-doanh-len-doanh-nghiep" TargetMode="External"/><Relationship Id="rId1581" Type="http://schemas.openxmlformats.org/officeDocument/2006/relationships/hyperlink" Target="https://techcombank.com/thong-tin/blog/cach-kiem-tra-tai-khoan-ngan-hang-cua-cong-ty" TargetMode="External"/><Relationship Id="rId1582" Type="http://schemas.openxmlformats.org/officeDocument/2006/relationships/hyperlink" Target="https://techcombank.com/thong-tin/blog/kiem-tra-ma-so-thue-doanh-nghiep" TargetMode="External"/><Relationship Id="rId510" Type="http://schemas.openxmlformats.org/officeDocument/2006/relationships/hyperlink" Target="https://techcombank.com/thong-tin/blog/internet-banking" TargetMode="External"/><Relationship Id="rId994" Type="http://schemas.openxmlformats.org/officeDocument/2006/relationships/hyperlink" Target="https://techcombank.com/thong-tin/blog/so-cvv-la-gi" TargetMode="External"/><Relationship Id="rId1583" Type="http://schemas.openxmlformats.org/officeDocument/2006/relationships/hyperlink" Target="https://techcombank.com/thong-tin/blog/barcode-la-gi" TargetMode="External"/><Relationship Id="rId2430" Type="http://schemas.openxmlformats.org/officeDocument/2006/relationships/hyperlink" Target="https://techcombank.com/thong-tin/blog/ho-so-vay-tin-chap" TargetMode="External"/><Relationship Id="rId993" Type="http://schemas.openxmlformats.org/officeDocument/2006/relationships/hyperlink" Target="https://techcombank.com/thong-tin/blog/mat-the-tin-dung-co-bi-mat-tien-khong" TargetMode="External"/><Relationship Id="rId1100" Type="http://schemas.openxmlformats.org/officeDocument/2006/relationships/hyperlink" Target="https://techcombank.com/thong-tin/blog/tai-khoan-doanh-nghiep-co-the-khong" TargetMode="External"/><Relationship Id="rId1584" Type="http://schemas.openxmlformats.org/officeDocument/2006/relationships/hyperlink" Target="https://techcombank.com/thong-tin/blog/tra-cuu-ma-so-thue-ho-kinh-doanh" TargetMode="External"/><Relationship Id="rId2431" Type="http://schemas.openxmlformats.org/officeDocument/2006/relationships/hyperlink" Target="https://techcombank.com/thong-tin/blog/thanh-toan-toi-thieu-the-tin-dung" TargetMode="External"/><Relationship Id="rId992" Type="http://schemas.openxmlformats.org/officeDocument/2006/relationships/hyperlink" Target="https://techcombank.com/thong-tin/blog/uu-dai-mua-ve-may-bay-bang-the-tin-dung" TargetMode="External"/><Relationship Id="rId1101" Type="http://schemas.openxmlformats.org/officeDocument/2006/relationships/hyperlink" Target="https://techcombank.com/thong-tin/blog/mm-yy-la-gi" TargetMode="External"/><Relationship Id="rId1585" Type="http://schemas.openxmlformats.org/officeDocument/2006/relationships/hyperlink" Target="https://techcombank.com/thong-tin/blog/dang-ky-thue-ho-kinh-doanh-ca-the-online" TargetMode="External"/><Relationship Id="rId2432" Type="http://schemas.openxmlformats.org/officeDocument/2006/relationships/hyperlink" Target="https://techcombank.com/thong-tin/blog/no-nhom-3" TargetMode="External"/><Relationship Id="rId991" Type="http://schemas.openxmlformats.org/officeDocument/2006/relationships/hyperlink" Target="https://techcombank.com/thong-tin/blog/the-tin-dung-mien-phi-thuong-nien" TargetMode="External"/><Relationship Id="rId1102" Type="http://schemas.openxmlformats.org/officeDocument/2006/relationships/hyperlink" Target="https://techcombank.com/thong-tin/blog/sao-ke-tai-khoan-doanh-nghiep" TargetMode="External"/><Relationship Id="rId1586" Type="http://schemas.openxmlformats.org/officeDocument/2006/relationships/hyperlink" Target="https://techcombank.com/thong-tin/blog/chuyen-doi-so-ho-kinh-doanh" TargetMode="External"/><Relationship Id="rId2433" Type="http://schemas.openxmlformats.org/officeDocument/2006/relationships/hyperlink" Target="https://techcombank.com/thong-tin/blog/vay-tin-chap-toi-da-duoc-bao-nhieu" TargetMode="External"/><Relationship Id="rId1532" Type="http://schemas.openxmlformats.org/officeDocument/2006/relationships/hyperlink" Target="https://techcombank.com/thong-tin/blog/chuong-trinh-khach-hang-than-thiet" TargetMode="External"/><Relationship Id="rId1533" Type="http://schemas.openxmlformats.org/officeDocument/2006/relationships/hyperlink" Target="https://techcombank.com/thong-tin/blog/di-du-lich-nuoc-ngoai-can-chuan-bi-gi" TargetMode="External"/><Relationship Id="rId1534" Type="http://schemas.openxmlformats.org/officeDocument/2006/relationships/hyperlink" Target="https://techcombank.com/thong-tin/blog/thanh-toan-khi-du-lich-han-quoc" TargetMode="External"/><Relationship Id="rId1535" Type="http://schemas.openxmlformats.org/officeDocument/2006/relationships/hyperlink" Target="https://techcombank.com/thong-tin/blog/thanh-toan-khi-du-lich-nhat-ban" TargetMode="External"/><Relationship Id="rId1536" Type="http://schemas.openxmlformats.org/officeDocument/2006/relationships/hyperlink" Target="https://techcombank.com/thong-tin/blog/thanh-toan-khi-du-lich-hong-kong" TargetMode="External"/><Relationship Id="rId1537" Type="http://schemas.openxmlformats.org/officeDocument/2006/relationships/hyperlink" Target="https://techcombank.com/thong-tin/blog/thanh-toan-khi-du-lich-trung-quoc" TargetMode="External"/><Relationship Id="rId1538" Type="http://schemas.openxmlformats.org/officeDocument/2006/relationships/hyperlink" Target="https://techcombank.com/thong-tin/blog/thanh-toan-khi-du-lich-thai-lan" TargetMode="External"/><Relationship Id="rId1539" Type="http://schemas.openxmlformats.org/officeDocument/2006/relationships/hyperlink" Target="https://techcombank.com/thong-tin/blog/thanh-toan-khi-du-lich-singapore" TargetMode="External"/><Relationship Id="rId949" Type="http://schemas.openxmlformats.org/officeDocument/2006/relationships/hyperlink" Target="https://techcombank.com/thong-tin/blog/lam-the-tin-dung" TargetMode="External"/><Relationship Id="rId948" Type="http://schemas.openxmlformats.org/officeDocument/2006/relationships/hyperlink" Target="https://techcombank.com/thong-tin/blog/tra-gop-lazada" TargetMode="External"/><Relationship Id="rId943" Type="http://schemas.openxmlformats.org/officeDocument/2006/relationships/hyperlink" Target="https://techcombank.com/thong-tin/blog/mo-the-tin-dung-co-loi-ich-gi" TargetMode="External"/><Relationship Id="rId942" Type="http://schemas.openxmlformats.org/officeDocument/2006/relationships/hyperlink" Target="https://techcombank.com/thong-tin/blog/lai-suat-the-tin-dung" TargetMode="External"/><Relationship Id="rId941" Type="http://schemas.openxmlformats.org/officeDocument/2006/relationships/hyperlink" Target="https://techcombank.com/thong-tin/blog/3d-secure" TargetMode="External"/><Relationship Id="rId940" Type="http://schemas.openxmlformats.org/officeDocument/2006/relationships/hyperlink" Target="https://techcombank.com/thong-tin/blog/uu-dai-the-tin-dung" TargetMode="External"/><Relationship Id="rId947" Type="http://schemas.openxmlformats.org/officeDocument/2006/relationships/hyperlink" Target="https://techcombank.com/thong-tin/blog/thanh-toan-tra-gop-qua-the-tin-dung" TargetMode="External"/><Relationship Id="rId946" Type="http://schemas.openxmlformats.org/officeDocument/2006/relationships/hyperlink" Target="https://techcombank.com/thong-tin/blog/tra-gop-shopee" TargetMode="External"/><Relationship Id="rId945" Type="http://schemas.openxmlformats.org/officeDocument/2006/relationships/hyperlink" Target="https://techcombank.com/thong-tin/blog/thanh-toan-toi-thieu-the-tin-dung" TargetMode="External"/><Relationship Id="rId944" Type="http://schemas.openxmlformats.org/officeDocument/2006/relationships/hyperlink" Target="https://techcombank.com/thong-tin/blog/the-tin-dung-ao" TargetMode="External"/><Relationship Id="rId1530" Type="http://schemas.openxmlformats.org/officeDocument/2006/relationships/hyperlink" Target="https://techcombank.com/thong-tin/blog/thanh-toan-bang-the-quoc-te" TargetMode="External"/><Relationship Id="rId1531" Type="http://schemas.openxmlformats.org/officeDocument/2006/relationships/hyperlink" Target="https://techcombank.com/thong-tin/blog/han-muc-mua-ngoai-te-khi-di-du-lich" TargetMode="External"/><Relationship Id="rId1521" Type="http://schemas.openxmlformats.org/officeDocument/2006/relationships/hyperlink" Target="https://techcombank.com/thong-tin/blog/voucher-the-pizza-company" TargetMode="External"/><Relationship Id="rId1522" Type="http://schemas.openxmlformats.org/officeDocument/2006/relationships/hyperlink" Target="https://techcombank.com/thong-tin/blog/ma-giam-gia-phela" TargetMode="External"/><Relationship Id="rId1523" Type="http://schemas.openxmlformats.org/officeDocument/2006/relationships/hyperlink" Target="https://techcombank.com/thong-tin/blog/voucher-golden-gate" TargetMode="External"/><Relationship Id="rId1524" Type="http://schemas.openxmlformats.org/officeDocument/2006/relationships/hyperlink" Target="https://techcombank.com/thong-tin/blog/voucher-coopmart" TargetMode="External"/><Relationship Id="rId1525" Type="http://schemas.openxmlformats.org/officeDocument/2006/relationships/hyperlink" Target="https://techcombank.com/thong-tin/blog/the-tin-dung-vip" TargetMode="External"/><Relationship Id="rId1526" Type="http://schemas.openxmlformats.org/officeDocument/2006/relationships/hyperlink" Target="https://techcombank.com/thong-tin/blog/ma-giam-gia-al-frescos" TargetMode="External"/><Relationship Id="rId1527" Type="http://schemas.openxmlformats.org/officeDocument/2006/relationships/hyperlink" Target="https://techcombank.com/thong-tin/blog/voucher-katinat" TargetMode="External"/><Relationship Id="rId1528" Type="http://schemas.openxmlformats.org/officeDocument/2006/relationships/hyperlink" Target="https://techcombank.com/thong-tin/blog/oneu" TargetMode="External"/><Relationship Id="rId1529" Type="http://schemas.openxmlformats.org/officeDocument/2006/relationships/hyperlink" Target="https://techcombank.com/thong-tin/blog/cach-huy-thanh-toan-tien-dien" TargetMode="External"/><Relationship Id="rId939" Type="http://schemas.openxmlformats.org/officeDocument/2006/relationships/hyperlink" Target="https://techcombank.com/thong-tin/blog/mo-the-tin-dung-han-muc-cao" TargetMode="External"/><Relationship Id="rId938" Type="http://schemas.openxmlformats.org/officeDocument/2006/relationships/hyperlink" Target="https://techcombank.com/thong-tin/blog/the-tin-dung-techcombank-visa-eco" TargetMode="External"/><Relationship Id="rId937" Type="http://schemas.openxmlformats.org/officeDocument/2006/relationships/hyperlink" Target="https://techcombank.com/thong-tin/blog/the-tin-dung-co-chuyen-khoan-duoc-khong" TargetMode="External"/><Relationship Id="rId932" Type="http://schemas.openxmlformats.org/officeDocument/2006/relationships/hyperlink" Target="https://techcombank.com/thong-tin/blog/vay-ngan-hang-1-ty-moi-thang-tra-bao-nhieu" TargetMode="External"/><Relationship Id="rId931" Type="http://schemas.openxmlformats.org/officeDocument/2006/relationships/hyperlink" Target="https://techcombank.com/thong-tin/blog/tiet-kiem-khi-di-du-lich" TargetMode="External"/><Relationship Id="rId930" Type="http://schemas.openxmlformats.org/officeDocument/2006/relationships/hyperlink" Target="https://techcombank.com/thong-tin/blog/phi-rut-tien-mat-the-tin-dung" TargetMode="External"/><Relationship Id="rId936" Type="http://schemas.openxmlformats.org/officeDocument/2006/relationships/hyperlink" Target="https://techcombank.com/thong-tin/blog/thanh-toan-online-bang-the-tin-dung" TargetMode="External"/><Relationship Id="rId935" Type="http://schemas.openxmlformats.org/officeDocument/2006/relationships/hyperlink" Target="https://techcombank.com/thong-tin/blog/dao-han-the-tin-dung" TargetMode="External"/><Relationship Id="rId934" Type="http://schemas.openxmlformats.org/officeDocument/2006/relationships/hyperlink" Target="https://techcombank.com/thong-tin/blog/the-tin-dung-den" TargetMode="External"/><Relationship Id="rId933" Type="http://schemas.openxmlformats.org/officeDocument/2006/relationships/hyperlink" Target="https://techcombank.com/thong-tin/blog/cach-thanh-toan-the-tin-dung" TargetMode="External"/><Relationship Id="rId1520" Type="http://schemas.openxmlformats.org/officeDocument/2006/relationships/hyperlink" Target="https://techcombank.com/thong-tin/blog/voucher-jollibee" TargetMode="External"/><Relationship Id="rId1554" Type="http://schemas.openxmlformats.org/officeDocument/2006/relationships/hyperlink" Target="https://techcombank.com/thong-tin/blog/quyet-toan-thue-thu-nhap-ca-nhan" TargetMode="External"/><Relationship Id="rId2401" Type="http://schemas.openxmlformats.org/officeDocument/2006/relationships/hyperlink" Target="https://techcombank.com/thong-tin/blog/qua-han-thanh-toan-the-tin-dung-1-ngay" TargetMode="External"/><Relationship Id="rId1555" Type="http://schemas.openxmlformats.org/officeDocument/2006/relationships/hyperlink" Target="https://techcombank.com/thong-tin/blog/cach-tinh-thue-thu-nhap-doanh-nghiep" TargetMode="External"/><Relationship Id="rId2402" Type="http://schemas.openxmlformats.org/officeDocument/2006/relationships/hyperlink" Target="https://techcombank.com/thong-tin/blog/no-xau-co-lam-the-visa-duoc-khong" TargetMode="External"/><Relationship Id="rId1556" Type="http://schemas.openxmlformats.org/officeDocument/2006/relationships/hyperlink" Target="https://techcombank.com/thong-tin/blog/lai-suat-vay-kinh-doanh" TargetMode="External"/><Relationship Id="rId2403" Type="http://schemas.openxmlformats.org/officeDocument/2006/relationships/hyperlink" Target="https://techcombank.com/thong-tin/blog/thanh-toan-toi-thieu-the-tin-dung" TargetMode="External"/><Relationship Id="rId1557" Type="http://schemas.openxmlformats.org/officeDocument/2006/relationships/hyperlink" Target="https://techcombank.com/thong-tin/blog/khoi-nghiep-truoc-chinh-sach-thue-moi" TargetMode="External"/><Relationship Id="rId2404" Type="http://schemas.openxmlformats.org/officeDocument/2006/relationships/hyperlink" Target="https://techcombank.com/thong-tin/blog/the-tin-dung-bi-khoa" TargetMode="External"/><Relationship Id="rId1558" Type="http://schemas.openxmlformats.org/officeDocument/2006/relationships/hyperlink" Target="https://techcombank.com/thong-tin/blog/cach-tra-cuu-hoa-don-dien-tu" TargetMode="External"/><Relationship Id="rId2405" Type="http://schemas.openxmlformats.org/officeDocument/2006/relationships/hyperlink" Target="https://techcombank.com/thong-tin/blog/no-xau-mo-the-tin-dung-duoc-khong" TargetMode="External"/><Relationship Id="rId1559" Type="http://schemas.openxmlformats.org/officeDocument/2006/relationships/hyperlink" Target="https://techcombank.com/thong-tin/blog/tra-cuu-no-thue-hai-quan" TargetMode="External"/><Relationship Id="rId2406" Type="http://schemas.openxmlformats.org/officeDocument/2006/relationships/hyperlink" Target="https://techcombank.com/thong-tin/blog/no-xau-co-vay-the-chap-duoc-khong" TargetMode="External"/><Relationship Id="rId2407" Type="http://schemas.openxmlformats.org/officeDocument/2006/relationships/hyperlink" Target="https://techcombank.com/thong-tin/blog/vay-tin-chap-no-xau" TargetMode="External"/><Relationship Id="rId2408" Type="http://schemas.openxmlformats.org/officeDocument/2006/relationships/hyperlink" Target="https://techcombank.com/thong-tin/blog/lai-suat-qua-han" TargetMode="External"/><Relationship Id="rId2409" Type="http://schemas.openxmlformats.org/officeDocument/2006/relationships/hyperlink" Target="https://techcombank.com/thong-tin/blog/no-xau-nhom-2" TargetMode="External"/><Relationship Id="rId965" Type="http://schemas.openxmlformats.org/officeDocument/2006/relationships/hyperlink" Target="https://techcombank.com/thong-tin/blog/mo-the-tin-dung-chi-can-cccd" TargetMode="External"/><Relationship Id="rId964" Type="http://schemas.openxmlformats.org/officeDocument/2006/relationships/hyperlink" Target="https://techcombank.com/thong-tin/blog/no-the-tin-dung-qua-han" TargetMode="External"/><Relationship Id="rId963" Type="http://schemas.openxmlformats.org/officeDocument/2006/relationships/hyperlink" Target="https://techcombank.com/thong-tin/blog/no-xau-mo-the-tin-dung-duoc-khong" TargetMode="External"/><Relationship Id="rId962" Type="http://schemas.openxmlformats.org/officeDocument/2006/relationships/hyperlink" Target="https://techcombank.com/thong-tin/blog/the-tin-dung-bi-khoa" TargetMode="External"/><Relationship Id="rId969" Type="http://schemas.openxmlformats.org/officeDocument/2006/relationships/hyperlink" Target="https://techcombank.com/thong-tin/blog/mo-the-tin-dung-khong-can-chung-minh-thu-nhap" TargetMode="External"/><Relationship Id="rId968" Type="http://schemas.openxmlformats.org/officeDocument/2006/relationships/hyperlink" Target="https://techcombank.com/thong-tin/blog/mat-the-tin-dung-co-lam-lai-duoc-khong" TargetMode="External"/><Relationship Id="rId967" Type="http://schemas.openxmlformats.org/officeDocument/2006/relationships/hyperlink" Target="https://techcombank.com/thong-tin/blog/thoi-gian-hoan-tien-the-tin-dung" TargetMode="External"/><Relationship Id="rId966" Type="http://schemas.openxmlformats.org/officeDocument/2006/relationships/hyperlink" Target="https://techcombank.com/thong-tin/blog/luu-y-khi-su-dung-the-tin-dung" TargetMode="External"/><Relationship Id="rId961" Type="http://schemas.openxmlformats.org/officeDocument/2006/relationships/hyperlink" Target="https://techcombank.com/thong-tin/blog/kich-hoat-the-tin-dung-techcombank" TargetMode="External"/><Relationship Id="rId1550" Type="http://schemas.openxmlformats.org/officeDocument/2006/relationships/hyperlink" Target="https://techcombank.com/thong-tin/blog/cach-tao-ma-qr" TargetMode="External"/><Relationship Id="rId960" Type="http://schemas.openxmlformats.org/officeDocument/2006/relationships/hyperlink" Target="https://techcombank.com/thong-tin/blog/lam-the-tin-dung-co-mat-phi-khong" TargetMode="External"/><Relationship Id="rId1551" Type="http://schemas.openxmlformats.org/officeDocument/2006/relationships/hyperlink" Target="https://techcombank.com/thong-tin/blog/cach-tinh-thue-ho-kinh-doanh-nho-le" TargetMode="External"/><Relationship Id="rId1552" Type="http://schemas.openxmlformats.org/officeDocument/2006/relationships/hyperlink" Target="https://techcombank.com/thong-tin/blog/loi-ich-khi-ho-kinh-doanh-chuyen-len-doanh-nghiep" TargetMode="External"/><Relationship Id="rId1553" Type="http://schemas.openxmlformats.org/officeDocument/2006/relationships/hyperlink" Target="https://techcombank.com/thong-tin/blog/tiem-nang-chuyen-doi-tu-ho-kinh-doanh-len-doanh-nghiep-sme" TargetMode="External"/><Relationship Id="rId2400" Type="http://schemas.openxmlformats.org/officeDocument/2006/relationships/hyperlink" Target="https://techcombank.com/thong-tin/blog/kiem-tra-no-xau" TargetMode="External"/><Relationship Id="rId1543" Type="http://schemas.openxmlformats.org/officeDocument/2006/relationships/hyperlink" Target="https://techcombank.com/thong-tin/blog/thue-khoan-ho-kinh-doanh-la-gi" TargetMode="External"/><Relationship Id="rId1544" Type="http://schemas.openxmlformats.org/officeDocument/2006/relationships/hyperlink" Target="https://techcombank.com/thong-tin/blog/nhung-ho-kinh-doanh-duoc-mien-thue" TargetMode="External"/><Relationship Id="rId1545" Type="http://schemas.openxmlformats.org/officeDocument/2006/relationships/hyperlink" Target="https://techcombank.com/thong-tin/blog/truy-thu-thue-ho-kinh-doanh" TargetMode="External"/><Relationship Id="rId1546" Type="http://schemas.openxmlformats.org/officeDocument/2006/relationships/hyperlink" Target="https://techcombank.com/thong-tin/blog/thue-ho-kinh-doanh-2025" TargetMode="External"/><Relationship Id="rId1547" Type="http://schemas.openxmlformats.org/officeDocument/2006/relationships/hyperlink" Target="https://techcombank.com/thong-tin/blog/hoan-thue-doanh-nghiep" TargetMode="External"/><Relationship Id="rId1548" Type="http://schemas.openxmlformats.org/officeDocument/2006/relationships/hyperlink" Target="https://techcombank.com/thong-tin/blog/thanh-lap-ho-kinh-doanh-ca-the" TargetMode="External"/><Relationship Id="rId1549" Type="http://schemas.openxmlformats.org/officeDocument/2006/relationships/hyperlink" Target="https://techcombank.com/thong-tin/blog/thue-doanh-nghiep-2025" TargetMode="External"/><Relationship Id="rId959" Type="http://schemas.openxmlformats.org/officeDocument/2006/relationships/hyperlink" Target="https://techcombank.com/thong-tin/blog/tra-gop-qua-the-tin-dung" TargetMode="External"/><Relationship Id="rId954" Type="http://schemas.openxmlformats.org/officeDocument/2006/relationships/hyperlink" Target="https://techcombank.com/thong-tin/blog/lam-ho-so-tra-gop-dien-thoai" TargetMode="External"/><Relationship Id="rId953" Type="http://schemas.openxmlformats.org/officeDocument/2006/relationships/hyperlink" Target="https://techcombank.com/thong-tin/blog/the-tin-dung-noi-dia" TargetMode="External"/><Relationship Id="rId952" Type="http://schemas.openxmlformats.org/officeDocument/2006/relationships/hyperlink" Target="https://techcombank.com/thong-tin/blog/sao-ke-the-tin-dung-la-gi" TargetMode="External"/><Relationship Id="rId951" Type="http://schemas.openxmlformats.org/officeDocument/2006/relationships/hyperlink" Target="https://techcombank.com/thong-tin/blog/cic-la-gi" TargetMode="External"/><Relationship Id="rId958" Type="http://schemas.openxmlformats.org/officeDocument/2006/relationships/hyperlink" Target="https://techcombank.com/thong-tin/blog/the-tin-dung-mien-lai-55-ngay" TargetMode="External"/><Relationship Id="rId957" Type="http://schemas.openxmlformats.org/officeDocument/2006/relationships/hyperlink" Target="https://techcombank.com/thong-tin/blog/nang-han-muc-tin-dung" TargetMode="External"/><Relationship Id="rId956" Type="http://schemas.openxmlformats.org/officeDocument/2006/relationships/hyperlink" Target="https://techcombank.com/thong-tin/blog/han-muc-the-tin-dung" TargetMode="External"/><Relationship Id="rId955" Type="http://schemas.openxmlformats.org/officeDocument/2006/relationships/hyperlink" Target="https://techcombank.com/thong-tin/blog/the-tin-dung-la-gi" TargetMode="External"/><Relationship Id="rId950" Type="http://schemas.openxmlformats.org/officeDocument/2006/relationships/hyperlink" Target="https://techcombank.com/thong-tin/blog/the-tin-dung-co-ma-pin-khong" TargetMode="External"/><Relationship Id="rId1540" Type="http://schemas.openxmlformats.org/officeDocument/2006/relationships/hyperlink" Target="https://techcombank.com/thong-tin/blog/100-riel-bang-bao-nhieu-tien-viet-nam" TargetMode="External"/><Relationship Id="rId1541" Type="http://schemas.openxmlformats.org/officeDocument/2006/relationships/hyperlink" Target="https://techcombank.com/thong-tin/blog/tien-indonesia" TargetMode="External"/><Relationship Id="rId1542" Type="http://schemas.openxmlformats.org/officeDocument/2006/relationships/hyperlink" Target="https://techcombank.com/thong-tin/blog/ho-kinh-doanh-la-gi" TargetMode="External"/><Relationship Id="rId2027" Type="http://schemas.openxmlformats.org/officeDocument/2006/relationships/hyperlink" Target="https://techcombank.com/thong-tin/blog/mo-so-tiet-kiem-can-bao-nhieu-tien" TargetMode="External"/><Relationship Id="rId2028" Type="http://schemas.openxmlformats.org/officeDocument/2006/relationships/hyperlink" Target="https://techcombank.com/thong-tin/blog/tai-khoan-tiet-kiem" TargetMode="External"/><Relationship Id="rId2029" Type="http://schemas.openxmlformats.org/officeDocument/2006/relationships/hyperlink" Target="https://techcombank.com/thong-tin/blog/mat-so-tiet-kiem" TargetMode="External"/><Relationship Id="rId590" Type="http://schemas.openxmlformats.org/officeDocument/2006/relationships/hyperlink" Target="https://techcombank.com/thong-tin/blog/lo-ma-qr-ngan-hang-co-sao-khong" TargetMode="External"/><Relationship Id="rId107" Type="http://schemas.openxmlformats.org/officeDocument/2006/relationships/hyperlink" Target="https://techcombank.com/thong-tin/blog/hoan-thue-doanh-nghiep" TargetMode="External"/><Relationship Id="rId106" Type="http://schemas.openxmlformats.org/officeDocument/2006/relationships/hyperlink" Target="https://techcombank.com/thong-tin/blog/tra-cuu-no-thue-ho-kinh-doanh" TargetMode="External"/><Relationship Id="rId105" Type="http://schemas.openxmlformats.org/officeDocument/2006/relationships/hyperlink" Target="https://techcombank.com/thong-tin/blog/ke-khai-thue-doanh-nghiep" TargetMode="External"/><Relationship Id="rId589" Type="http://schemas.openxmlformats.org/officeDocument/2006/relationships/hyperlink" Target="https://techcombank.com/thong-tin/blog/the-visa-de-lam-gi" TargetMode="External"/><Relationship Id="rId104" Type="http://schemas.openxmlformats.org/officeDocument/2006/relationships/hyperlink" Target="https://techcombank.com/thong-tin/blog/quyet-toan-thue-doanh-nghiep" TargetMode="External"/><Relationship Id="rId588" Type="http://schemas.openxmlformats.org/officeDocument/2006/relationships/hyperlink" Target="https://techcombank.com/thong-tin/blog/tra-cuu-han-muc-the-tin-dung" TargetMode="External"/><Relationship Id="rId109" Type="http://schemas.openxmlformats.org/officeDocument/2006/relationships/hyperlink" Target="https://techcombank.com/thong-tin/blog/giai-dap-ve-thue-doanh-nghiep" TargetMode="External"/><Relationship Id="rId1170" Type="http://schemas.openxmlformats.org/officeDocument/2006/relationships/hyperlink" Target="https://techcombank.com/thong-tin/blog/no-xau-nhom-2" TargetMode="External"/><Relationship Id="rId108" Type="http://schemas.openxmlformats.org/officeDocument/2006/relationships/hyperlink" Target="https://techcombank.com/thong-tin/blog/cach-tinh-thue-thu-nhap-doanh-nghiep" TargetMode="External"/><Relationship Id="rId1171" Type="http://schemas.openxmlformats.org/officeDocument/2006/relationships/hyperlink" Target="https://techcombank.com/thong-tin/blog/lai-suat-vay-tin-chap" TargetMode="External"/><Relationship Id="rId583" Type="http://schemas.openxmlformats.org/officeDocument/2006/relationships/hyperlink" Target="https://techcombank.com/thong-tin/blog/qr-dong" TargetMode="External"/><Relationship Id="rId1172" Type="http://schemas.openxmlformats.org/officeDocument/2006/relationships/hyperlink" Target="https://techcombank.com/thong-tin/blog/the-ghi-no-visa-la-gi" TargetMode="External"/><Relationship Id="rId582" Type="http://schemas.openxmlformats.org/officeDocument/2006/relationships/hyperlink" Target="https://techcombank.com/thong-tin/blog/cach-tao-ma-qr-code-mien-phi" TargetMode="External"/><Relationship Id="rId1173" Type="http://schemas.openxmlformats.org/officeDocument/2006/relationships/hyperlink" Target="https://techcombank.com/thong-tin/blog/uu-dai-mua-iphone-18" TargetMode="External"/><Relationship Id="rId2020" Type="http://schemas.openxmlformats.org/officeDocument/2006/relationships/hyperlink" Target="https://techcombank.com/thong-tin/blog/no-xau-mo-the-tin-dung-duoc-khong" TargetMode="External"/><Relationship Id="rId581" Type="http://schemas.openxmlformats.org/officeDocument/2006/relationships/hyperlink" Target="https://techcombank.com/thong-tin/blog/lam-ma-qr-ngan-hang-co-mat-phi-khong" TargetMode="External"/><Relationship Id="rId1174" Type="http://schemas.openxmlformats.org/officeDocument/2006/relationships/hyperlink" Target="https://techcombank.com/thong-tin/blog/khong-su-dung-the-tin-dung-co-mat-phi-khong" TargetMode="External"/><Relationship Id="rId2021" Type="http://schemas.openxmlformats.org/officeDocument/2006/relationships/hyperlink" Target="https://techcombank.com/thong-tin/blog/rut-tien-bao-hiem-nhan-tho-khi-het-han" TargetMode="External"/><Relationship Id="rId580" Type="http://schemas.openxmlformats.org/officeDocument/2006/relationships/hyperlink" Target="https://techcombank.com/thong-tin/blog/thanh-toan-bang-ma-qr" TargetMode="External"/><Relationship Id="rId1175" Type="http://schemas.openxmlformats.org/officeDocument/2006/relationships/hyperlink" Target="https://techcombank.com/thong-tin/blog/so-the-tin-dung" TargetMode="External"/><Relationship Id="rId2022" Type="http://schemas.openxmlformats.org/officeDocument/2006/relationships/hyperlink" Target="https://techcombank.com/thong-tin/blog/mo-the-tin-dung-khong-can-chung-minh-thu-nhap" TargetMode="External"/><Relationship Id="rId103" Type="http://schemas.openxmlformats.org/officeDocument/2006/relationships/hyperlink" Target="https://techcombank.com/thong-tin/blog/tra-cuu-no-thue-hai-quan" TargetMode="External"/><Relationship Id="rId587" Type="http://schemas.openxmlformats.org/officeDocument/2006/relationships/hyperlink" Target="https://techcombank.com/thong-tin/blog/cach-lam-the-atm" TargetMode="External"/><Relationship Id="rId1176" Type="http://schemas.openxmlformats.org/officeDocument/2006/relationships/hyperlink" Target="https://techcombank.com/thong-tin/blog/han-muc-tra-gop-the-tin-dung" TargetMode="External"/><Relationship Id="rId2023" Type="http://schemas.openxmlformats.org/officeDocument/2006/relationships/hyperlink" Target="https://techcombank.com/thong-tin/blog/chung-chi-tien-gui-khac-gi-so-tiet-kiem" TargetMode="External"/><Relationship Id="rId102" Type="http://schemas.openxmlformats.org/officeDocument/2006/relationships/hyperlink" Target="https://techcombank.com/thong-tin/blog/kiem-tra-ma-so-thue-doanh-nghiep" TargetMode="External"/><Relationship Id="rId586" Type="http://schemas.openxmlformats.org/officeDocument/2006/relationships/hyperlink" Target="https://techcombank.com/thong-tin/blog/thanh-toan-ma-qr-tro-thanh-phuong-thuc-duoc-ua-chuong-va-trien-khai-manh-me" TargetMode="External"/><Relationship Id="rId1177" Type="http://schemas.openxmlformats.org/officeDocument/2006/relationships/hyperlink" Target="https://techcombank.com/thong-tin/blog/the-tin-dung-hoan-tien" TargetMode="External"/><Relationship Id="rId2024" Type="http://schemas.openxmlformats.org/officeDocument/2006/relationships/hyperlink" Target="https://techcombank.com/thong-tin/blog/chung-chi-tien-gui-co-duoc-rut-truoc-han" TargetMode="External"/><Relationship Id="rId101" Type="http://schemas.openxmlformats.org/officeDocument/2006/relationships/hyperlink" Target="https://techcombank.com/thong-tin/blog/app-chia-tien" TargetMode="External"/><Relationship Id="rId585" Type="http://schemas.openxmlformats.org/officeDocument/2006/relationships/hyperlink" Target="https://techcombank.com/thong-tin/blog/nap-tien-vao-tai-khoan-ngan-hang" TargetMode="External"/><Relationship Id="rId1178" Type="http://schemas.openxmlformats.org/officeDocument/2006/relationships/hyperlink" Target="https://techcombank.com/thong-tin/blog/sang-ngang-the-tin-dung" TargetMode="External"/><Relationship Id="rId2025" Type="http://schemas.openxmlformats.org/officeDocument/2006/relationships/hyperlink" Target="https://techcombank.com/thong-tin/blog/vay-20-trieu" TargetMode="External"/><Relationship Id="rId100" Type="http://schemas.openxmlformats.org/officeDocument/2006/relationships/hyperlink" Target="https://techcombank.com/thong-tin/blog/cach-huy-thanh-toan-tien-dien" TargetMode="External"/><Relationship Id="rId584" Type="http://schemas.openxmlformats.org/officeDocument/2006/relationships/hyperlink" Target="https://techcombank.com/thong-tin/blog/lam-the-atm-co-mat-phi-khong" TargetMode="External"/><Relationship Id="rId1179" Type="http://schemas.openxmlformats.org/officeDocument/2006/relationships/hyperlink" Target="https://techcombank.com/thong-tin/blog/tai-khoan-ngan-hang-la-gi" TargetMode="External"/><Relationship Id="rId2026" Type="http://schemas.openxmlformats.org/officeDocument/2006/relationships/hyperlink" Target="https://techcombank.com/thong-tin/blog/tien-gui-co-ky-han" TargetMode="External"/><Relationship Id="rId1169" Type="http://schemas.openxmlformats.org/officeDocument/2006/relationships/hyperlink" Target="https://techcombank.com/thong-tin/blog/so-luong-the-tin-dung-noi-dia-dang-luu-hanh-da-tang-42-so-voi-cung-ky-nam-2022" TargetMode="External"/><Relationship Id="rId2016" Type="http://schemas.openxmlformats.org/officeDocument/2006/relationships/hyperlink" Target="https://techcombank.com/thong-tin/blog/quy-trinh-tat-toan-khoan-vay-the-chap" TargetMode="External"/><Relationship Id="rId2017" Type="http://schemas.openxmlformats.org/officeDocument/2006/relationships/hyperlink" Target="https://techcombank.com/thong-tin/blog/tat-toan-chung-chi-tien-gui" TargetMode="External"/><Relationship Id="rId2018" Type="http://schemas.openxmlformats.org/officeDocument/2006/relationships/hyperlink" Target="https://techcombank.com/thong-tin/blog/mo-so-tiet-kiem-can-bao-nhieu-tien" TargetMode="External"/><Relationship Id="rId2019" Type="http://schemas.openxmlformats.org/officeDocument/2006/relationships/hyperlink" Target="https://techcombank.com/thong-tin/blog/chuyen-nhuong-chung-chi-tien-gui" TargetMode="External"/><Relationship Id="rId579" Type="http://schemas.openxmlformats.org/officeDocument/2006/relationships/hyperlink" Target="https://techcombank.com/thong-tin/blog/qr-code-doanh-nghiep" TargetMode="External"/><Relationship Id="rId578" Type="http://schemas.openxmlformats.org/officeDocument/2006/relationships/hyperlink" Target="https://techcombank.com/thong-tin/blog/cach-su-dung-tai-khoan-cong-ty" TargetMode="External"/><Relationship Id="rId577" Type="http://schemas.openxmlformats.org/officeDocument/2006/relationships/hyperlink" Target="https://techcombank.com/thong-tin/blog/so-sanh-ma-qr-va-ma-vach" TargetMode="External"/><Relationship Id="rId2490" Type="http://schemas.openxmlformats.org/officeDocument/2006/relationships/hyperlink" Target="https://techcombank.com/thong-tin/blog/ngan-hang-xanh" TargetMode="External"/><Relationship Id="rId1160" Type="http://schemas.openxmlformats.org/officeDocument/2006/relationships/hyperlink" Target="https://techcombank.com/thong-tin/blog/thoi-gian-hoan-tien-the-tin-dung" TargetMode="External"/><Relationship Id="rId2491" Type="http://schemas.openxmlformats.org/officeDocument/2006/relationships/hyperlink" Target="https://techcombank.com/thong-tin/blog/chung-chi-quy-mo-va-dong" TargetMode="External"/><Relationship Id="rId572" Type="http://schemas.openxmlformats.org/officeDocument/2006/relationships/hyperlink" Target="https://techcombank.com/thong-tin/blog/in-ma-qr-ngan-hang" TargetMode="External"/><Relationship Id="rId1161" Type="http://schemas.openxmlformats.org/officeDocument/2006/relationships/hyperlink" Target="https://techcombank.com/thong-tin/blog/du-no-tin-dung-la-gi" TargetMode="External"/><Relationship Id="rId2492" Type="http://schemas.openxmlformats.org/officeDocument/2006/relationships/hyperlink" Target="https://techcombank.com/thong-tin/blog/bi-quyet-lua-chon-trai-phieu-an-toan-cho-nha-dau-tu" TargetMode="External"/><Relationship Id="rId571" Type="http://schemas.openxmlformats.org/officeDocument/2006/relationships/hyperlink" Target="https://techcombank.com/thong-tin/blog/rut-tien-mat-tu-tai-khoan-doanh-nghiep" TargetMode="External"/><Relationship Id="rId1162" Type="http://schemas.openxmlformats.org/officeDocument/2006/relationships/hyperlink" Target="https://techcombank.com/thong-tin/blog/lai-suat-qua-han" TargetMode="External"/><Relationship Id="rId2493" Type="http://schemas.openxmlformats.org/officeDocument/2006/relationships/hyperlink" Target="https://techcombank.com/thong-tin/blog/tactical-asset-allocation" TargetMode="External"/><Relationship Id="rId570" Type="http://schemas.openxmlformats.org/officeDocument/2006/relationships/hyperlink" Target="https://techcombank.com/thong-tin/blog/ma-qr-ngan-hang-khong-hop-le" TargetMode="External"/><Relationship Id="rId1163" Type="http://schemas.openxmlformats.org/officeDocument/2006/relationships/hyperlink" Target="https://techcombank.com/thong-tin/blog/mat-the-tin-dung-co-lam-lai-duoc-khong" TargetMode="External"/><Relationship Id="rId2010" Type="http://schemas.openxmlformats.org/officeDocument/2006/relationships/hyperlink" Target="https://techcombank.com/thong-tin/blog/vay-thau-chi-bang-so-tiet-kiem" TargetMode="External"/><Relationship Id="rId2494" Type="http://schemas.openxmlformats.org/officeDocument/2006/relationships/hyperlink" Target="https://techcombank.com/thong-tin/blog/ngan-hang-so" TargetMode="External"/><Relationship Id="rId1164" Type="http://schemas.openxmlformats.org/officeDocument/2006/relationships/hyperlink" Target="https://techcombank.com/thong-tin/blog/mo-the-tin-dung-khong-can-chung-minh-thu-nhap" TargetMode="External"/><Relationship Id="rId2011" Type="http://schemas.openxmlformats.org/officeDocument/2006/relationships/hyperlink" Target="https://techcombank.com/thong-tin/blog/mat-so-tiet-kiem" TargetMode="External"/><Relationship Id="rId2495" Type="http://schemas.openxmlformats.org/officeDocument/2006/relationships/hyperlink" Target="https://techcombank.com/thong-tin/blog/dau-co-va-dau-tu" TargetMode="External"/><Relationship Id="rId576" Type="http://schemas.openxmlformats.org/officeDocument/2006/relationships/hyperlink" Target="https://techcombank.com/thong-tin/blog/ma-qr-techcombank" TargetMode="External"/><Relationship Id="rId1165" Type="http://schemas.openxmlformats.org/officeDocument/2006/relationships/hyperlink" Target="https://techcombank.com/thong-tin/blog/the-tin-dung-vip" TargetMode="External"/><Relationship Id="rId2012" Type="http://schemas.openxmlformats.org/officeDocument/2006/relationships/hyperlink" Target="https://techcombank.com/thong-tin/blog/gui-them-tien-vao-so-tiet-kiem" TargetMode="External"/><Relationship Id="rId2496" Type="http://schemas.openxmlformats.org/officeDocument/2006/relationships/hyperlink" Target="https://techcombank.com/thong-tin/blog/dau-tu-tai-chinh-ca-nhan" TargetMode="External"/><Relationship Id="rId575" Type="http://schemas.openxmlformats.org/officeDocument/2006/relationships/hyperlink" Target="https://techcombank.com/thong-tin/blog/ma-qr-lam-gia-duoc-khong" TargetMode="External"/><Relationship Id="rId1166" Type="http://schemas.openxmlformats.org/officeDocument/2006/relationships/hyperlink" Target="https://techcombank.com/thong-tin/blog/cach-sao-ke-tai-khoan-ngan-hang" TargetMode="External"/><Relationship Id="rId2013" Type="http://schemas.openxmlformats.org/officeDocument/2006/relationships/hyperlink" Target="https://techcombank.com/thong-tin/blog/so-tiet-kiem-ngan-hang" TargetMode="External"/><Relationship Id="rId2497" Type="http://schemas.openxmlformats.org/officeDocument/2006/relationships/hyperlink" Target="https://techcombank.com/thong-tin/blog/dau-tu-dai-han" TargetMode="External"/><Relationship Id="rId574" Type="http://schemas.openxmlformats.org/officeDocument/2006/relationships/hyperlink" Target="https://techcombank.com/thong-tin/blog/cdm" TargetMode="External"/><Relationship Id="rId1167" Type="http://schemas.openxmlformats.org/officeDocument/2006/relationships/hyperlink" Target="https://techcombank.com/thong-tin/blog/the-tin-dung-phu-la-gi" TargetMode="External"/><Relationship Id="rId2014" Type="http://schemas.openxmlformats.org/officeDocument/2006/relationships/hyperlink" Target="https://techcombank.com/thong-tin/blog/tat-toan" TargetMode="External"/><Relationship Id="rId2498" Type="http://schemas.openxmlformats.org/officeDocument/2006/relationships/hyperlink" Target="https://techcombank.com/thong-tin/blog/bao-hiem-tu-ky-la-gi" TargetMode="External"/><Relationship Id="rId573" Type="http://schemas.openxmlformats.org/officeDocument/2006/relationships/hyperlink" Target="https://techcombank.com/thong-tin/blog/mm-yy-la-gi" TargetMode="External"/><Relationship Id="rId1168" Type="http://schemas.openxmlformats.org/officeDocument/2006/relationships/hyperlink" Target="https://techcombank.com/thong-tin/blog/rut-tien-mat-tu-the-tin-dung" TargetMode="External"/><Relationship Id="rId2015" Type="http://schemas.openxmlformats.org/officeDocument/2006/relationships/hyperlink" Target="https://techcombank.com/thong-tin/blog/dao-han-la-gi" TargetMode="External"/><Relationship Id="rId2499" Type="http://schemas.openxmlformats.org/officeDocument/2006/relationships/hyperlink" Target="https://techcombank.com/thong-tin/blog/quan-ly-danh-muc-dau-tu" TargetMode="External"/><Relationship Id="rId2049" Type="http://schemas.openxmlformats.org/officeDocument/2006/relationships/hyperlink" Target="https://techcombank.com/thong-tin/blog/gui-tiet-kiem-tich-luy-la-gi" TargetMode="External"/><Relationship Id="rId129" Type="http://schemas.openxmlformats.org/officeDocument/2006/relationships/hyperlink" Target="https://techcombank.com/thong-tin/blog/tra-cuu-no-thue-doanh-nghiep" TargetMode="External"/><Relationship Id="rId128" Type="http://schemas.openxmlformats.org/officeDocument/2006/relationships/hyperlink" Target="https://techcombank.com/thong-tin/blog/dang-ky-thanh-lap-doanh-nghiep-online" TargetMode="External"/><Relationship Id="rId127" Type="http://schemas.openxmlformats.org/officeDocument/2006/relationships/hyperlink" Target="https://techcombank.com/thong-tin/blog/ke-khai-thue-doanh-nghiep" TargetMode="External"/><Relationship Id="rId126" Type="http://schemas.openxmlformats.org/officeDocument/2006/relationships/hyperlink" Target="https://techcombank.com/thong-tin/blog/quyet-toan-thue-doanh-nghiep" TargetMode="External"/><Relationship Id="rId1190" Type="http://schemas.openxmlformats.org/officeDocument/2006/relationships/hyperlink" Target="https://techcombank.com/thong-tin/blog/tai-sao-gui-tiet-kiem-online-lai-suat-cao-hon" TargetMode="External"/><Relationship Id="rId1191" Type="http://schemas.openxmlformats.org/officeDocument/2006/relationships/hyperlink" Target="https://techcombank.com/thong-tin/blog/chung-chi-tien-gui-co-duoc-bao-hiem-khong" TargetMode="External"/><Relationship Id="rId1192" Type="http://schemas.openxmlformats.org/officeDocument/2006/relationships/hyperlink" Target="https://techcombank.com/thong-tin/blog/nen-de-tien-trong-the-hay-gui-tiet-kiem" TargetMode="External"/><Relationship Id="rId1193" Type="http://schemas.openxmlformats.org/officeDocument/2006/relationships/hyperlink" Target="https://techcombank.com/thong-tin/blog/quan-ly-tai-chinh-cho-dan-van-phong" TargetMode="External"/><Relationship Id="rId2040" Type="http://schemas.openxmlformats.org/officeDocument/2006/relationships/hyperlink" Target="https://techcombank.com/thong-tin/blog/nen-de-tien-trong-the-hay-gui-tiet-kiem" TargetMode="External"/><Relationship Id="rId121" Type="http://schemas.openxmlformats.org/officeDocument/2006/relationships/hyperlink" Target="https://techcombank.com/thong-tin/blog/kiem-tra-ma-so-thue-doanh-nghiep" TargetMode="External"/><Relationship Id="rId1194" Type="http://schemas.openxmlformats.org/officeDocument/2006/relationships/hyperlink" Target="https://techcombank.com/thong-tin/blog/co-nen-gui-tiet-kiem-ngan-hang" TargetMode="External"/><Relationship Id="rId2041" Type="http://schemas.openxmlformats.org/officeDocument/2006/relationships/hyperlink" Target="https://techcombank.com/thong-tin/blog/co-nen-gui-tiet-kiem-ngan-hang" TargetMode="External"/><Relationship Id="rId120" Type="http://schemas.openxmlformats.org/officeDocument/2006/relationships/hyperlink" Target="https://techcombank.com/thong-tin/blog/cach-tinh-thue-thu-nhap-doanh-nghiep" TargetMode="External"/><Relationship Id="rId1195" Type="http://schemas.openxmlformats.org/officeDocument/2006/relationships/hyperlink" Target="https://techcombank.com/thong-tin/blog/lai-suat-tiet-kiem" TargetMode="External"/><Relationship Id="rId2042" Type="http://schemas.openxmlformats.org/officeDocument/2006/relationships/hyperlink" Target="https://techcombank.com/thong-tin/blog/lai-suat-tiet-kiem" TargetMode="External"/><Relationship Id="rId1196" Type="http://schemas.openxmlformats.org/officeDocument/2006/relationships/hyperlink" Target="https://techcombank.com/thong-tin/blog/chung-chi-quy-va-chung-khoan" TargetMode="External"/><Relationship Id="rId2043" Type="http://schemas.openxmlformats.org/officeDocument/2006/relationships/hyperlink" Target="https://techcombank.com/thong-tin/blog/co-nen-gui-tiet-kiem-online" TargetMode="External"/><Relationship Id="rId1197" Type="http://schemas.openxmlformats.org/officeDocument/2006/relationships/hyperlink" Target="https://techcombank.com/thong-tin/blog/co-nen-gui-tiet-kiem-online" TargetMode="External"/><Relationship Id="rId2044" Type="http://schemas.openxmlformats.org/officeDocument/2006/relationships/hyperlink" Target="https://techcombank.com/thong-tin/blog/gui-tiet-kiem-ngan-hang-van-la-lua-chon-an-toan-trong-thoi-ky-kinh-te-con-nhieu-bien-dong" TargetMode="External"/><Relationship Id="rId125" Type="http://schemas.openxmlformats.org/officeDocument/2006/relationships/hyperlink" Target="https://techcombank.com/thong-tin/blog/tim-hieu-ve-chinh-sach-thue-moi" TargetMode="External"/><Relationship Id="rId1198" Type="http://schemas.openxmlformats.org/officeDocument/2006/relationships/hyperlink" Target="https://techcombank.com/thong-tin/blog/gui-tiet-kiem-ngan-hang-van-la-lua-chon-an-toan-trong-thoi-ky-kinh-te-con-nhieu-bien-dong" TargetMode="External"/><Relationship Id="rId2045" Type="http://schemas.openxmlformats.org/officeDocument/2006/relationships/hyperlink" Target="https://techcombank.com/thong-tin/blog/cach-gui-tiet-kiem-online" TargetMode="External"/><Relationship Id="rId124" Type="http://schemas.openxmlformats.org/officeDocument/2006/relationships/hyperlink" Target="https://techcombank.com/thong-tin/blog/chuan-bi-cho-doanh-nghiep-khoi-nghiep-truoc-nhung-thay-doi-ve-thue" TargetMode="External"/><Relationship Id="rId1199" Type="http://schemas.openxmlformats.org/officeDocument/2006/relationships/hyperlink" Target="https://techcombank.com/thong-tin/blog/cach-gui-tiet-kiem-online" TargetMode="External"/><Relationship Id="rId2046" Type="http://schemas.openxmlformats.org/officeDocument/2006/relationships/hyperlink" Target="https://techcombank.com/thong-tin/blog/gui-tien-ngan-hang-co-an-toan-khong" TargetMode="External"/><Relationship Id="rId123" Type="http://schemas.openxmlformats.org/officeDocument/2006/relationships/hyperlink" Target="https://techcombank.com/thong-tin/blog/ho-so-dang-ky-thanh-lap-doanh-nghiep" TargetMode="External"/><Relationship Id="rId2047" Type="http://schemas.openxmlformats.org/officeDocument/2006/relationships/hyperlink" Target="https://techcombank.com/thong-tin/blog/nen-gui-tiet-kiem-6-thang-hay-1-nam" TargetMode="External"/><Relationship Id="rId122" Type="http://schemas.openxmlformats.org/officeDocument/2006/relationships/hyperlink" Target="https://techcombank.com/thong-tin/blog/chinh-sach-thue-moi" TargetMode="External"/><Relationship Id="rId2048" Type="http://schemas.openxmlformats.org/officeDocument/2006/relationships/hyperlink" Target="https://techcombank.com/thong-tin/blog/mo-tai-khoan-tiet-kiem-cho-con" TargetMode="External"/><Relationship Id="rId2038" Type="http://schemas.openxmlformats.org/officeDocument/2006/relationships/hyperlink" Target="https://techcombank.com/thong-tin/blog/tat-toan" TargetMode="External"/><Relationship Id="rId2039" Type="http://schemas.openxmlformats.org/officeDocument/2006/relationships/hyperlink" Target="https://techcombank.com/thong-tin/blog/dao-han-la-gi" TargetMode="External"/><Relationship Id="rId118" Type="http://schemas.openxmlformats.org/officeDocument/2006/relationships/hyperlink" Target="https://techcombank.com/thong-tin/blog/hoan-thue-doanh-nghiep" TargetMode="External"/><Relationship Id="rId117" Type="http://schemas.openxmlformats.org/officeDocument/2006/relationships/hyperlink" Target="https://techcombank.com/thong-tin/blog/huong-dan-dang-ky-thanh-lap-doanh-nghiep" TargetMode="External"/><Relationship Id="rId116" Type="http://schemas.openxmlformats.org/officeDocument/2006/relationships/hyperlink" Target="https://techcombank.com/thong-tin/blog/dieu-kien-thanh-lap-doanh-nghiep" TargetMode="External"/><Relationship Id="rId115" Type="http://schemas.openxmlformats.org/officeDocument/2006/relationships/hyperlink" Target="https://techcombank.com/thong-tin/blog/thue-doanh-nghiep-2025" TargetMode="External"/><Relationship Id="rId599" Type="http://schemas.openxmlformats.org/officeDocument/2006/relationships/hyperlink" Target="https://techcombank.com/thong-tin/blog/the-tin-dung-la-gi" TargetMode="External"/><Relationship Id="rId1180" Type="http://schemas.openxmlformats.org/officeDocument/2006/relationships/hyperlink" Target="https://techcombank.com/thong-tin/blog/chung-chi-tien-gui-khac-gi-so-tiet-kiem" TargetMode="External"/><Relationship Id="rId1181" Type="http://schemas.openxmlformats.org/officeDocument/2006/relationships/hyperlink" Target="https://techcombank.com/thong-tin/blog/chung-chi-tien-gui-co-phai-la-trai-phieu-khong" TargetMode="External"/><Relationship Id="rId119" Type="http://schemas.openxmlformats.org/officeDocument/2006/relationships/hyperlink" Target="https://techcombank.com/thong-tin/blog/dang-ky-thanh-lap-doanh-nghiep" TargetMode="External"/><Relationship Id="rId1182" Type="http://schemas.openxmlformats.org/officeDocument/2006/relationships/hyperlink" Target="https://techcombank.com/thong-tin/blog/co-nen-gui-chung-chi-tien-gui" TargetMode="External"/><Relationship Id="rId110" Type="http://schemas.openxmlformats.org/officeDocument/2006/relationships/hyperlink" Target="https://techcombank.com/thong-tin/blog/tra-cuu-no-thue-ca-nhan" TargetMode="External"/><Relationship Id="rId594" Type="http://schemas.openxmlformats.org/officeDocument/2006/relationships/hyperlink" Target="https://techcombank.com/thong-tin/blog/cach-thanh-toan-the-tin-dung" TargetMode="External"/><Relationship Id="rId1183" Type="http://schemas.openxmlformats.org/officeDocument/2006/relationships/hyperlink" Target="https://techcombank.com/thong-tin/blog/chung-chi-tien-gui-co-an-toan-khong" TargetMode="External"/><Relationship Id="rId2030" Type="http://schemas.openxmlformats.org/officeDocument/2006/relationships/hyperlink" Target="https://techcombank.com/thong-tin/blog/gui-them-tien-vao-so-tiet-kiem" TargetMode="External"/><Relationship Id="rId593" Type="http://schemas.openxmlformats.org/officeDocument/2006/relationships/hyperlink" Target="https://techcombank.com/thong-tin/blog/rut-tien-tiet-kiem-truoc-thoi-han" TargetMode="External"/><Relationship Id="rId1184" Type="http://schemas.openxmlformats.org/officeDocument/2006/relationships/hyperlink" Target="https://techcombank.com/thong-tin/blog/tien-nhan-roi-nen-lam-gi" TargetMode="External"/><Relationship Id="rId2031" Type="http://schemas.openxmlformats.org/officeDocument/2006/relationships/hyperlink" Target="https://techcombank.com/thong-tin/blog/quy-trinh-gui-tien-tiet-kiem" TargetMode="External"/><Relationship Id="rId592" Type="http://schemas.openxmlformats.org/officeDocument/2006/relationships/hyperlink" Target="https://techcombank.com/thong-tin/blog/phi-rut-tien-mat-the-tin-dung" TargetMode="External"/><Relationship Id="rId1185" Type="http://schemas.openxmlformats.org/officeDocument/2006/relationships/hyperlink" Target="https://techcombank.com/thong-tin/blog/chuyen-doi-so-ho-kinh-doanh" TargetMode="External"/><Relationship Id="rId2032" Type="http://schemas.openxmlformats.org/officeDocument/2006/relationships/hyperlink" Target="https://techcombank.com/thong-tin/blog/gui-tiet-kiem-theo-ngay" TargetMode="External"/><Relationship Id="rId591" Type="http://schemas.openxmlformats.org/officeDocument/2006/relationships/hyperlink" Target="https://techcombank.com/thong-tin/blog/lam-the-atm-bao-lau-co" TargetMode="External"/><Relationship Id="rId1186" Type="http://schemas.openxmlformats.org/officeDocument/2006/relationships/hyperlink" Target="https://techcombank.com/thong-tin/blog/quy-trinh-gui-tien-tiet-kiem" TargetMode="External"/><Relationship Id="rId2033" Type="http://schemas.openxmlformats.org/officeDocument/2006/relationships/hyperlink" Target="https://techcombank.com/thong-tin/blog/tai-khoan-thanh-toan-la-gi" TargetMode="External"/><Relationship Id="rId114" Type="http://schemas.openxmlformats.org/officeDocument/2006/relationships/hyperlink" Target="https://techcombank.com/thong-tin/blog/thue-phi-co-dinh-khi-chuyen-doi-tu-ho-kinh-doanh-len-doanh-nghiep" TargetMode="External"/><Relationship Id="rId598" Type="http://schemas.openxmlformats.org/officeDocument/2006/relationships/hyperlink" Target="https://techcombank.com/thong-tin/blog/ma-pin-the-atm" TargetMode="External"/><Relationship Id="rId1187" Type="http://schemas.openxmlformats.org/officeDocument/2006/relationships/hyperlink" Target="https://techcombank.com/thong-tin/blog/gui-tiet-kiem-theo-ngay" TargetMode="External"/><Relationship Id="rId2034" Type="http://schemas.openxmlformats.org/officeDocument/2006/relationships/hyperlink" Target="https://techcombank.com/thong-tin/blog/gui-tiet-kiem-vang" TargetMode="External"/><Relationship Id="rId113" Type="http://schemas.openxmlformats.org/officeDocument/2006/relationships/hyperlink" Target="https://techcombank.com/thong-tin/blog/hieu-hiet-ve-tuan-thu-thue-cho-cac-doanh-nghiep-khoi-nghiep" TargetMode="External"/><Relationship Id="rId597" Type="http://schemas.openxmlformats.org/officeDocument/2006/relationships/hyperlink" Target="https://techcombank.com/thong-tin/blog/cach-chuyen-khoan-bang-dien-thoai" TargetMode="External"/><Relationship Id="rId1188" Type="http://schemas.openxmlformats.org/officeDocument/2006/relationships/hyperlink" Target="https://techcombank.com/thong-tin/blog/gui-tiet-kiem-vang" TargetMode="External"/><Relationship Id="rId2035" Type="http://schemas.openxmlformats.org/officeDocument/2006/relationships/hyperlink" Target="https://techcombank.com/thong-tin/blog/nen-gui-tiet-kiem-thong-thuong-hay-tich-luy" TargetMode="External"/><Relationship Id="rId112" Type="http://schemas.openxmlformats.org/officeDocument/2006/relationships/hyperlink" Target="https://techcombank.com/thong-tin/blog/giai-dap-ve-thue-doanh-nghiep" TargetMode="External"/><Relationship Id="rId596" Type="http://schemas.openxmlformats.org/officeDocument/2006/relationships/hyperlink" Target="https://techcombank.com/thong-tin/blog/the-atm-gan-chip" TargetMode="External"/><Relationship Id="rId1189" Type="http://schemas.openxmlformats.org/officeDocument/2006/relationships/hyperlink" Target="https://techcombank.com/thong-tin/blog/nen-gui-tiet-kiem-thong-thuong-hay-tich-luy" TargetMode="External"/><Relationship Id="rId2036" Type="http://schemas.openxmlformats.org/officeDocument/2006/relationships/hyperlink" Target="https://techcombank.com/thong-tin/blog/tai-sao-gui-tiet-kiem-online-lai-suat-cao-hon" TargetMode="External"/><Relationship Id="rId111" Type="http://schemas.openxmlformats.org/officeDocument/2006/relationships/hyperlink" Target="https://techcombank.com/thong-tin/blog/thue-doanh-nghiep" TargetMode="External"/><Relationship Id="rId595" Type="http://schemas.openxmlformats.org/officeDocument/2006/relationships/hyperlink" Target="https://techcombank.com/thong-tin/blog/qr-code-phuong-thuc-thanh-toan-toi-uu-trong-ky-nguyen-so" TargetMode="External"/><Relationship Id="rId2037" Type="http://schemas.openxmlformats.org/officeDocument/2006/relationships/hyperlink" Target="https://techcombank.com/thong-tin/blog/tat-toan-so-tiet-kiem" TargetMode="External"/><Relationship Id="rId1136" Type="http://schemas.openxmlformats.org/officeDocument/2006/relationships/hyperlink" Target="https://techcombank.com/thong-tin/blog/tra-gop-shopee" TargetMode="External"/><Relationship Id="rId2467" Type="http://schemas.openxmlformats.org/officeDocument/2006/relationships/hyperlink" Target="https://techcombank.com/thong-tin/blog/lap-ke-hoach-tai-chinh-ca-nhan" TargetMode="External"/><Relationship Id="rId1137" Type="http://schemas.openxmlformats.org/officeDocument/2006/relationships/hyperlink" Target="https://techcombank.com/thong-tin/blog/thanh-toan-tien-dien-bang-the-tin-dung" TargetMode="External"/><Relationship Id="rId2468" Type="http://schemas.openxmlformats.org/officeDocument/2006/relationships/hyperlink" Target="https://techcombank.com/thong-tin/blog/chung-chi-quy-va-chung-khoan" TargetMode="External"/><Relationship Id="rId1138" Type="http://schemas.openxmlformats.org/officeDocument/2006/relationships/hyperlink" Target="https://techcombank.com/thong-tin/blog/thanh-toan-tra-gop-qua-the-tin-dung" TargetMode="External"/><Relationship Id="rId2469" Type="http://schemas.openxmlformats.org/officeDocument/2006/relationships/hyperlink" Target="https://techcombank.com/thong-tin/blog/lai-suat-chung-chi-quy" TargetMode="External"/><Relationship Id="rId1139" Type="http://schemas.openxmlformats.org/officeDocument/2006/relationships/hyperlink" Target="https://techcombank.com/thong-tin/blog/tra-gop-lazada" TargetMode="External"/><Relationship Id="rId547" Type="http://schemas.openxmlformats.org/officeDocument/2006/relationships/hyperlink" Target="https://techcombank.com/thong-tin/blog/quyet-toan-thue-thu-nhap-ca-nhan" TargetMode="External"/><Relationship Id="rId546" Type="http://schemas.openxmlformats.org/officeDocument/2006/relationships/hyperlink" Target="https://techcombank.com/thong-tin/blog/cach-tinh-thue-ho-kinh-doanh-nho-le" TargetMode="External"/><Relationship Id="rId545" Type="http://schemas.openxmlformats.org/officeDocument/2006/relationships/hyperlink" Target="https://techcombank.com/thong-tin/blog/sao-ke-luong" TargetMode="External"/><Relationship Id="rId544" Type="http://schemas.openxmlformats.org/officeDocument/2006/relationships/hyperlink" Target="https://techcombank.com/thong-tin/blog/luong-huu" TargetMode="External"/><Relationship Id="rId549" Type="http://schemas.openxmlformats.org/officeDocument/2006/relationships/hyperlink" Target="https://techcombank.com/thong-tin/blog/nhung-ho-kinh-doanh-duoc-mien-thue" TargetMode="External"/><Relationship Id="rId548" Type="http://schemas.openxmlformats.org/officeDocument/2006/relationships/hyperlink" Target="https://techcombank.com/thong-tin/blog/hoan-thue-thu-nhap-ca-nhan" TargetMode="External"/><Relationship Id="rId2460" Type="http://schemas.openxmlformats.org/officeDocument/2006/relationships/hyperlink" Target="https://techcombank.com/thong-tin/blog/vang-24k" TargetMode="External"/><Relationship Id="rId1130" Type="http://schemas.openxmlformats.org/officeDocument/2006/relationships/hyperlink" Target="https://techcombank.com/thong-tin/blog/mo-the-tin-dung-han-muc-cao" TargetMode="External"/><Relationship Id="rId2461" Type="http://schemas.openxmlformats.org/officeDocument/2006/relationships/hyperlink" Target="https://techcombank.com/thong-tin/blog/chien-luoc-dau-tu" TargetMode="External"/><Relationship Id="rId1131" Type="http://schemas.openxmlformats.org/officeDocument/2006/relationships/hyperlink" Target="https://techcombank.com/thong-tin/blog/uu-dai-the-tin-dung" TargetMode="External"/><Relationship Id="rId2462" Type="http://schemas.openxmlformats.org/officeDocument/2006/relationships/hyperlink" Target="https://techcombank.com/thong-tin/blog/khau-vi-nha-dau-tu-tpdn-thay-doi-the-nao-sau-nhung-bien-dong-vua-qua" TargetMode="External"/><Relationship Id="rId543" Type="http://schemas.openxmlformats.org/officeDocument/2006/relationships/hyperlink" Target="https://techcombank.com/thong-tin/blog/tra-cuu-no-thue-ca-nhan" TargetMode="External"/><Relationship Id="rId1132" Type="http://schemas.openxmlformats.org/officeDocument/2006/relationships/hyperlink" Target="https://techcombank.com/thong-tin/blog/3d-secure" TargetMode="External"/><Relationship Id="rId2463" Type="http://schemas.openxmlformats.org/officeDocument/2006/relationships/hyperlink" Target="https://techcombank.com/thong-tin/blog/thoi-gian-khop-lech-chung-chi-quy" TargetMode="External"/><Relationship Id="rId542" Type="http://schemas.openxmlformats.org/officeDocument/2006/relationships/hyperlink" Target="https://techcombank.com/thong-tin/blog/tien-chuyen-vao-tai-khoan-co-bi-tinh-thue-khong" TargetMode="External"/><Relationship Id="rId1133" Type="http://schemas.openxmlformats.org/officeDocument/2006/relationships/hyperlink" Target="https://techcombank.com/thong-tin/blog/lai-suat-the-tin-dung" TargetMode="External"/><Relationship Id="rId2464" Type="http://schemas.openxmlformats.org/officeDocument/2006/relationships/hyperlink" Target="https://techcombank.com/thong-tin/blog/nha-dau-tu-giao-dich-trai-phieu-truc-tuyen-tang-manh-tro-lai" TargetMode="External"/><Relationship Id="rId541" Type="http://schemas.openxmlformats.org/officeDocument/2006/relationships/hyperlink" Target="https://techcombank.com/thong-tin/blog/sms-banking" TargetMode="External"/><Relationship Id="rId1134" Type="http://schemas.openxmlformats.org/officeDocument/2006/relationships/hyperlink" Target="https://techcombank.com/thong-tin/blog/mo-the-tin-dung-co-loi-ich-gi" TargetMode="External"/><Relationship Id="rId2465" Type="http://schemas.openxmlformats.org/officeDocument/2006/relationships/hyperlink" Target="https://techcombank.com/thong-tin/blog/techcom-securities-nhung-buoc-tien-phong-tren-san-thu-cap" TargetMode="External"/><Relationship Id="rId540" Type="http://schemas.openxmlformats.org/officeDocument/2006/relationships/hyperlink" Target="https://techcombank.com/thong-tin/blog/the-ghi-no-co-chuyen-khoan-duoc-khong" TargetMode="External"/><Relationship Id="rId1135" Type="http://schemas.openxmlformats.org/officeDocument/2006/relationships/hyperlink" Target="https://techcombank.com/thong-tin/blog/the-tin-dung-ao" TargetMode="External"/><Relationship Id="rId2466" Type="http://schemas.openxmlformats.org/officeDocument/2006/relationships/hyperlink" Target="https://techcombank.com/thong-tin/blog/gia-chung-chi-quy-la-gi" TargetMode="External"/><Relationship Id="rId1125" Type="http://schemas.openxmlformats.org/officeDocument/2006/relationships/hyperlink" Target="https://techcombank.com/thong-tin/blog/sao-ke-luong" TargetMode="External"/><Relationship Id="rId2456" Type="http://schemas.openxmlformats.org/officeDocument/2006/relationships/hyperlink" Target="https://techcombank.com/thong-tin/blog/thi-truong-trai-phieu-am-tro-lai-nha-dau-tu-san-sang-cho-nhung-co-hoi-sinh-loi-moi" TargetMode="External"/><Relationship Id="rId1126" Type="http://schemas.openxmlformats.org/officeDocument/2006/relationships/hyperlink" Target="https://techcombank.com/thong-tin/blog/thanh-toan-online-bang-the-tin-dung" TargetMode="External"/><Relationship Id="rId2457" Type="http://schemas.openxmlformats.org/officeDocument/2006/relationships/hyperlink" Target="https://techcombank.com/thong-tin/blog/tinh-thanh-khoan-la-gi" TargetMode="External"/><Relationship Id="rId1127" Type="http://schemas.openxmlformats.org/officeDocument/2006/relationships/hyperlink" Target="https://techcombank.com/thong-tin/blog/uu-dai-mo-the-tin-dung" TargetMode="External"/><Relationship Id="rId2458" Type="http://schemas.openxmlformats.org/officeDocument/2006/relationships/hyperlink" Target="https://techcombank.com/thong-tin/blog/kinh-nghiem-mua-vang-tich-tru" TargetMode="External"/><Relationship Id="rId1128" Type="http://schemas.openxmlformats.org/officeDocument/2006/relationships/hyperlink" Target="https://techcombank.com/thong-tin/blog/the-tin-dung-co-chuyen-khoan-duoc-khong" TargetMode="External"/><Relationship Id="rId2459" Type="http://schemas.openxmlformats.org/officeDocument/2006/relationships/hyperlink" Target="https://techcombank.com/thong-tin/blog/npv-la-gi" TargetMode="External"/><Relationship Id="rId1129" Type="http://schemas.openxmlformats.org/officeDocument/2006/relationships/hyperlink" Target="https://techcombank.com/thong-tin/blog/the-tin-dung-techcombank-visa-eco" TargetMode="External"/><Relationship Id="rId536" Type="http://schemas.openxmlformats.org/officeDocument/2006/relationships/hyperlink" Target="https://techcombank.com/thong-tin/blog/cach-kich-hoat-the-atm" TargetMode="External"/><Relationship Id="rId535" Type="http://schemas.openxmlformats.org/officeDocument/2006/relationships/hyperlink" Target="https://techcombank.com/thong-tin/blog/rui-ro-khi-gui-tiet-kiem-ngan-hang" TargetMode="External"/><Relationship Id="rId534" Type="http://schemas.openxmlformats.org/officeDocument/2006/relationships/hyperlink" Target="https://techcombank.com/thong-tin/blog/mobile-banking-la-gi" TargetMode="External"/><Relationship Id="rId533" Type="http://schemas.openxmlformats.org/officeDocument/2006/relationships/hyperlink" Target="https://techcombank.com/thong-tin/blog/thanh-toan-tien-nuoc-online" TargetMode="External"/><Relationship Id="rId539" Type="http://schemas.openxmlformats.org/officeDocument/2006/relationships/hyperlink" Target="https://techcombank.com/thong-tin/blog/cach-huy-thanh-toan-tien-dien" TargetMode="External"/><Relationship Id="rId538" Type="http://schemas.openxmlformats.org/officeDocument/2006/relationships/hyperlink" Target="https://techcombank.com/thong-tin/blog/thanh-toan-hoa-don-tieu-dung" TargetMode="External"/><Relationship Id="rId537" Type="http://schemas.openxmlformats.org/officeDocument/2006/relationships/hyperlink" Target="https://techcombank.com/thong-tin/blog/thanh-toan-tra-sau-viettel-bang-tai-khoan-ngan-hang" TargetMode="External"/><Relationship Id="rId2450" Type="http://schemas.openxmlformats.org/officeDocument/2006/relationships/hyperlink" Target="https://techcombank.com/thong-tin/blog/thi-truong-trai-phieu-co-hoi-dau-tu-trai-phieu-vang-du-lai-suat-thap" TargetMode="External"/><Relationship Id="rId1120" Type="http://schemas.openxmlformats.org/officeDocument/2006/relationships/hyperlink" Target="https://techcombank.com/thong-tin/blog/the-tin-dung-quoc-te" TargetMode="External"/><Relationship Id="rId2451" Type="http://schemas.openxmlformats.org/officeDocument/2006/relationships/hyperlink" Target="https://techcombank.com/thong-tin/blog/y-concert" TargetMode="External"/><Relationship Id="rId532" Type="http://schemas.openxmlformats.org/officeDocument/2006/relationships/hyperlink" Target="https://techcombank.com/thong-tin/blog/cic-la-gi" TargetMode="External"/><Relationship Id="rId1121" Type="http://schemas.openxmlformats.org/officeDocument/2006/relationships/hyperlink" Target="https://techcombank.com/thong-tin/blog/phi-rut-tien-mat-the-tin-dung" TargetMode="External"/><Relationship Id="rId2452" Type="http://schemas.openxmlformats.org/officeDocument/2006/relationships/hyperlink" Target="https://techcombank.com/thong-tin/blog/softpos" TargetMode="External"/><Relationship Id="rId531" Type="http://schemas.openxmlformats.org/officeDocument/2006/relationships/hyperlink" Target="https://techcombank.com/thong-tin/blog/tai-khoan-ngan-hang-bi-khoa" TargetMode="External"/><Relationship Id="rId1122" Type="http://schemas.openxmlformats.org/officeDocument/2006/relationships/hyperlink" Target="https://techcombank.com/thong-tin/blog/vay-ngan-hang-1-ty-moi-thang-tra-bao-nhieu" TargetMode="External"/><Relationship Id="rId2453" Type="http://schemas.openxmlformats.org/officeDocument/2006/relationships/hyperlink" Target="https://techcombank.com/thong-tin/blog/due-diligence" TargetMode="External"/><Relationship Id="rId530" Type="http://schemas.openxmlformats.org/officeDocument/2006/relationships/hyperlink" Target="https://techcombank.com/thong-tin/blog/thanh-toan-tra-gop-qua-the-tin-dung" TargetMode="External"/><Relationship Id="rId1123" Type="http://schemas.openxmlformats.org/officeDocument/2006/relationships/hyperlink" Target="https://techcombank.com/thong-tin/blog/the-tin-dung-den" TargetMode="External"/><Relationship Id="rId2454" Type="http://schemas.openxmlformats.org/officeDocument/2006/relationships/hyperlink" Target="https://techcombank.com/thong-tin/blog/cach-quan-ly-tai-san" TargetMode="External"/><Relationship Id="rId1124" Type="http://schemas.openxmlformats.org/officeDocument/2006/relationships/hyperlink" Target="https://techcombank.com/thong-tin/blog/dao-han-the-tin-dung" TargetMode="External"/><Relationship Id="rId2455" Type="http://schemas.openxmlformats.org/officeDocument/2006/relationships/hyperlink" Target="https://techcombank.com/thong-tin/blog/5-trieu-mua-duoc-bao-nhieu-vang" TargetMode="External"/><Relationship Id="rId1158" Type="http://schemas.openxmlformats.org/officeDocument/2006/relationships/hyperlink" Target="https://techcombank.com/thong-tin/blog/mo-the-tin-dung-chi-can-cccd" TargetMode="External"/><Relationship Id="rId2005" Type="http://schemas.openxmlformats.org/officeDocument/2006/relationships/hyperlink" Target="https://techcombank.com/thong-tin/blog/tien-gui-co-ky-han" TargetMode="External"/><Relationship Id="rId2489" Type="http://schemas.openxmlformats.org/officeDocument/2006/relationships/hyperlink" Target="https://techcombank.com/thong-tin/blog/rut-tien-bao-hiem-nhan-tho-khi-het-han" TargetMode="External"/><Relationship Id="rId1159" Type="http://schemas.openxmlformats.org/officeDocument/2006/relationships/hyperlink" Target="https://techcombank.com/thong-tin/blog/luu-y-khi-su-dung-the-tin-dung" TargetMode="External"/><Relationship Id="rId2006" Type="http://schemas.openxmlformats.org/officeDocument/2006/relationships/hyperlink" Target="https://techcombank.com/thong-tin/blog/lai-suat-gui-tiet-kiem-usd" TargetMode="External"/><Relationship Id="rId2007" Type="http://schemas.openxmlformats.org/officeDocument/2006/relationships/hyperlink" Target="https://techcombank.com/thong-tin/blog/gui-tiet-kiem-usd" TargetMode="External"/><Relationship Id="rId2008" Type="http://schemas.openxmlformats.org/officeDocument/2006/relationships/hyperlink" Target="https://techcombank.com/thong-tin/blog/tat-toan-so-tiet-kiem" TargetMode="External"/><Relationship Id="rId2009" Type="http://schemas.openxmlformats.org/officeDocument/2006/relationships/hyperlink" Target="https://techcombank.com/thong-tin/blog/gui-tiet-kiem-online-co-rut-truoc-han-duoc-khong" TargetMode="External"/><Relationship Id="rId569" Type="http://schemas.openxmlformats.org/officeDocument/2006/relationships/hyperlink" Target="https://techcombank.com/thong-tin/blog/softpos" TargetMode="External"/><Relationship Id="rId568" Type="http://schemas.openxmlformats.org/officeDocument/2006/relationships/hyperlink" Target="https://techcombank.com/thong-tin/blog/pos" TargetMode="External"/><Relationship Id="rId567" Type="http://schemas.openxmlformats.org/officeDocument/2006/relationships/hyperlink" Target="https://techcombank.com/thong-tin/blog/tao-ma-qr-thanh-toan-cho-cua-hang" TargetMode="External"/><Relationship Id="rId566" Type="http://schemas.openxmlformats.org/officeDocument/2006/relationships/hyperlink" Target="https://techcombank.com/thong-tin/blog/cach-tao-ma-qr" TargetMode="External"/><Relationship Id="rId2480" Type="http://schemas.openxmlformats.org/officeDocument/2006/relationships/hyperlink" Target="https://techcombank.com/thong-tin/blog/chon-kenh-dau-tu-an-toan-trong-boi-canh-thi-truong-bien-dong" TargetMode="External"/><Relationship Id="rId561" Type="http://schemas.openxmlformats.org/officeDocument/2006/relationships/hyperlink" Target="https://techcombank.com/thong-tin/blog/the-atm-khong-rut-duoc-tien" TargetMode="External"/><Relationship Id="rId1150" Type="http://schemas.openxmlformats.org/officeDocument/2006/relationships/hyperlink" Target="https://techcombank.com/thong-tin/blog/vay-200-trieu" TargetMode="External"/><Relationship Id="rId2481" Type="http://schemas.openxmlformats.org/officeDocument/2006/relationships/hyperlink" Target="https://techcombank.com/thong-tin/blog/nghich-ly-nha-dau-tu-che-trai-phieu-lai-suat-cao-ua-ma-an-toan-du-lai-suat-thap-hon-05-1" TargetMode="External"/><Relationship Id="rId560" Type="http://schemas.openxmlformats.org/officeDocument/2006/relationships/hyperlink" Target="https://techcombank.com/thong-tin/blog/cach-rut-tien-atm" TargetMode="External"/><Relationship Id="rId1151" Type="http://schemas.openxmlformats.org/officeDocument/2006/relationships/hyperlink" Target="https://techcombank.com/thong-tin/blog/vay-tin-chap-theo-luong" TargetMode="External"/><Relationship Id="rId2482" Type="http://schemas.openxmlformats.org/officeDocument/2006/relationships/hyperlink" Target="https://techcombank.com/thong-tin/blog/anh-sang-cuoi-duong-ham-xuat-hien-trai-phieu-doanh-nghiep-tot-va-an-toan-se-duoc-nha-dau-tu-chon" TargetMode="External"/><Relationship Id="rId1152" Type="http://schemas.openxmlformats.org/officeDocument/2006/relationships/hyperlink" Target="https://techcombank.com/thong-tin/blog/tra-gop-qua-the-tin-dung" TargetMode="External"/><Relationship Id="rId2483" Type="http://schemas.openxmlformats.org/officeDocument/2006/relationships/hyperlink" Target="https://techcombank.com/thong-tin/blog/vang-giam" TargetMode="External"/><Relationship Id="rId1153" Type="http://schemas.openxmlformats.org/officeDocument/2006/relationships/hyperlink" Target="https://techcombank.com/thong-tin/blog/lam-the-tin-dung-co-mat-phi-khong" TargetMode="External"/><Relationship Id="rId2000" Type="http://schemas.openxmlformats.org/officeDocument/2006/relationships/hyperlink" Target="https://techcombank.com/thong-tin/blog/lai-suat-vay-tin-chap" TargetMode="External"/><Relationship Id="rId2484" Type="http://schemas.openxmlformats.org/officeDocument/2006/relationships/hyperlink" Target="https://techcombank.com/thong-tin/blog/cac-chung-chi-quy-o-viet-nam" TargetMode="External"/><Relationship Id="rId565" Type="http://schemas.openxmlformats.org/officeDocument/2006/relationships/hyperlink" Target="https://techcombank.com/thong-tin/blog/gui-ma-qr-ngan-hang" TargetMode="External"/><Relationship Id="rId1154" Type="http://schemas.openxmlformats.org/officeDocument/2006/relationships/hyperlink" Target="https://techcombank.com/thong-tin/blog/kich-hoat-the-tin-dung-techcombank" TargetMode="External"/><Relationship Id="rId2001" Type="http://schemas.openxmlformats.org/officeDocument/2006/relationships/hyperlink" Target="https://techcombank.com/thong-tin/blog/cach-tiet-kiem-tien-sinh-loi" TargetMode="External"/><Relationship Id="rId2485" Type="http://schemas.openxmlformats.org/officeDocument/2006/relationships/hyperlink" Target="https://techcombank.com/thong-tin/blog/bang-gia-chung-chi-quy" TargetMode="External"/><Relationship Id="rId564" Type="http://schemas.openxmlformats.org/officeDocument/2006/relationships/hyperlink" Target="https://techcombank.com/thong-tin/blog/quet-ma-qr-techcombank" TargetMode="External"/><Relationship Id="rId1155" Type="http://schemas.openxmlformats.org/officeDocument/2006/relationships/hyperlink" Target="https://techcombank.com/thong-tin/blog/the-tin-dung-bi-khoa" TargetMode="External"/><Relationship Id="rId2002" Type="http://schemas.openxmlformats.org/officeDocument/2006/relationships/hyperlink" Target="https://techcombank.com/thong-tin/blog/co-50-trieu-nen-mua-vang-hay-gui-tiet-kiem" TargetMode="External"/><Relationship Id="rId2486" Type="http://schemas.openxmlformats.org/officeDocument/2006/relationships/hyperlink" Target="https://techcombank.com/thong-tin/blog/chung-chi-quy-dong" TargetMode="External"/><Relationship Id="rId563" Type="http://schemas.openxmlformats.org/officeDocument/2006/relationships/hyperlink" Target="https://techcombank.com/thong-tin/blog/cay-atm-gan-day" TargetMode="External"/><Relationship Id="rId1156" Type="http://schemas.openxmlformats.org/officeDocument/2006/relationships/hyperlink" Target="https://techcombank.com/thong-tin/blog/no-xau-mo-the-tin-dung-duoc-khong" TargetMode="External"/><Relationship Id="rId2003" Type="http://schemas.openxmlformats.org/officeDocument/2006/relationships/hyperlink" Target="https://techcombank.com/thong-tin/blog/vay-20-trieu" TargetMode="External"/><Relationship Id="rId2487" Type="http://schemas.openxmlformats.org/officeDocument/2006/relationships/hyperlink" Target="https://techcombank.com/thong-tin/blog/xu-huong-dau-tu-trai-phieu-ky-han-duoi-mot-nam-lua-chon-an-toan-khi-thi-truong-bien-dong" TargetMode="External"/><Relationship Id="rId562" Type="http://schemas.openxmlformats.org/officeDocument/2006/relationships/hyperlink" Target="https://techcombank.com/thong-tin/blog/bi-nuot-the-atm-phai-lam-sao" TargetMode="External"/><Relationship Id="rId1157" Type="http://schemas.openxmlformats.org/officeDocument/2006/relationships/hyperlink" Target="https://techcombank.com/thong-tin/blog/cach-tinh-lai-vay-ngan-hang" TargetMode="External"/><Relationship Id="rId2004" Type="http://schemas.openxmlformats.org/officeDocument/2006/relationships/hyperlink" Target="https://techcombank.com/thong-tin/blog/vay-tin-chap-la-gi" TargetMode="External"/><Relationship Id="rId2488" Type="http://schemas.openxmlformats.org/officeDocument/2006/relationships/hyperlink" Target="https://techcombank.com/thong-tin/blog/bao-hiem-sinh-ky-la-gi" TargetMode="External"/><Relationship Id="rId1147" Type="http://schemas.openxmlformats.org/officeDocument/2006/relationships/hyperlink" Target="https://techcombank.com/thong-tin/blog/cach-su-dung-the-tin-dung" TargetMode="External"/><Relationship Id="rId2478" Type="http://schemas.openxmlformats.org/officeDocument/2006/relationships/hyperlink" Target="https://techcombank.com/thong-tin/blog/tat-toan-chung-chi-tien-gui" TargetMode="External"/><Relationship Id="rId1148" Type="http://schemas.openxmlformats.org/officeDocument/2006/relationships/hyperlink" Target="https://techcombank.com/thong-tin/blog/han-muc-the-tin-dung" TargetMode="External"/><Relationship Id="rId2479" Type="http://schemas.openxmlformats.org/officeDocument/2006/relationships/hyperlink" Target="https://techcombank.com/thong-tin/blog/bao-hiem-lien-ket-dau-tu" TargetMode="External"/><Relationship Id="rId1149" Type="http://schemas.openxmlformats.org/officeDocument/2006/relationships/hyperlink" Target="https://techcombank.com/thong-tin/blog/nang-han-muc-tin-dung" TargetMode="External"/><Relationship Id="rId558" Type="http://schemas.openxmlformats.org/officeDocument/2006/relationships/hyperlink" Target="https://techcombank.com/thong-tin/blog/hoc-cach-tiet-kiem-tien-luong" TargetMode="External"/><Relationship Id="rId557" Type="http://schemas.openxmlformats.org/officeDocument/2006/relationships/hyperlink" Target="https://techcombank.com/thong-tin/blog/chi-tra-luong-huu" TargetMode="External"/><Relationship Id="rId556" Type="http://schemas.openxmlformats.org/officeDocument/2006/relationships/hyperlink" Target="https://techcombank.com/thong-tin/blog/kiem-tra-thue-thu-nhap-ca-nhan" TargetMode="External"/><Relationship Id="rId555" Type="http://schemas.openxmlformats.org/officeDocument/2006/relationships/hyperlink" Target="https://techcombank.com/thong-tin/blog/vay-the-chap-qua-luong" TargetMode="External"/><Relationship Id="rId559" Type="http://schemas.openxmlformats.org/officeDocument/2006/relationships/hyperlink" Target="https://techcombank.com/thong-tin/blog/rut-tien-bang-ma-qr-khac-ngan-hang-duoc-khong" TargetMode="External"/><Relationship Id="rId550" Type="http://schemas.openxmlformats.org/officeDocument/2006/relationships/hyperlink" Target="https://techcombank.com/thong-tin/blog/app-tra-luong" TargetMode="External"/><Relationship Id="rId2470" Type="http://schemas.openxmlformats.org/officeDocument/2006/relationships/hyperlink" Target="https://techcombank.com/thong-tin/blog/gui-tiet-kiem-ngan-hang-van-la-lua-chon-an-toan-trong-thoi-ky-kinh-te-con-nhieu-bien-dong" TargetMode="External"/><Relationship Id="rId1140" Type="http://schemas.openxmlformats.org/officeDocument/2006/relationships/hyperlink" Target="https://techcombank.com/thong-tin/blog/lam-the-tin-dung" TargetMode="External"/><Relationship Id="rId2471" Type="http://schemas.openxmlformats.org/officeDocument/2006/relationships/hyperlink" Target="https://techcombank.com/thong-tin/blog/co-nen-gui-chung-chi-tien-gui" TargetMode="External"/><Relationship Id="rId1141" Type="http://schemas.openxmlformats.org/officeDocument/2006/relationships/hyperlink" Target="https://techcombank.com/thong-tin/blog/the-tin-dung-co-ma-pin-khong" TargetMode="External"/><Relationship Id="rId2472" Type="http://schemas.openxmlformats.org/officeDocument/2006/relationships/hyperlink" Target="https://techcombank.com/thong-tin/blog/dau-tu-trai-phieu-doanh-nghiep-dung-ham-lai-suat-cao" TargetMode="External"/><Relationship Id="rId1142" Type="http://schemas.openxmlformats.org/officeDocument/2006/relationships/hyperlink" Target="https://techcombank.com/thong-tin/blog/cic-la-gi" TargetMode="External"/><Relationship Id="rId2473" Type="http://schemas.openxmlformats.org/officeDocument/2006/relationships/hyperlink" Target="https://techcombank.com/thong-tin/blog/phan-mem-lap-ke-hoach-tai-chinh-ca-nhan" TargetMode="External"/><Relationship Id="rId554" Type="http://schemas.openxmlformats.org/officeDocument/2006/relationships/hyperlink" Target="https://techcombank.com/thong-tin/blog/cach-tinh-thue-thu-nhap-ca-nhan-2025" TargetMode="External"/><Relationship Id="rId1143" Type="http://schemas.openxmlformats.org/officeDocument/2006/relationships/hyperlink" Target="https://techcombank.com/thong-tin/blog/the-tin-dung-noi-dia" TargetMode="External"/><Relationship Id="rId2474" Type="http://schemas.openxmlformats.org/officeDocument/2006/relationships/hyperlink" Target="https://techcombank.com/thong-tin/blog/dau-tu-ngan-han" TargetMode="External"/><Relationship Id="rId553" Type="http://schemas.openxmlformats.org/officeDocument/2006/relationships/hyperlink" Target="https://techcombank.com/thong-tin/blog/dang-ky-ma-so-thue-ca-nhan" TargetMode="External"/><Relationship Id="rId1144" Type="http://schemas.openxmlformats.org/officeDocument/2006/relationships/hyperlink" Target="https://techcombank.com/thong-tin/blog/lam-ho-so-tra-gop-dien-thoai" TargetMode="External"/><Relationship Id="rId2475" Type="http://schemas.openxmlformats.org/officeDocument/2006/relationships/hyperlink" Target="https://techcombank.com/thong-tin/blog/danh-muc-dau-tu" TargetMode="External"/><Relationship Id="rId552" Type="http://schemas.openxmlformats.org/officeDocument/2006/relationships/hyperlink" Target="https://techcombank.com/thong-tin/blog/chinh-sach-tang-luong-huu" TargetMode="External"/><Relationship Id="rId1145" Type="http://schemas.openxmlformats.org/officeDocument/2006/relationships/hyperlink" Target="https://techcombank.com/thong-tin/blog/lai-suat-ngan-hang-cho-vay-xay-nha" TargetMode="External"/><Relationship Id="rId2476" Type="http://schemas.openxmlformats.org/officeDocument/2006/relationships/hyperlink" Target="https://techcombank.com/thong-tin/blog/gui-tiet-kiem-lay-lai-hang-thang" TargetMode="External"/><Relationship Id="rId551" Type="http://schemas.openxmlformats.org/officeDocument/2006/relationships/hyperlink" Target="https://techcombank.com/thong-tin/blog/ho-kinh-doanh-dong-thue-nhu-nao" TargetMode="External"/><Relationship Id="rId1146" Type="http://schemas.openxmlformats.org/officeDocument/2006/relationships/hyperlink" Target="https://techcombank.com/thong-tin/blog/the-tin-dung-la-gi" TargetMode="External"/><Relationship Id="rId2477" Type="http://schemas.openxmlformats.org/officeDocument/2006/relationships/hyperlink" Target="https://techcombank.com/thong-tin/blog/tich-luy-tai-san" TargetMode="External"/><Relationship Id="rId2090" Type="http://schemas.openxmlformats.org/officeDocument/2006/relationships/hyperlink" Target="https://techcombank.com/thong-tin/blog/cach-tiet-kiem-tien-cua-nguoi-nhat" TargetMode="External"/><Relationship Id="rId2091" Type="http://schemas.openxmlformats.org/officeDocument/2006/relationships/hyperlink" Target="https://techcombank.com/thong-tin/blog/sai-lam-ve-tai-chinh-ca-nhan" TargetMode="External"/><Relationship Id="rId2092" Type="http://schemas.openxmlformats.org/officeDocument/2006/relationships/hyperlink" Target="https://techcombank.com/thong-tin/blog/lam-phat-la-gi" TargetMode="External"/><Relationship Id="rId2093" Type="http://schemas.openxmlformats.org/officeDocument/2006/relationships/hyperlink" Target="https://techcombank.com/thong-tin/blog/cach-tiet-kiem-tien-hieu-qua-cho-gia-dinh" TargetMode="External"/><Relationship Id="rId2094" Type="http://schemas.openxmlformats.org/officeDocument/2006/relationships/hyperlink" Target="https://techcombank.com/thong-tin/blog/dau-chan-carbon" TargetMode="External"/><Relationship Id="rId2095" Type="http://schemas.openxmlformats.org/officeDocument/2006/relationships/hyperlink" Target="https://techcombank.com/thong-tin/blog/mo-tai-khoan-ngan-hang-cho-tre-em" TargetMode="External"/><Relationship Id="rId2096" Type="http://schemas.openxmlformats.org/officeDocument/2006/relationships/hyperlink" Target="https://techcombank.com/thong-tin/blog/app-mua-truoc-tra-sau" TargetMode="External"/><Relationship Id="rId2097" Type="http://schemas.openxmlformats.org/officeDocument/2006/relationships/hyperlink" Target="https://techcombank.com/thong-tin/blog/phan-mem-quan-ly-tai-chinh-doanh-nghiep" TargetMode="External"/><Relationship Id="rId2098" Type="http://schemas.openxmlformats.org/officeDocument/2006/relationships/hyperlink" Target="https://techcombank.com/thong-tin/blog/quan-ly-tai-chinh-cho-dan-van-phong" TargetMode="External"/><Relationship Id="rId2099" Type="http://schemas.openxmlformats.org/officeDocument/2006/relationships/hyperlink" Target="https://techcombank.com/thong-tin/blog/lap-ke-hoach-tai-chinh-ca-nhan" TargetMode="External"/><Relationship Id="rId2060" Type="http://schemas.openxmlformats.org/officeDocument/2006/relationships/hyperlink" Target="https://techcombank.com/thong-tin/blog/mo-the-tin-dung-khong-can-chung-minh-thu-nhap" TargetMode="External"/><Relationship Id="rId2061" Type="http://schemas.openxmlformats.org/officeDocument/2006/relationships/hyperlink" Target="https://techcombank.com/thong-tin/blog/gui-tiet-kiem-online-quay-vong-ca-goc-va-lai" TargetMode="External"/><Relationship Id="rId2062" Type="http://schemas.openxmlformats.org/officeDocument/2006/relationships/hyperlink" Target="https://techcombank.com/thong-tin/blog/chung-chi-tien-gui-khac-gi-so-tiet-kiem" TargetMode="External"/><Relationship Id="rId2063" Type="http://schemas.openxmlformats.org/officeDocument/2006/relationships/hyperlink" Target="https://techcombank.com/thong-tin/blog/so-sanh-gui-tiet-kiem-online-va-tai-quay" TargetMode="External"/><Relationship Id="rId2064" Type="http://schemas.openxmlformats.org/officeDocument/2006/relationships/hyperlink" Target="https://techcombank.com/thong-tin/blog/cach-tiet-kiem-tien-sinh-loi" TargetMode="External"/><Relationship Id="rId2065" Type="http://schemas.openxmlformats.org/officeDocument/2006/relationships/hyperlink" Target="https://techcombank.com/thong-tin/blog/co-50-trieu-nen-mua-vang-hay-gui-tiet-kiem" TargetMode="External"/><Relationship Id="rId2066" Type="http://schemas.openxmlformats.org/officeDocument/2006/relationships/hyperlink" Target="https://techcombank.com/thong-tin/blog/lai-suat-gui-tiet-kiem-usd" TargetMode="External"/><Relationship Id="rId2067" Type="http://schemas.openxmlformats.org/officeDocument/2006/relationships/hyperlink" Target="https://techcombank.com/thong-tin/blog/gui-tiet-kiem-usd" TargetMode="External"/><Relationship Id="rId2068" Type="http://schemas.openxmlformats.org/officeDocument/2006/relationships/hyperlink" Target="https://techcombank.com/thong-tin/blog/cach-tiet-kiem-tien-theo-tuan" TargetMode="External"/><Relationship Id="rId2069" Type="http://schemas.openxmlformats.org/officeDocument/2006/relationships/hyperlink" Target="https://techcombank.com/thong-tin/blog/tiet-kiem-tien-moi-ngay" TargetMode="External"/><Relationship Id="rId2050" Type="http://schemas.openxmlformats.org/officeDocument/2006/relationships/hyperlink" Target="https://techcombank.com/thong-tin/blog/gui-tiet-kiem-lay-lai-hang-thang" TargetMode="External"/><Relationship Id="rId2051" Type="http://schemas.openxmlformats.org/officeDocument/2006/relationships/hyperlink" Target="https://techcombank.com/thong-tin/blog/rui-ro-khi-gui-tiet-kiem-online" TargetMode="External"/><Relationship Id="rId495" Type="http://schemas.openxmlformats.org/officeDocument/2006/relationships/hyperlink" Target="https://techcombank.com/thong-tin/blog/quyet-toan-thue-thu-nhap-ca-nhan" TargetMode="External"/><Relationship Id="rId2052" Type="http://schemas.openxmlformats.org/officeDocument/2006/relationships/hyperlink" Target="https://techcombank.com/thong-tin/blog/cach-tinh-lai-suat-tien-gui-tiet-kiem" TargetMode="External"/><Relationship Id="rId494" Type="http://schemas.openxmlformats.org/officeDocument/2006/relationships/hyperlink" Target="https://techcombank.com/thong-tin/blog/hoan-thue-thu-nhap-ca-nhan" TargetMode="External"/><Relationship Id="rId2053" Type="http://schemas.openxmlformats.org/officeDocument/2006/relationships/hyperlink" Target="https://techcombank.com/thong-tin/blog/gui-tiet-kiem-ngoai-te" TargetMode="External"/><Relationship Id="rId493" Type="http://schemas.openxmlformats.org/officeDocument/2006/relationships/hyperlink" Target="https://techcombank.com/thong-tin/blog/lien-ket-tai-khoan-ngan-hang-voi-etax-mobile" TargetMode="External"/><Relationship Id="rId2054" Type="http://schemas.openxmlformats.org/officeDocument/2006/relationships/hyperlink" Target="https://techcombank.com/thong-tin/blog/rui-ro-khi-gui-tiet-kiem-ngan-hang" TargetMode="External"/><Relationship Id="rId492" Type="http://schemas.openxmlformats.org/officeDocument/2006/relationships/hyperlink" Target="https://techcombank.com/thong-tin/blog/dang-ky-ma-so-thue-ca-nhan" TargetMode="External"/><Relationship Id="rId2055" Type="http://schemas.openxmlformats.org/officeDocument/2006/relationships/hyperlink" Target="https://techcombank.com/thong-tin/blog/gui-tiet-kiem-hang-thang" TargetMode="External"/><Relationship Id="rId499" Type="http://schemas.openxmlformats.org/officeDocument/2006/relationships/hyperlink" Target="https://techcombank.com/thong-tin/blog/kiem-tra-thue-ho-kinh-doanh" TargetMode="External"/><Relationship Id="rId2056" Type="http://schemas.openxmlformats.org/officeDocument/2006/relationships/hyperlink" Target="https://techcombank.com/thong-tin/blog/gui-tiet-kiem-online-bi-mat-tien" TargetMode="External"/><Relationship Id="rId498" Type="http://schemas.openxmlformats.org/officeDocument/2006/relationships/hyperlink" Target="https://techcombank.com/thong-tin/blog/tra-cuu-no-thue-ho-kinh-doanh" TargetMode="External"/><Relationship Id="rId2057" Type="http://schemas.openxmlformats.org/officeDocument/2006/relationships/hyperlink" Target="https://techcombank.com/thong-tin/blog/kinh-nghiem-gui-tiet-kiem-online" TargetMode="External"/><Relationship Id="rId497" Type="http://schemas.openxmlformats.org/officeDocument/2006/relationships/hyperlink" Target="https://techcombank.com/thong-tin/blog/tra-cuu-no-thue-hai-quan" TargetMode="External"/><Relationship Id="rId2058" Type="http://schemas.openxmlformats.org/officeDocument/2006/relationships/hyperlink" Target="https://techcombank.com/thong-tin/blog/vay-thau-chi-bang-so-tiet-kiem" TargetMode="External"/><Relationship Id="rId496" Type="http://schemas.openxmlformats.org/officeDocument/2006/relationships/hyperlink" Target="https://techcombank.com/thong-tin/blog/cach-tinh-thue-ho-kinh-doanh-nho-le" TargetMode="External"/><Relationship Id="rId2059" Type="http://schemas.openxmlformats.org/officeDocument/2006/relationships/hyperlink" Target="https://techcombank.com/thong-tin/blog/gui-tiet-kiem-online-co-rut-truoc-han-duoc-khong" TargetMode="External"/><Relationship Id="rId2080" Type="http://schemas.openxmlformats.org/officeDocument/2006/relationships/hyperlink" Target="https://techcombank.com/thong-tin/blog/thue-phi-co-dinh-khi-chuyen-doi-tu-ho-kinh-doanh-len-doanh-nghiep" TargetMode="External"/><Relationship Id="rId2081" Type="http://schemas.openxmlformats.org/officeDocument/2006/relationships/hyperlink" Target="https://techcombank.com/thong-tin/blog/ngan-hang-so-cho-doanh-nghiep" TargetMode="External"/><Relationship Id="rId2082" Type="http://schemas.openxmlformats.org/officeDocument/2006/relationships/hyperlink" Target="https://techcombank.com/thong-tin/blog/chinh-sach-tang-luong-huu" TargetMode="External"/><Relationship Id="rId2083" Type="http://schemas.openxmlformats.org/officeDocument/2006/relationships/hyperlink" Target="https://techcombank.com/thong-tin/blog/tinh-thanh-khoan-la-gi" TargetMode="External"/><Relationship Id="rId2084" Type="http://schemas.openxmlformats.org/officeDocument/2006/relationships/hyperlink" Target="https://techcombank.com/thong-tin/blog/loi-ich-cua-ngan-hang-so-voi-sme" TargetMode="External"/><Relationship Id="rId2085" Type="http://schemas.openxmlformats.org/officeDocument/2006/relationships/hyperlink" Target="https://techcombank.com/thong-tin/blog/npv-la-gi" TargetMode="External"/><Relationship Id="rId2086" Type="http://schemas.openxmlformats.org/officeDocument/2006/relationships/hyperlink" Target="https://techcombank.com/thong-tin/blog/quan-ly-tai-chinh-doanh-nghiep-la-gi" TargetMode="External"/><Relationship Id="rId2087" Type="http://schemas.openxmlformats.org/officeDocument/2006/relationships/hyperlink" Target="https://techcombank.com/thong-tin/blog/quan-ly-tai-chinh-doanh-nghiep-nho" TargetMode="External"/><Relationship Id="rId2088" Type="http://schemas.openxmlformats.org/officeDocument/2006/relationships/hyperlink" Target="https://techcombank.com/thong-tin/blog/uu-dai-the-tin-dung-techcombank-signature" TargetMode="External"/><Relationship Id="rId2089" Type="http://schemas.openxmlformats.org/officeDocument/2006/relationships/hyperlink" Target="https://techcombank.com/thong-tin/blog/tai-san-va-tieu-san-la-gi" TargetMode="External"/><Relationship Id="rId2070" Type="http://schemas.openxmlformats.org/officeDocument/2006/relationships/hyperlink" Target="https://techcombank.com/thong-tin/blog/hoc-cach-tiet-kiem-tien-luong" TargetMode="External"/><Relationship Id="rId2071" Type="http://schemas.openxmlformats.org/officeDocument/2006/relationships/hyperlink" Target="https://techcombank.com/thong-tin/blog/loi-ich-cua-viec-tiet-kiem-tien" TargetMode="External"/><Relationship Id="rId2072" Type="http://schemas.openxmlformats.org/officeDocument/2006/relationships/hyperlink" Target="https://techcombank.com/thong-tin/blog/the-nao-la-tiet-kiem" TargetMode="External"/><Relationship Id="rId2073" Type="http://schemas.openxmlformats.org/officeDocument/2006/relationships/hyperlink" Target="https://techcombank.com/thong-tin/blog/mo-tai-khoan-doanh-nghiep" TargetMode="External"/><Relationship Id="rId2074" Type="http://schemas.openxmlformats.org/officeDocument/2006/relationships/hyperlink" Target="https://techcombank.com/thong-tin/blog/vi-dien-tu" TargetMode="External"/><Relationship Id="rId2075" Type="http://schemas.openxmlformats.org/officeDocument/2006/relationships/hyperlink" Target="https://techcombank.com/thong-tin/blog/ke-hoach-tai-chinh" TargetMode="External"/><Relationship Id="rId2076" Type="http://schemas.openxmlformats.org/officeDocument/2006/relationships/hyperlink" Target="https://techcombank.com/thong-tin/blog/ma-mcc" TargetMode="External"/><Relationship Id="rId2077" Type="http://schemas.openxmlformats.org/officeDocument/2006/relationships/hyperlink" Target="https://techcombank.com/thong-tin/blog/chinh-sach-thue-moi" TargetMode="External"/><Relationship Id="rId2078" Type="http://schemas.openxmlformats.org/officeDocument/2006/relationships/hyperlink" Target="https://techcombank.com/thong-tin/blog/ghi-chep-chi-tieu" TargetMode="External"/><Relationship Id="rId2079" Type="http://schemas.openxmlformats.org/officeDocument/2006/relationships/hyperlink" Target="https://techcombank.com/thong-tin/blog/vi-tra-sau" TargetMode="External"/><Relationship Id="rId1610" Type="http://schemas.openxmlformats.org/officeDocument/2006/relationships/hyperlink" Target="https://techcombank.com/thong-tin/blog/top-phan-mem-ban-hang" TargetMode="External"/><Relationship Id="rId1611" Type="http://schemas.openxmlformats.org/officeDocument/2006/relationships/hyperlink" Target="https://techcombank.com/thong-tin/blog/dieu-kien-vay-von-ngan-hang" TargetMode="External"/><Relationship Id="rId1612" Type="http://schemas.openxmlformats.org/officeDocument/2006/relationships/hyperlink" Target="https://techcombank.com/thong-tin/blog/phat-cham-dang-ky-thue-ho-kinh-doanh" TargetMode="External"/><Relationship Id="rId1613" Type="http://schemas.openxmlformats.org/officeDocument/2006/relationships/hyperlink" Target="https://techcombank.com/thong-tin/blog/ho-kinh-doanh-ca-the" TargetMode="External"/><Relationship Id="rId1614" Type="http://schemas.openxmlformats.org/officeDocument/2006/relationships/hyperlink" Target="https://techcombank.com/thong-tin/blog/phan-mem-xuat-hoa-don-dien-tu" TargetMode="External"/><Relationship Id="rId1615" Type="http://schemas.openxmlformats.org/officeDocument/2006/relationships/hyperlink" Target="https://techcombank.com/thong-tin/blog/tra-cuu-no-thue-doanh-nghiep" TargetMode="External"/><Relationship Id="rId1616" Type="http://schemas.openxmlformats.org/officeDocument/2006/relationships/hyperlink" Target="https://techcombank.com/thong-tin/blog/nop-thue-hai-quan" TargetMode="External"/><Relationship Id="rId907" Type="http://schemas.openxmlformats.org/officeDocument/2006/relationships/hyperlink" Target="https://techcombank.com/thong-tin/blog/uu-dai-mo-the-tin-dung" TargetMode="External"/><Relationship Id="rId1617" Type="http://schemas.openxmlformats.org/officeDocument/2006/relationships/hyperlink" Target="https://techcombank.com/thong-tin/blog/tien-chuyen-vao-tai-khoan-co-bi-tinh-thue-khong" TargetMode="External"/><Relationship Id="rId906" Type="http://schemas.openxmlformats.org/officeDocument/2006/relationships/hyperlink" Target="https://techcombank.com/thong-tin/blog/cashback-the-thanh-toan" TargetMode="External"/><Relationship Id="rId1618" Type="http://schemas.openxmlformats.org/officeDocument/2006/relationships/hyperlink" Target="https://techcombank.com/thong-tin/blog/cach-tinh-thue-thu-nhap-ca-nhan-2025" TargetMode="External"/><Relationship Id="rId905" Type="http://schemas.openxmlformats.org/officeDocument/2006/relationships/hyperlink" Target="https://techcombank.com/thong-tin/blog/thanh-toan-tien-dien-bang-the-tin-dung" TargetMode="External"/><Relationship Id="rId1619" Type="http://schemas.openxmlformats.org/officeDocument/2006/relationships/hyperlink" Target="https://techcombank.com/thong-tin/blog/cach-lam-the-ngan-hang-chay-quang-cao-facebook" TargetMode="External"/><Relationship Id="rId904" Type="http://schemas.openxmlformats.org/officeDocument/2006/relationships/hyperlink" Target="https://techcombank.com/thong-tin/blog/tai-khoan-ngan-hang-la-gi" TargetMode="External"/><Relationship Id="rId909" Type="http://schemas.openxmlformats.org/officeDocument/2006/relationships/hyperlink" Target="https://techcombank.com/thong-tin/blog/cach-su-dung-the-tin-dung" TargetMode="External"/><Relationship Id="rId908" Type="http://schemas.openxmlformats.org/officeDocument/2006/relationships/hyperlink" Target="https://techcombank.com/thong-tin/blog/the-tin-dung-mien-phi-thuong-nien" TargetMode="External"/><Relationship Id="rId903" Type="http://schemas.openxmlformats.org/officeDocument/2006/relationships/hyperlink" Target="https://techcombank.com/thong-tin/blog/sang-ngang-the-tin-dung" TargetMode="External"/><Relationship Id="rId902" Type="http://schemas.openxmlformats.org/officeDocument/2006/relationships/hyperlink" Target="https://techcombank.com/thong-tin/blog/the-tin-dung-hoan-tien" TargetMode="External"/><Relationship Id="rId901" Type="http://schemas.openxmlformats.org/officeDocument/2006/relationships/hyperlink" Target="https://techcombank.com/thong-tin/blog/han-muc-tra-gop-the-tin-dung" TargetMode="External"/><Relationship Id="rId900" Type="http://schemas.openxmlformats.org/officeDocument/2006/relationships/hyperlink" Target="https://techcombank.com/thong-tin/blog/so-the-tin-dung" TargetMode="External"/><Relationship Id="rId1600" Type="http://schemas.openxmlformats.org/officeDocument/2006/relationships/hyperlink" Target="https://techcombank.com/thong-tin/blog/one-stop-shop" TargetMode="External"/><Relationship Id="rId1601" Type="http://schemas.openxmlformats.org/officeDocument/2006/relationships/hyperlink" Target="https://techcombank.com/thong-tin/blog/thue-phi-co-dinh-khi-chuyen-doi-tu-ho-kinh-doanh-len-doanh-nghiep" TargetMode="External"/><Relationship Id="rId1602" Type="http://schemas.openxmlformats.org/officeDocument/2006/relationships/hyperlink" Target="https://techcombank.com/thong-tin/blog/tim-hieu-ve-chinh-sach-thue-moi" TargetMode="External"/><Relationship Id="rId1603" Type="http://schemas.openxmlformats.org/officeDocument/2006/relationships/hyperlink" Target="https://techcombank.com/thong-tin/blog/may-tinh-tien" TargetMode="External"/><Relationship Id="rId1604" Type="http://schemas.openxmlformats.org/officeDocument/2006/relationships/hyperlink" Target="https://techcombank.com/thong-tin/blog/thue-thu-nhap-doanh-nghiep" TargetMode="External"/><Relationship Id="rId1605" Type="http://schemas.openxmlformats.org/officeDocument/2006/relationships/hyperlink" Target="https://techcombank.com/thong-tin/blog/doanh-nghiep-moi-thanh-lap-duoc-uu-dai-gi" TargetMode="External"/><Relationship Id="rId1606" Type="http://schemas.openxmlformats.org/officeDocument/2006/relationships/hyperlink" Target="https://techcombank.com/thong-tin/blog/quyet-toan-thue-doanh-nghiep" TargetMode="External"/><Relationship Id="rId1607" Type="http://schemas.openxmlformats.org/officeDocument/2006/relationships/hyperlink" Target="https://techcombank.com/thong-tin/blog/dang-ky-ma-so-thue-ca-nhan" TargetMode="External"/><Relationship Id="rId1608" Type="http://schemas.openxmlformats.org/officeDocument/2006/relationships/hyperlink" Target="https://techcombank.com/thong-tin/blog/ke-khai-thue-doanh-nghiep" TargetMode="External"/><Relationship Id="rId1609" Type="http://schemas.openxmlformats.org/officeDocument/2006/relationships/hyperlink" Target="https://techcombank.com/thong-tin/blog/kinh-nghiem-chuyen-doi-tu-ho-kinh-doanh-len-doanh-nghiep" TargetMode="External"/><Relationship Id="rId1631" Type="http://schemas.openxmlformats.org/officeDocument/2006/relationships/hyperlink" Target="https://techcombank.com/thong-tin/blog/merchant-la-gi" TargetMode="External"/><Relationship Id="rId1632" Type="http://schemas.openxmlformats.org/officeDocument/2006/relationships/hyperlink" Target="https://techcombank.com/thong-tin/blog/huong-dan-dang-ky-thanh-lap-doanh-nghiep" TargetMode="External"/><Relationship Id="rId1633" Type="http://schemas.openxmlformats.org/officeDocument/2006/relationships/hyperlink" Target="https://techcombank.com/thong-tin/blog/khoi-nghiep-truoc-chinh-sach-thue-moi" TargetMode="External"/><Relationship Id="rId1634" Type="http://schemas.openxmlformats.org/officeDocument/2006/relationships/hyperlink" Target="https://techcombank.com/thong-tin/blog/mo-tai-khoan-ho-kinh-doanh" TargetMode="External"/><Relationship Id="rId1635" Type="http://schemas.openxmlformats.org/officeDocument/2006/relationships/hyperlink" Target="https://techcombank.com/thong-tin/blog/quan-ly-chuoi-cua-hang" TargetMode="External"/><Relationship Id="rId1636" Type="http://schemas.openxmlformats.org/officeDocument/2006/relationships/hyperlink" Target="https://techcombank.com/thong-tin/blog/kiem-tra-thue-ho-kinh-doanh" TargetMode="External"/><Relationship Id="rId1637" Type="http://schemas.openxmlformats.org/officeDocument/2006/relationships/hyperlink" Target="https://techcombank.com/thong-tin/blog/giai-phap-quan-ly-chuoi-cua-hang" TargetMode="External"/><Relationship Id="rId1638" Type="http://schemas.openxmlformats.org/officeDocument/2006/relationships/hyperlink" Target="https://techcombank.com/thong-tin/blog/cach-dang-ky-ma-so-thue-ho-kinh-doanh-online" TargetMode="External"/><Relationship Id="rId929" Type="http://schemas.openxmlformats.org/officeDocument/2006/relationships/hyperlink" Target="https://techcombank.com/thong-tin/blog/qua-han-thanh-toan-the-tin-dung-1-ngay" TargetMode="External"/><Relationship Id="rId1639" Type="http://schemas.openxmlformats.org/officeDocument/2006/relationships/hyperlink" Target="https://techcombank.com/thong-tin/blog/tra-cuu-ma-so-thue-ho-kinh-doanh" TargetMode="External"/><Relationship Id="rId928" Type="http://schemas.openxmlformats.org/officeDocument/2006/relationships/hyperlink" Target="https://techcombank.com/thong-tin/blog/the-tin-dung-quoc-te" TargetMode="External"/><Relationship Id="rId927" Type="http://schemas.openxmlformats.org/officeDocument/2006/relationships/hyperlink" Target="https://techcombank.com/thong-tin/blog/ma-buu-chinh-the-tin-dung" TargetMode="External"/><Relationship Id="rId926" Type="http://schemas.openxmlformats.org/officeDocument/2006/relationships/hyperlink" Target="https://techcombank.com/thong-tin/blog/co-nen-dung-the-tin-dung-khong" TargetMode="External"/><Relationship Id="rId921" Type="http://schemas.openxmlformats.org/officeDocument/2006/relationships/hyperlink" Target="https://techcombank.com/thong-tin/blog/mua-truoc-tra-sau" TargetMode="External"/><Relationship Id="rId920" Type="http://schemas.openxmlformats.org/officeDocument/2006/relationships/hyperlink" Target="https://techcombank.com/thong-tin/blog/the-visa-co-can-mat-khau-khong" TargetMode="External"/><Relationship Id="rId925" Type="http://schemas.openxmlformats.org/officeDocument/2006/relationships/hyperlink" Target="https://techcombank.com/thong-tin/blog/cach-huy-the-tin-dung" TargetMode="External"/><Relationship Id="rId924" Type="http://schemas.openxmlformats.org/officeDocument/2006/relationships/hyperlink" Target="https://techcombank.com/thong-tin/blog/the-tin-dung-het-han" TargetMode="External"/><Relationship Id="rId923" Type="http://schemas.openxmlformats.org/officeDocument/2006/relationships/hyperlink" Target="https://techcombank.com/thong-tin/blog/the-ghi-no-va-the-tin-dung" TargetMode="External"/><Relationship Id="rId922" Type="http://schemas.openxmlformats.org/officeDocument/2006/relationships/hyperlink" Target="https://techcombank.com/thong-tin/blog/tra-cuu-han-muc-the-tin-dung" TargetMode="External"/><Relationship Id="rId1630" Type="http://schemas.openxmlformats.org/officeDocument/2006/relationships/hyperlink" Target="https://techcombank.com/thong-tin/blog/cac-loai-hinh-doanh-nghiep" TargetMode="External"/><Relationship Id="rId1620" Type="http://schemas.openxmlformats.org/officeDocument/2006/relationships/hyperlink" Target="https://techcombank.com/thong-tin/blog/thue-thu-nhap-ca-nhan" TargetMode="External"/><Relationship Id="rId1621" Type="http://schemas.openxmlformats.org/officeDocument/2006/relationships/hyperlink" Target="https://techcombank.com/thong-tin/blog/ho-kinh-doanh-can-gi-o-tai-khoan-ngan-hang" TargetMode="External"/><Relationship Id="rId1622" Type="http://schemas.openxmlformats.org/officeDocument/2006/relationships/hyperlink" Target="https://techcombank.com/thong-tin/blog/kiem-tra-thue-thu-nhap-ca-nhan" TargetMode="External"/><Relationship Id="rId1623" Type="http://schemas.openxmlformats.org/officeDocument/2006/relationships/hyperlink" Target="https://techcombank.com/thong-tin/blog/thue-vat-la-gi" TargetMode="External"/><Relationship Id="rId1624" Type="http://schemas.openxmlformats.org/officeDocument/2006/relationships/hyperlink" Target="https://techcombank.com/thong-tin/blog/nop-thue-dat-qua-ngan-hang" TargetMode="External"/><Relationship Id="rId1625" Type="http://schemas.openxmlformats.org/officeDocument/2006/relationships/hyperlink" Target="https://techcombank.com/thong-tin/blog/chuyen-nhuong-chung-chi-tien-gui" TargetMode="External"/><Relationship Id="rId1626" Type="http://schemas.openxmlformats.org/officeDocument/2006/relationships/hyperlink" Target="https://techcombank.com/thong-tin/blog/cach-nop-thue-dien-tu" TargetMode="External"/><Relationship Id="rId1627" Type="http://schemas.openxmlformats.org/officeDocument/2006/relationships/hyperlink" Target="https://techcombank.com/thong-tin/blog/nhuong-quyen-la-gi" TargetMode="External"/><Relationship Id="rId918" Type="http://schemas.openxmlformats.org/officeDocument/2006/relationships/hyperlink" Target="https://techcombank.com/thong-tin/blog/cach-lam-the-ngan-hang-chay-quang-cao-facebook" TargetMode="External"/><Relationship Id="rId1628" Type="http://schemas.openxmlformats.org/officeDocument/2006/relationships/hyperlink" Target="https://techcombank.com/thong-tin/blog/kinh-doanh-online" TargetMode="External"/><Relationship Id="rId917" Type="http://schemas.openxmlformats.org/officeDocument/2006/relationships/hyperlink" Target="https://techcombank.com/thong-tin/blog/the-tin-dung-nao-nhieu-uu-dai-nhat" TargetMode="External"/><Relationship Id="rId1629" Type="http://schemas.openxmlformats.org/officeDocument/2006/relationships/hyperlink" Target="https://techcombank.com/thong-tin/blog/one-stop-shop" TargetMode="External"/><Relationship Id="rId916" Type="http://schemas.openxmlformats.org/officeDocument/2006/relationships/hyperlink" Target="https://techcombank.com/thong-tin/blog/so-cvv-la-gi" TargetMode="External"/><Relationship Id="rId915" Type="http://schemas.openxmlformats.org/officeDocument/2006/relationships/hyperlink" Target="https://techcombank.com/thong-tin/blog/mat-the-tin-dung-co-bi-mat-tien-khong" TargetMode="External"/><Relationship Id="rId919" Type="http://schemas.openxmlformats.org/officeDocument/2006/relationships/hyperlink" Target="https://techcombank.com/thong-tin/blog/mua-iphone-17" TargetMode="External"/><Relationship Id="rId910" Type="http://schemas.openxmlformats.org/officeDocument/2006/relationships/hyperlink" Target="https://techcombank.com/thong-tin/blog/tai-khoan-doanh-nghiep-co-the-khong" TargetMode="External"/><Relationship Id="rId914" Type="http://schemas.openxmlformats.org/officeDocument/2006/relationships/hyperlink" Target="https://techcombank.com/thong-tin/blog/uu-dai-mua-ve-may-bay-bang-the-tin-dung" TargetMode="External"/><Relationship Id="rId913" Type="http://schemas.openxmlformats.org/officeDocument/2006/relationships/hyperlink" Target="https://techcombank.com/thong-tin/blog/cac-loai-the-tin-dung" TargetMode="External"/><Relationship Id="rId912" Type="http://schemas.openxmlformats.org/officeDocument/2006/relationships/hyperlink" Target="https://techcombank.com/thong-tin/blog/uu-dai-the-tin-dung-techcombank-signature" TargetMode="External"/><Relationship Id="rId911" Type="http://schemas.openxmlformats.org/officeDocument/2006/relationships/hyperlink" Target="https://techcombank.com/thong-tin/blog/mm-yy-la-gi" TargetMode="External"/><Relationship Id="rId1213" Type="http://schemas.openxmlformats.org/officeDocument/2006/relationships/hyperlink" Target="https://techcombank.com/thong-tin/blog/rui-ro-khi-gui-tiet-kiem-ngan-hang" TargetMode="External"/><Relationship Id="rId1697" Type="http://schemas.openxmlformats.org/officeDocument/2006/relationships/hyperlink" Target="https://techcombank.com/thong-tin/blog/thay-doi-dia-chi-ho-kinh-doanh" TargetMode="External"/><Relationship Id="rId1214" Type="http://schemas.openxmlformats.org/officeDocument/2006/relationships/hyperlink" Target="https://techcombank.com/thong-tin/blog/gui-tiet-kiem-hang-thang" TargetMode="External"/><Relationship Id="rId1698" Type="http://schemas.openxmlformats.org/officeDocument/2006/relationships/hyperlink" Target="https://techcombank.com/thong-tin/blog/nhung-ho-kinh-doanh-duoc-mien-thue" TargetMode="External"/><Relationship Id="rId1215" Type="http://schemas.openxmlformats.org/officeDocument/2006/relationships/hyperlink" Target="https://techcombank.com/thong-tin/blog/cach-tinh-loi-nhuan-chung-chi-tien-gui" TargetMode="External"/><Relationship Id="rId1699" Type="http://schemas.openxmlformats.org/officeDocument/2006/relationships/hyperlink" Target="https://techcombank.com/thong-tin/blog/luu-y-khi-chuyen-doi-tu-ho-kinh-doanh-len-doanh-nghiep" TargetMode="External"/><Relationship Id="rId1216" Type="http://schemas.openxmlformats.org/officeDocument/2006/relationships/hyperlink" Target="https://techcombank.com/thong-tin/blog/gui-tiet-kiem-online-bi-mat-tien" TargetMode="External"/><Relationship Id="rId1217" Type="http://schemas.openxmlformats.org/officeDocument/2006/relationships/hyperlink" Target="https://techcombank.com/thong-tin/blog/kinh-nghiem-gui-tiet-kiem-online" TargetMode="External"/><Relationship Id="rId1218" Type="http://schemas.openxmlformats.org/officeDocument/2006/relationships/hyperlink" Target="https://techcombank.com/thong-tin/blog/gui-tiet-kiem-online-co-rut-truoc-han-duoc-khong" TargetMode="External"/><Relationship Id="rId1219" Type="http://schemas.openxmlformats.org/officeDocument/2006/relationships/hyperlink" Target="https://techcombank.com/thong-tin/blog/lai-suat-chung-chi-tien-gui-cac-ngan-hang" TargetMode="External"/><Relationship Id="rId866" Type="http://schemas.openxmlformats.org/officeDocument/2006/relationships/hyperlink" Target="https://techcombank.com/thong-tin/blog/tra-gop-shopee" TargetMode="External"/><Relationship Id="rId865" Type="http://schemas.openxmlformats.org/officeDocument/2006/relationships/hyperlink" Target="https://techcombank.com/thong-tin/blog/thanh-toan-toi-thieu-the-tin-dung" TargetMode="External"/><Relationship Id="rId864" Type="http://schemas.openxmlformats.org/officeDocument/2006/relationships/hyperlink" Target="https://techcombank.com/thong-tin/blog/the-tin-dung-ao" TargetMode="External"/><Relationship Id="rId863" Type="http://schemas.openxmlformats.org/officeDocument/2006/relationships/hyperlink" Target="https://techcombank.com/thong-tin/blog/lai-suat-the-tin-dung" TargetMode="External"/><Relationship Id="rId869" Type="http://schemas.openxmlformats.org/officeDocument/2006/relationships/hyperlink" Target="https://techcombank.com/thong-tin/blog/tra-gop-lazada" TargetMode="External"/><Relationship Id="rId868" Type="http://schemas.openxmlformats.org/officeDocument/2006/relationships/hyperlink" Target="https://techcombank.com/thong-tin/blog/thanh-toan-tra-gop-qua-the-tin-dung" TargetMode="External"/><Relationship Id="rId867" Type="http://schemas.openxmlformats.org/officeDocument/2006/relationships/hyperlink" Target="https://techcombank.com/thong-tin/blog/thanh-toan-tien-dien-bang-the-tin-dung" TargetMode="External"/><Relationship Id="rId1690" Type="http://schemas.openxmlformats.org/officeDocument/2006/relationships/hyperlink" Target="https://techcombank.com/thong-tin/blog/thu-tuc-vay-von-kinh-doanh-nho" TargetMode="External"/><Relationship Id="rId1691" Type="http://schemas.openxmlformats.org/officeDocument/2006/relationships/hyperlink" Target="https://techcombank.com/thong-tin/blog/truy-thu-thue-ho-kinh-doanh" TargetMode="External"/><Relationship Id="rId1692" Type="http://schemas.openxmlformats.org/officeDocument/2006/relationships/hyperlink" Target="https://techcombank.com/thong-tin/blog/kiem-tra-thue-ho-kinh-doanh" TargetMode="External"/><Relationship Id="rId862" Type="http://schemas.openxmlformats.org/officeDocument/2006/relationships/hyperlink" Target="https://techcombank.com/thong-tin/blog/3d-secure" TargetMode="External"/><Relationship Id="rId1693" Type="http://schemas.openxmlformats.org/officeDocument/2006/relationships/hyperlink" Target="https://techcombank.com/thong-tin/blog/cac-sai-lam-pho-bien-khi-chuyen-doi-ho-kinh-doanh-len-sme" TargetMode="External"/><Relationship Id="rId861" Type="http://schemas.openxmlformats.org/officeDocument/2006/relationships/hyperlink" Target="https://techcombank.com/thong-tin/blog/mo-the-tin-dung-han-muc-cao" TargetMode="External"/><Relationship Id="rId1210" Type="http://schemas.openxmlformats.org/officeDocument/2006/relationships/hyperlink" Target="https://techcombank.com/thong-tin/blog/chon-kenh-dau-tu-an-toan-trong-boi-canh-thi-truong-bien-dong" TargetMode="External"/><Relationship Id="rId1694" Type="http://schemas.openxmlformats.org/officeDocument/2006/relationships/hyperlink" Target="https://techcombank.com/thong-tin/blog/giay-phep-kinh-doanh" TargetMode="External"/><Relationship Id="rId860" Type="http://schemas.openxmlformats.org/officeDocument/2006/relationships/hyperlink" Target="https://techcombank.com/thong-tin/blog/the-tin-dung-techcombank-visa-eco" TargetMode="External"/><Relationship Id="rId1211" Type="http://schemas.openxmlformats.org/officeDocument/2006/relationships/hyperlink" Target="https://techcombank.com/thong-tin/blog/chuyen-nhuong-chung-chi-tien-gui" TargetMode="External"/><Relationship Id="rId1695" Type="http://schemas.openxmlformats.org/officeDocument/2006/relationships/hyperlink" Target="https://techcombank.com/thong-tin/blog/chuyen-doi-hoa-don-dien-tu" TargetMode="External"/><Relationship Id="rId1212" Type="http://schemas.openxmlformats.org/officeDocument/2006/relationships/hyperlink" Target="https://techcombank.com/thong-tin/blog/gui-tiet-kiem-ngoai-te" TargetMode="External"/><Relationship Id="rId1696" Type="http://schemas.openxmlformats.org/officeDocument/2006/relationships/hyperlink" Target="https://techcombank.com/thong-tin/blog/dang-ky-kinh-doanh-la-gi" TargetMode="External"/><Relationship Id="rId1202" Type="http://schemas.openxmlformats.org/officeDocument/2006/relationships/hyperlink" Target="https://techcombank.com/thong-tin/blog/nen-gui-tiet-kiem-6-thang-hay-1-nam" TargetMode="External"/><Relationship Id="rId1686" Type="http://schemas.openxmlformats.org/officeDocument/2006/relationships/hyperlink" Target="https://techcombank.com/thong-tin/blog/nen-thanh-lap-ho-kinh-doanh-ke-khai-hay-doanh-nghiep" TargetMode="External"/><Relationship Id="rId1203" Type="http://schemas.openxmlformats.org/officeDocument/2006/relationships/hyperlink" Target="https://techcombank.com/thong-tin/blog/dau-tu-ngan-han" TargetMode="External"/><Relationship Id="rId1687" Type="http://schemas.openxmlformats.org/officeDocument/2006/relationships/hyperlink" Target="https://techcombank.com/thong-tin/blog/vay-tin-chap-ho-kinh-doanh" TargetMode="External"/><Relationship Id="rId1204" Type="http://schemas.openxmlformats.org/officeDocument/2006/relationships/hyperlink" Target="https://techcombank.com/thong-tin/blog/ho-kinh-doanh-can-gi-o-tai-khoan-ngan-hang" TargetMode="External"/><Relationship Id="rId1688" Type="http://schemas.openxmlformats.org/officeDocument/2006/relationships/hyperlink" Target="https://techcombank.com/thong-tin/blog/tra-cuu-no-thue-ho-kinh-doanh" TargetMode="External"/><Relationship Id="rId1205" Type="http://schemas.openxmlformats.org/officeDocument/2006/relationships/hyperlink" Target="https://techcombank.com/thong-tin/blog/gui-tiet-kiem-tich-luy-la-gi" TargetMode="External"/><Relationship Id="rId1689" Type="http://schemas.openxmlformats.org/officeDocument/2006/relationships/hyperlink" Target="https://techcombank.com/thong-tin/blog/lien-ket-tai-khoan-ngan-hang-voi-etax-mobile" TargetMode="External"/><Relationship Id="rId1206" Type="http://schemas.openxmlformats.org/officeDocument/2006/relationships/hyperlink" Target="https://techcombank.com/thong-tin/blog/gui-tiet-kiem-lay-lai-hang-thang" TargetMode="External"/><Relationship Id="rId1207" Type="http://schemas.openxmlformats.org/officeDocument/2006/relationships/hyperlink" Target="https://techcombank.com/thong-tin/blog/rui-ro-khi-gui-tiet-kiem-online" TargetMode="External"/><Relationship Id="rId1208" Type="http://schemas.openxmlformats.org/officeDocument/2006/relationships/hyperlink" Target="https://techcombank.com/thong-tin/blog/tat-toan-chung-chi-tien-gui" TargetMode="External"/><Relationship Id="rId1209" Type="http://schemas.openxmlformats.org/officeDocument/2006/relationships/hyperlink" Target="https://techcombank.com/thong-tin/blog/cach-tinh-lai-suat-tien-gui-tiet-kiem" TargetMode="External"/><Relationship Id="rId855" Type="http://schemas.openxmlformats.org/officeDocument/2006/relationships/hyperlink" Target="https://techcombank.com/thong-tin/blog/the-tin-dung-den" TargetMode="External"/><Relationship Id="rId854" Type="http://schemas.openxmlformats.org/officeDocument/2006/relationships/hyperlink" Target="https://techcombank.com/thong-tin/blog/cach-thanh-toan-the-tin-dung" TargetMode="External"/><Relationship Id="rId853" Type="http://schemas.openxmlformats.org/officeDocument/2006/relationships/hyperlink" Target="https://techcombank.com/thong-tin/blog/vay-ngan-hang-1-ty-moi-thang-tra-bao-nhieu" TargetMode="External"/><Relationship Id="rId852" Type="http://schemas.openxmlformats.org/officeDocument/2006/relationships/hyperlink" Target="https://techcombank.com/thong-tin/blog/tiet-kiem-khi-di-du-lich" TargetMode="External"/><Relationship Id="rId859" Type="http://schemas.openxmlformats.org/officeDocument/2006/relationships/hyperlink" Target="https://techcombank.com/thong-tin/blog/the-tin-dung-co-chuyen-khoan-duoc-khong" TargetMode="External"/><Relationship Id="rId858" Type="http://schemas.openxmlformats.org/officeDocument/2006/relationships/hyperlink" Target="https://techcombank.com/thong-tin/blog/uu-dai-mo-the-tin-dung" TargetMode="External"/><Relationship Id="rId857" Type="http://schemas.openxmlformats.org/officeDocument/2006/relationships/hyperlink" Target="https://techcombank.com/thong-tin/blog/thanh-toan-online-bang-the-tin-dung" TargetMode="External"/><Relationship Id="rId856" Type="http://schemas.openxmlformats.org/officeDocument/2006/relationships/hyperlink" Target="https://techcombank.com/thong-tin/blog/dao-han-the-tin-dung" TargetMode="External"/><Relationship Id="rId1680" Type="http://schemas.openxmlformats.org/officeDocument/2006/relationships/hyperlink" Target="https://techcombank.com/thong-tin/blog/cach-tinh-thue-ho-kinh-doanh-nho-le" TargetMode="External"/><Relationship Id="rId1681" Type="http://schemas.openxmlformats.org/officeDocument/2006/relationships/hyperlink" Target="https://techcombank.com/thong-tin/blog/loi-ich-khi-ho-kinh-doanh-chuyen-len-doanh-nghiep" TargetMode="External"/><Relationship Id="rId851" Type="http://schemas.openxmlformats.org/officeDocument/2006/relationships/hyperlink" Target="https://techcombank.com/thong-tin/blog/phi-rut-tien-mat-the-tin-dung" TargetMode="External"/><Relationship Id="rId1682" Type="http://schemas.openxmlformats.org/officeDocument/2006/relationships/hyperlink" Target="https://techcombank.com/thong-tin/blog/tiem-nang-chuyen-doi-tu-ho-kinh-doanh-len-doanh-nghiep-sme" TargetMode="External"/><Relationship Id="rId850" Type="http://schemas.openxmlformats.org/officeDocument/2006/relationships/hyperlink" Target="https://techcombank.com/thong-tin/blog/qua-han-thanh-toan-the-tin-dung-1-ngay" TargetMode="External"/><Relationship Id="rId1683" Type="http://schemas.openxmlformats.org/officeDocument/2006/relationships/hyperlink" Target="https://techcombank.com/thong-tin/blog/lai-suat-vay-kinh-doanh" TargetMode="External"/><Relationship Id="rId1200" Type="http://schemas.openxmlformats.org/officeDocument/2006/relationships/hyperlink" Target="https://techcombank.com/thong-tin/blog/gui-tien-ngan-hang-co-an-toan-khong" TargetMode="External"/><Relationship Id="rId1684" Type="http://schemas.openxmlformats.org/officeDocument/2006/relationships/hyperlink" Target="https://techcombank.com/thong-tin/blog/chuyen-doi-ho-kinh-doanh-len-doanh-nghiep" TargetMode="External"/><Relationship Id="rId1201" Type="http://schemas.openxmlformats.org/officeDocument/2006/relationships/hyperlink" Target="https://techcombank.com/thong-tin/blog/dau-tu-trai-phieu-doanh-nghiep-dung-ham-lai-suat-cao" TargetMode="External"/><Relationship Id="rId1685" Type="http://schemas.openxmlformats.org/officeDocument/2006/relationships/hyperlink" Target="https://techcombank.com/thong-tin/blog/thanh-toan-khong-dung-tien-mat" TargetMode="External"/><Relationship Id="rId1235" Type="http://schemas.openxmlformats.org/officeDocument/2006/relationships/hyperlink" Target="https://techcombank.com/thong-tin/blog/co-nen-gui-chung-chi-tien-gui" TargetMode="External"/><Relationship Id="rId1236" Type="http://schemas.openxmlformats.org/officeDocument/2006/relationships/hyperlink" Target="https://techcombank.com/thong-tin/blog/dau-tu-trai-phieu-doanh-nghiep-dung-ham-lai-suat-cao" TargetMode="External"/><Relationship Id="rId1237" Type="http://schemas.openxmlformats.org/officeDocument/2006/relationships/hyperlink" Target="https://techcombank.com/thong-tin/blog/cach-tinh-lai-suat-tien-gui-tiet-kiem" TargetMode="External"/><Relationship Id="rId1238" Type="http://schemas.openxmlformats.org/officeDocument/2006/relationships/hyperlink" Target="https://techcombank.com/thong-tin/blog/chon-kenh-dau-tu-an-toan-trong-boi-canh-thi-truong-bien-dong" TargetMode="External"/><Relationship Id="rId1239" Type="http://schemas.openxmlformats.org/officeDocument/2006/relationships/hyperlink" Target="https://techcombank.com/thong-tin/blog/chung-chi-tien-gui-khac-gi-so-tiet-kiem" TargetMode="External"/><Relationship Id="rId409" Type="http://schemas.openxmlformats.org/officeDocument/2006/relationships/hyperlink" Target="https://techcombank.com/thong-tin/blog/mm-yy-la-gi" TargetMode="External"/><Relationship Id="rId404" Type="http://schemas.openxmlformats.org/officeDocument/2006/relationships/hyperlink" Target="https://techcombank.com/thong-tin/blog/cdm" TargetMode="External"/><Relationship Id="rId888" Type="http://schemas.openxmlformats.org/officeDocument/2006/relationships/hyperlink" Target="https://techcombank.com/thong-tin/blog/mo-the-tin-dung-chi-can-cccd" TargetMode="External"/><Relationship Id="rId403" Type="http://schemas.openxmlformats.org/officeDocument/2006/relationships/hyperlink" Target="https://techcombank.com/thong-tin/blog/thanh-toan-hoc-phi-online" TargetMode="External"/><Relationship Id="rId887" Type="http://schemas.openxmlformats.org/officeDocument/2006/relationships/hyperlink" Target="https://techcombank.com/thong-tin/blog/no-the-tin-dung-qua-han" TargetMode="External"/><Relationship Id="rId402" Type="http://schemas.openxmlformats.org/officeDocument/2006/relationships/hyperlink" Target="https://techcombank.com/thong-tin/blog/cac-loai-hinh-bao-hiem-nhan-tho" TargetMode="External"/><Relationship Id="rId886" Type="http://schemas.openxmlformats.org/officeDocument/2006/relationships/hyperlink" Target="https://techcombank.com/thong-tin/blog/no-xau-mo-the-tin-dung-duoc-khong" TargetMode="External"/><Relationship Id="rId401" Type="http://schemas.openxmlformats.org/officeDocument/2006/relationships/hyperlink" Target="https://techcombank.com/thong-tin/blog/hoc-sinh-sinh-vien-nen-lam-the-ngan-hang-nao" TargetMode="External"/><Relationship Id="rId885" Type="http://schemas.openxmlformats.org/officeDocument/2006/relationships/hyperlink" Target="https://techcombank.com/thong-tin/blog/the-tin-dung-bi-khoa" TargetMode="External"/><Relationship Id="rId408" Type="http://schemas.openxmlformats.org/officeDocument/2006/relationships/hyperlink" Target="https://techcombank.com/thong-tin/blog/cay-atm-gan-day" TargetMode="External"/><Relationship Id="rId407" Type="http://schemas.openxmlformats.org/officeDocument/2006/relationships/hyperlink" Target="https://techcombank.com/thong-tin/blog/nop-tien-mat-vao-tai-khoan-cong-ty" TargetMode="External"/><Relationship Id="rId406" Type="http://schemas.openxmlformats.org/officeDocument/2006/relationships/hyperlink" Target="https://techcombank.com/thong-tin/blog/tai-khoan-ngan-hang-con-0-dong-co-sao-khong" TargetMode="External"/><Relationship Id="rId405" Type="http://schemas.openxmlformats.org/officeDocument/2006/relationships/hyperlink" Target="https://techcombank.com/thong-tin/blog/cach-nap-tien-vao-the-ghi-no" TargetMode="External"/><Relationship Id="rId889" Type="http://schemas.openxmlformats.org/officeDocument/2006/relationships/hyperlink" Target="https://techcombank.com/thong-tin/blog/luu-y-khi-su-dung-the-tin-dung" TargetMode="External"/><Relationship Id="rId880" Type="http://schemas.openxmlformats.org/officeDocument/2006/relationships/hyperlink" Target="https://techcombank.com/thong-tin/blog/nang-han-muc-tin-dung" TargetMode="External"/><Relationship Id="rId1230" Type="http://schemas.openxmlformats.org/officeDocument/2006/relationships/hyperlink" Target="https://techcombank.com/thong-tin/blog/chung-chi-tien-gui-co-duoc-rut-truoc-han" TargetMode="External"/><Relationship Id="rId400" Type="http://schemas.openxmlformats.org/officeDocument/2006/relationships/hyperlink" Target="https://techcombank.com/thong-tin/blog/bao-hiem-nhan-tho-la-gi" TargetMode="External"/><Relationship Id="rId884" Type="http://schemas.openxmlformats.org/officeDocument/2006/relationships/hyperlink" Target="https://techcombank.com/thong-tin/blog/kich-hoat-the-tin-dung-techcombank" TargetMode="External"/><Relationship Id="rId1231" Type="http://schemas.openxmlformats.org/officeDocument/2006/relationships/hyperlink" Target="https://techcombank.com/thong-tin/blog/chuyen-nhuong-chung-chi-tien-gui" TargetMode="External"/><Relationship Id="rId883" Type="http://schemas.openxmlformats.org/officeDocument/2006/relationships/hyperlink" Target="https://techcombank.com/thong-tin/blog/lam-the-tin-dung-co-mat-phi-khong" TargetMode="External"/><Relationship Id="rId1232" Type="http://schemas.openxmlformats.org/officeDocument/2006/relationships/hyperlink" Target="https://techcombank.com/thong-tin/blog/chung-chi-tien-gui-co-duoc-bao-hiem-khong" TargetMode="External"/><Relationship Id="rId882" Type="http://schemas.openxmlformats.org/officeDocument/2006/relationships/hyperlink" Target="https://techcombank.com/thong-tin/blog/tra-gop-qua-the-tin-dung" TargetMode="External"/><Relationship Id="rId1233" Type="http://schemas.openxmlformats.org/officeDocument/2006/relationships/hyperlink" Target="https://techcombank.com/thong-tin/blog/chung-chi-tien-gui-la-gi" TargetMode="External"/><Relationship Id="rId881" Type="http://schemas.openxmlformats.org/officeDocument/2006/relationships/hyperlink" Target="https://techcombank.com/thong-tin/blog/the-tin-dung-mien-lai-55-ngay" TargetMode="External"/><Relationship Id="rId1234" Type="http://schemas.openxmlformats.org/officeDocument/2006/relationships/hyperlink" Target="https://techcombank.com/thong-tin/blog/lai-suat-tiet-kiem" TargetMode="External"/><Relationship Id="rId1224" Type="http://schemas.openxmlformats.org/officeDocument/2006/relationships/hyperlink" Target="https://techcombank.com/thong-tin/blog/cach-tiet-kiem-tien-sinh-loi" TargetMode="External"/><Relationship Id="rId1225" Type="http://schemas.openxmlformats.org/officeDocument/2006/relationships/hyperlink" Target="https://techcombank.com/thong-tin/blog/co-50-trieu-nen-mua-vang-hay-gui-tiet-kiem" TargetMode="External"/><Relationship Id="rId1226" Type="http://schemas.openxmlformats.org/officeDocument/2006/relationships/hyperlink" Target="https://techcombank.com/thong-tin/blog/lai-suat-gui-tiet-kiem-usd" TargetMode="External"/><Relationship Id="rId1227" Type="http://schemas.openxmlformats.org/officeDocument/2006/relationships/hyperlink" Target="https://techcombank.com/thong-tin/blog/gui-tiet-kiem-usd" TargetMode="External"/><Relationship Id="rId1228" Type="http://schemas.openxmlformats.org/officeDocument/2006/relationships/hyperlink" Target="https://techcombank.com/thong-tin/blog/cach-tinh-loi-nhuan-chung-chi-tien-gui" TargetMode="External"/><Relationship Id="rId1229" Type="http://schemas.openxmlformats.org/officeDocument/2006/relationships/hyperlink" Target="https://techcombank.com/thong-tin/blog/tat-toan-chung-chi-tien-gui" TargetMode="External"/><Relationship Id="rId877" Type="http://schemas.openxmlformats.org/officeDocument/2006/relationships/hyperlink" Target="https://techcombank.com/thong-tin/blog/cach-su-dung-the-tin-dung" TargetMode="External"/><Relationship Id="rId876" Type="http://schemas.openxmlformats.org/officeDocument/2006/relationships/hyperlink" Target="https://techcombank.com/thong-tin/blog/the-tin-dung-la-gi" TargetMode="External"/><Relationship Id="rId875" Type="http://schemas.openxmlformats.org/officeDocument/2006/relationships/hyperlink" Target="https://techcombank.com/thong-tin/blog/lam-ho-so-tra-gop-dien-thoai" TargetMode="External"/><Relationship Id="rId874" Type="http://schemas.openxmlformats.org/officeDocument/2006/relationships/hyperlink" Target="https://techcombank.com/thong-tin/blog/the-tin-dung-noi-dia" TargetMode="External"/><Relationship Id="rId879" Type="http://schemas.openxmlformats.org/officeDocument/2006/relationships/hyperlink" Target="https://techcombank.com/thong-tin/blog/han-muc-the-tin-dung" TargetMode="External"/><Relationship Id="rId878" Type="http://schemas.openxmlformats.org/officeDocument/2006/relationships/hyperlink" Target="https://techcombank.com/thong-tin/blog/cashback-the-thanh-toan" TargetMode="External"/><Relationship Id="rId873" Type="http://schemas.openxmlformats.org/officeDocument/2006/relationships/hyperlink" Target="https://techcombank.com/thong-tin/blog/sao-ke-the-tin-dung-la-gi" TargetMode="External"/><Relationship Id="rId1220" Type="http://schemas.openxmlformats.org/officeDocument/2006/relationships/hyperlink" Target="https://techcombank.com/thong-tin/blog/gui-tiet-kiem-online-quay-vong-ca-goc-va-lai" TargetMode="External"/><Relationship Id="rId872" Type="http://schemas.openxmlformats.org/officeDocument/2006/relationships/hyperlink" Target="https://techcombank.com/thong-tin/blog/cic-la-gi" TargetMode="External"/><Relationship Id="rId1221" Type="http://schemas.openxmlformats.org/officeDocument/2006/relationships/hyperlink" Target="https://techcombank.com/thong-tin/blog/dau-tu-dai-han" TargetMode="External"/><Relationship Id="rId871" Type="http://schemas.openxmlformats.org/officeDocument/2006/relationships/hyperlink" Target="https://techcombank.com/thong-tin/blog/the-tin-dung-co-ma-pin-khong" TargetMode="External"/><Relationship Id="rId1222" Type="http://schemas.openxmlformats.org/officeDocument/2006/relationships/hyperlink" Target="https://techcombank.com/thong-tin/blog/so-sanh-gui-tiet-kiem-online-va-tai-quay" TargetMode="External"/><Relationship Id="rId870" Type="http://schemas.openxmlformats.org/officeDocument/2006/relationships/hyperlink" Target="https://techcombank.com/thong-tin/blog/lam-the-tin-dung" TargetMode="External"/><Relationship Id="rId1223" Type="http://schemas.openxmlformats.org/officeDocument/2006/relationships/hyperlink" Target="https://techcombank.com/thong-tin/blog/chung-chi-tien-gui-co-duoc-rut-truoc-han" TargetMode="External"/><Relationship Id="rId1653" Type="http://schemas.openxmlformats.org/officeDocument/2006/relationships/hyperlink" Target="https://techcombank.com/thong-tin/blog/pos" TargetMode="External"/><Relationship Id="rId2500" Type="http://schemas.openxmlformats.org/officeDocument/2006/relationships/hyperlink" Target="https://techcombank.com/thong-tin/blog/chung-chi-tien-gui-co-an-toan-khong" TargetMode="External"/><Relationship Id="rId1654" Type="http://schemas.openxmlformats.org/officeDocument/2006/relationships/hyperlink" Target="https://techcombank.com/thong-tin/blog/softpos" TargetMode="External"/><Relationship Id="rId2501" Type="http://schemas.openxmlformats.org/officeDocument/2006/relationships/hyperlink" Target="https://techcombank.com/thong-tin/blog/tien-nhan-roi-nen-lam-gi" TargetMode="External"/><Relationship Id="rId1655" Type="http://schemas.openxmlformats.org/officeDocument/2006/relationships/hyperlink" Target="https://techcombank.com/thong-tin/blog/merchant-la-gi" TargetMode="External"/><Relationship Id="rId2502" Type="http://schemas.openxmlformats.org/officeDocument/2006/relationships/hyperlink" Target="https://techcombank.com/thong-tin/blog/fdi" TargetMode="External"/><Relationship Id="rId1656" Type="http://schemas.openxmlformats.org/officeDocument/2006/relationships/hyperlink" Target="https://techcombank.com/thong-tin/blog/ma-qr-lam-gia-duoc-khong" TargetMode="External"/><Relationship Id="rId2503" Type="http://schemas.openxmlformats.org/officeDocument/2006/relationships/hyperlink" Target="https://techcombank.com/thong-tin/blog/cach-dau-tu" TargetMode="External"/><Relationship Id="rId1657" Type="http://schemas.openxmlformats.org/officeDocument/2006/relationships/hyperlink" Target="https://techcombank.com/thong-tin/blog/ma-qr-techcombank" TargetMode="External"/><Relationship Id="rId2504" Type="http://schemas.openxmlformats.org/officeDocument/2006/relationships/hyperlink" Target="https://techcombank.com/thong-tin/blog/du-bao-gia-vang" TargetMode="External"/><Relationship Id="rId1658" Type="http://schemas.openxmlformats.org/officeDocument/2006/relationships/hyperlink" Target="https://techcombank.com/thong-tin/blog/so-sanh-ma-qr-va-ma-vach" TargetMode="External"/><Relationship Id="rId2505" Type="http://schemas.openxmlformats.org/officeDocument/2006/relationships/drawing" Target="../drawings/drawing3.xml"/><Relationship Id="rId1659" Type="http://schemas.openxmlformats.org/officeDocument/2006/relationships/hyperlink" Target="https://techcombank.com/thong-tin/blog/qr-code-doanh-nghiep" TargetMode="External"/><Relationship Id="rId829" Type="http://schemas.openxmlformats.org/officeDocument/2006/relationships/hyperlink" Target="https://techcombank.com/thong-tin/blog/uu-dai-the-tin-dung" TargetMode="External"/><Relationship Id="rId828" Type="http://schemas.openxmlformats.org/officeDocument/2006/relationships/hyperlink" Target="https://techcombank.com/thong-tin/blog/thoi-gian-hoan-tien-the-tin-dung" TargetMode="External"/><Relationship Id="rId827" Type="http://schemas.openxmlformats.org/officeDocument/2006/relationships/hyperlink" Target="https://techcombank.com/thong-tin/blog/the-tin-dung-nao-nhieu-uu-dai-nhat" TargetMode="External"/><Relationship Id="rId822" Type="http://schemas.openxmlformats.org/officeDocument/2006/relationships/hyperlink" Target="https://techcombank.com/thong-tin/blog/so-the-tin-dung" TargetMode="External"/><Relationship Id="rId821" Type="http://schemas.openxmlformats.org/officeDocument/2006/relationships/hyperlink" Target="https://techcombank.com/thong-tin/blog/khong-su-dung-the-tin-dung-co-mat-phi-khong" TargetMode="External"/><Relationship Id="rId820" Type="http://schemas.openxmlformats.org/officeDocument/2006/relationships/hyperlink" Target="https://techcombank.com/thong-tin/blog/uu-dai-mua-iphone-18" TargetMode="External"/><Relationship Id="rId826" Type="http://schemas.openxmlformats.org/officeDocument/2006/relationships/hyperlink" Target="https://techcombank.com/thong-tin/blog/tai-khoan-ngan-hang-la-gi" TargetMode="External"/><Relationship Id="rId825" Type="http://schemas.openxmlformats.org/officeDocument/2006/relationships/hyperlink" Target="https://techcombank.com/thong-tin/blog/sang-ngang-the-tin-dung" TargetMode="External"/><Relationship Id="rId824" Type="http://schemas.openxmlformats.org/officeDocument/2006/relationships/hyperlink" Target="https://techcombank.com/thong-tin/blog/the-tin-dung-hoan-tien" TargetMode="External"/><Relationship Id="rId823" Type="http://schemas.openxmlformats.org/officeDocument/2006/relationships/hyperlink" Target="https://techcombank.com/thong-tin/blog/han-muc-tra-gop-the-tin-dung" TargetMode="External"/><Relationship Id="rId1650" Type="http://schemas.openxmlformats.org/officeDocument/2006/relationships/hyperlink" Target="https://techcombank.com/thong-tin/blog/ma-qr-ngan-hang-khong-hop-le" TargetMode="External"/><Relationship Id="rId1651" Type="http://schemas.openxmlformats.org/officeDocument/2006/relationships/hyperlink" Target="https://techcombank.com/thong-tin/blog/quet-ma-qr-techcombank" TargetMode="External"/><Relationship Id="rId1652" Type="http://schemas.openxmlformats.org/officeDocument/2006/relationships/hyperlink" Target="https://techcombank.com/thong-tin/blog/tao-ma-qr-thanh-toan-cho-cua-hang" TargetMode="External"/><Relationship Id="rId1642" Type="http://schemas.openxmlformats.org/officeDocument/2006/relationships/hyperlink" Target="https://techcombank.com/thong-tin/blog/vay-kinh-doanh-online" TargetMode="External"/><Relationship Id="rId1643" Type="http://schemas.openxmlformats.org/officeDocument/2006/relationships/hyperlink" Target="https://techcombank.com/thong-tin/blog/chuan-bi-cho-doanh-nghiep-khoi-nghiep-truoc-nhung-thay-doi-ve-thue" TargetMode="External"/><Relationship Id="rId1644" Type="http://schemas.openxmlformats.org/officeDocument/2006/relationships/hyperlink" Target="https://techcombank.com/thong-tin/blog/quan-ly-chi-phi-doanh-nghiep" TargetMode="External"/><Relationship Id="rId1645" Type="http://schemas.openxmlformats.org/officeDocument/2006/relationships/hyperlink" Target="https://techcombank.com/thong-tin/blog/tieu-dung-ben-vung" TargetMode="External"/><Relationship Id="rId1646" Type="http://schemas.openxmlformats.org/officeDocument/2006/relationships/hyperlink" Target="https://techcombank.com/thong-tin/blog/cach-tao-ma-qr" TargetMode="External"/><Relationship Id="rId1647" Type="http://schemas.openxmlformats.org/officeDocument/2006/relationships/hyperlink" Target="https://techcombank.com/thong-tin/blog/in-ma-qr-ngan-hang" TargetMode="External"/><Relationship Id="rId1648" Type="http://schemas.openxmlformats.org/officeDocument/2006/relationships/hyperlink" Target="https://techcombank.com/thong-tin/blog/lo-ma-qr-ngan-hang-co-sao-khong" TargetMode="External"/><Relationship Id="rId1649" Type="http://schemas.openxmlformats.org/officeDocument/2006/relationships/hyperlink" Target="https://techcombank.com/thong-tin/blog/lam-ma-qr-ngan-hang-co-mat-phi-khong" TargetMode="External"/><Relationship Id="rId819" Type="http://schemas.openxmlformats.org/officeDocument/2006/relationships/hyperlink" Target="https://techcombank.com/thong-tin/blog/the-ghi-no-visa-la-gi" TargetMode="External"/><Relationship Id="rId818" Type="http://schemas.openxmlformats.org/officeDocument/2006/relationships/hyperlink" Target="https://techcombank.com/thong-tin/blog/no-xau-nhom-2" TargetMode="External"/><Relationship Id="rId817" Type="http://schemas.openxmlformats.org/officeDocument/2006/relationships/hyperlink" Target="https://techcombank.com/thong-tin/blog/so-luong-the-tin-dung-noi-dia-dang-luu-hanh-da-tang-42-so-voi-cung-ky-nam-2022" TargetMode="External"/><Relationship Id="rId816" Type="http://schemas.openxmlformats.org/officeDocument/2006/relationships/hyperlink" Target="https://techcombank.com/thong-tin/blog/the-visa-ao-la-gi" TargetMode="External"/><Relationship Id="rId811" Type="http://schemas.openxmlformats.org/officeDocument/2006/relationships/hyperlink" Target="https://techcombank.com/thong-tin/blog/lam-the-thanh-toan-quoc-te" TargetMode="External"/><Relationship Id="rId810" Type="http://schemas.openxmlformats.org/officeDocument/2006/relationships/hyperlink" Target="https://techcombank.com/thong-tin/blog/thoi-gian-hoan-tien-the-tin-dung" TargetMode="External"/><Relationship Id="rId815" Type="http://schemas.openxmlformats.org/officeDocument/2006/relationships/hyperlink" Target="https://techcombank.com/thong-tin/blog/rut-tien-mat-tu-the-tin-dung" TargetMode="External"/><Relationship Id="rId814" Type="http://schemas.openxmlformats.org/officeDocument/2006/relationships/hyperlink" Target="https://techcombank.com/thong-tin/blog/the-tin-dung-phu-la-gi" TargetMode="External"/><Relationship Id="rId813" Type="http://schemas.openxmlformats.org/officeDocument/2006/relationships/hyperlink" Target="https://techcombank.com/thong-tin/blog/the-tin-dung-vip" TargetMode="External"/><Relationship Id="rId812" Type="http://schemas.openxmlformats.org/officeDocument/2006/relationships/hyperlink" Target="https://techcombank.com/thong-tin/blog/mat-the-tin-dung-co-lam-lai-duoc-khong" TargetMode="External"/><Relationship Id="rId1640" Type="http://schemas.openxmlformats.org/officeDocument/2006/relationships/hyperlink" Target="https://techcombank.com/thong-tin/blog/cua-hang-tien-loi" TargetMode="External"/><Relationship Id="rId1641" Type="http://schemas.openxmlformats.org/officeDocument/2006/relationships/hyperlink" Target="https://techcombank.com/thong-tin/blog/hieu-hiet-ve-tuan-thu-thue-cho-cac-doanh-nghiep-khoi-nghiep" TargetMode="External"/><Relationship Id="rId1675" Type="http://schemas.openxmlformats.org/officeDocument/2006/relationships/hyperlink" Target="https://techcombank.com/thong-tin/blog/ho-kinh-doanh-ca-the" TargetMode="External"/><Relationship Id="rId1676" Type="http://schemas.openxmlformats.org/officeDocument/2006/relationships/hyperlink" Target="https://techcombank.com/thong-tin/blog/cach-dang-ky-ma-so-thue-ho-kinh-doanh-online" TargetMode="External"/><Relationship Id="rId1677" Type="http://schemas.openxmlformats.org/officeDocument/2006/relationships/hyperlink" Target="https://techcombank.com/thong-tin/blog/ho-kinh-doanh-la-gi" TargetMode="External"/><Relationship Id="rId1678" Type="http://schemas.openxmlformats.org/officeDocument/2006/relationships/hyperlink" Target="https://techcombank.com/thong-tin/blog/thue-ho-kinh-doanh-2025" TargetMode="External"/><Relationship Id="rId1679" Type="http://schemas.openxmlformats.org/officeDocument/2006/relationships/hyperlink" Target="https://techcombank.com/thong-tin/blog/cach-tao-ma-qr" TargetMode="External"/><Relationship Id="rId849" Type="http://schemas.openxmlformats.org/officeDocument/2006/relationships/hyperlink" Target="https://techcombank.com/thong-tin/blog/the-tin-dung-quoc-te" TargetMode="External"/><Relationship Id="rId844" Type="http://schemas.openxmlformats.org/officeDocument/2006/relationships/hyperlink" Target="https://techcombank.com/thong-tin/blog/the-ghi-no-va-the-tin-dung" TargetMode="External"/><Relationship Id="rId843" Type="http://schemas.openxmlformats.org/officeDocument/2006/relationships/hyperlink" Target="https://techcombank.com/thong-tin/blog/tra-cuu-han-muc-the-tin-dung" TargetMode="External"/><Relationship Id="rId842" Type="http://schemas.openxmlformats.org/officeDocument/2006/relationships/hyperlink" Target="https://techcombank.com/thong-tin/blog/mua-truoc-tra-sau" TargetMode="External"/><Relationship Id="rId841" Type="http://schemas.openxmlformats.org/officeDocument/2006/relationships/hyperlink" Target="https://techcombank.com/thong-tin/blog/the-visa-co-can-mat-khau-khong" TargetMode="External"/><Relationship Id="rId848" Type="http://schemas.openxmlformats.org/officeDocument/2006/relationships/hyperlink" Target="https://techcombank.com/thong-tin/blog/ma-buu-chinh-the-tin-dung" TargetMode="External"/><Relationship Id="rId847" Type="http://schemas.openxmlformats.org/officeDocument/2006/relationships/hyperlink" Target="https://techcombank.com/thong-tin/blog/co-nen-dung-the-tin-dung-khong" TargetMode="External"/><Relationship Id="rId846" Type="http://schemas.openxmlformats.org/officeDocument/2006/relationships/hyperlink" Target="https://techcombank.com/thong-tin/blog/cach-huy-the-tin-dung" TargetMode="External"/><Relationship Id="rId845" Type="http://schemas.openxmlformats.org/officeDocument/2006/relationships/hyperlink" Target="https://techcombank.com/thong-tin/blog/the-tin-dung-het-han" TargetMode="External"/><Relationship Id="rId1670" Type="http://schemas.openxmlformats.org/officeDocument/2006/relationships/hyperlink" Target="https://techcombank.com/thong-tin/blog/cach-chuyen-tien-qua-ma-qr-techcombank" TargetMode="External"/><Relationship Id="rId840" Type="http://schemas.openxmlformats.org/officeDocument/2006/relationships/hyperlink" Target="https://techcombank.com/thong-tin/blog/mua-iphone-17" TargetMode="External"/><Relationship Id="rId1671" Type="http://schemas.openxmlformats.org/officeDocument/2006/relationships/hyperlink" Target="https://techcombank.com/thong-tin/blog/thanh-toan-qr-thai-lan" TargetMode="External"/><Relationship Id="rId1672" Type="http://schemas.openxmlformats.org/officeDocument/2006/relationships/hyperlink" Target="https://techcombank.com/thong-tin/blog/ho-kinh-doanh-can-gi-o-tai-khoan-ngan-hang" TargetMode="External"/><Relationship Id="rId1673" Type="http://schemas.openxmlformats.org/officeDocument/2006/relationships/hyperlink" Target="https://techcombank.com/thong-tin/blog/thanh-lap-ho-kinh-doanh-ca-the" TargetMode="External"/><Relationship Id="rId1674" Type="http://schemas.openxmlformats.org/officeDocument/2006/relationships/hyperlink" Target="https://techcombank.com/thong-tin/blog/khai-bao-tai-khoan-ngan-hang-voi-co-quan-thue" TargetMode="External"/><Relationship Id="rId1664" Type="http://schemas.openxmlformats.org/officeDocument/2006/relationships/hyperlink" Target="https://techcombank.com/thong-tin/blog/thanh-toan-ma-qr-tro-thanh-phuong-thuc-duoc-ua-chuong-va-trien-khai-manh-me" TargetMode="External"/><Relationship Id="rId1665" Type="http://schemas.openxmlformats.org/officeDocument/2006/relationships/hyperlink" Target="https://techcombank.com/thong-tin/blog/qr-code-phuong-thuc-thanh-toan-toi-uu-trong-ky-nguyen-so" TargetMode="External"/><Relationship Id="rId1666" Type="http://schemas.openxmlformats.org/officeDocument/2006/relationships/hyperlink" Target="https://techcombank.com/thong-tin/blog/rut-tien-bang-ma-qr-la-gi-cach-thuc-hien-nhu-the-nao" TargetMode="External"/><Relationship Id="rId1667" Type="http://schemas.openxmlformats.org/officeDocument/2006/relationships/hyperlink" Target="https://techcombank.com/thong-tin/blog/cach-chuyen-khoan-bang-dien-thoai" TargetMode="External"/><Relationship Id="rId1668" Type="http://schemas.openxmlformats.org/officeDocument/2006/relationships/hyperlink" Target="https://techcombank.com/thong-tin/blog/cach-rut-tien-atm" TargetMode="External"/><Relationship Id="rId1669" Type="http://schemas.openxmlformats.org/officeDocument/2006/relationships/hyperlink" Target="https://techcombank.com/thong-tin/blog/cach-chuyen-tien" TargetMode="External"/><Relationship Id="rId839" Type="http://schemas.openxmlformats.org/officeDocument/2006/relationships/hyperlink" Target="https://techcombank.com/thong-tin/blog/cach-lam-the-ngan-hang-chay-quang-cao-facebook" TargetMode="External"/><Relationship Id="rId838" Type="http://schemas.openxmlformats.org/officeDocument/2006/relationships/hyperlink" Target="https://techcombank.com/thong-tin/blog/so-cvv-la-gi" TargetMode="External"/><Relationship Id="rId833" Type="http://schemas.openxmlformats.org/officeDocument/2006/relationships/hyperlink" Target="https://techcombank.com/thong-tin/blog/mm-yy-la-gi" TargetMode="External"/><Relationship Id="rId832" Type="http://schemas.openxmlformats.org/officeDocument/2006/relationships/hyperlink" Target="https://techcombank.com/thong-tin/blog/tai-khoan-doanh-nghiep-co-the-khong" TargetMode="External"/><Relationship Id="rId831" Type="http://schemas.openxmlformats.org/officeDocument/2006/relationships/hyperlink" Target="https://techcombank.com/thong-tin/blog/mo-the-tin-dung-co-loi-ich-gi" TargetMode="External"/><Relationship Id="rId830" Type="http://schemas.openxmlformats.org/officeDocument/2006/relationships/hyperlink" Target="https://techcombank.com/thong-tin/blog/cac-loai-the-tin-dung" TargetMode="External"/><Relationship Id="rId837" Type="http://schemas.openxmlformats.org/officeDocument/2006/relationships/hyperlink" Target="https://techcombank.com/thong-tin/blog/mat-the-tin-dung-co-bi-mat-tien-khong" TargetMode="External"/><Relationship Id="rId836" Type="http://schemas.openxmlformats.org/officeDocument/2006/relationships/hyperlink" Target="https://techcombank.com/thong-tin/blog/uu-dai-mua-ve-may-bay-bang-the-tin-dung" TargetMode="External"/><Relationship Id="rId835" Type="http://schemas.openxmlformats.org/officeDocument/2006/relationships/hyperlink" Target="https://techcombank.com/thong-tin/blog/the-tin-dung-mien-phi-thuong-nien" TargetMode="External"/><Relationship Id="rId834" Type="http://schemas.openxmlformats.org/officeDocument/2006/relationships/hyperlink" Target="https://techcombank.com/thong-tin/blog/uu-dai-the-tin-dung-techcombank-signature" TargetMode="External"/><Relationship Id="rId1660" Type="http://schemas.openxmlformats.org/officeDocument/2006/relationships/hyperlink" Target="https://techcombank.com/thong-tin/blog/thanh-toan-bang-ma-qr" TargetMode="External"/><Relationship Id="rId1661" Type="http://schemas.openxmlformats.org/officeDocument/2006/relationships/hyperlink" Target="https://techcombank.com/thong-tin/blog/cach-tao-ma-qr-code-mien-phi" TargetMode="External"/><Relationship Id="rId1662" Type="http://schemas.openxmlformats.org/officeDocument/2006/relationships/hyperlink" Target="https://techcombank.com/thong-tin/blog/qr-dong" TargetMode="External"/><Relationship Id="rId1663" Type="http://schemas.openxmlformats.org/officeDocument/2006/relationships/hyperlink" Target="https://techcombank.com/thong-tin/blog/rut-tien-bang-ma-qr-khac-ngan-hang-duoc-khong" TargetMode="External"/><Relationship Id="rId2148" Type="http://schemas.openxmlformats.org/officeDocument/2006/relationships/hyperlink" Target="https://techcombank.com/thong-tin/blog/cho-vay-hop-von-la-gi" TargetMode="External"/><Relationship Id="rId2149" Type="http://schemas.openxmlformats.org/officeDocument/2006/relationships/hyperlink" Target="https://techcombank.com/thong-tin/blog/cac-sai-lam-pho-bien-khi-chuyen-doi-ho-kinh-doanh-len-sme" TargetMode="External"/><Relationship Id="rId469" Type="http://schemas.openxmlformats.org/officeDocument/2006/relationships/hyperlink" Target="https://techcombank.com/thong-tin/blog/hoc-cach-tiet-kiem-tien-luong" TargetMode="External"/><Relationship Id="rId468" Type="http://schemas.openxmlformats.org/officeDocument/2006/relationships/hyperlink" Target="https://techcombank.com/thong-tin/blog/the-tin-dung-phu-la-gi" TargetMode="External"/><Relationship Id="rId467" Type="http://schemas.openxmlformats.org/officeDocument/2006/relationships/hyperlink" Target="https://techcombank.com/thong-tin/blog/ngan-hang-so" TargetMode="External"/><Relationship Id="rId1290" Type="http://schemas.openxmlformats.org/officeDocument/2006/relationships/hyperlink" Target="https://techcombank.com/thong-tin/blog/1000-won-bang-bao-nhieu-tien-viet" TargetMode="External"/><Relationship Id="rId1291" Type="http://schemas.openxmlformats.org/officeDocument/2006/relationships/hyperlink" Target="https://techcombank.com/thong-tin/blog/thanh-toan-khi-du-lich-han-quoc" TargetMode="External"/><Relationship Id="rId1292" Type="http://schemas.openxmlformats.org/officeDocument/2006/relationships/hyperlink" Target="https://techcombank.com/thong-tin/blog/chuyen-tien-tu-han-sang-viet-nam" TargetMode="External"/><Relationship Id="rId462" Type="http://schemas.openxmlformats.org/officeDocument/2006/relationships/hyperlink" Target="https://techcombank.com/thong-tin/blog/vay-tien-online" TargetMode="External"/><Relationship Id="rId1293" Type="http://schemas.openxmlformats.org/officeDocument/2006/relationships/hyperlink" Target="https://techcombank.com/thong-tin/blog/ty-gia-cac-ngan-hang" TargetMode="External"/><Relationship Id="rId2140" Type="http://schemas.openxmlformats.org/officeDocument/2006/relationships/hyperlink" Target="https://techcombank.com/thong-tin/blog/vnd-to-myr" TargetMode="External"/><Relationship Id="rId461" Type="http://schemas.openxmlformats.org/officeDocument/2006/relationships/hyperlink" Target="https://techcombank.com/thong-tin/blog/ung-dung-cong-nghe" TargetMode="External"/><Relationship Id="rId1294" Type="http://schemas.openxmlformats.org/officeDocument/2006/relationships/hyperlink" Target="https://techcombank.com/thong-tin/blog/1-van-tien-dai-loan-bang-bao-nhieu-tien-viet" TargetMode="External"/><Relationship Id="rId2141" Type="http://schemas.openxmlformats.org/officeDocument/2006/relationships/hyperlink" Target="https://techcombank.com/thong-tin/blog/co-nen-gui-tiet-kiem-online" TargetMode="External"/><Relationship Id="rId460" Type="http://schemas.openxmlformats.org/officeDocument/2006/relationships/hyperlink" Target="https://techcombank.com/thong-tin/blog/thoi-gian-hoan-tien-the-tin-dung" TargetMode="External"/><Relationship Id="rId1295" Type="http://schemas.openxmlformats.org/officeDocument/2006/relationships/hyperlink" Target="https://techcombank.com/thong-tin/blog/ngoai-te-la-gi" TargetMode="External"/><Relationship Id="rId2142" Type="http://schemas.openxmlformats.org/officeDocument/2006/relationships/hyperlink" Target="https://techcombank.com/thong-tin/blog/gui-tiet-kiem-online-bi-mat-tien" TargetMode="External"/><Relationship Id="rId1296" Type="http://schemas.openxmlformats.org/officeDocument/2006/relationships/hyperlink" Target="https://techcombank.com/thong-tin/blog/ty-gia-cac-ngan-hang" TargetMode="External"/><Relationship Id="rId2143" Type="http://schemas.openxmlformats.org/officeDocument/2006/relationships/hyperlink" Target="https://techcombank.com/thong-tin/blog/kinh-nghiem-gui-tiet-kiem-online" TargetMode="External"/><Relationship Id="rId466" Type="http://schemas.openxmlformats.org/officeDocument/2006/relationships/hyperlink" Target="https://techcombank.com/thong-tin/blog/hu-chi-tieu" TargetMode="External"/><Relationship Id="rId1297" Type="http://schemas.openxmlformats.org/officeDocument/2006/relationships/hyperlink" Target="https://techcombank.com/thong-tin/blog/han-muc-mua-ngoai-te-khi-di-du-lich" TargetMode="External"/><Relationship Id="rId2144" Type="http://schemas.openxmlformats.org/officeDocument/2006/relationships/hyperlink" Target="https://techcombank.com/thong-tin/blog/cach-gui-tiet-kiem-online" TargetMode="External"/><Relationship Id="rId465" Type="http://schemas.openxmlformats.org/officeDocument/2006/relationships/hyperlink" Target="https://techcombank.com/thong-tin/blog/6-chiec-lo-tai-chinh-ca-nhan" TargetMode="External"/><Relationship Id="rId1298" Type="http://schemas.openxmlformats.org/officeDocument/2006/relationships/hyperlink" Target="https://techcombank.com/thong-tin/blog/shang-chi" TargetMode="External"/><Relationship Id="rId2145" Type="http://schemas.openxmlformats.org/officeDocument/2006/relationships/hyperlink" Target="https://techcombank.com/thong-tin/blog/rui-ro-khi-gui-tiet-kiem-ngan-hang" TargetMode="External"/><Relationship Id="rId464" Type="http://schemas.openxmlformats.org/officeDocument/2006/relationships/hyperlink" Target="https://techcombank.com/thong-tin/blog/mo-the-tin-dung-khong-can-chung-minh-thu-nhap" TargetMode="External"/><Relationship Id="rId1299" Type="http://schemas.openxmlformats.org/officeDocument/2006/relationships/hyperlink" Target="https://techcombank.com/thong-tin/blog/tien-nhat" TargetMode="External"/><Relationship Id="rId2146" Type="http://schemas.openxmlformats.org/officeDocument/2006/relationships/hyperlink" Target="https://techcombank.com/thong-tin/blog/tra-luong-tien-mat" TargetMode="External"/><Relationship Id="rId463" Type="http://schemas.openxmlformats.org/officeDocument/2006/relationships/hyperlink" Target="https://techcombank.com/thong-tin/blog/the-visa-co-may-loai" TargetMode="External"/><Relationship Id="rId2147" Type="http://schemas.openxmlformats.org/officeDocument/2006/relationships/hyperlink" Target="https://techcombank.com/thong-tin/blog/due-diligence" TargetMode="External"/><Relationship Id="rId2137" Type="http://schemas.openxmlformats.org/officeDocument/2006/relationships/hyperlink" Target="https://techcombank.com/thong-tin/blog/thanh-toan-khi-du-lich-han-quoc" TargetMode="External"/><Relationship Id="rId2138" Type="http://schemas.openxmlformats.org/officeDocument/2006/relationships/hyperlink" Target="https://techcombank.com/thong-tin/blog/thanh-toan-khi-du-lich-hong-kong" TargetMode="External"/><Relationship Id="rId2139" Type="http://schemas.openxmlformats.org/officeDocument/2006/relationships/hyperlink" Target="https://techcombank.com/thong-tin/blog/thanh-toan-khi-du-lich-singapore" TargetMode="External"/><Relationship Id="rId459" Type="http://schemas.openxmlformats.org/officeDocument/2006/relationships/hyperlink" Target="https://techcombank.com/thong-tin/blog/the-debit-cho-con" TargetMode="External"/><Relationship Id="rId458" Type="http://schemas.openxmlformats.org/officeDocument/2006/relationships/hyperlink" Target="https://techcombank.com/thong-tin/blog/mo-the-tin-dung-chi-can-cccd" TargetMode="External"/><Relationship Id="rId457" Type="http://schemas.openxmlformats.org/officeDocument/2006/relationships/hyperlink" Target="https://techcombank.com/thong-tin/blog/cach-tiet-kiem-tien" TargetMode="External"/><Relationship Id="rId456" Type="http://schemas.openxmlformats.org/officeDocument/2006/relationships/hyperlink" Target="https://techcombank.com/thong-tin/blog/nang-han-muc-tin-dung" TargetMode="External"/><Relationship Id="rId1280" Type="http://schemas.openxmlformats.org/officeDocument/2006/relationships/hyperlink" Target="https://techcombank.com/thong-tin/blog/han-muc-mua-ngoai-te-khi-di-du-lich" TargetMode="External"/><Relationship Id="rId1281" Type="http://schemas.openxmlformats.org/officeDocument/2006/relationships/hyperlink" Target="https://techcombank.com/thong-tin/blog/1000-yen-bang-bao-nhieu-tien-viet" TargetMode="External"/><Relationship Id="rId451" Type="http://schemas.openxmlformats.org/officeDocument/2006/relationships/hyperlink" Target="https://techcombank.com/thong-tin/blog/mo-the-tin-dung-han-muc-cao" TargetMode="External"/><Relationship Id="rId1282" Type="http://schemas.openxmlformats.org/officeDocument/2006/relationships/hyperlink" Target="https://techcombank.com/thong-tin/blog/1000-yen-bang-bao-nhieu-tien-viet" TargetMode="External"/><Relationship Id="rId450" Type="http://schemas.openxmlformats.org/officeDocument/2006/relationships/hyperlink" Target="https://techcombank.com/thong-tin/blog/phan-mem-lap-ke-hoach-tai-chinh-ca-nhan" TargetMode="External"/><Relationship Id="rId1283" Type="http://schemas.openxmlformats.org/officeDocument/2006/relationships/hyperlink" Target="https://techcombank.com/thong-tin/blog/tien-nhat" TargetMode="External"/><Relationship Id="rId2130" Type="http://schemas.openxmlformats.org/officeDocument/2006/relationships/hyperlink" Target="https://techcombank.com/thong-tin/blog/the-tin-dung-phu-la-gi" TargetMode="External"/><Relationship Id="rId1284" Type="http://schemas.openxmlformats.org/officeDocument/2006/relationships/hyperlink" Target="https://techcombank.com/thong-tin/blog/1-man-bang-bao-nhieu-tien-viet" TargetMode="External"/><Relationship Id="rId2131" Type="http://schemas.openxmlformats.org/officeDocument/2006/relationships/hyperlink" Target="https://techcombank.com/thong-tin/blog/cach-tiet-kiem-tien-sinh-loi" TargetMode="External"/><Relationship Id="rId1285" Type="http://schemas.openxmlformats.org/officeDocument/2006/relationships/hyperlink" Target="https://techcombank.com/thong-tin/blog/chuyen-tien-tu-nhat-ve-viet-nam" TargetMode="External"/><Relationship Id="rId2132" Type="http://schemas.openxmlformats.org/officeDocument/2006/relationships/hyperlink" Target="https://techcombank.com/thong-tin/blog/han-muc-tra-gop-the-tin-dung" TargetMode="External"/><Relationship Id="rId455" Type="http://schemas.openxmlformats.org/officeDocument/2006/relationships/hyperlink" Target="https://techcombank.com/thong-tin/blog/cashback-the-thanh-toan" TargetMode="External"/><Relationship Id="rId1286" Type="http://schemas.openxmlformats.org/officeDocument/2006/relationships/hyperlink" Target="https://techcombank.com/thong-tin/blog/chixmax" TargetMode="External"/><Relationship Id="rId2133" Type="http://schemas.openxmlformats.org/officeDocument/2006/relationships/hyperlink" Target="https://techcombank.com/thong-tin/blog/lap-ke-hoach-chi-tieu-ca-nhan" TargetMode="External"/><Relationship Id="rId454" Type="http://schemas.openxmlformats.org/officeDocument/2006/relationships/hyperlink" Target="https://techcombank.com/thong-tin/blog/sao-ke-the-tin-dung-la-gi" TargetMode="External"/><Relationship Id="rId1287" Type="http://schemas.openxmlformats.org/officeDocument/2006/relationships/hyperlink" Target="https://techcombank.com/thong-tin/blog/han-muc-mua-ngoai-te-khi-di-du-lich" TargetMode="External"/><Relationship Id="rId2134" Type="http://schemas.openxmlformats.org/officeDocument/2006/relationships/hyperlink" Target="https://techcombank.com/thong-tin/blog/the-debit" TargetMode="External"/><Relationship Id="rId453" Type="http://schemas.openxmlformats.org/officeDocument/2006/relationships/hyperlink" Target="https://techcombank.com/thong-tin/blog/app-quan-ly-chi-tieu" TargetMode="External"/><Relationship Id="rId1288" Type="http://schemas.openxmlformats.org/officeDocument/2006/relationships/hyperlink" Target="https://techcombank.com/thong-tin/blog/thanh-toan-khi-du-lich-nhat-ban" TargetMode="External"/><Relationship Id="rId2135" Type="http://schemas.openxmlformats.org/officeDocument/2006/relationships/hyperlink" Target="https://techcombank.com/thong-tin/blog/thanh-toan-bang-the-quoc-te" TargetMode="External"/><Relationship Id="rId452" Type="http://schemas.openxmlformats.org/officeDocument/2006/relationships/hyperlink" Target="https://techcombank.com/thong-tin/blog/uu-dai-the-tin-dung" TargetMode="External"/><Relationship Id="rId1289" Type="http://schemas.openxmlformats.org/officeDocument/2006/relationships/hyperlink" Target="https://techcombank.com/thong-tin/blog/1-trieu-won-bang-bao-nhieu-tien-viet" TargetMode="External"/><Relationship Id="rId2136" Type="http://schemas.openxmlformats.org/officeDocument/2006/relationships/hyperlink" Target="https://techcombank.com/thong-tin/blog/cach-quan-ly-tai-chinh-kinh-doanh" TargetMode="External"/><Relationship Id="rId491" Type="http://schemas.openxmlformats.org/officeDocument/2006/relationships/hyperlink" Target="https://techcombank.com/thong-tin/blog/tra-cuu-no-thue-ca-nhan" TargetMode="External"/><Relationship Id="rId490" Type="http://schemas.openxmlformats.org/officeDocument/2006/relationships/hyperlink" Target="https://techcombank.com/thong-tin/blog/y-nghia-so-68" TargetMode="External"/><Relationship Id="rId489" Type="http://schemas.openxmlformats.org/officeDocument/2006/relationships/hyperlink" Target="https://techcombank.com/thong-tin/blog/so-8386" TargetMode="External"/><Relationship Id="rId2160" Type="http://schemas.openxmlformats.org/officeDocument/2006/relationships/hyperlink" Target="https://techcombank.com/thong-tin/blog/tai-sao-gui-tiet-kiem-online-lai-suat-cao-hon" TargetMode="External"/><Relationship Id="rId2161" Type="http://schemas.openxmlformats.org/officeDocument/2006/relationships/hyperlink" Target="https://techcombank.com/thong-tin/blog/rui-ro-khi-vay-the-chap-ngan-hang" TargetMode="External"/><Relationship Id="rId484" Type="http://schemas.openxmlformats.org/officeDocument/2006/relationships/hyperlink" Target="https://techcombank.com/thong-tin/blog/co-nen-mua-so-tai-khoan-ngan-hang-dep" TargetMode="External"/><Relationship Id="rId2162" Type="http://schemas.openxmlformats.org/officeDocument/2006/relationships/hyperlink" Target="https://techcombank.com/thong-tin/blog/the-atm-khong-rut-duoc-tien" TargetMode="External"/><Relationship Id="rId483" Type="http://schemas.openxmlformats.org/officeDocument/2006/relationships/hyperlink" Target="https://techcombank.com/thong-tin/blog/li-xi-so-dep" TargetMode="External"/><Relationship Id="rId2163" Type="http://schemas.openxmlformats.org/officeDocument/2006/relationships/hyperlink" Target="https://techcombank.com/thong-tin/blog/phuong-phap-dau-tu-chung-chi-quy" TargetMode="External"/><Relationship Id="rId482" Type="http://schemas.openxmlformats.org/officeDocument/2006/relationships/hyperlink" Target="https://techcombank.com/thong-tin/blog/cach-chon-so-tai-khoan-dep" TargetMode="External"/><Relationship Id="rId2164" Type="http://schemas.openxmlformats.org/officeDocument/2006/relationships/hyperlink" Target="https://techcombank.com/thong-tin/blog/gia-chung-chi-quy-la-gi" TargetMode="External"/><Relationship Id="rId481" Type="http://schemas.openxmlformats.org/officeDocument/2006/relationships/hyperlink" Target="https://techcombank.com/thong-tin/blog/so-tai-khoan-dep" TargetMode="External"/><Relationship Id="rId2165" Type="http://schemas.openxmlformats.org/officeDocument/2006/relationships/hyperlink" Target="https://techcombank.com/thong-tin/blog/chung-chi-quy-va-chung-khoan" TargetMode="External"/><Relationship Id="rId488" Type="http://schemas.openxmlformats.org/officeDocument/2006/relationships/hyperlink" Target="https://techcombank.com/thong-tin/blog/66666-co-y-nghia-gi" TargetMode="External"/><Relationship Id="rId2166" Type="http://schemas.openxmlformats.org/officeDocument/2006/relationships/hyperlink" Target="https://techcombank.com/thong-tin/blog/danh-muc-dau-tu" TargetMode="External"/><Relationship Id="rId487" Type="http://schemas.openxmlformats.org/officeDocument/2006/relationships/hyperlink" Target="https://techcombank.com/thong-tin/blog/8868" TargetMode="External"/><Relationship Id="rId2167" Type="http://schemas.openxmlformats.org/officeDocument/2006/relationships/hyperlink" Target="https://techcombank.com/thong-tin/blog/cach-khoa-the-ngan-hang" TargetMode="External"/><Relationship Id="rId486" Type="http://schemas.openxmlformats.org/officeDocument/2006/relationships/hyperlink" Target="https://techcombank.com/thong-tin/blog/sinh-loi-rinh-loc" TargetMode="External"/><Relationship Id="rId2168" Type="http://schemas.openxmlformats.org/officeDocument/2006/relationships/hyperlink" Target="https://techcombank.com/thong-tin/blog/cac-chung-chi-quy-o-viet-nam" TargetMode="External"/><Relationship Id="rId485" Type="http://schemas.openxmlformats.org/officeDocument/2006/relationships/hyperlink" Target="https://techcombank.com/thong-tin/blog/li-xi-tet" TargetMode="External"/><Relationship Id="rId2169" Type="http://schemas.openxmlformats.org/officeDocument/2006/relationships/hyperlink" Target="https://techcombank.com/thong-tin/blog/mo-tai-khoan-ngan-hang-online-co-an-toan-khong" TargetMode="External"/><Relationship Id="rId2159" Type="http://schemas.openxmlformats.org/officeDocument/2006/relationships/hyperlink" Target="https://techcombank.com/thong-tin/blog/lo-so-tai-khoan-ngan-hang-co-sao-khong" TargetMode="External"/><Relationship Id="rId480" Type="http://schemas.openxmlformats.org/officeDocument/2006/relationships/hyperlink" Target="https://techcombank.com/thong-tin/blog/so-6868" TargetMode="External"/><Relationship Id="rId479" Type="http://schemas.openxmlformats.org/officeDocument/2006/relationships/hyperlink" Target="https://techcombank.com/thong-tin/blog/88-la-gi" TargetMode="External"/><Relationship Id="rId478" Type="http://schemas.openxmlformats.org/officeDocument/2006/relationships/hyperlink" Target="https://techcombank.com/thong-tin/blog/vnd-to-myr" TargetMode="External"/><Relationship Id="rId2150" Type="http://schemas.openxmlformats.org/officeDocument/2006/relationships/hyperlink" Target="https://techcombank.com/thong-tin/blog/tinh-thanh-khoan-la-gi" TargetMode="External"/><Relationship Id="rId473" Type="http://schemas.openxmlformats.org/officeDocument/2006/relationships/hyperlink" Target="https://techcombank.com/thong-tin/blog/the-debit" TargetMode="External"/><Relationship Id="rId2151" Type="http://schemas.openxmlformats.org/officeDocument/2006/relationships/hyperlink" Target="https://techcombank.com/thong-tin/blog/phat-cham-dang-ky-thue-ho-kinh-doanh" TargetMode="External"/><Relationship Id="rId472" Type="http://schemas.openxmlformats.org/officeDocument/2006/relationships/hyperlink" Target="https://techcombank.com/thong-tin/blog/han-muc-tra-gop-the-tin-dung" TargetMode="External"/><Relationship Id="rId2152" Type="http://schemas.openxmlformats.org/officeDocument/2006/relationships/hyperlink" Target="https://techcombank.com/thong-tin/blog/quy-trinh-gui-tien-tiet-kiem" TargetMode="External"/><Relationship Id="rId471" Type="http://schemas.openxmlformats.org/officeDocument/2006/relationships/hyperlink" Target="https://techcombank.com/thong-tin/blog/vay-the-chap-khong-chung-minh-thu-nhap" TargetMode="External"/><Relationship Id="rId2153" Type="http://schemas.openxmlformats.org/officeDocument/2006/relationships/hyperlink" Target="https://techcombank.com/thong-tin/blog/vay-the-chap-khong-tra-duoc" TargetMode="External"/><Relationship Id="rId470" Type="http://schemas.openxmlformats.org/officeDocument/2006/relationships/hyperlink" Target="https://techcombank.com/thong-tin/blog/cach-kiem-tra-tai-khoan-ngan-hang" TargetMode="External"/><Relationship Id="rId2154" Type="http://schemas.openxmlformats.org/officeDocument/2006/relationships/hyperlink" Target="https://techcombank.com/thong-tin/blog/phan-bo-tai-san" TargetMode="External"/><Relationship Id="rId477" Type="http://schemas.openxmlformats.org/officeDocument/2006/relationships/hyperlink" Target="https://techcombank.com/thong-tin/blog/thanh-toan-khi-du-lich-singapore" TargetMode="External"/><Relationship Id="rId2155" Type="http://schemas.openxmlformats.org/officeDocument/2006/relationships/hyperlink" Target="https://techcombank.com/thong-tin/blog/vay-the-chap-so-bao-hiem-xa-hoi" TargetMode="External"/><Relationship Id="rId476" Type="http://schemas.openxmlformats.org/officeDocument/2006/relationships/hyperlink" Target="https://techcombank.com/thong-tin/blog/thanh-toan-khi-du-lich-hong-kong" TargetMode="External"/><Relationship Id="rId2156" Type="http://schemas.openxmlformats.org/officeDocument/2006/relationships/hyperlink" Target="https://techcombank.com/thong-tin/blog/mat-the-tin-dung-co-bi-mat-tien-khong" TargetMode="External"/><Relationship Id="rId475" Type="http://schemas.openxmlformats.org/officeDocument/2006/relationships/hyperlink" Target="https://techcombank.com/thong-tin/blog/thanh-toan-khi-du-lich-han-quoc" TargetMode="External"/><Relationship Id="rId2157" Type="http://schemas.openxmlformats.org/officeDocument/2006/relationships/hyperlink" Target="https://techcombank.com/thong-tin/blog/chung-chi-quy-va-co-phieu" TargetMode="External"/><Relationship Id="rId474" Type="http://schemas.openxmlformats.org/officeDocument/2006/relationships/hyperlink" Target="https://techcombank.com/thong-tin/blog/thanh-toan-bang-the-quoc-te" TargetMode="External"/><Relationship Id="rId2158" Type="http://schemas.openxmlformats.org/officeDocument/2006/relationships/hyperlink" Target="https://techcombank.com/thong-tin/blog/gui-tiet-kiem-vang" TargetMode="External"/><Relationship Id="rId1257" Type="http://schemas.openxmlformats.org/officeDocument/2006/relationships/hyperlink" Target="https://techcombank.com/thong-tin/blog/chuyen-tien-tu-nhat-ve-viet-nam" TargetMode="External"/><Relationship Id="rId2104" Type="http://schemas.openxmlformats.org/officeDocument/2006/relationships/hyperlink" Target="https://techcombank.com/thong-tin/blog/mo-the-tin-dung-han-muc-cao" TargetMode="External"/><Relationship Id="rId1258" Type="http://schemas.openxmlformats.org/officeDocument/2006/relationships/hyperlink" Target="https://techcombank.com/thong-tin/blog/1000-won-bang-bao-nhieu-tien-viet" TargetMode="External"/><Relationship Id="rId2105" Type="http://schemas.openxmlformats.org/officeDocument/2006/relationships/hyperlink" Target="https://techcombank.com/thong-tin/blog/uu-dai-the-tin-dung" TargetMode="External"/><Relationship Id="rId1259" Type="http://schemas.openxmlformats.org/officeDocument/2006/relationships/hyperlink" Target="https://techcombank.com/thong-tin/blog/tien-dai-loan" TargetMode="External"/><Relationship Id="rId2106" Type="http://schemas.openxmlformats.org/officeDocument/2006/relationships/hyperlink" Target="https://techcombank.com/thong-tin/blog/nguyen-tac-quan-ly-tai-chinh-ca-nhan" TargetMode="External"/><Relationship Id="rId2107" Type="http://schemas.openxmlformats.org/officeDocument/2006/relationships/hyperlink" Target="https://techcombank.com/thong-tin/blog/danh-muc-dau-tu" TargetMode="External"/><Relationship Id="rId2108" Type="http://schemas.openxmlformats.org/officeDocument/2006/relationships/hyperlink" Target="https://techcombank.com/thong-tin/blog/vay-100-trieu" TargetMode="External"/><Relationship Id="rId2109" Type="http://schemas.openxmlformats.org/officeDocument/2006/relationships/hyperlink" Target="https://techcombank.com/thong-tin/blog/quy-du-phong-tai-chinh-la-gi" TargetMode="External"/><Relationship Id="rId426" Type="http://schemas.openxmlformats.org/officeDocument/2006/relationships/hyperlink" Target="https://techcombank.com/thong-tin/blog/cach-rut-tien-atm" TargetMode="External"/><Relationship Id="rId425" Type="http://schemas.openxmlformats.org/officeDocument/2006/relationships/hyperlink" Target="https://techcombank.com/thong-tin/blog/1-nguoi-co-the-lam-duoc-bao-nhieu-the-atm" TargetMode="External"/><Relationship Id="rId424" Type="http://schemas.openxmlformats.org/officeDocument/2006/relationships/hyperlink" Target="https://techcombank.com/thong-tin/blog/ma-pin-the-atm" TargetMode="External"/><Relationship Id="rId423" Type="http://schemas.openxmlformats.org/officeDocument/2006/relationships/hyperlink" Target="https://techcombank.com/thong-tin/blog/bi-nuot-the-atm-phai-lam-sao" TargetMode="External"/><Relationship Id="rId429" Type="http://schemas.openxmlformats.org/officeDocument/2006/relationships/hyperlink" Target="https://techcombank.com/thong-tin/blog/1-cmnd-dang-ky-duoc-may-tai-khoan-ngan-hang" TargetMode="External"/><Relationship Id="rId428" Type="http://schemas.openxmlformats.org/officeDocument/2006/relationships/hyperlink" Target="https://techcombank.com/thong-tin/blog/atm-la-gi" TargetMode="External"/><Relationship Id="rId427" Type="http://schemas.openxmlformats.org/officeDocument/2006/relationships/hyperlink" Target="https://techcombank.com/thong-tin/blog/cach-kich-hoat-the-atm" TargetMode="External"/><Relationship Id="rId1250" Type="http://schemas.openxmlformats.org/officeDocument/2006/relationships/hyperlink" Target="https://techcombank.com/thong-tin/blog/tai-khoan-ngan-hang-la-gi" TargetMode="External"/><Relationship Id="rId1251" Type="http://schemas.openxmlformats.org/officeDocument/2006/relationships/hyperlink" Target="https://techcombank.com/thong-tin/blog/di-du-lich-nuoc-ngoai-can-chuan-bi-gi" TargetMode="External"/><Relationship Id="rId1252" Type="http://schemas.openxmlformats.org/officeDocument/2006/relationships/hyperlink" Target="https://techcombank.com/thong-tin/blog/quy-dinh-ve-mua-ban-ngoai-te-cua-doanh-nghiep" TargetMode="External"/><Relationship Id="rId422" Type="http://schemas.openxmlformats.org/officeDocument/2006/relationships/hyperlink" Target="https://techcombank.com/thong-tin/blog/rut-tien-bang-ma-qr-la-gi-cach-thuc-hien-nhu-the-nao" TargetMode="External"/><Relationship Id="rId1253" Type="http://schemas.openxmlformats.org/officeDocument/2006/relationships/hyperlink" Target="https://techcombank.com/thong-tin/blog/chuyen-tien-tu-duc-ve-viet-nam" TargetMode="External"/><Relationship Id="rId2100" Type="http://schemas.openxmlformats.org/officeDocument/2006/relationships/hyperlink" Target="https://techcombank.com/thong-tin/blog/tiet-kiem-khi-di-du-lich" TargetMode="External"/><Relationship Id="rId421" Type="http://schemas.openxmlformats.org/officeDocument/2006/relationships/hyperlink" Target="https://techcombank.com/thong-tin/blog/the-atm-gan-chip" TargetMode="External"/><Relationship Id="rId1254" Type="http://schemas.openxmlformats.org/officeDocument/2006/relationships/hyperlink" Target="https://techcombank.com/thong-tin/blog/cach-nhan-tien-tu-nuoc-ngoai-ve-viet-nam" TargetMode="External"/><Relationship Id="rId2101" Type="http://schemas.openxmlformats.org/officeDocument/2006/relationships/hyperlink" Target="https://techcombank.com/thong-tin/blog/cho-vay-tieu-dung-la-gi" TargetMode="External"/><Relationship Id="rId420" Type="http://schemas.openxmlformats.org/officeDocument/2006/relationships/hyperlink" Target="https://techcombank.com/thong-tin/blog/nap-tien-dien-thoai-online" TargetMode="External"/><Relationship Id="rId1255" Type="http://schemas.openxmlformats.org/officeDocument/2006/relationships/hyperlink" Target="https://techcombank.com/thong-tin/blog/ngoai-hoi-la-gi" TargetMode="External"/><Relationship Id="rId2102" Type="http://schemas.openxmlformats.org/officeDocument/2006/relationships/hyperlink" Target="https://techcombank.com/thong-tin/blog/nen-gui-tiet-kiem-6-thang-hay-1-nam" TargetMode="External"/><Relationship Id="rId1256" Type="http://schemas.openxmlformats.org/officeDocument/2006/relationships/hyperlink" Target="https://techcombank.com/thong-tin/blog/phi-chuyen-doi-ngoai-te" TargetMode="External"/><Relationship Id="rId2103" Type="http://schemas.openxmlformats.org/officeDocument/2006/relationships/hyperlink" Target="https://techcombank.com/thong-tin/blog/phan-mem-lap-ke-hoach-tai-chinh-ca-nhan" TargetMode="External"/><Relationship Id="rId1246" Type="http://schemas.openxmlformats.org/officeDocument/2006/relationships/hyperlink" Target="https://techcombank.com/thong-tin/blog/gui-tiet-kiem-ngoai-te" TargetMode="External"/><Relationship Id="rId1247" Type="http://schemas.openxmlformats.org/officeDocument/2006/relationships/hyperlink" Target="https://techcombank.com/thong-tin/blog/chuyen-tien-dinh-cu" TargetMode="External"/><Relationship Id="rId1248" Type="http://schemas.openxmlformats.org/officeDocument/2006/relationships/hyperlink" Target="https://techcombank.com/thong-tin/blog/han-muc-mua-ngoai-te-khi-di-du-lich" TargetMode="External"/><Relationship Id="rId1249" Type="http://schemas.openxmlformats.org/officeDocument/2006/relationships/hyperlink" Target="https://techcombank.com/thong-tin/blog/ngoai-te-la-gi" TargetMode="External"/><Relationship Id="rId415" Type="http://schemas.openxmlformats.org/officeDocument/2006/relationships/hyperlink" Target="https://techcombank.com/thong-tin/blog/the-visa-de-lam-gi" TargetMode="External"/><Relationship Id="rId899" Type="http://schemas.openxmlformats.org/officeDocument/2006/relationships/hyperlink" Target="https://techcombank.com/thong-tin/blog/khong-su-dung-the-tin-dung-co-mat-phi-khong" TargetMode="External"/><Relationship Id="rId414" Type="http://schemas.openxmlformats.org/officeDocument/2006/relationships/hyperlink" Target="https://techcombank.com/thong-tin/blog/tra-cuu-han-muc-the-tin-dung" TargetMode="External"/><Relationship Id="rId898" Type="http://schemas.openxmlformats.org/officeDocument/2006/relationships/hyperlink" Target="https://techcombank.com/thong-tin/blog/uu-dai-mua-iphone-18" TargetMode="External"/><Relationship Id="rId413" Type="http://schemas.openxmlformats.org/officeDocument/2006/relationships/hyperlink" Target="https://techcombank.com/thong-tin/blog/cach-lam-the-atm" TargetMode="External"/><Relationship Id="rId897" Type="http://schemas.openxmlformats.org/officeDocument/2006/relationships/hyperlink" Target="https://techcombank.com/thong-tin/blog/the-ghi-no-visa-la-gi" TargetMode="External"/><Relationship Id="rId412" Type="http://schemas.openxmlformats.org/officeDocument/2006/relationships/hyperlink" Target="https://techcombank.com/thong-tin/blog/rut-tien-bang-ma-qr-khac-ngan-hang-duoc-khong" TargetMode="External"/><Relationship Id="rId896" Type="http://schemas.openxmlformats.org/officeDocument/2006/relationships/hyperlink" Target="https://techcombank.com/thong-tin/blog/no-xau-nhom-2" TargetMode="External"/><Relationship Id="rId419" Type="http://schemas.openxmlformats.org/officeDocument/2006/relationships/hyperlink" Target="https://techcombank.com/thong-tin/blog/cach-thanh-toan-the-tin-dung" TargetMode="External"/><Relationship Id="rId418" Type="http://schemas.openxmlformats.org/officeDocument/2006/relationships/hyperlink" Target="https://techcombank.com/thong-tin/blog/cach-nap-the" TargetMode="External"/><Relationship Id="rId417" Type="http://schemas.openxmlformats.org/officeDocument/2006/relationships/hyperlink" Target="https://techcombank.com/thong-tin/blog/lam-the-atm-bao-lau-co" TargetMode="External"/><Relationship Id="rId416" Type="http://schemas.openxmlformats.org/officeDocument/2006/relationships/hyperlink" Target="https://techcombank.com/thong-tin/blog/the-atm-khong-rut-duoc-tien" TargetMode="External"/><Relationship Id="rId891" Type="http://schemas.openxmlformats.org/officeDocument/2006/relationships/hyperlink" Target="https://techcombank.com/thong-tin/blog/mo-the-tin-dung-khong-can-chung-minh-thu-nhap" TargetMode="External"/><Relationship Id="rId890" Type="http://schemas.openxmlformats.org/officeDocument/2006/relationships/hyperlink" Target="https://techcombank.com/thong-tin/blog/mat-the-tin-dung-co-lam-lai-duoc-khong" TargetMode="External"/><Relationship Id="rId1240" Type="http://schemas.openxmlformats.org/officeDocument/2006/relationships/hyperlink" Target="https://techcombank.com/thong-tin/blog/chung-chi-tien-gui-co-phai-la-trai-phieu-khong" TargetMode="External"/><Relationship Id="rId1241" Type="http://schemas.openxmlformats.org/officeDocument/2006/relationships/hyperlink" Target="https://techcombank.com/thong-tin/blog/chung-chi-tien-gui-co-an-toan-khong" TargetMode="External"/><Relationship Id="rId411" Type="http://schemas.openxmlformats.org/officeDocument/2006/relationships/hyperlink" Target="https://techcombank.com/thong-tin/blog/lam-the-atm-co-mat-phi-khong" TargetMode="External"/><Relationship Id="rId895" Type="http://schemas.openxmlformats.org/officeDocument/2006/relationships/hyperlink" Target="https://techcombank.com/thong-tin/blog/so-luong-the-tin-dung-noi-dia-dang-luu-hanh-da-tang-42-so-voi-cung-ky-nam-2022" TargetMode="External"/><Relationship Id="rId1242" Type="http://schemas.openxmlformats.org/officeDocument/2006/relationships/hyperlink" Target="https://techcombank.com/thong-tin/blog/tien-trung-quoc" TargetMode="External"/><Relationship Id="rId410" Type="http://schemas.openxmlformats.org/officeDocument/2006/relationships/hyperlink" Target="https://techcombank.com/thong-tin/blog/cach-su-dung-tai-khoan-cong-ty" TargetMode="External"/><Relationship Id="rId894" Type="http://schemas.openxmlformats.org/officeDocument/2006/relationships/hyperlink" Target="https://techcombank.com/thong-tin/blog/rut-tien-mat-tu-the-tin-dung" TargetMode="External"/><Relationship Id="rId1243" Type="http://schemas.openxmlformats.org/officeDocument/2006/relationships/hyperlink" Target="https://techcombank.com/thong-tin/blog/1-van-te-bang-bao-nhieu-tien-viet" TargetMode="External"/><Relationship Id="rId893" Type="http://schemas.openxmlformats.org/officeDocument/2006/relationships/hyperlink" Target="https://techcombank.com/thong-tin/blog/the-tin-dung-phu-la-gi" TargetMode="External"/><Relationship Id="rId1244" Type="http://schemas.openxmlformats.org/officeDocument/2006/relationships/hyperlink" Target="https://techcombank.com/thong-tin/blog/1000-te-bang-bao-nhieu-tien-viet" TargetMode="External"/><Relationship Id="rId892" Type="http://schemas.openxmlformats.org/officeDocument/2006/relationships/hyperlink" Target="https://techcombank.com/thong-tin/blog/the-tin-dung-vip" TargetMode="External"/><Relationship Id="rId1245" Type="http://schemas.openxmlformats.org/officeDocument/2006/relationships/hyperlink" Target="https://techcombank.com/thong-tin/blog/thanh-toan-khi-du-lich-trung-quoc" TargetMode="External"/><Relationship Id="rId1279" Type="http://schemas.openxmlformats.org/officeDocument/2006/relationships/hyperlink" Target="https://techcombank.com/thong-tin/blog/chixmax" TargetMode="External"/><Relationship Id="rId2126" Type="http://schemas.openxmlformats.org/officeDocument/2006/relationships/hyperlink" Target="https://techcombank.com/thong-tin/blog/6-chiec-lo-tai-chinh-ca-nhan" TargetMode="External"/><Relationship Id="rId2127" Type="http://schemas.openxmlformats.org/officeDocument/2006/relationships/hyperlink" Target="https://techcombank.com/thong-tin/blog/hu-chi-tieu" TargetMode="External"/><Relationship Id="rId2128" Type="http://schemas.openxmlformats.org/officeDocument/2006/relationships/hyperlink" Target="https://techcombank.com/thong-tin/blog/ngan-hang-so" TargetMode="External"/><Relationship Id="rId2129" Type="http://schemas.openxmlformats.org/officeDocument/2006/relationships/hyperlink" Target="https://techcombank.com/thong-tin/blog/dau-tu-tai-chinh-ca-nhan" TargetMode="External"/><Relationship Id="rId448" Type="http://schemas.openxmlformats.org/officeDocument/2006/relationships/hyperlink" Target="https://techcombank.com/thong-tin/blog/tiet-kiem-khi-di-du-lich" TargetMode="External"/><Relationship Id="rId447" Type="http://schemas.openxmlformats.org/officeDocument/2006/relationships/hyperlink" Target="https://techcombank.com/thong-tin/blog/app-mua-truoc-tra-sau" TargetMode="External"/><Relationship Id="rId446" Type="http://schemas.openxmlformats.org/officeDocument/2006/relationships/hyperlink" Target="https://techcombank.com/thong-tin/blog/dau-chan-carbon" TargetMode="External"/><Relationship Id="rId445" Type="http://schemas.openxmlformats.org/officeDocument/2006/relationships/hyperlink" Target="https://techcombank.com/thong-tin/blog/cach-tiet-kiem-tien-hieu-qua-cho-gia-dinh" TargetMode="External"/><Relationship Id="rId449" Type="http://schemas.openxmlformats.org/officeDocument/2006/relationships/hyperlink" Target="https://techcombank.com/thong-tin/blog/cho-vay-tieu-dung-la-gi" TargetMode="External"/><Relationship Id="rId1270" Type="http://schemas.openxmlformats.org/officeDocument/2006/relationships/hyperlink" Target="https://techcombank.com/thong-tin/blog/gui-tiet-kiem-usd" TargetMode="External"/><Relationship Id="rId440" Type="http://schemas.openxmlformats.org/officeDocument/2006/relationships/hyperlink" Target="https://techcombank.com/thong-tin/blog/ghi-chep-chi-tieu" TargetMode="External"/><Relationship Id="rId1271" Type="http://schemas.openxmlformats.org/officeDocument/2006/relationships/hyperlink" Target="https://techcombank.com/thong-tin/blog/doi-tien-do-o-dau" TargetMode="External"/><Relationship Id="rId1272" Type="http://schemas.openxmlformats.org/officeDocument/2006/relationships/hyperlink" Target="https://techcombank.com/thong-tin/blog/chuyen-tien-di-uc" TargetMode="External"/><Relationship Id="rId1273" Type="http://schemas.openxmlformats.org/officeDocument/2006/relationships/hyperlink" Target="https://techcombank.com/thong-tin/blog/1-trieu-do-bang-bao-nhieu-tien-viet" TargetMode="External"/><Relationship Id="rId2120" Type="http://schemas.openxmlformats.org/officeDocument/2006/relationships/hyperlink" Target="https://techcombank.com/thong-tin/blog/ly-do-ngan-hang-so-tro-thanh-cong-cu-tai-chinh-hang-dau-cua-gioi-tre" TargetMode="External"/><Relationship Id="rId1274" Type="http://schemas.openxmlformats.org/officeDocument/2006/relationships/hyperlink" Target="https://techcombank.com/thong-tin/blog/thanh-toan-khi-du-lich-nhat-ban" TargetMode="External"/><Relationship Id="rId2121" Type="http://schemas.openxmlformats.org/officeDocument/2006/relationships/hyperlink" Target="https://techcombank.com/thong-tin/blog/the-debit-cho-con" TargetMode="External"/><Relationship Id="rId444" Type="http://schemas.openxmlformats.org/officeDocument/2006/relationships/hyperlink" Target="https://techcombank.com/thong-tin/blog/loi-ich-cua-viec-tiet-kiem-tien" TargetMode="External"/><Relationship Id="rId1275" Type="http://schemas.openxmlformats.org/officeDocument/2006/relationships/hyperlink" Target="https://techcombank.com/thong-tin/blog/chuyen-tien-tu-nhat-ve-viet-nam" TargetMode="External"/><Relationship Id="rId2122" Type="http://schemas.openxmlformats.org/officeDocument/2006/relationships/hyperlink" Target="https://techcombank.com/thong-tin/blog/thoi-gian-hoan-tien-the-tin-dung" TargetMode="External"/><Relationship Id="rId443" Type="http://schemas.openxmlformats.org/officeDocument/2006/relationships/hyperlink" Target="https://techcombank.com/thong-tin/blog/uu-dai-the-tin-dung-techcombank-signature" TargetMode="External"/><Relationship Id="rId1276" Type="http://schemas.openxmlformats.org/officeDocument/2006/relationships/hyperlink" Target="https://techcombank.com/thong-tin/blog/1-yen-bang-bao-nhieu-tien-viet-nam" TargetMode="External"/><Relationship Id="rId2123" Type="http://schemas.openxmlformats.org/officeDocument/2006/relationships/hyperlink" Target="https://techcombank.com/thong-tin/blog/ung-dung-cong-nghe" TargetMode="External"/><Relationship Id="rId442" Type="http://schemas.openxmlformats.org/officeDocument/2006/relationships/hyperlink" Target="https://techcombank.com/thong-tin/blog/vi-tra-sau" TargetMode="External"/><Relationship Id="rId1277" Type="http://schemas.openxmlformats.org/officeDocument/2006/relationships/hyperlink" Target="https://techcombank.com/thong-tin/blog/1-man-bang-bao-nhieu-tien-viet" TargetMode="External"/><Relationship Id="rId2124" Type="http://schemas.openxmlformats.org/officeDocument/2006/relationships/hyperlink" Target="https://techcombank.com/thong-tin/blog/du-no-tin-dung-la-gi" TargetMode="External"/><Relationship Id="rId441" Type="http://schemas.openxmlformats.org/officeDocument/2006/relationships/hyperlink" Target="https://techcombank.com/thong-tin/blog/ma-mcc" TargetMode="External"/><Relationship Id="rId1278" Type="http://schemas.openxmlformats.org/officeDocument/2006/relationships/hyperlink" Target="https://techcombank.com/thong-tin/blog/cach-tiet-kiem-tien-cua-nguoi-nhat" TargetMode="External"/><Relationship Id="rId2125" Type="http://schemas.openxmlformats.org/officeDocument/2006/relationships/hyperlink" Target="https://techcombank.com/thong-tin/blog/the-visa-co-may-loai" TargetMode="External"/><Relationship Id="rId1268" Type="http://schemas.openxmlformats.org/officeDocument/2006/relationships/hyperlink" Target="https://techcombank.com/thong-tin/blog/han-muc-mua-ngoai-te-khi-di-du-lich" TargetMode="External"/><Relationship Id="rId2115" Type="http://schemas.openxmlformats.org/officeDocument/2006/relationships/hyperlink" Target="https://techcombank.com/thong-tin/blog/sao-ke-the-tin-dung-la-gi" TargetMode="External"/><Relationship Id="rId1269" Type="http://schemas.openxmlformats.org/officeDocument/2006/relationships/hyperlink" Target="https://techcombank.com/thong-tin/blog/cam-nang-dinh-cu-my" TargetMode="External"/><Relationship Id="rId2116" Type="http://schemas.openxmlformats.org/officeDocument/2006/relationships/hyperlink" Target="https://techcombank.com/thong-tin/blog/cashback-the-thanh-toan" TargetMode="External"/><Relationship Id="rId2117" Type="http://schemas.openxmlformats.org/officeDocument/2006/relationships/hyperlink" Target="https://techcombank.com/thong-tin/blog/nang-han-muc-tin-dung" TargetMode="External"/><Relationship Id="rId2118" Type="http://schemas.openxmlformats.org/officeDocument/2006/relationships/hyperlink" Target="https://techcombank.com/thong-tin/blog/bang-can-doi-tai-chinh" TargetMode="External"/><Relationship Id="rId2119" Type="http://schemas.openxmlformats.org/officeDocument/2006/relationships/hyperlink" Target="https://techcombank.com/thong-tin/blog/vay-tin-chap-theo-luong" TargetMode="External"/><Relationship Id="rId437" Type="http://schemas.openxmlformats.org/officeDocument/2006/relationships/hyperlink" Target="https://techcombank.com/thong-tin/blog/sao-ke-tai-khoan-doanh-nghiep" TargetMode="External"/><Relationship Id="rId436" Type="http://schemas.openxmlformats.org/officeDocument/2006/relationships/hyperlink" Target="https://techcombank.com/thong-tin/blog/sao-ke-luong" TargetMode="External"/><Relationship Id="rId435" Type="http://schemas.openxmlformats.org/officeDocument/2006/relationships/hyperlink" Target="https://techcombank.com/thong-tin/blog/the-visa-co-rut-tien-duoc-khong" TargetMode="External"/><Relationship Id="rId434" Type="http://schemas.openxmlformats.org/officeDocument/2006/relationships/hyperlink" Target="https://techcombank.com/thong-tin/blog/cach-chuyen-tien" TargetMode="External"/><Relationship Id="rId439" Type="http://schemas.openxmlformats.org/officeDocument/2006/relationships/hyperlink" Target="https://techcombank.com/thong-tin/blog/tien-chuyen-vao-tai-khoan-co-bi-tinh-thue-khong" TargetMode="External"/><Relationship Id="rId438" Type="http://schemas.openxmlformats.org/officeDocument/2006/relationships/hyperlink" Target="https://techcombank.com/thong-tin/blog/vay-the-chap-qua-luong" TargetMode="External"/><Relationship Id="rId1260" Type="http://schemas.openxmlformats.org/officeDocument/2006/relationships/hyperlink" Target="https://techcombank.com/thong-tin/blog/ty-gia-cac-ngan-hang" TargetMode="External"/><Relationship Id="rId1261" Type="http://schemas.openxmlformats.org/officeDocument/2006/relationships/hyperlink" Target="https://techcombank.com/thong-tin/blog/ty-gia-la-gi" TargetMode="External"/><Relationship Id="rId1262" Type="http://schemas.openxmlformats.org/officeDocument/2006/relationships/hyperlink" Target="https://techcombank.com/thong-tin/blog/xu-huong-ty-gia-usd" TargetMode="External"/><Relationship Id="rId1263" Type="http://schemas.openxmlformats.org/officeDocument/2006/relationships/hyperlink" Target="https://techcombank.com/thong-tin/blog/dieu-kien-mua-usd-tu-ngan-hang" TargetMode="External"/><Relationship Id="rId2110" Type="http://schemas.openxmlformats.org/officeDocument/2006/relationships/hyperlink" Target="https://techcombank.com/thong-tin/blog/bi-quyet-tiet-kiem-tien-mua-nha" TargetMode="External"/><Relationship Id="rId433" Type="http://schemas.openxmlformats.org/officeDocument/2006/relationships/hyperlink" Target="https://techcombank.com/thong-tin/blog/the-atm-tu" TargetMode="External"/><Relationship Id="rId1264" Type="http://schemas.openxmlformats.org/officeDocument/2006/relationships/hyperlink" Target="https://techcombank.com/thong-tin/blog/1-cent-bang-bao-nhieu-tien-viet" TargetMode="External"/><Relationship Id="rId2111" Type="http://schemas.openxmlformats.org/officeDocument/2006/relationships/hyperlink" Target="https://techcombank.com/thong-tin/blog/app-ngan-hang" TargetMode="External"/><Relationship Id="rId432" Type="http://schemas.openxmlformats.org/officeDocument/2006/relationships/hyperlink" Target="https://techcombank.com/thong-tin/blog/the-visa-ao-la-gi" TargetMode="External"/><Relationship Id="rId1265" Type="http://schemas.openxmlformats.org/officeDocument/2006/relationships/hyperlink" Target="https://techcombank.com/thong-tin/blog/lai-suat-gui-tiet-kiem-usd" TargetMode="External"/><Relationship Id="rId2112" Type="http://schemas.openxmlformats.org/officeDocument/2006/relationships/hyperlink" Target="https://techcombank.com/thong-tin/blog/app-quan-ly-chi-tieu" TargetMode="External"/><Relationship Id="rId431" Type="http://schemas.openxmlformats.org/officeDocument/2006/relationships/hyperlink" Target="https://techcombank.com/thong-tin/blog/so-du-tien-gui-la-gi" TargetMode="External"/><Relationship Id="rId1266" Type="http://schemas.openxmlformats.org/officeDocument/2006/relationships/hyperlink" Target="https://techcombank.com/thong-tin/blog/chuyen-tien-tu-my-ve-viet-nam" TargetMode="External"/><Relationship Id="rId2113" Type="http://schemas.openxmlformats.org/officeDocument/2006/relationships/hyperlink" Target="https://techcombank.com/thong-tin/blog/nhung-kho-khan-khi-tiet-kiem-tien" TargetMode="External"/><Relationship Id="rId430" Type="http://schemas.openxmlformats.org/officeDocument/2006/relationships/hyperlink" Target="https://techcombank.com/thong-tin/blog/chuyen-doi-the-atm" TargetMode="External"/><Relationship Id="rId1267" Type="http://schemas.openxmlformats.org/officeDocument/2006/relationships/hyperlink" Target="https://techcombank.com/thong-tin/blog/vang-my-ky" TargetMode="External"/><Relationship Id="rId2114" Type="http://schemas.openxmlformats.org/officeDocument/2006/relationships/hyperlink" Target="https://techcombank.com/thong-tin/blog/no-nhom-3" TargetMode="External"/></Relationships>
</file>

<file path=xl/worksheets/_rels/sheet4.xml.rels><?xml version="1.0" encoding="UTF-8" standalone="yes"?><Relationships xmlns="http://schemas.openxmlformats.org/package/2006/relationships"><Relationship Id="rId392" Type="http://schemas.openxmlformats.org/officeDocument/2006/relationships/hyperlink" Target="https://techcombank.com/thong-tin/blog/vay-the-chap-toi-da-duoc-bao-nhieu" TargetMode="External"/><Relationship Id="rId391" Type="http://schemas.openxmlformats.org/officeDocument/2006/relationships/hyperlink" Target="https://techcombank.com/thong-tin/blog/vay-the-chap-so-hong" TargetMode="External"/><Relationship Id="rId390" Type="http://schemas.openxmlformats.org/officeDocument/2006/relationships/hyperlink" Target="https://techcombank.com/thong-tin/blog/vay-the-chap-la-gi" TargetMode="External"/><Relationship Id="rId1" Type="http://schemas.openxmlformats.org/officeDocument/2006/relationships/hyperlink" Target="https://techcombank.com/thong-tin/blog/no-xau-nhom-2" TargetMode="External"/><Relationship Id="rId2" Type="http://schemas.openxmlformats.org/officeDocument/2006/relationships/hyperlink" Target="https://techcombank.com/thong-tin/blog/qua-han-thanh-toan-the-tin-dung-1-ngay" TargetMode="External"/><Relationship Id="rId3" Type="http://schemas.openxmlformats.org/officeDocument/2006/relationships/hyperlink" Target="https://techcombank.com/thong-tin/blog/cach-su-dung-the-tin-dung" TargetMode="External"/><Relationship Id="rId4" Type="http://schemas.openxmlformats.org/officeDocument/2006/relationships/hyperlink" Target="https://techcombank.com/thong-tin/blog/han-muc-mua-ngoai-te-khi-di-du-lich" TargetMode="External"/><Relationship Id="rId9" Type="http://schemas.openxmlformats.org/officeDocument/2006/relationships/hyperlink" Target="https://techcombank.com/thong-tin/blog/cach-lam-the-ngan-hang-chay-quang-cao-facebook" TargetMode="External"/><Relationship Id="rId385" Type="http://schemas.openxmlformats.org/officeDocument/2006/relationships/hyperlink" Target="https://techcombank.com/thong-tin/blog/vay-300-trieu" TargetMode="External"/><Relationship Id="rId384" Type="http://schemas.openxmlformats.org/officeDocument/2006/relationships/hyperlink" Target="https://techcombank.com/thong-tin/blog/vay-15-trieu" TargetMode="External"/><Relationship Id="rId383" Type="http://schemas.openxmlformats.org/officeDocument/2006/relationships/hyperlink" Target="https://techcombank.com/thong-tin/blog/ty-gia-la-gi" TargetMode="External"/><Relationship Id="rId382" Type="http://schemas.openxmlformats.org/officeDocument/2006/relationships/hyperlink" Target="https://techcombank.com/thong-tin/blog/tra-gop-hoc-phi" TargetMode="External"/><Relationship Id="rId5" Type="http://schemas.openxmlformats.org/officeDocument/2006/relationships/hyperlink" Target="https://techcombank.com/thong-tin/blog/han-muc-tra-gop-the-tin-dung" TargetMode="External"/><Relationship Id="rId389" Type="http://schemas.openxmlformats.org/officeDocument/2006/relationships/hyperlink" Target="https://techcombank.com/thong-tin/blog/vay-mua-nha-o-xa-hoi" TargetMode="External"/><Relationship Id="rId6" Type="http://schemas.openxmlformats.org/officeDocument/2006/relationships/hyperlink" Target="https://techcombank.com/thong-tin/blog/no-the-tin-dung-qua-han" TargetMode="External"/><Relationship Id="rId388" Type="http://schemas.openxmlformats.org/officeDocument/2006/relationships/hyperlink" Target="https://techcombank.com/thong-tin/blog/vay-mua-dien-thoai" TargetMode="External"/><Relationship Id="rId7" Type="http://schemas.openxmlformats.org/officeDocument/2006/relationships/hyperlink" Target="https://techcombank.com/thong-tin/blog/thanh-toan-toi-thieu-the-tin-dung" TargetMode="External"/><Relationship Id="rId387" Type="http://schemas.openxmlformats.org/officeDocument/2006/relationships/hyperlink" Target="https://techcombank.com/thong-tin/blog/vay-du-hoc" TargetMode="External"/><Relationship Id="rId8" Type="http://schemas.openxmlformats.org/officeDocument/2006/relationships/hyperlink" Target="https://techcombank.com/thong-tin/blog/the-tin-dung-bi-khoa" TargetMode="External"/><Relationship Id="rId386" Type="http://schemas.openxmlformats.org/officeDocument/2006/relationships/hyperlink" Target="https://techcombank.com/thong-tin/blog/vay-40-trieu" TargetMode="External"/><Relationship Id="rId381" Type="http://schemas.openxmlformats.org/officeDocument/2006/relationships/hyperlink" Target="https://techcombank.com/thong-tin/blog/top-phan-mem-ban-hang" TargetMode="External"/><Relationship Id="rId380" Type="http://schemas.openxmlformats.org/officeDocument/2006/relationships/hyperlink" Target="https://techcombank.com/thong-tin/blog/toi-uu-hoa-chi-phi-trong-doanh-nghiep" TargetMode="External"/><Relationship Id="rId379" Type="http://schemas.openxmlformats.org/officeDocument/2006/relationships/hyperlink" Target="https://techcombank.com/thong-tin/blog/tinh-thanh-khoan-la-gi" TargetMode="External"/><Relationship Id="rId374" Type="http://schemas.openxmlformats.org/officeDocument/2006/relationships/hyperlink" Target="https://techcombank.com/thong-tin/blog/tiem-nang-chuyen-doi-tu-ho-kinh-doanh-len-doanh-nghiep-sme" TargetMode="External"/><Relationship Id="rId373" Type="http://schemas.openxmlformats.org/officeDocument/2006/relationships/hyperlink" Target="https://techcombank.com/thong-tin/blog/tich-luy-tai-san" TargetMode="External"/><Relationship Id="rId372" Type="http://schemas.openxmlformats.org/officeDocument/2006/relationships/hyperlink" Target="https://techcombank.com/thong-tin/blog/thue-khoan-ho-kinh-doanh-la-gi" TargetMode="External"/><Relationship Id="rId371" Type="http://schemas.openxmlformats.org/officeDocument/2006/relationships/hyperlink" Target="https://techcombank.com/thong-tin/blog/thue-ho-kinh-doanh-2025" TargetMode="External"/><Relationship Id="rId378" Type="http://schemas.openxmlformats.org/officeDocument/2006/relationships/hyperlink" Target="https://techcombank.com/thong-tin/blog/tien-trung-quoc" TargetMode="External"/><Relationship Id="rId377" Type="http://schemas.openxmlformats.org/officeDocument/2006/relationships/hyperlink" Target="https://techcombank.com/thong-tin/blog/tien-singapore" TargetMode="External"/><Relationship Id="rId376" Type="http://schemas.openxmlformats.org/officeDocument/2006/relationships/hyperlink" Target="https://techcombank.com/thong-tin/blog/tien-nhan-roi-nen-lam-gi" TargetMode="External"/><Relationship Id="rId375" Type="http://schemas.openxmlformats.org/officeDocument/2006/relationships/hyperlink" Target="https://techcombank.com/thong-tin/blog/tien-gui-khong-ky-han" TargetMode="External"/><Relationship Id="rId396" Type="http://schemas.openxmlformats.org/officeDocument/2006/relationships/hyperlink" Target="https://techcombank.com/thong-tin/blog/vip-ngan-hang" TargetMode="External"/><Relationship Id="rId395" Type="http://schemas.openxmlformats.org/officeDocument/2006/relationships/hyperlink" Target="https://techcombank.com/thong-tin/blog/vay-tin-chap-toi-da-duoc-bao-nhieu" TargetMode="External"/><Relationship Id="rId394" Type="http://schemas.openxmlformats.org/officeDocument/2006/relationships/hyperlink" Target="https://techcombank.com/thong-tin/blog/vay-tien-online" TargetMode="External"/><Relationship Id="rId393" Type="http://schemas.openxmlformats.org/officeDocument/2006/relationships/hyperlink" Target="https://techcombank.com/thong-tin/blog/vay-tien-mat" TargetMode="External"/><Relationship Id="rId399" Type="http://schemas.openxmlformats.org/officeDocument/2006/relationships/hyperlink" Target="https://techcombank.com/thong-tin/blog/1-dong-do-la-my-bang-bao-nhieu-tien-viet-nam" TargetMode="External"/><Relationship Id="rId398" Type="http://schemas.openxmlformats.org/officeDocument/2006/relationships/hyperlink" Target="https://techcombank.com/thong-tin/blog/1-do-uc-bang-bao-nhieu-tien-viet" TargetMode="External"/><Relationship Id="rId397" Type="http://schemas.openxmlformats.org/officeDocument/2006/relationships/hyperlink" Target="https://techcombank.com/thong-tin/blog/vnd-to-myr" TargetMode="External"/><Relationship Id="rId40" Type="http://schemas.openxmlformats.org/officeDocument/2006/relationships/hyperlink" Target="https://techcombank.com/thong-tin/blog/tra-gop-qua-the-tin-dung" TargetMode="External"/><Relationship Id="rId42" Type="http://schemas.openxmlformats.org/officeDocument/2006/relationships/hyperlink" Target="https://techcombank.com/thong-tin/blog/vay-the-chap-qua-luong" TargetMode="External"/><Relationship Id="rId41" Type="http://schemas.openxmlformats.org/officeDocument/2006/relationships/hyperlink" Target="https://techcombank.com/thong-tin/blog/tra-gop-shopee" TargetMode="External"/><Relationship Id="rId44" Type="http://schemas.openxmlformats.org/officeDocument/2006/relationships/hyperlink" Target="https://techcombank.com/thong-tin/blog/vay-tra-gop" TargetMode="External"/><Relationship Id="rId43" Type="http://schemas.openxmlformats.org/officeDocument/2006/relationships/hyperlink" Target="https://techcombank.com/thong-tin/blog/vay-tin-chap-va-vay-the-chap" TargetMode="External"/><Relationship Id="rId46" Type="http://schemas.openxmlformats.org/officeDocument/2006/relationships/hyperlink" Target="https://techcombank.com/thong-tin/blog/chung-chi-tien-gui-khac-gi-so-tiet-kiem" TargetMode="External"/><Relationship Id="rId45" Type="http://schemas.openxmlformats.org/officeDocument/2006/relationships/hyperlink" Target="https://techcombank.com/thong-tin/blog/cach-gui-tiet-kiem-online" TargetMode="External"/><Relationship Id="rId745" Type="http://schemas.openxmlformats.org/officeDocument/2006/relationships/hyperlink" Target="https://techcombank.com/thong-tin/blog/wacc-la-gi" TargetMode="External"/><Relationship Id="rId744" Type="http://schemas.openxmlformats.org/officeDocument/2006/relationships/hyperlink" Target="https://techcombank.com/thong-tin/blog/voucher-winmart" TargetMode="External"/><Relationship Id="rId743" Type="http://schemas.openxmlformats.org/officeDocument/2006/relationships/hyperlink" Target="https://techcombank.com/thong-tin/blog/voucher-the-pizza-company" TargetMode="External"/><Relationship Id="rId742" Type="http://schemas.openxmlformats.org/officeDocument/2006/relationships/hyperlink" Target="https://techcombank.com/thong-tin/blog/voucher-the-coffee-house" TargetMode="External"/><Relationship Id="rId749" Type="http://schemas.openxmlformats.org/officeDocument/2006/relationships/hyperlink" Target="https://techcombank.com/thong-tin/blog/xu-huong-tieu-dung" TargetMode="External"/><Relationship Id="rId748" Type="http://schemas.openxmlformats.org/officeDocument/2006/relationships/hyperlink" Target="https://techcombank.com/thong-tin/blog/xu-huong-thanh-toan-khong-dung-tien-mat-tai-viet-nam" TargetMode="External"/><Relationship Id="rId747" Type="http://schemas.openxmlformats.org/officeDocument/2006/relationships/hyperlink" Target="https://techcombank.com/thong-tin/blog/xu-huong-song-xanh" TargetMode="External"/><Relationship Id="rId746" Type="http://schemas.openxmlformats.org/officeDocument/2006/relationships/hyperlink" Target="https://techcombank.com/thong-tin/blog/woomaster" TargetMode="External"/><Relationship Id="rId48" Type="http://schemas.openxmlformats.org/officeDocument/2006/relationships/hyperlink" Target="https://techcombank.com/thong-tin/blog/dang-vay-tra-gop-co-vay-them-duoc-khong" TargetMode="External"/><Relationship Id="rId47" Type="http://schemas.openxmlformats.org/officeDocument/2006/relationships/hyperlink" Target="https://techcombank.com/thong-tin/blog/co-50-trieu-nen-mua-vang-hay-gui-tiet-kiem" TargetMode="External"/><Relationship Id="rId49" Type="http://schemas.openxmlformats.org/officeDocument/2006/relationships/hyperlink" Target="https://techcombank.com/thong-tin/blog/ho-kinh-doanh-can-gi-o-tai-khoan-ngan-hang" TargetMode="External"/><Relationship Id="rId741" Type="http://schemas.openxmlformats.org/officeDocument/2006/relationships/hyperlink" Target="https://techcombank.com/thong-tin/blog/voucher-starbucks" TargetMode="External"/><Relationship Id="rId740" Type="http://schemas.openxmlformats.org/officeDocument/2006/relationships/hyperlink" Target="https://techcombank.com/thong-tin/blog/voucher-kfc" TargetMode="External"/><Relationship Id="rId31" Type="http://schemas.openxmlformats.org/officeDocument/2006/relationships/hyperlink" Target="https://techcombank.com/thong-tin/blog/rui-ro-khi-vay-the-chap-ngan-hang" TargetMode="External"/><Relationship Id="rId30" Type="http://schemas.openxmlformats.org/officeDocument/2006/relationships/hyperlink" Target="https://techcombank.com/thong-tin/blog/no-xau-co-vay-the-chap-duoc-khong" TargetMode="External"/><Relationship Id="rId33" Type="http://schemas.openxmlformats.org/officeDocument/2006/relationships/hyperlink" Target="https://techcombank.com/thong-tin/blog/tai-khoan-ngan-hang-la-gi" TargetMode="External"/><Relationship Id="rId32" Type="http://schemas.openxmlformats.org/officeDocument/2006/relationships/hyperlink" Target="https://techcombank.com/thong-tin/blog/sao-ke-the-tin-dung-la-gi" TargetMode="External"/><Relationship Id="rId35" Type="http://schemas.openxmlformats.org/officeDocument/2006/relationships/hyperlink" Target="https://techcombank.com/thong-tin/blog/the-visa-de-lam-gi" TargetMode="External"/><Relationship Id="rId34" Type="http://schemas.openxmlformats.org/officeDocument/2006/relationships/hyperlink" Target="https://techcombank.com/thong-tin/blog/the-tin-dung-co-chuyen-khoan-duoc-khong" TargetMode="External"/><Relationship Id="rId739" Type="http://schemas.openxmlformats.org/officeDocument/2006/relationships/hyperlink" Target="https://techcombank.com/thong-tin/blog/voucher-katinat" TargetMode="External"/><Relationship Id="rId734" Type="http://schemas.openxmlformats.org/officeDocument/2006/relationships/hyperlink" Target="https://techcombank.com/thong-tin/blog/voucher-coopmart" TargetMode="External"/><Relationship Id="rId733" Type="http://schemas.openxmlformats.org/officeDocument/2006/relationships/hyperlink" Target="https://techcombank.com/thong-tin/blog/voucher-cgv" TargetMode="External"/><Relationship Id="rId732" Type="http://schemas.openxmlformats.org/officeDocument/2006/relationships/hyperlink" Target="https://techcombank.com/thong-tin/blog/vi-dien-tu-la-gi" TargetMode="External"/><Relationship Id="rId731" Type="http://schemas.openxmlformats.org/officeDocument/2006/relationships/hyperlink" Target="https://techcombank.com/thong-tin/blog/vay-sieu-toc" TargetMode="External"/><Relationship Id="rId738" Type="http://schemas.openxmlformats.org/officeDocument/2006/relationships/hyperlink" Target="https://techcombank.com/thong-tin/blog/voucher-jollibee" TargetMode="External"/><Relationship Id="rId737" Type="http://schemas.openxmlformats.org/officeDocument/2006/relationships/hyperlink" Target="https://techcombank.com/thong-tin/blog/voucher-highland" TargetMode="External"/><Relationship Id="rId736" Type="http://schemas.openxmlformats.org/officeDocument/2006/relationships/hyperlink" Target="https://techcombank.com/thong-tin/blog/voucher-grab" TargetMode="External"/><Relationship Id="rId735" Type="http://schemas.openxmlformats.org/officeDocument/2006/relationships/hyperlink" Target="https://techcombank.com/thong-tin/blog/voucher-golden-gate" TargetMode="External"/><Relationship Id="rId37" Type="http://schemas.openxmlformats.org/officeDocument/2006/relationships/hyperlink" Target="https://techcombank.com/thong-tin/blog/tim-hieu-ve-chinh-sach-thue-moi" TargetMode="External"/><Relationship Id="rId36" Type="http://schemas.openxmlformats.org/officeDocument/2006/relationships/hyperlink" Target="https://techcombank.com/thong-tin/blog/thu-tuc-vay-von-kinh-doanh-nho" TargetMode="External"/><Relationship Id="rId39" Type="http://schemas.openxmlformats.org/officeDocument/2006/relationships/hyperlink" Target="https://techcombank.com/thong-tin/blog/tra-gop-lazada" TargetMode="External"/><Relationship Id="rId38" Type="http://schemas.openxmlformats.org/officeDocument/2006/relationships/hyperlink" Target="https://techcombank.com/thong-tin/blog/tra-cuu-han-muc-the-tin-dung" TargetMode="External"/><Relationship Id="rId730" Type="http://schemas.openxmlformats.org/officeDocument/2006/relationships/hyperlink" Target="https://techcombank.com/thong-tin/blog/vay-mua-chung-cu" TargetMode="External"/><Relationship Id="rId20" Type="http://schemas.openxmlformats.org/officeDocument/2006/relationships/hyperlink" Target="https://techcombank.com/thong-tin/blog/ke-khai-thue-doanh-nghiep" TargetMode="External"/><Relationship Id="rId22" Type="http://schemas.openxmlformats.org/officeDocument/2006/relationships/hyperlink" Target="https://techcombank.com/thong-tin/blog/lai-suat-the-tin-dung" TargetMode="External"/><Relationship Id="rId21" Type="http://schemas.openxmlformats.org/officeDocument/2006/relationships/hyperlink" Target="https://techcombank.com/thong-tin/blog/lai-suat-gui-tiet-kiem-usd" TargetMode="External"/><Relationship Id="rId24" Type="http://schemas.openxmlformats.org/officeDocument/2006/relationships/hyperlink" Target="https://techcombank.com/thong-tin/blog/lai-suat-vay-kinh-doanh" TargetMode="External"/><Relationship Id="rId23" Type="http://schemas.openxmlformats.org/officeDocument/2006/relationships/hyperlink" Target="https://techcombank.com/thong-tin/blog/lai-suat-tiet-kiem" TargetMode="External"/><Relationship Id="rId26" Type="http://schemas.openxmlformats.org/officeDocument/2006/relationships/hyperlink" Target="https://techcombank.com/thong-tin/blog/luu-y-khi-su-dung-the-tin-dung" TargetMode="External"/><Relationship Id="rId25" Type="http://schemas.openxmlformats.org/officeDocument/2006/relationships/hyperlink" Target="https://techcombank.com/thong-tin/blog/lam-ho-so-tra-gop-dien-thoai" TargetMode="External"/><Relationship Id="rId28" Type="http://schemas.openxmlformats.org/officeDocument/2006/relationships/hyperlink" Target="https://techcombank.com/thong-tin/blog/mua-truoc-tra-sau" TargetMode="External"/><Relationship Id="rId27" Type="http://schemas.openxmlformats.org/officeDocument/2006/relationships/hyperlink" Target="https://techcombank.com/thong-tin/blog/mo-the-tin-dung-khong-can-chung-minh-thu-nhap" TargetMode="External"/><Relationship Id="rId29" Type="http://schemas.openxmlformats.org/officeDocument/2006/relationships/hyperlink" Target="https://techcombank.com/thong-tin/blog/nang-han-muc-tin-dung" TargetMode="External"/><Relationship Id="rId11" Type="http://schemas.openxmlformats.org/officeDocument/2006/relationships/hyperlink" Target="https://techcombank.com/thong-tin/blog/lai-suat-vay-tin-chap" TargetMode="External"/><Relationship Id="rId10" Type="http://schemas.openxmlformats.org/officeDocument/2006/relationships/hyperlink" Target="https://techcombank.com/thong-tin/blog/lai-suat-vay-the-chap-so-do" TargetMode="External"/><Relationship Id="rId13" Type="http://schemas.openxmlformats.org/officeDocument/2006/relationships/hyperlink" Target="https://techcombank.com/thong-tin/blog/vay-20-trieu" TargetMode="External"/><Relationship Id="rId12" Type="http://schemas.openxmlformats.org/officeDocument/2006/relationships/hyperlink" Target="https://techcombank.com/thong-tin/blog/thanh-toan-tra-gop-qua-the-tin-dung" TargetMode="External"/><Relationship Id="rId15" Type="http://schemas.openxmlformats.org/officeDocument/2006/relationships/hyperlink" Target="https://techcombank.com/thong-tin/blog/cach-thanh-toan-the-tin-dung" TargetMode="External"/><Relationship Id="rId14" Type="http://schemas.openxmlformats.org/officeDocument/2006/relationships/hyperlink" Target="https://techcombank.com/thong-tin/blog/cac-hinh-thuc-vay-von-ngan-hang" TargetMode="External"/><Relationship Id="rId17" Type="http://schemas.openxmlformats.org/officeDocument/2006/relationships/hyperlink" Target="https://techcombank.com/thong-tin/blog/gui-tiet-kiem-ngoai-te" TargetMode="External"/><Relationship Id="rId16" Type="http://schemas.openxmlformats.org/officeDocument/2006/relationships/hyperlink" Target="https://techcombank.com/thong-tin/blog/cic-la-gi" TargetMode="External"/><Relationship Id="rId19" Type="http://schemas.openxmlformats.org/officeDocument/2006/relationships/hyperlink" Target="https://techcombank.com/thong-tin/blog/gui-tiet-kiem-usd" TargetMode="External"/><Relationship Id="rId752" Type="http://schemas.openxmlformats.org/officeDocument/2006/relationships/drawing" Target="../drawings/drawing4.xml"/><Relationship Id="rId18" Type="http://schemas.openxmlformats.org/officeDocument/2006/relationships/hyperlink" Target="https://techcombank.com/thong-tin/blog/gui-tiet-kiem-online-co-rut-truoc-han-duoc-khong" TargetMode="External"/><Relationship Id="rId751" Type="http://schemas.openxmlformats.org/officeDocument/2006/relationships/hyperlink" Target="https://techcombank.com/thong-tin/blog/yakimono" TargetMode="External"/><Relationship Id="rId750" Type="http://schemas.openxmlformats.org/officeDocument/2006/relationships/hyperlink" Target="https://techcombank.com/thong-tin/blog/y-concert" TargetMode="External"/><Relationship Id="rId84" Type="http://schemas.openxmlformats.org/officeDocument/2006/relationships/hyperlink" Target="https://techcombank.com/thong-tin/blog/chinh-sach-thue-moi" TargetMode="External"/><Relationship Id="rId83" Type="http://schemas.openxmlformats.org/officeDocument/2006/relationships/hyperlink" Target="https://techcombank.com/thong-tin/blog/cach-tinh-thue-ho-kinh-doanh-nho-le" TargetMode="External"/><Relationship Id="rId86" Type="http://schemas.openxmlformats.org/officeDocument/2006/relationships/hyperlink" Target="https://techcombank.com/thong-tin/blog/chuyen-tien-tu-nhat-ve-viet-nam" TargetMode="External"/><Relationship Id="rId85" Type="http://schemas.openxmlformats.org/officeDocument/2006/relationships/hyperlink" Target="https://techcombank.com/thong-tin/blog/chon-kenh-dau-tu-an-toan-trong-boi-canh-thi-truong-bien-dong" TargetMode="External"/><Relationship Id="rId88" Type="http://schemas.openxmlformats.org/officeDocument/2006/relationships/hyperlink" Target="https://techcombank.com/thong-tin/blog/co-nen-gui-tiet-kiem-online" TargetMode="External"/><Relationship Id="rId87" Type="http://schemas.openxmlformats.org/officeDocument/2006/relationships/hyperlink" Target="https://techcombank.com/thong-tin/blog/co-nen-dung-the-tin-dung-khong" TargetMode="External"/><Relationship Id="rId89" Type="http://schemas.openxmlformats.org/officeDocument/2006/relationships/hyperlink" Target="https://techcombank.com/thong-tin/blog/dau-tu-trai-phieu-doanh-nghiep-dung-ham-lai-suat-cao" TargetMode="External"/><Relationship Id="rId709" Type="http://schemas.openxmlformats.org/officeDocument/2006/relationships/hyperlink" Target="https://techcombank.com/thong-tin/blog/the-he-tre-day-manh-xu-huong-thanh-toan-khong-dung-tien-mat" TargetMode="External"/><Relationship Id="rId708" Type="http://schemas.openxmlformats.org/officeDocument/2006/relationships/hyperlink" Target="https://techcombank.com/thong-tin/blog/thanh-toan-tien-nuoc-online" TargetMode="External"/><Relationship Id="rId707" Type="http://schemas.openxmlformats.org/officeDocument/2006/relationships/hyperlink" Target="https://techcombank.com/thong-tin/blog/thanh-toan-tien-internet-online" TargetMode="External"/><Relationship Id="rId706" Type="http://schemas.openxmlformats.org/officeDocument/2006/relationships/hyperlink" Target="https://techcombank.com/thong-tin/blog/thanh-toan-quoc-te" TargetMode="External"/><Relationship Id="rId80" Type="http://schemas.openxmlformats.org/officeDocument/2006/relationships/hyperlink" Target="https://techcombank.com/thong-tin/blog/cach-tiet-kiem-tien-sinh-loi" TargetMode="External"/><Relationship Id="rId82" Type="http://schemas.openxmlformats.org/officeDocument/2006/relationships/hyperlink" Target="https://techcombank.com/thong-tin/blog/cach-tinh-lai-vay-ngan-hang" TargetMode="External"/><Relationship Id="rId81" Type="http://schemas.openxmlformats.org/officeDocument/2006/relationships/hyperlink" Target="https://techcombank.com/thong-tin/blog/cach-tinh-lai-suat-tien-gui-tiet-kiem" TargetMode="External"/><Relationship Id="rId701" Type="http://schemas.openxmlformats.org/officeDocument/2006/relationships/hyperlink" Target="https://techcombank.com/thong-tin/blog/techcombank-sinh-loi-tu-dong" TargetMode="External"/><Relationship Id="rId700" Type="http://schemas.openxmlformats.org/officeDocument/2006/relationships/hyperlink" Target="https://techcombank.com/thong-tin/blog/techcom-securities-nhung-buoc-tien-phong-tren-san-thu-cap" TargetMode="External"/><Relationship Id="rId705" Type="http://schemas.openxmlformats.org/officeDocument/2006/relationships/hyperlink" Target="https://techcombank.com/thong-tin/blog/thanh-toan-phi-quan-ly-chung-cu" TargetMode="External"/><Relationship Id="rId704" Type="http://schemas.openxmlformats.org/officeDocument/2006/relationships/hyperlink" Target="https://techcombank.com/thong-tin/blog/thanh-toan-khong-tien-mat-trong-nganh-giao-duc-co-hoi-va-thach-thuc" TargetMode="External"/><Relationship Id="rId703" Type="http://schemas.openxmlformats.org/officeDocument/2006/relationships/hyperlink" Target="https://techcombank.com/thong-tin/blog/thanh-toan-khong-dung-tien-mat-tro-thanh-xu-huong-tang-truong-chong-mat" TargetMode="External"/><Relationship Id="rId702" Type="http://schemas.openxmlformats.org/officeDocument/2006/relationships/hyperlink" Target="https://techcombank.com/thong-tin/blog/ten-dang-nhap-tai-khoan-ngan-hang-la-gi" TargetMode="External"/><Relationship Id="rId73" Type="http://schemas.openxmlformats.org/officeDocument/2006/relationships/hyperlink" Target="https://techcombank.com/thong-tin/blog/uu-dai-the-tin-dung" TargetMode="External"/><Relationship Id="rId72" Type="http://schemas.openxmlformats.org/officeDocument/2006/relationships/hyperlink" Target="https://techcombank.com/thong-tin/blog/tra-cuu-no-thue-ho-kinh-doanh" TargetMode="External"/><Relationship Id="rId75" Type="http://schemas.openxmlformats.org/officeDocument/2006/relationships/hyperlink" Target="https://techcombank.com/thong-tin/blog/vay-ngan-hang-1-ty-moi-thang-tra-bao-nhieu" TargetMode="External"/><Relationship Id="rId74" Type="http://schemas.openxmlformats.org/officeDocument/2006/relationships/hyperlink" Target="https://techcombank.com/thong-tin/blog/uu-dai-the-tin-dung-techcombank-signature" TargetMode="External"/><Relationship Id="rId77" Type="http://schemas.openxmlformats.org/officeDocument/2006/relationships/hyperlink" Target="https://techcombank.com/thong-tin/blog/vay-tin-chap-la-gi" TargetMode="External"/><Relationship Id="rId76" Type="http://schemas.openxmlformats.org/officeDocument/2006/relationships/hyperlink" Target="https://techcombank.com/thong-tin/blog/vay-the-chap-khong-tra-duoc" TargetMode="External"/><Relationship Id="rId79" Type="http://schemas.openxmlformats.org/officeDocument/2006/relationships/hyperlink" Target="https://techcombank.com/thong-tin/blog/cach-su-dung-the-visa-techcombank" TargetMode="External"/><Relationship Id="rId78" Type="http://schemas.openxmlformats.org/officeDocument/2006/relationships/hyperlink" Target="https://techcombank.com/thong-tin/blog/1000-yen-bang-bao-nhieu-tien-viet" TargetMode="External"/><Relationship Id="rId71" Type="http://schemas.openxmlformats.org/officeDocument/2006/relationships/hyperlink" Target="https://techcombank.com/thong-tin/blog/tra-cuu-no-thue-ca-nhan" TargetMode="External"/><Relationship Id="rId70" Type="http://schemas.openxmlformats.org/officeDocument/2006/relationships/hyperlink" Target="https://techcombank.com/thong-tin/blog/tien-chuyen-vao-tai-khoan-co-bi-tinh-thue-khong" TargetMode="External"/><Relationship Id="rId62" Type="http://schemas.openxmlformats.org/officeDocument/2006/relationships/hyperlink" Target="https://techcombank.com/thong-tin/blog/phi-rut-tien-mat-the-tin-dung" TargetMode="External"/><Relationship Id="rId61" Type="http://schemas.openxmlformats.org/officeDocument/2006/relationships/hyperlink" Target="https://techcombank.com/thong-tin/blog/no-xau-co-lam-the-visa-duoc-khong" TargetMode="External"/><Relationship Id="rId64" Type="http://schemas.openxmlformats.org/officeDocument/2006/relationships/hyperlink" Target="https://techcombank.com/thong-tin/blog/tai-khoan-doanh-nghiep-co-the-khong" TargetMode="External"/><Relationship Id="rId63" Type="http://schemas.openxmlformats.org/officeDocument/2006/relationships/hyperlink" Target="https://techcombank.com/thong-tin/blog/rui-ro-khi-gui-tiet-kiem-ngan-hang" TargetMode="External"/><Relationship Id="rId66" Type="http://schemas.openxmlformats.org/officeDocument/2006/relationships/hyperlink" Target="https://techcombank.com/thong-tin/blog/the-ghi-no-visa-la-gi" TargetMode="External"/><Relationship Id="rId65" Type="http://schemas.openxmlformats.org/officeDocument/2006/relationships/hyperlink" Target="https://techcombank.com/thong-tin/blog/thanh-toan-tien-dien-bang-the-tin-dung" TargetMode="External"/><Relationship Id="rId68" Type="http://schemas.openxmlformats.org/officeDocument/2006/relationships/hyperlink" Target="https://techcombank.com/thong-tin/blog/the-tin-dung-phu-la-gi" TargetMode="External"/><Relationship Id="rId67" Type="http://schemas.openxmlformats.org/officeDocument/2006/relationships/hyperlink" Target="https://techcombank.com/thong-tin/blog/the-tin-dung-la-gi" TargetMode="External"/><Relationship Id="rId729" Type="http://schemas.openxmlformats.org/officeDocument/2006/relationships/hyperlink" Target="https://techcombank.com/thong-tin/blog/vang-my-ky" TargetMode="External"/><Relationship Id="rId728" Type="http://schemas.openxmlformats.org/officeDocument/2006/relationships/hyperlink" Target="https://techcombank.com/thong-tin/blog/vang-giam" TargetMode="External"/><Relationship Id="rId60" Type="http://schemas.openxmlformats.org/officeDocument/2006/relationships/hyperlink" Target="https://techcombank.com/thong-tin/blog/nhung-ho-kinh-doanh-duoc-mien-thue" TargetMode="External"/><Relationship Id="rId723" Type="http://schemas.openxmlformats.org/officeDocument/2006/relationships/hyperlink" Target="https://techcombank.com/thong-tin/blog/tra-cuu-hoa-don-nuoc" TargetMode="External"/><Relationship Id="rId722" Type="http://schemas.openxmlformats.org/officeDocument/2006/relationships/hyperlink" Target="https://techcombank.com/thong-tin/blog/tous-les-jours" TargetMode="External"/><Relationship Id="rId721" Type="http://schemas.openxmlformats.org/officeDocument/2006/relationships/hyperlink" Target="https://techcombank.com/thong-tin/blog/tin-dung-la-gi" TargetMode="External"/><Relationship Id="rId720" Type="http://schemas.openxmlformats.org/officeDocument/2006/relationships/hyperlink" Target="https://techcombank.com/thong-tin/blog/tieu-dung-xanh" TargetMode="External"/><Relationship Id="rId727" Type="http://schemas.openxmlformats.org/officeDocument/2006/relationships/hyperlink" Target="https://techcombank.com/thong-tin/blog/vang-24k" TargetMode="External"/><Relationship Id="rId726" Type="http://schemas.openxmlformats.org/officeDocument/2006/relationships/hyperlink" Target="https://techcombank.com/thong-tin/blog/uu-diem-cua-blockchain" TargetMode="External"/><Relationship Id="rId725" Type="http://schemas.openxmlformats.org/officeDocument/2006/relationships/hyperlink" Target="https://techcombank.com/thong-tin/blog/ty-le-thanh-toan-khong-dung-tien-mat-trong-linh-vuc-y-te-con-han-che" TargetMode="External"/><Relationship Id="rId724" Type="http://schemas.openxmlformats.org/officeDocument/2006/relationships/hyperlink" Target="https://techcombank.com/thong-tin/blog/ty-gia-hoi-doai-la-gi" TargetMode="External"/><Relationship Id="rId69" Type="http://schemas.openxmlformats.org/officeDocument/2006/relationships/hyperlink" Target="https://techcombank.com/thong-tin/blog/thoi-gian-hoan-tien-the-tin-dung" TargetMode="External"/><Relationship Id="rId51" Type="http://schemas.openxmlformats.org/officeDocument/2006/relationships/hyperlink" Target="https://techcombank.com/thong-tin/blog/kiem-tra-no-xau" TargetMode="External"/><Relationship Id="rId50" Type="http://schemas.openxmlformats.org/officeDocument/2006/relationships/hyperlink" Target="https://techcombank.com/thong-tin/blog/ho-kinh-doanh-dong-thue-nhu-nao" TargetMode="External"/><Relationship Id="rId53" Type="http://schemas.openxmlformats.org/officeDocument/2006/relationships/hyperlink" Target="https://techcombank.com/thong-tin/blog/lai-suat-vay-mua-o-to" TargetMode="External"/><Relationship Id="rId52" Type="http://schemas.openxmlformats.org/officeDocument/2006/relationships/hyperlink" Target="https://techcombank.com/thong-tin/blog/kiem-tra-thue-ho-kinh-doanh" TargetMode="External"/><Relationship Id="rId55" Type="http://schemas.openxmlformats.org/officeDocument/2006/relationships/hyperlink" Target="https://techcombank.com/thong-tin/blog/lai-suat-vay-tieu-dung" TargetMode="External"/><Relationship Id="rId54" Type="http://schemas.openxmlformats.org/officeDocument/2006/relationships/hyperlink" Target="https://techcombank.com/thong-tin/blog/lai-suat-vay-ngan-hang" TargetMode="External"/><Relationship Id="rId57" Type="http://schemas.openxmlformats.org/officeDocument/2006/relationships/hyperlink" Target="https://techcombank.com/thong-tin/blog/mm-yy-la-gi" TargetMode="External"/><Relationship Id="rId56" Type="http://schemas.openxmlformats.org/officeDocument/2006/relationships/hyperlink" Target="https://techcombank.com/thong-tin/blog/lien-ket-tai-khoan-ngan-hang-voi-etax-mobile" TargetMode="External"/><Relationship Id="rId719" Type="http://schemas.openxmlformats.org/officeDocument/2006/relationships/hyperlink" Target="https://techcombank.com/thong-tin/blog/tiet-kiem-tien-moi-ngay" TargetMode="External"/><Relationship Id="rId718" Type="http://schemas.openxmlformats.org/officeDocument/2006/relationships/hyperlink" Target="https://techcombank.com/thong-tin/blog/tien-malaysia" TargetMode="External"/><Relationship Id="rId717" Type="http://schemas.openxmlformats.org/officeDocument/2006/relationships/hyperlink" Target="https://techcombank.com/thong-tin/blog/thue-vat-la-gi" TargetMode="External"/><Relationship Id="rId712" Type="http://schemas.openxmlformats.org/officeDocument/2006/relationships/hyperlink" Target="https://techcombank.com/thong-tin/blog/thi-truong-trai-phieu-co-hoi-dau-tu-trai-phieu-vang-du-lai-suat-thap" TargetMode="External"/><Relationship Id="rId711" Type="http://schemas.openxmlformats.org/officeDocument/2006/relationships/hyperlink" Target="https://techcombank.com/thong-tin/blog/the-visa-co-thanh-toan-quoc-te-duoc-khong" TargetMode="External"/><Relationship Id="rId710" Type="http://schemas.openxmlformats.org/officeDocument/2006/relationships/hyperlink" Target="https://techcombank.com/thong-tin/blog/the-napas-la-gi" TargetMode="External"/><Relationship Id="rId716" Type="http://schemas.openxmlformats.org/officeDocument/2006/relationships/hyperlink" Target="https://techcombank.com/thong-tin/blog/thuc-day-thi-truong-the-noi-dia-va-xu-huong-thanh-toan-tuong-lai" TargetMode="External"/><Relationship Id="rId715" Type="http://schemas.openxmlformats.org/officeDocument/2006/relationships/hyperlink" Target="https://techcombank.com/thong-tin/blog/thu-tuc-thanh-lap-doanh-nghiep" TargetMode="External"/><Relationship Id="rId714" Type="http://schemas.openxmlformats.org/officeDocument/2006/relationships/hyperlink" Target="https://techcombank.com/thong-tin/blog/thoi-han-vay-thau-chi" TargetMode="External"/><Relationship Id="rId713" Type="http://schemas.openxmlformats.org/officeDocument/2006/relationships/hyperlink" Target="https://techcombank.com/thong-tin/blog/thoi-gian-khop-lech-chung-chi-quy" TargetMode="External"/><Relationship Id="rId59" Type="http://schemas.openxmlformats.org/officeDocument/2006/relationships/hyperlink" Target="https://techcombank.com/thong-tin/blog/mo-the-tin-dung-han-muc-cao" TargetMode="External"/><Relationship Id="rId58" Type="http://schemas.openxmlformats.org/officeDocument/2006/relationships/hyperlink" Target="https://techcombank.com/thong-tin/blog/mo-the-tin-dung-chi-can-cccd" TargetMode="External"/><Relationship Id="rId349" Type="http://schemas.openxmlformats.org/officeDocument/2006/relationships/hyperlink" Target="https://techcombank.com/thong-tin/blog/phan-mem-lap-ke-hoach-tai-chinh-ca-nhan" TargetMode="External"/><Relationship Id="rId348" Type="http://schemas.openxmlformats.org/officeDocument/2006/relationships/hyperlink" Target="https://techcombank.com/thong-tin/blog/nop-tien-mat-vao-tai-khoan-cong-ty" TargetMode="External"/><Relationship Id="rId347" Type="http://schemas.openxmlformats.org/officeDocument/2006/relationships/hyperlink" Target="https://techcombank.com/thong-tin/blog/nop-thue-hai-quan" TargetMode="External"/><Relationship Id="rId346" Type="http://schemas.openxmlformats.org/officeDocument/2006/relationships/hyperlink" Target="https://techcombank.com/thong-tin/blog/nop-thue-dat-qua-ngan-hang" TargetMode="External"/><Relationship Id="rId341" Type="http://schemas.openxmlformats.org/officeDocument/2006/relationships/hyperlink" Target="https://techcombank.com/thong-tin/blog/nap-tien-dien-thoai-online" TargetMode="External"/><Relationship Id="rId340" Type="http://schemas.openxmlformats.org/officeDocument/2006/relationships/hyperlink" Target="https://techcombank.com/thong-tin/blog/mua-chung-chi-quy" TargetMode="External"/><Relationship Id="rId345" Type="http://schemas.openxmlformats.org/officeDocument/2006/relationships/hyperlink" Target="https://techcombank.com/thong-tin/blog/nhung-chi-phi-khong-duoc-tru-khi-tinh-thue-tndn" TargetMode="External"/><Relationship Id="rId344" Type="http://schemas.openxmlformats.org/officeDocument/2006/relationships/hyperlink" Target="https://techcombank.com/thong-tin/blog/nha-dau-tu-giao-dich-trai-phieu-truc-tuyen-tang-manh-tro-lai" TargetMode="External"/><Relationship Id="rId343" Type="http://schemas.openxmlformats.org/officeDocument/2006/relationships/hyperlink" Target="https://techcombank.com/thong-tin/blog/ngan-hang-so" TargetMode="External"/><Relationship Id="rId342" Type="http://schemas.openxmlformats.org/officeDocument/2006/relationships/hyperlink" Target="https://techcombank.com/thong-tin/blog/nen-thanh-lap-ho-kinh-doanh-ke-khai-hay-doanh-nghiep" TargetMode="External"/><Relationship Id="rId338" Type="http://schemas.openxmlformats.org/officeDocument/2006/relationships/hyperlink" Target="https://techcombank.com/thong-tin/blog/mo-tai-khoan-ngan-hang-bang-so-dien-thoai" TargetMode="External"/><Relationship Id="rId337" Type="http://schemas.openxmlformats.org/officeDocument/2006/relationships/hyperlink" Target="https://techcombank.com/thong-tin/blog/mo-tai-khoan-doanh-nghiep" TargetMode="External"/><Relationship Id="rId336" Type="http://schemas.openxmlformats.org/officeDocument/2006/relationships/hyperlink" Target="https://techcombank.com/thong-tin/blog/mo-so-tiet-kiem-can-bao-nhieu-tien" TargetMode="External"/><Relationship Id="rId335" Type="http://schemas.openxmlformats.org/officeDocument/2006/relationships/hyperlink" Target="https://techcombank.com/thong-tin/blog/mat-so-dien-thoai-dang-ky-tai-khoan-ngan-hang" TargetMode="External"/><Relationship Id="rId339" Type="http://schemas.openxmlformats.org/officeDocument/2006/relationships/hyperlink" Target="https://techcombank.com/thong-tin/blog/mo-tai-khoan-ngan-hang-cho-tre-em" TargetMode="External"/><Relationship Id="rId330" Type="http://schemas.openxmlformats.org/officeDocument/2006/relationships/hyperlink" Target="https://techcombank.com/thong-tin/blog/lo-ma-qr-ngan-hang-co-sao-khong" TargetMode="External"/><Relationship Id="rId334" Type="http://schemas.openxmlformats.org/officeDocument/2006/relationships/hyperlink" Target="https://techcombank.com/thong-tin/blog/ma-qr-ngan-hang-khong-hop-le" TargetMode="External"/><Relationship Id="rId333" Type="http://schemas.openxmlformats.org/officeDocument/2006/relationships/hyperlink" Target="https://techcombank.com/thong-tin/blog/luat-thuong-mai-dien-tu" TargetMode="External"/><Relationship Id="rId332" Type="http://schemas.openxmlformats.org/officeDocument/2006/relationships/hyperlink" Target="https://techcombank.com/thong-tin/blog/loi-nhuan-rong" TargetMode="External"/><Relationship Id="rId331" Type="http://schemas.openxmlformats.org/officeDocument/2006/relationships/hyperlink" Target="https://techcombank.com/thong-tin/blog/loi-ich-khi-ho-kinh-doanh-chuyen-len-doanh-nghiep" TargetMode="External"/><Relationship Id="rId370" Type="http://schemas.openxmlformats.org/officeDocument/2006/relationships/hyperlink" Target="https://techcombank.com/thong-tin/blog/thi-truong-trai-phieu-am-tro-lai-nha-dau-tu-san-sang-cho-nhung-co-hoi-sinh-loi-moi" TargetMode="External"/><Relationship Id="rId369" Type="http://schemas.openxmlformats.org/officeDocument/2006/relationships/hyperlink" Target="https://techcombank.com/thong-tin/blog/the-visa-co-rut-tien-duoc-khong" TargetMode="External"/><Relationship Id="rId368" Type="http://schemas.openxmlformats.org/officeDocument/2006/relationships/hyperlink" Target="https://techcombank.com/thong-tin/blog/the-ghi-no-co-rut-tien-duoc-khong" TargetMode="External"/><Relationship Id="rId363" Type="http://schemas.openxmlformats.org/officeDocument/2006/relationships/hyperlink" Target="https://techcombank.com/thong-tin/blog/thanh-toan-khi-du-lich-singapore" TargetMode="External"/><Relationship Id="rId362" Type="http://schemas.openxmlformats.org/officeDocument/2006/relationships/hyperlink" Target="https://techcombank.com/thong-tin/blog/thanh-toan-khi-du-lich-hong-kong" TargetMode="External"/><Relationship Id="rId361" Type="http://schemas.openxmlformats.org/officeDocument/2006/relationships/hyperlink" Target="https://techcombank.com/thong-tin/blog/thanh-toan-hoa-don-tieu-dung" TargetMode="External"/><Relationship Id="rId360" Type="http://schemas.openxmlformats.org/officeDocument/2006/relationships/hyperlink" Target="https://techcombank.com/thong-tin/blog/thanh-lap-ho-kinh-doanh-ca-the" TargetMode="External"/><Relationship Id="rId367" Type="http://schemas.openxmlformats.org/officeDocument/2006/relationships/hyperlink" Target="https://techcombank.com/thong-tin/blog/the-ghi-no-co-chuyen-khoan-duoc-khong" TargetMode="External"/><Relationship Id="rId366" Type="http://schemas.openxmlformats.org/officeDocument/2006/relationships/hyperlink" Target="https://techcombank.com/thong-tin/blog/the-chap-la-gi" TargetMode="External"/><Relationship Id="rId365" Type="http://schemas.openxmlformats.org/officeDocument/2006/relationships/hyperlink" Target="https://techcombank.com/thong-tin/blog/thay-doi-dia-chi-ho-kinh-doanh" TargetMode="External"/><Relationship Id="rId364" Type="http://schemas.openxmlformats.org/officeDocument/2006/relationships/hyperlink" Target="https://techcombank.com/thong-tin/blog/thanh-toan-tra-sau-viettel-bang-tai-khoan-ngan-hang" TargetMode="External"/><Relationship Id="rId95" Type="http://schemas.openxmlformats.org/officeDocument/2006/relationships/hyperlink" Target="https://techcombank.com/thong-tin/blog/gui-tiet-kiem-lay-lai-hang-thang" TargetMode="External"/><Relationship Id="rId94" Type="http://schemas.openxmlformats.org/officeDocument/2006/relationships/hyperlink" Target="https://techcombank.com/thong-tin/blog/gui-tiet-kiem-hang-thang" TargetMode="External"/><Relationship Id="rId97" Type="http://schemas.openxmlformats.org/officeDocument/2006/relationships/hyperlink" Target="https://techcombank.com/thong-tin/blog/gui-tiet-kiem-online-bi-mat-tien" TargetMode="External"/><Relationship Id="rId96" Type="http://schemas.openxmlformats.org/officeDocument/2006/relationships/hyperlink" Target="https://techcombank.com/thong-tin/blog/gui-tiet-kiem-ngan-hang-van-la-lua-chon-an-toan-trong-thoi-ky-kinh-te-con-nhieu-bien-dong" TargetMode="External"/><Relationship Id="rId99" Type="http://schemas.openxmlformats.org/officeDocument/2006/relationships/hyperlink" Target="https://techcombank.com/thong-tin/blog/gui-tiet-kiem-vang" TargetMode="External"/><Relationship Id="rId98" Type="http://schemas.openxmlformats.org/officeDocument/2006/relationships/hyperlink" Target="https://techcombank.com/thong-tin/blog/gui-tiet-kiem-online-quay-vong-ca-goc-va-lai" TargetMode="External"/><Relationship Id="rId91" Type="http://schemas.openxmlformats.org/officeDocument/2006/relationships/hyperlink" Target="https://techcombank.com/thong-tin/blog/dieu-kien-vay-von-ngan-hang" TargetMode="External"/><Relationship Id="rId90" Type="http://schemas.openxmlformats.org/officeDocument/2006/relationships/hyperlink" Target="https://techcombank.com/thong-tin/blog/dieu-kien-vay-the-chap" TargetMode="External"/><Relationship Id="rId93" Type="http://schemas.openxmlformats.org/officeDocument/2006/relationships/hyperlink" Target="https://techcombank.com/thong-tin/blog/gui-tien-ngan-hang-co-an-toan-khong" TargetMode="External"/><Relationship Id="rId92" Type="http://schemas.openxmlformats.org/officeDocument/2006/relationships/hyperlink" Target="https://techcombank.com/thong-tin/blog/du-no-tin-dung-la-gi" TargetMode="External"/><Relationship Id="rId359" Type="http://schemas.openxmlformats.org/officeDocument/2006/relationships/hyperlink" Target="https://techcombank.com/thong-tin/blog/tat-toan-so-tiet-kiem" TargetMode="External"/><Relationship Id="rId358" Type="http://schemas.openxmlformats.org/officeDocument/2006/relationships/hyperlink" Target="https://techcombank.com/thong-tin/blog/tap-doan-thanh-quang-khoi-sac-kinh-doanh-nho-nguon-von-vay-tin-dung-techcombank-tren-nen-tang-misa-lending" TargetMode="External"/><Relationship Id="rId357" Type="http://schemas.openxmlformats.org/officeDocument/2006/relationships/hyperlink" Target="https://techcombank.com/thong-tin/blog/spaylater" TargetMode="External"/><Relationship Id="rId352" Type="http://schemas.openxmlformats.org/officeDocument/2006/relationships/hyperlink" Target="https://techcombank.com/thong-tin/blog/rut-tien-bang-ma-qr-la-gi-cach-thuc-hien-nhu-the-nao" TargetMode="External"/><Relationship Id="rId351" Type="http://schemas.openxmlformats.org/officeDocument/2006/relationships/hyperlink" Target="https://techcombank.com/thong-tin/blog/quan-ly-tai-chinh-doanh-nghiep-la-gi" TargetMode="External"/><Relationship Id="rId350" Type="http://schemas.openxmlformats.org/officeDocument/2006/relationships/hyperlink" Target="https://techcombank.com/thong-tin/blog/phi-vay-the-chap" TargetMode="External"/><Relationship Id="rId356" Type="http://schemas.openxmlformats.org/officeDocument/2006/relationships/hyperlink" Target="https://techcombank.com/thong-tin/blog/softpos" TargetMode="External"/><Relationship Id="rId355" Type="http://schemas.openxmlformats.org/officeDocument/2006/relationships/hyperlink" Target="https://techcombank.com/thong-tin/blog/so-du-tien-gui-la-gi" TargetMode="External"/><Relationship Id="rId354" Type="http://schemas.openxmlformats.org/officeDocument/2006/relationships/hyperlink" Target="https://techcombank.com/thong-tin/blog/sao-ke-tai-khoan-doanh-nghiep" TargetMode="External"/><Relationship Id="rId353" Type="http://schemas.openxmlformats.org/officeDocument/2006/relationships/hyperlink" Target="https://techcombank.com/thong-tin/blog/rut-tien-mat-tu-tai-khoan-doanh-nghiep" TargetMode="External"/><Relationship Id="rId305" Type="http://schemas.openxmlformats.org/officeDocument/2006/relationships/hyperlink" Target="https://techcombank.com/thong-tin/blog/co-nen-gui-chung-chi-tien-gui" TargetMode="External"/><Relationship Id="rId304" Type="http://schemas.openxmlformats.org/officeDocument/2006/relationships/hyperlink" Target="https://techcombank.com/thong-tin/blog/chuyen-tien-tu-duc-ve-viet-nam" TargetMode="External"/><Relationship Id="rId303" Type="http://schemas.openxmlformats.org/officeDocument/2006/relationships/hyperlink" Target="https://techcombank.com/thong-tin/blog/chuyen-doi-ho-kinh-doanh-len-doanh-nghiep" TargetMode="External"/><Relationship Id="rId302" Type="http://schemas.openxmlformats.org/officeDocument/2006/relationships/hyperlink" Target="https://techcombank.com/thong-tin/blog/chung-chi-tien-gui-co-an-toan-khong" TargetMode="External"/><Relationship Id="rId309" Type="http://schemas.openxmlformats.org/officeDocument/2006/relationships/hyperlink" Target="https://techcombank.com/thong-tin/blog/dang-ky-thue-ho-kinh-doanh-ca-the-online" TargetMode="External"/><Relationship Id="rId308" Type="http://schemas.openxmlformats.org/officeDocument/2006/relationships/hyperlink" Target="https://techcombank.com/thong-tin/blog/dang-ky-kinh-doanh-la-gi" TargetMode="External"/><Relationship Id="rId307" Type="http://schemas.openxmlformats.org/officeDocument/2006/relationships/hyperlink" Target="https://techcombank.com/thong-tin/blog/cong-thuc-tinh-lai-suat-thuc" TargetMode="External"/><Relationship Id="rId306" Type="http://schemas.openxmlformats.org/officeDocument/2006/relationships/hyperlink" Target="https://techcombank.com/thong-tin/blog/co-nen-mua-so-tai-khoan-ngan-hang-dep" TargetMode="External"/><Relationship Id="rId301" Type="http://schemas.openxmlformats.org/officeDocument/2006/relationships/hyperlink" Target="https://techcombank.com/thong-tin/blog/chung-chi-quy-va-chung-khoan" TargetMode="External"/><Relationship Id="rId300" Type="http://schemas.openxmlformats.org/officeDocument/2006/relationships/hyperlink" Target="https://techcombank.com/thong-tin/blog/chinh-sach-tang-luong-huu" TargetMode="External"/><Relationship Id="rId327" Type="http://schemas.openxmlformats.org/officeDocument/2006/relationships/hyperlink" Target="https://techcombank.com/thong-tin/blog/lam-the-thanh-toan-quoc-te" TargetMode="External"/><Relationship Id="rId326" Type="http://schemas.openxmlformats.org/officeDocument/2006/relationships/hyperlink" Target="https://techcombank.com/thong-tin/blog/lai-suat-tha-noi" TargetMode="External"/><Relationship Id="rId325" Type="http://schemas.openxmlformats.org/officeDocument/2006/relationships/hyperlink" Target="https://techcombank.com/thong-tin/blog/lai-suat-chung-chi-quy" TargetMode="External"/><Relationship Id="rId324" Type="http://schemas.openxmlformats.org/officeDocument/2006/relationships/hyperlink" Target="https://techcombank.com/thong-tin/blog/kinh-nghiem-vay-the-chap-ngan-hang" TargetMode="External"/><Relationship Id="rId329" Type="http://schemas.openxmlformats.org/officeDocument/2006/relationships/hyperlink" Target="https://techcombank.com/thong-tin/blog/lich-su-tin-dung" TargetMode="External"/><Relationship Id="rId328" Type="http://schemas.openxmlformats.org/officeDocument/2006/relationships/hyperlink" Target="https://techcombank.com/thong-tin/blog/lam-the-visa-o-dau" TargetMode="External"/><Relationship Id="rId323" Type="http://schemas.openxmlformats.org/officeDocument/2006/relationships/hyperlink" Target="https://techcombank.com/thong-tin/blog/kinh-nghiem-mua-vang-tich-tru" TargetMode="External"/><Relationship Id="rId322" Type="http://schemas.openxmlformats.org/officeDocument/2006/relationships/hyperlink" Target="https://techcombank.com/thong-tin/blog/kinh-nghiem-chuyen-doi-tu-ho-kinh-doanh-len-doanh-nghiep" TargetMode="External"/><Relationship Id="rId321" Type="http://schemas.openxmlformats.org/officeDocument/2006/relationships/hyperlink" Target="https://techcombank.com/thong-tin/blog/ho-kinh-doanh-la-gi" TargetMode="External"/><Relationship Id="rId320" Type="http://schemas.openxmlformats.org/officeDocument/2006/relationships/hyperlink" Target="https://techcombank.com/thong-tin/blog/ho-kinh-doanh-ca-the" TargetMode="External"/><Relationship Id="rId316" Type="http://schemas.openxmlformats.org/officeDocument/2006/relationships/hyperlink" Target="https://techcombank.com/thong-tin/blog/giay-phep-kinh-doanh" TargetMode="External"/><Relationship Id="rId315" Type="http://schemas.openxmlformats.org/officeDocument/2006/relationships/hyperlink" Target="https://techcombank.com/thong-tin/blog/giai-ngan-vay-the-chap" TargetMode="External"/><Relationship Id="rId314" Type="http://schemas.openxmlformats.org/officeDocument/2006/relationships/hyperlink" Target="https://techcombank.com/thong-tin/blog/due-diligence" TargetMode="External"/><Relationship Id="rId313" Type="http://schemas.openxmlformats.org/officeDocument/2006/relationships/hyperlink" Target="https://techcombank.com/thong-tin/blog/dong-ma-so-thue-ho-kinh-doanh" TargetMode="External"/><Relationship Id="rId319" Type="http://schemas.openxmlformats.org/officeDocument/2006/relationships/hyperlink" Target="https://techcombank.com/thong-tin/blog/hieu-hiet-ve-tuan-thu-thue-cho-cac-doanh-nghiep-khoi-nghiep" TargetMode="External"/><Relationship Id="rId318" Type="http://schemas.openxmlformats.org/officeDocument/2006/relationships/hyperlink" Target="https://techcombank.com/thong-tin/blog/han-muc-thau-chi-la-gi" TargetMode="External"/><Relationship Id="rId317" Type="http://schemas.openxmlformats.org/officeDocument/2006/relationships/hyperlink" Target="https://techcombank.com/thong-tin/blog/gui-tien-sang-nuoc-ngoai" TargetMode="External"/><Relationship Id="rId312" Type="http://schemas.openxmlformats.org/officeDocument/2006/relationships/hyperlink" Target="https://techcombank.com/thong-tin/blog/dieu-kien-mua-usd-tu-ngan-hang" TargetMode="External"/><Relationship Id="rId311" Type="http://schemas.openxmlformats.org/officeDocument/2006/relationships/hyperlink" Target="https://techcombank.com/thong-tin/blog/diem-tin-dung" TargetMode="External"/><Relationship Id="rId310" Type="http://schemas.openxmlformats.org/officeDocument/2006/relationships/hyperlink" Target="https://techcombank.com/thong-tin/blog/dau-chan-carbon" TargetMode="External"/><Relationship Id="rId297" Type="http://schemas.openxmlformats.org/officeDocument/2006/relationships/hyperlink" Target="https://techcombank.com/thong-tin/blog/cach-tra-cuu-hoa-don-dien-tu" TargetMode="External"/><Relationship Id="rId296" Type="http://schemas.openxmlformats.org/officeDocument/2006/relationships/hyperlink" Target="https://techcombank.com/thong-tin/blog/cach-tinh-ty-gia-ky-han" TargetMode="External"/><Relationship Id="rId295" Type="http://schemas.openxmlformats.org/officeDocument/2006/relationships/hyperlink" Target="https://techcombank.com/thong-tin/blog/cach-tao-ma-qr-code-mien-phi" TargetMode="External"/><Relationship Id="rId294" Type="http://schemas.openxmlformats.org/officeDocument/2006/relationships/hyperlink" Target="https://techcombank.com/thong-tin/blog/cach-su-dung-the-ghi-no" TargetMode="External"/><Relationship Id="rId299" Type="http://schemas.openxmlformats.org/officeDocument/2006/relationships/hyperlink" Target="https://techcombank.com/thong-tin/blog/chi-tra-luong-huu" TargetMode="External"/><Relationship Id="rId298" Type="http://schemas.openxmlformats.org/officeDocument/2006/relationships/hyperlink" Target="https://techcombank.com/thong-tin/blog/cay-atm-gan-day" TargetMode="External"/><Relationship Id="rId271" Type="http://schemas.openxmlformats.org/officeDocument/2006/relationships/hyperlink" Target="https://techcombank.com/thong-tin/blog/vay-mua-nha-tra-gop" TargetMode="External"/><Relationship Id="rId270" Type="http://schemas.openxmlformats.org/officeDocument/2006/relationships/hyperlink" Target="https://techcombank.com/thong-tin/blog/vay-han-muc-la-gi" TargetMode="External"/><Relationship Id="rId269" Type="http://schemas.openxmlformats.org/officeDocument/2006/relationships/hyperlink" Target="https://techcombank.com/thong-tin/blog/vay-30-trieu" TargetMode="External"/><Relationship Id="rId264" Type="http://schemas.openxmlformats.org/officeDocument/2006/relationships/hyperlink" Target="https://techcombank.com/thong-tin/blog/thue-thu-nhap-doanh-nghiep" TargetMode="External"/><Relationship Id="rId263" Type="http://schemas.openxmlformats.org/officeDocument/2006/relationships/hyperlink" Target="https://techcombank.com/thong-tin/blog/thue-thu-nhap-ca-nhan" TargetMode="External"/><Relationship Id="rId262" Type="http://schemas.openxmlformats.org/officeDocument/2006/relationships/hyperlink" Target="https://techcombank.com/thong-tin/blog/thu-tuc-mua-xe-tra-gop" TargetMode="External"/><Relationship Id="rId261" Type="http://schemas.openxmlformats.org/officeDocument/2006/relationships/hyperlink" Target="https://techcombank.com/thong-tin/blog/the-tin-dung-hoan-tien" TargetMode="External"/><Relationship Id="rId268" Type="http://schemas.openxmlformats.org/officeDocument/2006/relationships/hyperlink" Target="https://techcombank.com/thong-tin/blog/vay-100-trieu" TargetMode="External"/><Relationship Id="rId267" Type="http://schemas.openxmlformats.org/officeDocument/2006/relationships/hyperlink" Target="https://techcombank.com/thong-tin/blog/tra-no-vay-thau-chi-nhu-the-nao" TargetMode="External"/><Relationship Id="rId266" Type="http://schemas.openxmlformats.org/officeDocument/2006/relationships/hyperlink" Target="https://techcombank.com/thong-tin/blog/tra-luong-tien-mat" TargetMode="External"/><Relationship Id="rId265" Type="http://schemas.openxmlformats.org/officeDocument/2006/relationships/hyperlink" Target="https://techcombank.com/thong-tin/blog/tien-nhat" TargetMode="External"/><Relationship Id="rId260" Type="http://schemas.openxmlformats.org/officeDocument/2006/relationships/hyperlink" Target="https://techcombank.com/thong-tin/blog/the-atm-khong-rut-duoc-tien" TargetMode="External"/><Relationship Id="rId259" Type="http://schemas.openxmlformats.org/officeDocument/2006/relationships/hyperlink" Target="https://techcombank.com/thong-tin/blog/thanh-toan-khong-dung-tien-mat" TargetMode="External"/><Relationship Id="rId258" Type="http://schemas.openxmlformats.org/officeDocument/2006/relationships/hyperlink" Target="https://techcombank.com/thong-tin/blog/thanh-toan-khi-du-lich-nhat-ban" TargetMode="External"/><Relationship Id="rId253" Type="http://schemas.openxmlformats.org/officeDocument/2006/relationships/hyperlink" Target="https://techcombank.com/thong-tin/blog/ngoai-te-la-gi" TargetMode="External"/><Relationship Id="rId252" Type="http://schemas.openxmlformats.org/officeDocument/2006/relationships/hyperlink" Target="https://techcombank.com/thong-tin/blog/nen-vay-the-chap-ngan-hang-nao" TargetMode="External"/><Relationship Id="rId251" Type="http://schemas.openxmlformats.org/officeDocument/2006/relationships/hyperlink" Target="https://techcombank.com/thong-tin/blog/mua-nha-tra-gop-dua-truoc-100-trieu" TargetMode="External"/><Relationship Id="rId250" Type="http://schemas.openxmlformats.org/officeDocument/2006/relationships/hyperlink" Target="https://techcombank.com/thong-tin/blog/mo-tai-khoan-ho-kinh-doanh" TargetMode="External"/><Relationship Id="rId257" Type="http://schemas.openxmlformats.org/officeDocument/2006/relationships/hyperlink" Target="https://techcombank.com/thong-tin/blog/sao-ke-luong" TargetMode="External"/><Relationship Id="rId256" Type="http://schemas.openxmlformats.org/officeDocument/2006/relationships/hyperlink" Target="https://techcombank.com/thong-tin/blog/rut-tien-bang-ma-qr-khac-ngan-hang-duoc-khong" TargetMode="External"/><Relationship Id="rId255" Type="http://schemas.openxmlformats.org/officeDocument/2006/relationships/hyperlink" Target="https://techcombank.com/thong-tin/blog/quy-trinh-cho-vay-tieu-dung" TargetMode="External"/><Relationship Id="rId254" Type="http://schemas.openxmlformats.org/officeDocument/2006/relationships/hyperlink" Target="https://techcombank.com/thong-tin/blog/phat-cham-dang-ky-thue-ho-kinh-doanh" TargetMode="External"/><Relationship Id="rId293" Type="http://schemas.openxmlformats.org/officeDocument/2006/relationships/hyperlink" Target="https://techcombank.com/thong-tin/blog/cach-nop-thue-dien-tu" TargetMode="External"/><Relationship Id="rId292" Type="http://schemas.openxmlformats.org/officeDocument/2006/relationships/hyperlink" Target="https://techcombank.com/thong-tin/blog/cach-nap-tien-vao-the-ghi-no" TargetMode="External"/><Relationship Id="rId291" Type="http://schemas.openxmlformats.org/officeDocument/2006/relationships/hyperlink" Target="https://techcombank.com/thong-tin/blog/cach-kich-hoat-the-atm" TargetMode="External"/><Relationship Id="rId290" Type="http://schemas.openxmlformats.org/officeDocument/2006/relationships/hyperlink" Target="https://techcombank.com/thong-tin/blog/cach-khoa-the-ngan-hang" TargetMode="External"/><Relationship Id="rId286" Type="http://schemas.openxmlformats.org/officeDocument/2006/relationships/hyperlink" Target="https://techcombank.com/thong-tin/blog/bi-nuot-the-atm-phai-lam-sao" TargetMode="External"/><Relationship Id="rId285" Type="http://schemas.openxmlformats.org/officeDocument/2006/relationships/hyperlink" Target="https://techcombank.com/thong-tin/blog/barcode-la-gi" TargetMode="External"/><Relationship Id="rId284" Type="http://schemas.openxmlformats.org/officeDocument/2006/relationships/hyperlink" Target="https://techcombank.com/thong-tin/blog/app-vay-tien-nhanh" TargetMode="External"/><Relationship Id="rId283" Type="http://schemas.openxmlformats.org/officeDocument/2006/relationships/hyperlink" Target="https://techcombank.com/thong-tin/blog/app-dong-tien-dien-online" TargetMode="External"/><Relationship Id="rId289" Type="http://schemas.openxmlformats.org/officeDocument/2006/relationships/hyperlink" Target="https://techcombank.com/thong-tin/blog/cach-chuyen-tien-qua-ma-qr-techcombank" TargetMode="External"/><Relationship Id="rId288" Type="http://schemas.openxmlformats.org/officeDocument/2006/relationships/hyperlink" Target="https://techcombank.com/thong-tin/blog/cach-chuyen-khoan-bang-dien-thoai" TargetMode="External"/><Relationship Id="rId287" Type="http://schemas.openxmlformats.org/officeDocument/2006/relationships/hyperlink" Target="https://techcombank.com/thong-tin/blog/cach-bao-ve-tai-khoan" TargetMode="External"/><Relationship Id="rId282" Type="http://schemas.openxmlformats.org/officeDocument/2006/relationships/hyperlink" Target="https://techcombank.com/thong-tin/blog/6-chiec-lo-tai-chinh-ca-nhan" TargetMode="External"/><Relationship Id="rId281" Type="http://schemas.openxmlformats.org/officeDocument/2006/relationships/hyperlink" Target="https://techcombank.com/thong-tin/blog/1-yen-bang-bao-nhieu-tien-viet-nam" TargetMode="External"/><Relationship Id="rId280" Type="http://schemas.openxmlformats.org/officeDocument/2006/relationships/hyperlink" Target="https://techcombank.com/thong-tin/blog/1-trieu-won-bang-bao-nhieu-tien-viet" TargetMode="External"/><Relationship Id="rId275" Type="http://schemas.openxmlformats.org/officeDocument/2006/relationships/hyperlink" Target="https://techcombank.com/thong-tin/blog/vay-tin-chap-theo-luong" TargetMode="External"/><Relationship Id="rId274" Type="http://schemas.openxmlformats.org/officeDocument/2006/relationships/hyperlink" Target="https://techcombank.com/thong-tin/blog/vay-the-chap-xe-o-to-cu" TargetMode="External"/><Relationship Id="rId273" Type="http://schemas.openxmlformats.org/officeDocument/2006/relationships/hyperlink" Target="https://techcombank.com/thong-tin/blog/vay-the-chap-so-bao-hiem-xa-hoi" TargetMode="External"/><Relationship Id="rId272" Type="http://schemas.openxmlformats.org/officeDocument/2006/relationships/hyperlink" Target="https://techcombank.com/thong-tin/blog/vay-the-chap-khong-chung-minh-thu-nhap" TargetMode="External"/><Relationship Id="rId279" Type="http://schemas.openxmlformats.org/officeDocument/2006/relationships/hyperlink" Target="https://techcombank.com/thong-tin/blog/1-nguoi-co-the-lam-duoc-bao-nhieu-the-atm" TargetMode="External"/><Relationship Id="rId278" Type="http://schemas.openxmlformats.org/officeDocument/2006/relationships/hyperlink" Target="https://techcombank.com/thong-tin/blog/1-man-bang-bao-nhieu-tien-viet" TargetMode="External"/><Relationship Id="rId277" Type="http://schemas.openxmlformats.org/officeDocument/2006/relationships/hyperlink" Target="https://techcombank.com/thong-tin/blog/1-cent-bang-bao-nhieu-tien-viet" TargetMode="External"/><Relationship Id="rId276" Type="http://schemas.openxmlformats.org/officeDocument/2006/relationships/hyperlink" Target="https://techcombank.com/thong-tin/blog/xu-huong-ty-gia-usd" TargetMode="External"/><Relationship Id="rId629" Type="http://schemas.openxmlformats.org/officeDocument/2006/relationships/hyperlink" Target="https://techcombank.com/thong-tin/blog/dau-tu-quy-mo" TargetMode="External"/><Relationship Id="rId624" Type="http://schemas.openxmlformats.org/officeDocument/2006/relationships/hyperlink" Target="https://techcombank.com/thong-tin/blog/dang-ky-nhieu-tai-khoan-ngan-hang-co-sao-khong" TargetMode="External"/><Relationship Id="rId623" Type="http://schemas.openxmlformats.org/officeDocument/2006/relationships/hyperlink" Target="https://techcombank.com/thong-tin/blog/dac-san-nha-trang" TargetMode="External"/><Relationship Id="rId622" Type="http://schemas.openxmlformats.org/officeDocument/2006/relationships/hyperlink" Target="https://techcombank.com/thong-tin/blog/dac-san-hai-phong" TargetMode="External"/><Relationship Id="rId621" Type="http://schemas.openxmlformats.org/officeDocument/2006/relationships/hyperlink" Target="https://techcombank.com/thong-tin/blog/dac-san-ha-long" TargetMode="External"/><Relationship Id="rId628" Type="http://schemas.openxmlformats.org/officeDocument/2006/relationships/hyperlink" Target="https://techcombank.com/thong-tin/blog/dat-ve-may-bay" TargetMode="External"/><Relationship Id="rId627" Type="http://schemas.openxmlformats.org/officeDocument/2006/relationships/hyperlink" Target="https://techcombank.com/thong-tin/blog/dao-tao-the-he-ke-can" TargetMode="External"/><Relationship Id="rId626" Type="http://schemas.openxmlformats.org/officeDocument/2006/relationships/hyperlink" Target="https://techcombank.com/thong-tin/blog/dang-ky-thanh-lap-doanh-nghiep-online" TargetMode="External"/><Relationship Id="rId625" Type="http://schemas.openxmlformats.org/officeDocument/2006/relationships/hyperlink" Target="https://techcombank.com/thong-tin/blog/dang-ky-thanh-lap-doanh-nghiep" TargetMode="External"/><Relationship Id="rId620" Type="http://schemas.openxmlformats.org/officeDocument/2006/relationships/hyperlink" Target="https://techcombank.com/thong-tin/blog/dac-san-da-nang" TargetMode="External"/><Relationship Id="rId619" Type="http://schemas.openxmlformats.org/officeDocument/2006/relationships/hyperlink" Target="https://techcombank.com/thong-tin/blog/co-nen-vay-ngan-hang-mua-nha" TargetMode="External"/><Relationship Id="rId618" Type="http://schemas.openxmlformats.org/officeDocument/2006/relationships/hyperlink" Target="https://techcombank.com/thong-tin/blog/chuyen-nham-tien-co-lay-lai-duoc-khong" TargetMode="External"/><Relationship Id="rId613" Type="http://schemas.openxmlformats.org/officeDocument/2006/relationships/hyperlink" Target="https://techcombank.com/thong-tin/blog/chung-chi-tien-gui-la-gi" TargetMode="External"/><Relationship Id="rId612" Type="http://schemas.openxmlformats.org/officeDocument/2006/relationships/hyperlink" Target="https://techcombank.com/thong-tin/blog/chung-chi-quy-mo-va-dong" TargetMode="External"/><Relationship Id="rId611" Type="http://schemas.openxmlformats.org/officeDocument/2006/relationships/hyperlink" Target="https://techcombank.com/thong-tin/blog/chung-chi-quy-dong" TargetMode="External"/><Relationship Id="rId610" Type="http://schemas.openxmlformats.org/officeDocument/2006/relationships/hyperlink" Target="https://techcombank.com/thong-tin/blog/chung-chi-quy" TargetMode="External"/><Relationship Id="rId617" Type="http://schemas.openxmlformats.org/officeDocument/2006/relationships/hyperlink" Target="https://techcombank.com/thong-tin/blog/chuyen-khoan-lien-ngan-hang" TargetMode="External"/><Relationship Id="rId616" Type="http://schemas.openxmlformats.org/officeDocument/2006/relationships/hyperlink" Target="https://techcombank.com/thong-tin/blog/chuyen-gia-du-doan-gia-bat-dong-san-2025-va-cac-no-luc-tu-ngan-hang" TargetMode="External"/><Relationship Id="rId615" Type="http://schemas.openxmlformats.org/officeDocument/2006/relationships/hyperlink" Target="https://techcombank.com/thong-tin/blog/chuyen-doi-xanh" TargetMode="External"/><Relationship Id="rId614" Type="http://schemas.openxmlformats.org/officeDocument/2006/relationships/hyperlink" Target="https://techcombank.com/thong-tin/blog/chuong-trinh-khach-hang-than-thiet" TargetMode="External"/><Relationship Id="rId646" Type="http://schemas.openxmlformats.org/officeDocument/2006/relationships/hyperlink" Target="https://techcombank.com/thong-tin/blog/ho-so-dang-ky-thanh-lap-doanh-nghiep" TargetMode="External"/><Relationship Id="rId645" Type="http://schemas.openxmlformats.org/officeDocument/2006/relationships/hyperlink" Target="https://techcombank.com/thong-tin/blog/high-net-worth-client-va-ultra-high-net-worth-client" TargetMode="External"/><Relationship Id="rId644" Type="http://schemas.openxmlformats.org/officeDocument/2006/relationships/hyperlink" Target="https://techcombank.com/thong-tin/blog/gio-lam-viec-ngan-hang" TargetMode="External"/><Relationship Id="rId643" Type="http://schemas.openxmlformats.org/officeDocument/2006/relationships/hyperlink" Target="https://techcombank.com/thong-tin/blog/giam-gia-be" TargetMode="External"/><Relationship Id="rId649" Type="http://schemas.openxmlformats.org/officeDocument/2006/relationships/hyperlink" Target="https://techcombank.com/thong-tin/blog/ke-hoach-tai-chinh" TargetMode="External"/><Relationship Id="rId648" Type="http://schemas.openxmlformats.org/officeDocument/2006/relationships/hyperlink" Target="https://techcombank.com/thong-tin/blog/ke-hoach-huu-tri" TargetMode="External"/><Relationship Id="rId647" Type="http://schemas.openxmlformats.org/officeDocument/2006/relationships/hyperlink" Target="https://techcombank.com/thong-tin/blog/internet-banking" TargetMode="External"/><Relationship Id="rId642" Type="http://schemas.openxmlformats.org/officeDocument/2006/relationships/hyperlink" Target="https://techcombank.com/thong-tin/blog/giai-phap-quan-ly-chuoi-cua-hang" TargetMode="External"/><Relationship Id="rId641" Type="http://schemas.openxmlformats.org/officeDocument/2006/relationships/hyperlink" Target="https://techcombank.com/thong-tin/blog/gia-tri-thuong-hieu" TargetMode="External"/><Relationship Id="rId640" Type="http://schemas.openxmlformats.org/officeDocument/2006/relationships/hyperlink" Target="https://techcombank.com/thong-tin/blog/gia-dien-sinh-hoat" TargetMode="External"/><Relationship Id="rId635" Type="http://schemas.openxmlformats.org/officeDocument/2006/relationships/hyperlink" Target="https://techcombank.com/thong-tin/blog/eco-card" TargetMode="External"/><Relationship Id="rId634" Type="http://schemas.openxmlformats.org/officeDocument/2006/relationships/hyperlink" Target="https://techcombank.com/thong-tin/blog/du-bao-gia-vang" TargetMode="External"/><Relationship Id="rId633" Type="http://schemas.openxmlformats.org/officeDocument/2006/relationships/hyperlink" Target="https://techcombank.com/thong-tin/blog/doi-dam-bay" TargetMode="External"/><Relationship Id="rId632" Type="http://schemas.openxmlformats.org/officeDocument/2006/relationships/hyperlink" Target="https://techcombank.com/thong-tin/blog/dinar-kuwait" TargetMode="External"/><Relationship Id="rId639" Type="http://schemas.openxmlformats.org/officeDocument/2006/relationships/hyperlink" Target="https://techcombank.com/thong-tin/blog/gia-cao-su" TargetMode="External"/><Relationship Id="rId638" Type="http://schemas.openxmlformats.org/officeDocument/2006/relationships/hyperlink" Target="https://techcombank.com/thong-tin/blog/fdi" TargetMode="External"/><Relationship Id="rId637" Type="http://schemas.openxmlformats.org/officeDocument/2006/relationships/hyperlink" Target="https://techcombank.com/thong-tin/blog/esg" TargetMode="External"/><Relationship Id="rId636" Type="http://schemas.openxmlformats.org/officeDocument/2006/relationships/hyperlink" Target="https://techcombank.com/thong-tin/blog/ekyc-la-gi" TargetMode="External"/><Relationship Id="rId631" Type="http://schemas.openxmlformats.org/officeDocument/2006/relationships/hyperlink" Target="https://techcombank.com/thong-tin/blog/dieu-kien-thanh-lap-doanh-nghiep" TargetMode="External"/><Relationship Id="rId630" Type="http://schemas.openxmlformats.org/officeDocument/2006/relationships/hyperlink" Target="https://techcombank.com/thong-tin/blog/day-so-phat-tai-phat-loc" TargetMode="External"/><Relationship Id="rId609" Type="http://schemas.openxmlformats.org/officeDocument/2006/relationships/hyperlink" Target="https://techcombank.com/thong-tin/blog/cho-vay-kinh-doanh-ho-gia-dinh" TargetMode="External"/><Relationship Id="rId608" Type="http://schemas.openxmlformats.org/officeDocument/2006/relationships/hyperlink" Target="https://techcombank.com/thong-tin/blog/cho-vay-hop-von-la-gi" TargetMode="External"/><Relationship Id="rId607" Type="http://schemas.openxmlformats.org/officeDocument/2006/relationships/hyperlink" Target="https://techcombank.com/thong-tin/blog/chien-luoc-dau-tu" TargetMode="External"/><Relationship Id="rId602" Type="http://schemas.openxmlformats.org/officeDocument/2006/relationships/hyperlink" Target="https://techcombank.com/thong-tin/blog/cach-nap-the-vina" TargetMode="External"/><Relationship Id="rId601" Type="http://schemas.openxmlformats.org/officeDocument/2006/relationships/hyperlink" Target="https://techcombank.com/thong-tin/blog/cach-nap-the-mobi" TargetMode="External"/><Relationship Id="rId600" Type="http://schemas.openxmlformats.org/officeDocument/2006/relationships/hyperlink" Target="https://techcombank.com/thong-tin/blog/cach-lien-ket-epass-voi-tai-khoan-ngan-hang" TargetMode="External"/><Relationship Id="rId606" Type="http://schemas.openxmlformats.org/officeDocument/2006/relationships/hyperlink" Target="https://techcombank.com/thong-tin/blog/casa-la-gi" TargetMode="External"/><Relationship Id="rId605" Type="http://schemas.openxmlformats.org/officeDocument/2006/relationships/hyperlink" Target="https://techcombank.com/thong-tin/blog/cach-tiet-kiem-tien-theo-tuan" TargetMode="External"/><Relationship Id="rId604" Type="http://schemas.openxmlformats.org/officeDocument/2006/relationships/hyperlink" Target="https://techcombank.com/thong-tin/blog/cach-tiet-kiem-100-trieu-1-nam" TargetMode="External"/><Relationship Id="rId603" Type="http://schemas.openxmlformats.org/officeDocument/2006/relationships/hyperlink" Target="https://techcombank.com/thong-tin/blog/cach-quan-ly-tai-chinh-kinh-doanh" TargetMode="External"/><Relationship Id="rId228" Type="http://schemas.openxmlformats.org/officeDocument/2006/relationships/hyperlink" Target="https://techcombank.com/thong-tin/blog/cho-vay-tieu-dung-la-gi" TargetMode="External"/><Relationship Id="rId227" Type="http://schemas.openxmlformats.org/officeDocument/2006/relationships/hyperlink" Target="https://techcombank.com/thong-tin/blog/chixmax" TargetMode="External"/><Relationship Id="rId226" Type="http://schemas.openxmlformats.org/officeDocument/2006/relationships/hyperlink" Target="https://techcombank.com/thong-tin/blog/cach-tinh-thue-thu-nhap-doanh-nghiep" TargetMode="External"/><Relationship Id="rId225" Type="http://schemas.openxmlformats.org/officeDocument/2006/relationships/hyperlink" Target="https://techcombank.com/thong-tin/blog/cach-tinh-loi-nhuan-chung-chi-tien-gui" TargetMode="External"/><Relationship Id="rId229" Type="http://schemas.openxmlformats.org/officeDocument/2006/relationships/hyperlink" Target="https://techcombank.com/thong-tin/blog/chuan-bi-cho-doanh-nghiep-khoi-nghiep-truoc-nhung-thay-doi-ve-thue" TargetMode="External"/><Relationship Id="rId220" Type="http://schemas.openxmlformats.org/officeDocument/2006/relationships/hyperlink" Target="https://techcombank.com/thong-tin/blog/cach-huy-thanh-toan-tien-dien" TargetMode="External"/><Relationship Id="rId224" Type="http://schemas.openxmlformats.org/officeDocument/2006/relationships/hyperlink" Target="https://techcombank.com/thong-tin/blog/cach-tiet-kiem-tien-hieu-qua-cho-gia-dinh" TargetMode="External"/><Relationship Id="rId223" Type="http://schemas.openxmlformats.org/officeDocument/2006/relationships/hyperlink" Target="https://techcombank.com/thong-tin/blog/cach-rut-tien-atm" TargetMode="External"/><Relationship Id="rId222" Type="http://schemas.openxmlformats.org/officeDocument/2006/relationships/hyperlink" Target="https://techcombank.com/thong-tin/blog/cach-kiem-tra-tai-khoan-ngan-hang-cua-cong-ty" TargetMode="External"/><Relationship Id="rId221" Type="http://schemas.openxmlformats.org/officeDocument/2006/relationships/hyperlink" Target="https://techcombank.com/thong-tin/blog/cach-huy-the-tin-dung" TargetMode="External"/><Relationship Id="rId217" Type="http://schemas.openxmlformats.org/officeDocument/2006/relationships/hyperlink" Target="https://techcombank.com/thong-tin/blog/cac-sai-lam-pho-bien-khi-chuyen-doi-ho-kinh-doanh-len-sme" TargetMode="External"/><Relationship Id="rId216" Type="http://schemas.openxmlformats.org/officeDocument/2006/relationships/hyperlink" Target="https://techcombank.com/thong-tin/blog/cac-hinh-thuc-cho-vay-tieu-dung" TargetMode="External"/><Relationship Id="rId215" Type="http://schemas.openxmlformats.org/officeDocument/2006/relationships/hyperlink" Target="https://techcombank.com/thong-tin/blog/bao-hiem-vat-chat-xe-o-to" TargetMode="External"/><Relationship Id="rId699" Type="http://schemas.openxmlformats.org/officeDocument/2006/relationships/hyperlink" Target="https://techcombank.com/thong-tin/blog/tai-san-va-tieu-san-la-gi" TargetMode="External"/><Relationship Id="rId214" Type="http://schemas.openxmlformats.org/officeDocument/2006/relationships/hyperlink" Target="https://techcombank.com/thong-tin/blog/1000-won-bang-bao-nhieu-tien-viet" TargetMode="External"/><Relationship Id="rId698" Type="http://schemas.openxmlformats.org/officeDocument/2006/relationships/hyperlink" Target="https://techcombank.com/thong-tin/blog/tai-khoan-ngan-hang-duoi-50k-co-bi-khoa-khong" TargetMode="External"/><Relationship Id="rId219" Type="http://schemas.openxmlformats.org/officeDocument/2006/relationships/hyperlink" Target="https://techcombank.com/thong-tin/blog/cach-dang-ky-ma-so-thue-ho-kinh-doanh-online" TargetMode="External"/><Relationship Id="rId218" Type="http://schemas.openxmlformats.org/officeDocument/2006/relationships/hyperlink" Target="https://techcombank.com/thong-tin/blog/cach-chon-so-tai-khoan-dep" TargetMode="External"/><Relationship Id="rId693" Type="http://schemas.openxmlformats.org/officeDocument/2006/relationships/hyperlink" Target="https://techcombank.com/thong-tin/blog/shopeepay-la-gi" TargetMode="External"/><Relationship Id="rId692" Type="http://schemas.openxmlformats.org/officeDocument/2006/relationships/hyperlink" Target="https://techcombank.com/thong-tin/blog/san-pham-xanh" TargetMode="External"/><Relationship Id="rId691" Type="http://schemas.openxmlformats.org/officeDocument/2006/relationships/hyperlink" Target="https://techcombank.com/thong-tin/blog/quy-du-phong-tai-chinh-la-gi" TargetMode="External"/><Relationship Id="rId690" Type="http://schemas.openxmlformats.org/officeDocument/2006/relationships/hyperlink" Target="https://techcombank.com/thong-tin/blog/quan-ly-tai-chinh-doanh-nghiep-nho" TargetMode="External"/><Relationship Id="rId213" Type="http://schemas.openxmlformats.org/officeDocument/2006/relationships/hyperlink" Target="https://techcombank.com/thong-tin/blog/1-cmnd-dang-ky-duoc-may-tai-khoan-ngan-hang" TargetMode="External"/><Relationship Id="rId697" Type="http://schemas.openxmlformats.org/officeDocument/2006/relationships/hyperlink" Target="https://techcombank.com/thong-tin/blog/tai-khoan-ngan-hang-chua-toi-da-bao-nhieu-tien" TargetMode="External"/><Relationship Id="rId212" Type="http://schemas.openxmlformats.org/officeDocument/2006/relationships/hyperlink" Target="https://techcombank.com/thong-tin/blog/vay-tin-chap-ho-kinh-doanh" TargetMode="External"/><Relationship Id="rId696" Type="http://schemas.openxmlformats.org/officeDocument/2006/relationships/hyperlink" Target="https://techcombank.com/thong-tin/blog/su-hop-tac-cua-ngan-hang-va-fintech-tren-hanh-trinh-chuyen-doi-so" TargetMode="External"/><Relationship Id="rId211" Type="http://schemas.openxmlformats.org/officeDocument/2006/relationships/hyperlink" Target="https://techcombank.com/thong-tin/blog/vay-thau-chi-bang-so-tiet-kiem" TargetMode="External"/><Relationship Id="rId695" Type="http://schemas.openxmlformats.org/officeDocument/2006/relationships/hyperlink" Target="https://techcombank.com/thong-tin/blog/smart-otp-la-gi" TargetMode="External"/><Relationship Id="rId210" Type="http://schemas.openxmlformats.org/officeDocument/2006/relationships/hyperlink" Target="https://techcombank.com/thong-tin/blog/vay-ngan-hang-chi-can-cccd" TargetMode="External"/><Relationship Id="rId694" Type="http://schemas.openxmlformats.org/officeDocument/2006/relationships/hyperlink" Target="https://techcombank.com/thong-tin/blog/sinh-loi-rinh-loc" TargetMode="External"/><Relationship Id="rId249" Type="http://schemas.openxmlformats.org/officeDocument/2006/relationships/hyperlink" Target="https://techcombank.com/thong-tin/blog/luu-y-khi-chuyen-doi-tu-ho-kinh-doanh-len-doanh-nghiep" TargetMode="External"/><Relationship Id="rId248" Type="http://schemas.openxmlformats.org/officeDocument/2006/relationships/hyperlink" Target="https://techcombank.com/thong-tin/blog/lo-so-tai-khoan-ngan-hang-co-sao-khong" TargetMode="External"/><Relationship Id="rId247" Type="http://schemas.openxmlformats.org/officeDocument/2006/relationships/hyperlink" Target="https://techcombank.com/thong-tin/blog/lam-the-atm-co-mat-phi-khong" TargetMode="External"/><Relationship Id="rId242" Type="http://schemas.openxmlformats.org/officeDocument/2006/relationships/hyperlink" Target="https://techcombank.com/thong-tin/blog/khai-bao-tai-khoan-ngan-hang-voi-co-quan-thue" TargetMode="External"/><Relationship Id="rId241" Type="http://schemas.openxmlformats.org/officeDocument/2006/relationships/hyperlink" Target="https://techcombank.com/thong-tin/blog/hoc-sinh-sinh-vien-nen-lam-the-ngan-hang-nao" TargetMode="External"/><Relationship Id="rId240" Type="http://schemas.openxmlformats.org/officeDocument/2006/relationships/hyperlink" Target="https://techcombank.com/thong-tin/blog/giai-dap-ve-thue-doanh-nghiep" TargetMode="External"/><Relationship Id="rId246" Type="http://schemas.openxmlformats.org/officeDocument/2006/relationships/hyperlink" Target="https://techcombank.com/thong-tin/blog/lam-the-atm-bao-lau-co" TargetMode="External"/><Relationship Id="rId245" Type="http://schemas.openxmlformats.org/officeDocument/2006/relationships/hyperlink" Target="https://techcombank.com/thong-tin/blog/lai-suat-qua-han" TargetMode="External"/><Relationship Id="rId244" Type="http://schemas.openxmlformats.org/officeDocument/2006/relationships/hyperlink" Target="https://techcombank.com/thong-tin/blog/lai-suat-cho-vay-doanh-nghiep" TargetMode="External"/><Relationship Id="rId243" Type="http://schemas.openxmlformats.org/officeDocument/2006/relationships/hyperlink" Target="https://techcombank.com/thong-tin/blog/kiem-tra-ma-so-thue-doanh-nghiep" TargetMode="External"/><Relationship Id="rId239" Type="http://schemas.openxmlformats.org/officeDocument/2006/relationships/hyperlink" Target="https://techcombank.com/thong-tin/blog/gia-chung-chi-quy-la-gi" TargetMode="External"/><Relationship Id="rId238" Type="http://schemas.openxmlformats.org/officeDocument/2006/relationships/hyperlink" Target="https://techcombank.com/thong-tin/blog/du-no-la-gi" TargetMode="External"/><Relationship Id="rId237" Type="http://schemas.openxmlformats.org/officeDocument/2006/relationships/hyperlink" Target="https://techcombank.com/thong-tin/blog/dau-tu-dai-han" TargetMode="External"/><Relationship Id="rId236" Type="http://schemas.openxmlformats.org/officeDocument/2006/relationships/hyperlink" Target="https://techcombank.com/thong-tin/blog/dau-co-va-dau-tu" TargetMode="External"/><Relationship Id="rId231" Type="http://schemas.openxmlformats.org/officeDocument/2006/relationships/hyperlink" Target="https://techcombank.com/thong-tin/blog/chuyen-nhuong-chung-chi-tien-gui" TargetMode="External"/><Relationship Id="rId230" Type="http://schemas.openxmlformats.org/officeDocument/2006/relationships/hyperlink" Target="https://techcombank.com/thong-tin/blog/chuyen-doi-so-ho-kinh-doanh" TargetMode="External"/><Relationship Id="rId235" Type="http://schemas.openxmlformats.org/officeDocument/2006/relationships/hyperlink" Target="https://techcombank.com/thong-tin/blog/co-nen-mua-o-to-tra-gop" TargetMode="External"/><Relationship Id="rId234" Type="http://schemas.openxmlformats.org/officeDocument/2006/relationships/hyperlink" Target="https://techcombank.com/thong-tin/blog/co-100-trieu-co-mua-nen-mua-tra-gop" TargetMode="External"/><Relationship Id="rId233" Type="http://schemas.openxmlformats.org/officeDocument/2006/relationships/hyperlink" Target="https://techcombank.com/thong-tin/blog/chuyen-tien-tu-han-sang-viet-nam" TargetMode="External"/><Relationship Id="rId232" Type="http://schemas.openxmlformats.org/officeDocument/2006/relationships/hyperlink" Target="https://techcombank.com/thong-tin/blog/chuyen-tien-dinh-cu" TargetMode="External"/><Relationship Id="rId668" Type="http://schemas.openxmlformats.org/officeDocument/2006/relationships/hyperlink" Target="https://techcombank.com/thong-tin/blog/mo-tai-khoan-ngan-hang-trung-so-dien-thoai" TargetMode="External"/><Relationship Id="rId667" Type="http://schemas.openxmlformats.org/officeDocument/2006/relationships/hyperlink" Target="https://techcombank.com/thong-tin/blog/minigame-world-cup" TargetMode="External"/><Relationship Id="rId666" Type="http://schemas.openxmlformats.org/officeDocument/2006/relationships/hyperlink" Target="https://techcombank.com/thong-tin/blog/ma-otp-la-gi" TargetMode="External"/><Relationship Id="rId665" Type="http://schemas.openxmlformats.org/officeDocument/2006/relationships/hyperlink" Target="https://techcombank.com/thong-tin/blog/ma-giam-xanh-sm" TargetMode="External"/><Relationship Id="rId669" Type="http://schemas.openxmlformats.org/officeDocument/2006/relationships/hyperlink" Target="https://techcombank.com/thong-tin/blog/mo-them-tai-khoan-ngan-hang-cho-cong-ty" TargetMode="External"/><Relationship Id="rId660" Type="http://schemas.openxmlformats.org/officeDocument/2006/relationships/hyperlink" Target="https://techcombank.com/thong-tin/blog/loi-ich-cua-ngan-hang-so-voi-sme" TargetMode="External"/><Relationship Id="rId664" Type="http://schemas.openxmlformats.org/officeDocument/2006/relationships/hyperlink" Target="https://techcombank.com/thong-tin/blog/ma-giam-gia-shopee" TargetMode="External"/><Relationship Id="rId663" Type="http://schemas.openxmlformats.org/officeDocument/2006/relationships/hyperlink" Target="https://techcombank.com/thong-tin/blog/ma-giam-gia-phela" TargetMode="External"/><Relationship Id="rId662" Type="http://schemas.openxmlformats.org/officeDocument/2006/relationships/hyperlink" Target="https://techcombank.com/thong-tin/blog/ma-giam-gia-al-frescos" TargetMode="External"/><Relationship Id="rId661" Type="http://schemas.openxmlformats.org/officeDocument/2006/relationships/hyperlink" Target="https://techcombank.com/thong-tin/blog/ly-do-ngan-hang-so-tro-thanh-cong-cu-tai-chinh-hang-dau-cua-gioi-tre" TargetMode="External"/><Relationship Id="rId657" Type="http://schemas.openxmlformats.org/officeDocument/2006/relationships/hyperlink" Target="https://techcombank.com/thong-tin/blog/li-xi-tet" TargetMode="External"/><Relationship Id="rId656" Type="http://schemas.openxmlformats.org/officeDocument/2006/relationships/hyperlink" Target="https://techcombank.com/thong-tin/blog/lam-phat-la-gi" TargetMode="External"/><Relationship Id="rId655" Type="http://schemas.openxmlformats.org/officeDocument/2006/relationships/hyperlink" Target="https://techcombank.com/thong-tin/blog/lai-suat-la-gi" TargetMode="External"/><Relationship Id="rId654" Type="http://schemas.openxmlformats.org/officeDocument/2006/relationships/hyperlink" Target="https://techcombank.com/thong-tin/blog/kinh-doanh-online" TargetMode="External"/><Relationship Id="rId659" Type="http://schemas.openxmlformats.org/officeDocument/2006/relationships/hyperlink" Target="https://techcombank.com/thong-tin/blog/loa-ting-ting" TargetMode="External"/><Relationship Id="rId658" Type="http://schemas.openxmlformats.org/officeDocument/2006/relationships/hyperlink" Target="https://techcombank.com/thong-tin/blog/loa-thong-bao-chuyen-khoan" TargetMode="External"/><Relationship Id="rId653" Type="http://schemas.openxmlformats.org/officeDocument/2006/relationships/hyperlink" Target="https://techcombank.com/thong-tin/blog/kieu-hoi-la-gi" TargetMode="External"/><Relationship Id="rId652" Type="http://schemas.openxmlformats.org/officeDocument/2006/relationships/hyperlink" Target="https://techcombank.com/thong-tin/blog/kichi-kichi" TargetMode="External"/><Relationship Id="rId651" Type="http://schemas.openxmlformats.org/officeDocument/2006/relationships/hyperlink" Target="https://techcombank.com/thong-tin/blog/khau-hao-la-gi" TargetMode="External"/><Relationship Id="rId650" Type="http://schemas.openxmlformats.org/officeDocument/2006/relationships/hyperlink" Target="https://techcombank.com/thong-tin/blog/khau-hao" TargetMode="External"/><Relationship Id="rId206" Type="http://schemas.openxmlformats.org/officeDocument/2006/relationships/hyperlink" Target="https://techcombank.com/thong-tin/blog/truy-thu-thue-ho-kinh-doanh" TargetMode="External"/><Relationship Id="rId205" Type="http://schemas.openxmlformats.org/officeDocument/2006/relationships/hyperlink" Target="https://techcombank.com/thong-tin/blog/tra-cuu-no-thue-hai-quan" TargetMode="External"/><Relationship Id="rId689" Type="http://schemas.openxmlformats.org/officeDocument/2006/relationships/hyperlink" Target="https://techcombank.com/thong-tin/blog/quan-ly-danh-muc-dau-tu" TargetMode="External"/><Relationship Id="rId204" Type="http://schemas.openxmlformats.org/officeDocument/2006/relationships/hyperlink" Target="https://techcombank.com/thong-tin/blog/tra-cuu-ma-so-thue-ho-kinh-doanh" TargetMode="External"/><Relationship Id="rId688" Type="http://schemas.openxmlformats.org/officeDocument/2006/relationships/hyperlink" Target="https://techcombank.com/thong-tin/blog/quan-ly-chuoi-cua-hang" TargetMode="External"/><Relationship Id="rId203" Type="http://schemas.openxmlformats.org/officeDocument/2006/relationships/hyperlink" Target="https://techcombank.com/thong-tin/blog/tiet-kiem-khi-di-du-lich" TargetMode="External"/><Relationship Id="rId687" Type="http://schemas.openxmlformats.org/officeDocument/2006/relationships/hyperlink" Target="https://techcombank.com/thong-tin/blog/quan-ly-chi-phi-doanh-nghiep" TargetMode="External"/><Relationship Id="rId209" Type="http://schemas.openxmlformats.org/officeDocument/2006/relationships/hyperlink" Target="https://techcombank.com/thong-tin/blog/vay-mua-xe-tra-gop-ngan-hang-nao-tot-nhat" TargetMode="External"/><Relationship Id="rId208" Type="http://schemas.openxmlformats.org/officeDocument/2006/relationships/hyperlink" Target="https://techcombank.com/thong-tin/blog/uu-dai-mua-iphone-18" TargetMode="External"/><Relationship Id="rId207" Type="http://schemas.openxmlformats.org/officeDocument/2006/relationships/hyperlink" Target="https://techcombank.com/thong-tin/blog/ty-gia-cac-ngan-hang" TargetMode="External"/><Relationship Id="rId682" Type="http://schemas.openxmlformats.org/officeDocument/2006/relationships/hyperlink" Target="https://techcombank.com/thong-tin/blog/nhuong-quyen-la-gi" TargetMode="External"/><Relationship Id="rId681" Type="http://schemas.openxmlformats.org/officeDocument/2006/relationships/hyperlink" Target="https://techcombank.com/thong-tin/blog/nhung-kho-khan-khi-tiet-kiem-tien" TargetMode="External"/><Relationship Id="rId680" Type="http://schemas.openxmlformats.org/officeDocument/2006/relationships/hyperlink" Target="https://techcombank.com/thong-tin/blog/nhu-cau-vay-tieu-dung-cua-nguoi-viet-du-kien-tang-manh-trong-thoi-gian-toi" TargetMode="External"/><Relationship Id="rId202" Type="http://schemas.openxmlformats.org/officeDocument/2006/relationships/hyperlink" Target="https://techcombank.com/thong-tin/blog/thue-phi-co-dinh-khi-chuyen-doi-tu-ho-kinh-doanh-len-doanh-nghiep" TargetMode="External"/><Relationship Id="rId686" Type="http://schemas.openxmlformats.org/officeDocument/2006/relationships/hyperlink" Target="https://techcombank.com/thong-tin/blog/phuong-phap-dau-tu-chung-chi-quy" TargetMode="External"/><Relationship Id="rId201" Type="http://schemas.openxmlformats.org/officeDocument/2006/relationships/hyperlink" Target="https://techcombank.com/thong-tin/blog/thue-doanh-nghiep" TargetMode="External"/><Relationship Id="rId685" Type="http://schemas.openxmlformats.org/officeDocument/2006/relationships/hyperlink" Target="https://techcombank.com/thong-tin/blog/phi-thuong-nien-la-gi" TargetMode="External"/><Relationship Id="rId200" Type="http://schemas.openxmlformats.org/officeDocument/2006/relationships/hyperlink" Target="https://techcombank.com/thong-tin/blog/the-tin-dung-nao-nhieu-uu-dai-nhat" TargetMode="External"/><Relationship Id="rId684" Type="http://schemas.openxmlformats.org/officeDocument/2006/relationships/hyperlink" Target="https://techcombank.com/thong-tin/blog/phan-mem-quan-ly-tai-chinh-doanh-nghiep" TargetMode="External"/><Relationship Id="rId683" Type="http://schemas.openxmlformats.org/officeDocument/2006/relationships/hyperlink" Target="https://techcombank.com/thong-tin/blog/oneu" TargetMode="External"/><Relationship Id="rId679" Type="http://schemas.openxmlformats.org/officeDocument/2006/relationships/hyperlink" Target="https://techcombank.com/thong-tin/blog/nho-nguoi-than-mo-tai-khoan-ngan-hang" TargetMode="External"/><Relationship Id="rId678" Type="http://schemas.openxmlformats.org/officeDocument/2006/relationships/hyperlink" Target="https://techcombank.com/thong-tin/blog/nhan-tien-western-union" TargetMode="External"/><Relationship Id="rId677" Type="http://schemas.openxmlformats.org/officeDocument/2006/relationships/hyperlink" Target="https://techcombank.com/thong-tin/blog/nguyen-tac-quan-ly-tai-chinh-ca-nhan" TargetMode="External"/><Relationship Id="rId676" Type="http://schemas.openxmlformats.org/officeDocument/2006/relationships/hyperlink" Target="https://techcombank.com/thong-tin/blog/nguoi-duoc-bao-hiem-la-gi" TargetMode="External"/><Relationship Id="rId671" Type="http://schemas.openxmlformats.org/officeDocument/2006/relationships/hyperlink" Target="https://techcombank.com/thong-tin/blog/mua-bao-hiem-o-to" TargetMode="External"/><Relationship Id="rId670" Type="http://schemas.openxmlformats.org/officeDocument/2006/relationships/hyperlink" Target="https://techcombank.com/thong-tin/blog/mobile-banking-la-gi" TargetMode="External"/><Relationship Id="rId675" Type="http://schemas.openxmlformats.org/officeDocument/2006/relationships/hyperlink" Target="https://techcombank.com/thong-tin/blog/nghich-ly-nha-dau-tu-che-trai-phieu-lai-suat-cao-ua-ma-an-toan-du-lai-suat-thap-hon-05-1" TargetMode="External"/><Relationship Id="rId674" Type="http://schemas.openxmlformats.org/officeDocument/2006/relationships/hyperlink" Target="https://techcombank.com/thong-tin/blog/nen-lam-the-visa-hay-noi-dia" TargetMode="External"/><Relationship Id="rId673" Type="http://schemas.openxmlformats.org/officeDocument/2006/relationships/hyperlink" Target="https://techcombank.com/thong-tin/blog/mua-ve-may-bay-gia-re" TargetMode="External"/><Relationship Id="rId672" Type="http://schemas.openxmlformats.org/officeDocument/2006/relationships/hyperlink" Target="https://techcombank.com/thong-tin/blog/mua-bao-hiem-o-to-dien" TargetMode="External"/><Relationship Id="rId190" Type="http://schemas.openxmlformats.org/officeDocument/2006/relationships/hyperlink" Target="https://techcombank.com/thong-tin/blog/tat-toan-chung-chi-tien-gui" TargetMode="External"/><Relationship Id="rId194" Type="http://schemas.openxmlformats.org/officeDocument/2006/relationships/hyperlink" Target="https://techcombank.com/thong-tin/blog/the-debit-cho-con" TargetMode="External"/><Relationship Id="rId193" Type="http://schemas.openxmlformats.org/officeDocument/2006/relationships/hyperlink" Target="https://techcombank.com/thong-tin/blog/thanh-toan-online-bang-the-tin-dung" TargetMode="External"/><Relationship Id="rId192" Type="http://schemas.openxmlformats.org/officeDocument/2006/relationships/hyperlink" Target="https://techcombank.com/thong-tin/blog/thanh-toan-khi-du-lich-han-quoc" TargetMode="External"/><Relationship Id="rId191" Type="http://schemas.openxmlformats.org/officeDocument/2006/relationships/hyperlink" Target="https://techcombank.com/thong-tin/blog/thanh-toan-bang-the-quoc-te" TargetMode="External"/><Relationship Id="rId187" Type="http://schemas.openxmlformats.org/officeDocument/2006/relationships/hyperlink" Target="https://techcombank.com/thong-tin/blog/so-cvv-la-gi" TargetMode="External"/><Relationship Id="rId186" Type="http://schemas.openxmlformats.org/officeDocument/2006/relationships/hyperlink" Target="https://techcombank.com/thong-tin/blog/sang-ngang-the-tin-dung" TargetMode="External"/><Relationship Id="rId185" Type="http://schemas.openxmlformats.org/officeDocument/2006/relationships/hyperlink" Target="https://techcombank.com/thong-tin/blog/rut-tien-bao-hiem-nhan-tho-khi-het-han" TargetMode="External"/><Relationship Id="rId184" Type="http://schemas.openxmlformats.org/officeDocument/2006/relationships/hyperlink" Target="https://techcombank.com/thong-tin/blog/rui-ro-khi-gui-tiet-kiem-online" TargetMode="External"/><Relationship Id="rId189" Type="http://schemas.openxmlformats.org/officeDocument/2006/relationships/hyperlink" Target="https://techcombank.com/thong-tin/blog/so-the-tin-dung" TargetMode="External"/><Relationship Id="rId188" Type="http://schemas.openxmlformats.org/officeDocument/2006/relationships/hyperlink" Target="https://techcombank.com/thong-tin/blog/so-luong-the-tin-dung-noi-dia-dang-luu-hanh-da-tang-42-so-voi-cung-ky-nam-2022" TargetMode="External"/><Relationship Id="rId183" Type="http://schemas.openxmlformats.org/officeDocument/2006/relationships/hyperlink" Target="https://techcombank.com/thong-tin/blog/quyet-toan-thue-doanh-nghiep" TargetMode="External"/><Relationship Id="rId182" Type="http://schemas.openxmlformats.org/officeDocument/2006/relationships/hyperlink" Target="https://techcombank.com/thong-tin/blog/phan-mem-xuat-hoa-don-dien-tu" TargetMode="External"/><Relationship Id="rId181" Type="http://schemas.openxmlformats.org/officeDocument/2006/relationships/hyperlink" Target="https://techcombank.com/thong-tin/blog/no-xau-la-gi" TargetMode="External"/><Relationship Id="rId180" Type="http://schemas.openxmlformats.org/officeDocument/2006/relationships/hyperlink" Target="https://techcombank.com/thong-tin/blog/no-xau" TargetMode="External"/><Relationship Id="rId176" Type="http://schemas.openxmlformats.org/officeDocument/2006/relationships/hyperlink" Target="https://techcombank.com/thong-tin/blog/nen-de-tien-trong-the-hay-gui-tiet-kiem" TargetMode="External"/><Relationship Id="rId175" Type="http://schemas.openxmlformats.org/officeDocument/2006/relationships/hyperlink" Target="https://techcombank.com/thong-tin/blog/mua-iphone-17" TargetMode="External"/><Relationship Id="rId174" Type="http://schemas.openxmlformats.org/officeDocument/2006/relationships/hyperlink" Target="https://techcombank.com/thong-tin/blog/mo-the-tin-dung-co-loi-ich-gi" TargetMode="External"/><Relationship Id="rId173" Type="http://schemas.openxmlformats.org/officeDocument/2006/relationships/hyperlink" Target="https://techcombank.com/thong-tin/blog/mo-tai-khoan-tiet-kiem-cho-con" TargetMode="External"/><Relationship Id="rId179" Type="http://schemas.openxmlformats.org/officeDocument/2006/relationships/hyperlink" Target="https://techcombank.com/thong-tin/blog/no-chu-y-la-gi" TargetMode="External"/><Relationship Id="rId178" Type="http://schemas.openxmlformats.org/officeDocument/2006/relationships/hyperlink" Target="https://techcombank.com/thong-tin/blog/ngoai-hoi-la-gi" TargetMode="External"/><Relationship Id="rId177" Type="http://schemas.openxmlformats.org/officeDocument/2006/relationships/hyperlink" Target="https://techcombank.com/thong-tin/blog/nen-gui-tiet-kiem-thong-thuong-hay-tich-luy" TargetMode="External"/><Relationship Id="rId198" Type="http://schemas.openxmlformats.org/officeDocument/2006/relationships/hyperlink" Target="https://techcombank.com/thong-tin/blog/the-tin-dung-het-han" TargetMode="External"/><Relationship Id="rId197" Type="http://schemas.openxmlformats.org/officeDocument/2006/relationships/hyperlink" Target="https://techcombank.com/thong-tin/blog/the-tin-dung-den" TargetMode="External"/><Relationship Id="rId196" Type="http://schemas.openxmlformats.org/officeDocument/2006/relationships/hyperlink" Target="https://techcombank.com/thong-tin/blog/the-tin-dung-co-ma-pin-khong" TargetMode="External"/><Relationship Id="rId195" Type="http://schemas.openxmlformats.org/officeDocument/2006/relationships/hyperlink" Target="https://techcombank.com/thong-tin/blog/the-tin-dung-ao" TargetMode="External"/><Relationship Id="rId199" Type="http://schemas.openxmlformats.org/officeDocument/2006/relationships/hyperlink" Target="https://techcombank.com/thong-tin/blog/the-tin-dung-mien-phi-thuong-nien" TargetMode="External"/><Relationship Id="rId150" Type="http://schemas.openxmlformats.org/officeDocument/2006/relationships/hyperlink" Target="https://techcombank.com/thong-tin/blog/chung-chi-tien-gui-co-duoc-rut-truoc-han" TargetMode="External"/><Relationship Id="rId149" Type="http://schemas.openxmlformats.org/officeDocument/2006/relationships/hyperlink" Target="https://techcombank.com/thong-tin/blog/cdm" TargetMode="External"/><Relationship Id="rId148" Type="http://schemas.openxmlformats.org/officeDocument/2006/relationships/hyperlink" Target="https://techcombank.com/thong-tin/blog/cashback-the-thanh-toan" TargetMode="External"/><Relationship Id="rId143" Type="http://schemas.openxmlformats.org/officeDocument/2006/relationships/hyperlink" Target="https://techcombank.com/thong-tin/blog/cach-chuyen-tien" TargetMode="External"/><Relationship Id="rId142" Type="http://schemas.openxmlformats.org/officeDocument/2006/relationships/hyperlink" Target="https://techcombank.com/thong-tin/blog/cac-loai-the-tin-dung" TargetMode="External"/><Relationship Id="rId141" Type="http://schemas.openxmlformats.org/officeDocument/2006/relationships/hyperlink" Target="https://techcombank.com/thong-tin/blog/3d-secure" TargetMode="External"/><Relationship Id="rId140" Type="http://schemas.openxmlformats.org/officeDocument/2006/relationships/hyperlink" Target="https://techcombank.com/thong-tin/blog/vay-tin-chap-no-xau" TargetMode="External"/><Relationship Id="rId147" Type="http://schemas.openxmlformats.org/officeDocument/2006/relationships/hyperlink" Target="https://techcombank.com/thong-tin/blog/cach-tinh-thue-thu-nhap-ca-nhan-2025" TargetMode="External"/><Relationship Id="rId146" Type="http://schemas.openxmlformats.org/officeDocument/2006/relationships/hyperlink" Target="https://techcombank.com/thong-tin/blog/cach-tao-ma-qr" TargetMode="External"/><Relationship Id="rId145" Type="http://schemas.openxmlformats.org/officeDocument/2006/relationships/hyperlink" Target="https://techcombank.com/thong-tin/blog/cach-su-dung-tai-khoan-cong-ty" TargetMode="External"/><Relationship Id="rId144" Type="http://schemas.openxmlformats.org/officeDocument/2006/relationships/hyperlink" Target="https://techcombank.com/thong-tin/blog/cach-lam-the-atm" TargetMode="External"/><Relationship Id="rId139" Type="http://schemas.openxmlformats.org/officeDocument/2006/relationships/hyperlink" Target="https://techcombank.com/thong-tin/blog/vay-the-chap-kinh-doanh" TargetMode="External"/><Relationship Id="rId138" Type="http://schemas.openxmlformats.org/officeDocument/2006/relationships/hyperlink" Target="https://techcombank.com/thong-tin/blog/vay-the-chap-hop-dong-mua-ban-can-ho" TargetMode="External"/><Relationship Id="rId137" Type="http://schemas.openxmlformats.org/officeDocument/2006/relationships/hyperlink" Target="https://techcombank.com/thong-tin/blog/vay-san-xuat-kinh-doanh" TargetMode="External"/><Relationship Id="rId132" Type="http://schemas.openxmlformats.org/officeDocument/2006/relationships/hyperlink" Target="https://techcombank.com/thong-tin/blog/tien-gui-co-ky-han" TargetMode="External"/><Relationship Id="rId131" Type="http://schemas.openxmlformats.org/officeDocument/2006/relationships/hyperlink" Target="https://techcombank.com/thong-tin/blog/thue-thuong-mai-dien-tu" TargetMode="External"/><Relationship Id="rId130" Type="http://schemas.openxmlformats.org/officeDocument/2006/relationships/hyperlink" Target="https://techcombank.com/thong-tin/blog/the-visa-co-can-mat-khau-khong" TargetMode="External"/><Relationship Id="rId136" Type="http://schemas.openxmlformats.org/officeDocument/2006/relationships/hyperlink" Target="https://techcombank.com/thong-tin/blog/vay-200-trieu" TargetMode="External"/><Relationship Id="rId135" Type="http://schemas.openxmlformats.org/officeDocument/2006/relationships/hyperlink" Target="https://techcombank.com/thong-tin/blog/uu-dai-mua-ve-may-bay-bang-the-tin-dung" TargetMode="External"/><Relationship Id="rId134" Type="http://schemas.openxmlformats.org/officeDocument/2006/relationships/hyperlink" Target="https://techcombank.com/thong-tin/blog/uu-dai-mo-the-tin-dung" TargetMode="External"/><Relationship Id="rId133" Type="http://schemas.openxmlformats.org/officeDocument/2006/relationships/hyperlink" Target="https://techcombank.com/thong-tin/blog/tra-cuu-no-thue-doanh-nghiep" TargetMode="External"/><Relationship Id="rId172" Type="http://schemas.openxmlformats.org/officeDocument/2006/relationships/hyperlink" Target="https://techcombank.com/thong-tin/blog/may-tinh-tien" TargetMode="External"/><Relationship Id="rId171" Type="http://schemas.openxmlformats.org/officeDocument/2006/relationships/hyperlink" Target="https://techcombank.com/thong-tin/blog/lam-the-tin-dung" TargetMode="External"/><Relationship Id="rId170" Type="http://schemas.openxmlformats.org/officeDocument/2006/relationships/hyperlink" Target="https://techcombank.com/thong-tin/blog/lai-suat-ngan-hang-cho-vay-xay-nha" TargetMode="External"/><Relationship Id="rId165" Type="http://schemas.openxmlformats.org/officeDocument/2006/relationships/hyperlink" Target="https://techcombank.com/thong-tin/blog/khong-su-dung-the-tin-dung-co-mat-phi-khong" TargetMode="External"/><Relationship Id="rId164" Type="http://schemas.openxmlformats.org/officeDocument/2006/relationships/hyperlink" Target="https://techcombank.com/thong-tin/blog/hoc-cach-tiet-kiem-tien-luong" TargetMode="External"/><Relationship Id="rId163" Type="http://schemas.openxmlformats.org/officeDocument/2006/relationships/hyperlink" Target="https://techcombank.com/thong-tin/blog/hoa-don-dien-tu-ho-kinh-doanh" TargetMode="External"/><Relationship Id="rId162" Type="http://schemas.openxmlformats.org/officeDocument/2006/relationships/hyperlink" Target="https://techcombank.com/thong-tin/blog/hoa-don-dien-tu" TargetMode="External"/><Relationship Id="rId169" Type="http://schemas.openxmlformats.org/officeDocument/2006/relationships/hyperlink" Target="https://techcombank.com/thong-tin/blog/kinh-nghiem-vay-tien-ngan-hang-xay-nha" TargetMode="External"/><Relationship Id="rId168" Type="http://schemas.openxmlformats.org/officeDocument/2006/relationships/hyperlink" Target="https://techcombank.com/thong-tin/blog/kinh-nghiem-vay-tien-mua-nha" TargetMode="External"/><Relationship Id="rId167" Type="http://schemas.openxmlformats.org/officeDocument/2006/relationships/hyperlink" Target="https://techcombank.com/thong-tin/blog/kiem-tra-thue-thu-nhap-ca-nhan" TargetMode="External"/><Relationship Id="rId166" Type="http://schemas.openxmlformats.org/officeDocument/2006/relationships/hyperlink" Target="https://techcombank.com/thong-tin/blog/kich-hoat-the-tin-dung-techcombank" TargetMode="External"/><Relationship Id="rId161" Type="http://schemas.openxmlformats.org/officeDocument/2006/relationships/hyperlink" Target="https://techcombank.com/thong-tin/blog/gui-tiet-kiem-tich-luy-la-gi" TargetMode="External"/><Relationship Id="rId160" Type="http://schemas.openxmlformats.org/officeDocument/2006/relationships/hyperlink" Target="https://techcombank.com/thong-tin/blog/gui-tiet-kiem-theo-ngay" TargetMode="External"/><Relationship Id="rId159" Type="http://schemas.openxmlformats.org/officeDocument/2006/relationships/hyperlink" Target="https://techcombank.com/thong-tin/blog/di-du-lich-nuoc-ngoai-can-chuan-bi-gi" TargetMode="External"/><Relationship Id="rId154" Type="http://schemas.openxmlformats.org/officeDocument/2006/relationships/hyperlink" Target="https://techcombank.com/thong-tin/blog/co-nen-gui-tiet-kiem-ngan-hang" TargetMode="External"/><Relationship Id="rId153" Type="http://schemas.openxmlformats.org/officeDocument/2006/relationships/hyperlink" Target="https://techcombank.com/thong-tin/blog/chuyen-tien-tu-my-ve-viet-nam" TargetMode="External"/><Relationship Id="rId152" Type="http://schemas.openxmlformats.org/officeDocument/2006/relationships/hyperlink" Target="https://techcombank.com/thong-tin/blog/chuyen-tien-di-uc" TargetMode="External"/><Relationship Id="rId151" Type="http://schemas.openxmlformats.org/officeDocument/2006/relationships/hyperlink" Target="https://techcombank.com/thong-tin/blog/chuyen-doi-hoa-don-dien-tu" TargetMode="External"/><Relationship Id="rId158" Type="http://schemas.openxmlformats.org/officeDocument/2006/relationships/hyperlink" Target="https://techcombank.com/thong-tin/blog/dao-han-the-tin-dung" TargetMode="External"/><Relationship Id="rId157" Type="http://schemas.openxmlformats.org/officeDocument/2006/relationships/hyperlink" Target="https://techcombank.com/thong-tin/blog/dao-han-la-gi" TargetMode="External"/><Relationship Id="rId156" Type="http://schemas.openxmlformats.org/officeDocument/2006/relationships/hyperlink" Target="https://techcombank.com/thong-tin/blog/danh-muc-dau-tu" TargetMode="External"/><Relationship Id="rId155" Type="http://schemas.openxmlformats.org/officeDocument/2006/relationships/hyperlink" Target="https://techcombank.com/thong-tin/blog/dang-ky-ma-so-thue-ca-nhan" TargetMode="External"/><Relationship Id="rId509" Type="http://schemas.openxmlformats.org/officeDocument/2006/relationships/hyperlink" Target="https://techcombank.com/thong-tin/blog/so-6868" TargetMode="External"/><Relationship Id="rId508" Type="http://schemas.openxmlformats.org/officeDocument/2006/relationships/hyperlink" Target="https://techcombank.com/thong-tin/blog/sms-banking" TargetMode="External"/><Relationship Id="rId503" Type="http://schemas.openxmlformats.org/officeDocument/2006/relationships/hyperlink" Target="https://techcombank.com/thong-tin/blog/quy-gia-dinh" TargetMode="External"/><Relationship Id="rId502" Type="http://schemas.openxmlformats.org/officeDocument/2006/relationships/hyperlink" Target="https://techcombank.com/thong-tin/blog/quy-dinh-ve-mua-ban-ngoai-te-cua-doanh-nghiep" TargetMode="External"/><Relationship Id="rId501" Type="http://schemas.openxmlformats.org/officeDocument/2006/relationships/hyperlink" Target="https://techcombank.com/thong-tin/blog/quet-ma-qr-techcombank" TargetMode="External"/><Relationship Id="rId500" Type="http://schemas.openxmlformats.org/officeDocument/2006/relationships/hyperlink" Target="https://techcombank.com/thong-tin/blog/quan-ly-tai-chinh-cho-dan-van-phong" TargetMode="External"/><Relationship Id="rId507" Type="http://schemas.openxmlformats.org/officeDocument/2006/relationships/hyperlink" Target="https://techcombank.com/thong-tin/blog/shang-chi" TargetMode="External"/><Relationship Id="rId506" Type="http://schemas.openxmlformats.org/officeDocument/2006/relationships/hyperlink" Target="https://techcombank.com/thong-tin/blog/sai-lam-ve-tai-chinh-ca-nhan" TargetMode="External"/><Relationship Id="rId505" Type="http://schemas.openxmlformats.org/officeDocument/2006/relationships/hyperlink" Target="https://techcombank.com/thong-tin/blog/rut-tien-tiet-kiem-truoc-thoi-han" TargetMode="External"/><Relationship Id="rId504" Type="http://schemas.openxmlformats.org/officeDocument/2006/relationships/hyperlink" Target="https://techcombank.com/thong-tin/blog/remittance-la-gi" TargetMode="External"/><Relationship Id="rId525" Type="http://schemas.openxmlformats.org/officeDocument/2006/relationships/hyperlink" Target="https://techcombank.com/thong-tin/blog/techcombank-oneu" TargetMode="External"/><Relationship Id="rId524" Type="http://schemas.openxmlformats.org/officeDocument/2006/relationships/hyperlink" Target="https://techcombank.com/thong-tin/blog/tao-ma-qr-thanh-toan-cho-cua-hang" TargetMode="External"/><Relationship Id="rId523" Type="http://schemas.openxmlformats.org/officeDocument/2006/relationships/hyperlink" Target="https://techcombank.com/thong-tin/blog/tai-khoan-tiet-kiem" TargetMode="External"/><Relationship Id="rId522" Type="http://schemas.openxmlformats.org/officeDocument/2006/relationships/hyperlink" Target="https://techcombank.com/thong-tin/blog/tai-khoan-thanh-toan-la-gi" TargetMode="External"/><Relationship Id="rId529" Type="http://schemas.openxmlformats.org/officeDocument/2006/relationships/hyperlink" Target="https://techcombank.com/thong-tin/blog/thanh-toan-khi-du-lich-trung-quoc" TargetMode="External"/><Relationship Id="rId528" Type="http://schemas.openxmlformats.org/officeDocument/2006/relationships/hyperlink" Target="https://techcombank.com/thong-tin/blog/thanh-toan-khi-du-lich-thai-lan" TargetMode="External"/><Relationship Id="rId527" Type="http://schemas.openxmlformats.org/officeDocument/2006/relationships/hyperlink" Target="https://techcombank.com/thong-tin/blog/thanh-toan-hoc-phi-online" TargetMode="External"/><Relationship Id="rId526" Type="http://schemas.openxmlformats.org/officeDocument/2006/relationships/hyperlink" Target="https://techcombank.com/thong-tin/blog/thanh-toan-bang-ma-qr" TargetMode="External"/><Relationship Id="rId521" Type="http://schemas.openxmlformats.org/officeDocument/2006/relationships/hyperlink" Target="https://techcombank.com/thong-tin/blog/tai-khoan-ngan-hang-con-0-dong-co-sao-khong" TargetMode="External"/><Relationship Id="rId520" Type="http://schemas.openxmlformats.org/officeDocument/2006/relationships/hyperlink" Target="https://techcombank.com/thong-tin/blog/tai-khoan-ngan-hang-bi-khoa" TargetMode="External"/><Relationship Id="rId519" Type="http://schemas.openxmlformats.org/officeDocument/2006/relationships/hyperlink" Target="https://techcombank.com/thong-tin/blog/tai-khoan-cong-ty-co-chuyen-online-duoc-khong" TargetMode="External"/><Relationship Id="rId514" Type="http://schemas.openxmlformats.org/officeDocument/2006/relationships/hyperlink" Target="https://techcombank.com/thong-tin/blog/so-tai-khoan-dep" TargetMode="External"/><Relationship Id="rId513" Type="http://schemas.openxmlformats.org/officeDocument/2006/relationships/hyperlink" Target="https://techcombank.com/thong-tin/blog/so-sanh-ma-qr-va-ma-vach" TargetMode="External"/><Relationship Id="rId512" Type="http://schemas.openxmlformats.org/officeDocument/2006/relationships/hyperlink" Target="https://techcombank.com/thong-tin/blog/so-du-tai-khoan-thanh-toan" TargetMode="External"/><Relationship Id="rId511" Type="http://schemas.openxmlformats.org/officeDocument/2006/relationships/hyperlink" Target="https://techcombank.com/thong-tin/blog/so-du-kha-dung" TargetMode="External"/><Relationship Id="rId518" Type="http://schemas.openxmlformats.org/officeDocument/2006/relationships/hyperlink" Target="https://techcombank.com/thong-tin/blog/tactical-asset-allocation" TargetMode="External"/><Relationship Id="rId517" Type="http://schemas.openxmlformats.org/officeDocument/2006/relationships/hyperlink" Target="https://techcombank.com/thong-tin/blog/so-tiet-kiem-ngan-hang" TargetMode="External"/><Relationship Id="rId516" Type="http://schemas.openxmlformats.org/officeDocument/2006/relationships/hyperlink" Target="https://techcombank.com/thong-tin/blog/so-the-ngan-hang" TargetMode="External"/><Relationship Id="rId515" Type="http://schemas.openxmlformats.org/officeDocument/2006/relationships/hyperlink" Target="https://techcombank.com/thong-tin/blog/so-tai-khoan-ngan-hang" TargetMode="External"/><Relationship Id="rId510" Type="http://schemas.openxmlformats.org/officeDocument/2006/relationships/hyperlink" Target="https://techcombank.com/thong-tin/blog/so-8386" TargetMode="External"/><Relationship Id="rId590" Type="http://schemas.openxmlformats.org/officeDocument/2006/relationships/hyperlink" Target="https://techcombank.com/thong-tin/blog/bao-hiem-suc-khoe-la-gi" TargetMode="External"/><Relationship Id="rId107" Type="http://schemas.openxmlformats.org/officeDocument/2006/relationships/hyperlink" Target="https://techcombank.com/thong-tin/blog/lai-suat-vay-the-chap" TargetMode="External"/><Relationship Id="rId106" Type="http://schemas.openxmlformats.org/officeDocument/2006/relationships/hyperlink" Target="https://techcombank.com/thong-tin/blog/lai-suat-vay-thau-chi" TargetMode="External"/><Relationship Id="rId105" Type="http://schemas.openxmlformats.org/officeDocument/2006/relationships/hyperlink" Target="https://techcombank.com/thong-tin/blog/kinh-nghiem-gui-tiet-kiem-online" TargetMode="External"/><Relationship Id="rId589" Type="http://schemas.openxmlformats.org/officeDocument/2006/relationships/hyperlink" Target="https://techcombank.com/thong-tin/blog/bao-hiem-sinh-ky-la-gi" TargetMode="External"/><Relationship Id="rId104" Type="http://schemas.openxmlformats.org/officeDocument/2006/relationships/hyperlink" Target="https://techcombank.com/thong-tin/blog/ke-khai-thue-ho-kinh-doanh-ca-the-online" TargetMode="External"/><Relationship Id="rId588" Type="http://schemas.openxmlformats.org/officeDocument/2006/relationships/hyperlink" Target="https://techcombank.com/thong-tin/blog/bao-hiem-pin-xe-dien" TargetMode="External"/><Relationship Id="rId109" Type="http://schemas.openxmlformats.org/officeDocument/2006/relationships/hyperlink" Target="https://techcombank.com/thong-tin/blog/loi-nhuan" TargetMode="External"/><Relationship Id="rId108" Type="http://schemas.openxmlformats.org/officeDocument/2006/relationships/hyperlink" Target="https://techcombank.com/thong-tin/blog/lam-the-tin-dung-co-mat-phi-khong" TargetMode="External"/><Relationship Id="rId583" Type="http://schemas.openxmlformats.org/officeDocument/2006/relationships/hyperlink" Target="https://techcombank.com/thong-tin/blog/bang-can-doi-tai-chinh" TargetMode="External"/><Relationship Id="rId582" Type="http://schemas.openxmlformats.org/officeDocument/2006/relationships/hyperlink" Target="https://techcombank.com/thong-tin/blog/ban-do-du-lich" TargetMode="External"/><Relationship Id="rId581" Type="http://schemas.openxmlformats.org/officeDocument/2006/relationships/hyperlink" Target="https://techcombank.com/thong-tin/blog/app-theo-doi-chung-chi-quy" TargetMode="External"/><Relationship Id="rId580" Type="http://schemas.openxmlformats.org/officeDocument/2006/relationships/hyperlink" Target="https://techcombank.com/thong-tin/blog/app-ngan-hang-uy-tin" TargetMode="External"/><Relationship Id="rId103" Type="http://schemas.openxmlformats.org/officeDocument/2006/relationships/hyperlink" Target="https://techcombank.com/thong-tin/blog/hoan-thue-thu-nhap-ca-nhan" TargetMode="External"/><Relationship Id="rId587" Type="http://schemas.openxmlformats.org/officeDocument/2006/relationships/hyperlink" Target="https://techcombank.com/thong-tin/blog/bao-hiem-nhan-tho-la-gi" TargetMode="External"/><Relationship Id="rId102" Type="http://schemas.openxmlformats.org/officeDocument/2006/relationships/hyperlink" Target="https://techcombank.com/thong-tin/blog/hoan-thue-doanh-nghiep" TargetMode="External"/><Relationship Id="rId586" Type="http://schemas.openxmlformats.org/officeDocument/2006/relationships/hyperlink" Target="https://techcombank.com/thong-tin/blog/bao-hiem-lien-ket-dau-tu" TargetMode="External"/><Relationship Id="rId101" Type="http://schemas.openxmlformats.org/officeDocument/2006/relationships/hyperlink" Target="https://techcombank.com/thong-tin/blog/han-muc-vay-the-chap-so-do" TargetMode="External"/><Relationship Id="rId585" Type="http://schemas.openxmlformats.org/officeDocument/2006/relationships/hyperlink" Target="https://techcombank.com/thong-tin/blog/bao-hiem-hanh-ly" TargetMode="External"/><Relationship Id="rId100" Type="http://schemas.openxmlformats.org/officeDocument/2006/relationships/hyperlink" Target="https://techcombank.com/thong-tin/blog/han-muc-the-tin-dung" TargetMode="External"/><Relationship Id="rId584" Type="http://schemas.openxmlformats.org/officeDocument/2006/relationships/hyperlink" Target="https://techcombank.com/thong-tin/blog/bang-gia-chung-chi-quy" TargetMode="External"/><Relationship Id="rId579" Type="http://schemas.openxmlformats.org/officeDocument/2006/relationships/hyperlink" Target="https://techcombank.com/thong-tin/blog/app-ngan-hang-co-dung-duoc-o-nuoc-ngoai" TargetMode="External"/><Relationship Id="rId578" Type="http://schemas.openxmlformats.org/officeDocument/2006/relationships/hyperlink" Target="https://techcombank.com/thong-tin/blog/app-chia-tien" TargetMode="External"/><Relationship Id="rId577" Type="http://schemas.openxmlformats.org/officeDocument/2006/relationships/hyperlink" Target="https://techcombank.com/thong-tin/blog/anh-sang-cuoi-duong-ham-xuat-hien-trai-phieu-doanh-nghiep-tot-va-an-toan-se-duoc-nha-dau-tu-chon" TargetMode="External"/><Relationship Id="rId572" Type="http://schemas.openxmlformats.org/officeDocument/2006/relationships/hyperlink" Target="https://techcombank.com/thong-tin/blog/1-euro-bang-bao-nhieu-tien-viet" TargetMode="External"/><Relationship Id="rId571" Type="http://schemas.openxmlformats.org/officeDocument/2006/relationships/hyperlink" Target="https://techcombank.com/thong-tin/blog/y-nghia-so-68" TargetMode="External"/><Relationship Id="rId570" Type="http://schemas.openxmlformats.org/officeDocument/2006/relationships/hyperlink" Target="https://techcombank.com/thong-tin/blog/xu-huong-dau-tu-trai-phieu-ky-han-duoi-mot-nam-lua-chon-an-toan-khi-thi-truong-bien-dong" TargetMode="External"/><Relationship Id="rId576" Type="http://schemas.openxmlformats.org/officeDocument/2006/relationships/hyperlink" Target="https://techcombank.com/thong-tin/blog/an-han-no-goc-la-gi" TargetMode="External"/><Relationship Id="rId575" Type="http://schemas.openxmlformats.org/officeDocument/2006/relationships/hyperlink" Target="https://techcombank.com/thong-tin/blog/5-trieu-mua-duoc-bao-nhieu-vang" TargetMode="External"/><Relationship Id="rId574" Type="http://schemas.openxmlformats.org/officeDocument/2006/relationships/hyperlink" Target="https://techcombank.com/thong-tin/blog/4p-pizza" TargetMode="External"/><Relationship Id="rId573" Type="http://schemas.openxmlformats.org/officeDocument/2006/relationships/hyperlink" Target="https://techcombank.com/thong-tin/blog/1-te-bang-bao-nhieu-tien-viet-nam" TargetMode="External"/><Relationship Id="rId129" Type="http://schemas.openxmlformats.org/officeDocument/2006/relationships/hyperlink" Target="https://techcombank.com/thong-tin/blog/the-tin-dung-vip" TargetMode="External"/><Relationship Id="rId128" Type="http://schemas.openxmlformats.org/officeDocument/2006/relationships/hyperlink" Target="https://techcombank.com/thong-tin/blog/the-tin-dung-techcombank-visa-eco" TargetMode="External"/><Relationship Id="rId127" Type="http://schemas.openxmlformats.org/officeDocument/2006/relationships/hyperlink" Target="https://techcombank.com/thong-tin/blog/the-tin-dung-quoc-te" TargetMode="External"/><Relationship Id="rId126" Type="http://schemas.openxmlformats.org/officeDocument/2006/relationships/hyperlink" Target="https://techcombank.com/thong-tin/blog/the-tin-dung-noi-dia" TargetMode="External"/><Relationship Id="rId121" Type="http://schemas.openxmlformats.org/officeDocument/2006/relationships/hyperlink" Target="https://techcombank.com/thong-tin/blog/so-sanh-gui-tiet-kiem-online-va-tai-quay" TargetMode="External"/><Relationship Id="rId120" Type="http://schemas.openxmlformats.org/officeDocument/2006/relationships/hyperlink" Target="https://techcombank.com/thong-tin/blog/rut-tien-mat-tu-the-tin-dung" TargetMode="External"/><Relationship Id="rId125" Type="http://schemas.openxmlformats.org/officeDocument/2006/relationships/hyperlink" Target="https://techcombank.com/thong-tin/blog/the-tin-dung-mien-lai-55-ngay" TargetMode="External"/><Relationship Id="rId124" Type="http://schemas.openxmlformats.org/officeDocument/2006/relationships/hyperlink" Target="https://techcombank.com/thong-tin/blog/the-ghi-no-va-the-tin-dung" TargetMode="External"/><Relationship Id="rId123" Type="http://schemas.openxmlformats.org/officeDocument/2006/relationships/hyperlink" Target="https://techcombank.com/thong-tin/blog/tat-toan" TargetMode="External"/><Relationship Id="rId122" Type="http://schemas.openxmlformats.org/officeDocument/2006/relationships/hyperlink" Target="https://techcombank.com/thong-tin/blog/tai-sao-gui-tiet-kiem-online-lai-suat-cao-hon" TargetMode="External"/><Relationship Id="rId118" Type="http://schemas.openxmlformats.org/officeDocument/2006/relationships/hyperlink" Target="https://techcombank.com/thong-tin/blog/quy-trinh-tat-toan-khoan-vay-the-chap" TargetMode="External"/><Relationship Id="rId117" Type="http://schemas.openxmlformats.org/officeDocument/2006/relationships/hyperlink" Target="https://techcombank.com/thong-tin/blog/quy-trinh-gui-tien-tiet-kiem" TargetMode="External"/><Relationship Id="rId116" Type="http://schemas.openxmlformats.org/officeDocument/2006/relationships/hyperlink" Target="https://techcombank.com/thong-tin/blog/one-stop-shop" TargetMode="External"/><Relationship Id="rId115" Type="http://schemas.openxmlformats.org/officeDocument/2006/relationships/hyperlink" Target="https://techcombank.com/thong-tin/blog/no-nhom-3" TargetMode="External"/><Relationship Id="rId599" Type="http://schemas.openxmlformats.org/officeDocument/2006/relationships/hyperlink" Target="https://techcombank.com/thong-tin/blog/cach-lay-lai-tien-da-chuyen-khoan-khi-bi-lua" TargetMode="External"/><Relationship Id="rId119" Type="http://schemas.openxmlformats.org/officeDocument/2006/relationships/hyperlink" Target="https://techcombank.com/thong-tin/blog/quyet-toan-thue-thu-nhap-ca-nhan" TargetMode="External"/><Relationship Id="rId110" Type="http://schemas.openxmlformats.org/officeDocument/2006/relationships/hyperlink" Target="https://techcombank.com/thong-tin/blog/ma-buu-chinh-the-tin-dung" TargetMode="External"/><Relationship Id="rId594" Type="http://schemas.openxmlformats.org/officeDocument/2006/relationships/hyperlink" Target="https://techcombank.com/thong-tin/blog/cac-loai-hinh-doanh-nghiep" TargetMode="External"/><Relationship Id="rId593" Type="http://schemas.openxmlformats.org/officeDocument/2006/relationships/hyperlink" Target="https://techcombank.com/thong-tin/blog/bi-quyet-lua-chon-trai-phieu-an-toan-cho-nha-dau-tu" TargetMode="External"/><Relationship Id="rId592" Type="http://schemas.openxmlformats.org/officeDocument/2006/relationships/hyperlink" Target="https://techcombank.com/thong-tin/blog/bao-nhieu-tuoi-duoc-mo-tai-khoan-ngan-hang" TargetMode="External"/><Relationship Id="rId591" Type="http://schemas.openxmlformats.org/officeDocument/2006/relationships/hyperlink" Target="https://techcombank.com/thong-tin/blog/bao-hiem-tu-ky-la-gi" TargetMode="External"/><Relationship Id="rId114" Type="http://schemas.openxmlformats.org/officeDocument/2006/relationships/hyperlink" Target="https://techcombank.com/thong-tin/blog/nen-mua-xe-tra-gop-hay-tra-thang" TargetMode="External"/><Relationship Id="rId598" Type="http://schemas.openxmlformats.org/officeDocument/2006/relationships/hyperlink" Target="https://techcombank.com/thong-tin/blog/cach-doc-bao-cao-tai-chinh" TargetMode="External"/><Relationship Id="rId113" Type="http://schemas.openxmlformats.org/officeDocument/2006/relationships/hyperlink" Target="https://techcombank.com/thong-tin/blog/nen-gui-tiet-kiem-6-thang-hay-1-nam" TargetMode="External"/><Relationship Id="rId597" Type="http://schemas.openxmlformats.org/officeDocument/2006/relationships/hyperlink" Target="https://techcombank.com/thong-tin/blog/cach-dau-tu" TargetMode="External"/><Relationship Id="rId112" Type="http://schemas.openxmlformats.org/officeDocument/2006/relationships/hyperlink" Target="https://techcombank.com/thong-tin/blog/mat-the-tin-dung-co-lam-lai-duoc-khong" TargetMode="External"/><Relationship Id="rId596" Type="http://schemas.openxmlformats.org/officeDocument/2006/relationships/hyperlink" Target="https://techcombank.com/thong-tin/blog/cach-dang-ky-the-visa" TargetMode="External"/><Relationship Id="rId111" Type="http://schemas.openxmlformats.org/officeDocument/2006/relationships/hyperlink" Target="https://techcombank.com/thong-tin/blog/mat-the-tin-dung-co-bi-mat-tien-khong" TargetMode="External"/><Relationship Id="rId595" Type="http://schemas.openxmlformats.org/officeDocument/2006/relationships/hyperlink" Target="https://techcombank.com/thong-tin/blog/cach-dang-ky-dinh-danh-muc-2" TargetMode="External"/><Relationship Id="rId547" Type="http://schemas.openxmlformats.org/officeDocument/2006/relationships/hyperlink" Target="https://techcombank.com/thong-tin/blog/thue-doanh-nghiep-2025" TargetMode="External"/><Relationship Id="rId546" Type="http://schemas.openxmlformats.org/officeDocument/2006/relationships/hyperlink" Target="https://techcombank.com/thong-tin/blog/thu-tuc-vay-von-ngan-hang-de-xay-nha" TargetMode="External"/><Relationship Id="rId545" Type="http://schemas.openxmlformats.org/officeDocument/2006/relationships/hyperlink" Target="https://techcombank.com/thong-tin/blog/thu-tuc-vay-ngan-hang-mua-nha" TargetMode="External"/><Relationship Id="rId544" Type="http://schemas.openxmlformats.org/officeDocument/2006/relationships/hyperlink" Target="https://techcombank.com/thong-tin/blog/thu-tuc-chuyen-tien-ra-nuoc-ngoai" TargetMode="External"/><Relationship Id="rId549" Type="http://schemas.openxmlformats.org/officeDocument/2006/relationships/hyperlink" Target="https://techcombank.com/thong-tin/blog/tien-dai-loan" TargetMode="External"/><Relationship Id="rId548" Type="http://schemas.openxmlformats.org/officeDocument/2006/relationships/hyperlink" Target="https://techcombank.com/thong-tin/blog/tich-diem-doi-qua" TargetMode="External"/><Relationship Id="rId543" Type="http://schemas.openxmlformats.org/officeDocument/2006/relationships/hyperlink" Target="https://techcombank.com/thong-tin/blog/the-visa-co-may-loai" TargetMode="External"/><Relationship Id="rId542" Type="http://schemas.openxmlformats.org/officeDocument/2006/relationships/hyperlink" Target="https://techcombank.com/thong-tin/blog/the-visa-ao-la-gi" TargetMode="External"/><Relationship Id="rId541" Type="http://schemas.openxmlformats.org/officeDocument/2006/relationships/hyperlink" Target="https://techcombank.com/thong-tin/blog/the-nao-la-tiet-kiem" TargetMode="External"/><Relationship Id="rId540" Type="http://schemas.openxmlformats.org/officeDocument/2006/relationships/hyperlink" Target="https://techcombank.com/thong-tin/blog/the-mastercard-la-gi" TargetMode="External"/><Relationship Id="rId536" Type="http://schemas.openxmlformats.org/officeDocument/2006/relationships/hyperlink" Target="https://techcombank.com/thong-tin/blog/the-debit" TargetMode="External"/><Relationship Id="rId535" Type="http://schemas.openxmlformats.org/officeDocument/2006/relationships/hyperlink" Target="https://techcombank.com/thong-tin/blog/the-atm-tu" TargetMode="External"/><Relationship Id="rId534" Type="http://schemas.openxmlformats.org/officeDocument/2006/relationships/hyperlink" Target="https://techcombank.com/thong-tin/blog/the-atm-gan-chip" TargetMode="External"/><Relationship Id="rId533" Type="http://schemas.openxmlformats.org/officeDocument/2006/relationships/hyperlink" Target="https://techcombank.com/thong-tin/blog/thanh-toan-ve-may-bay-online" TargetMode="External"/><Relationship Id="rId539" Type="http://schemas.openxmlformats.org/officeDocument/2006/relationships/hyperlink" Target="https://techcombank.com/thong-tin/blog/the-he-ke-can" TargetMode="External"/><Relationship Id="rId538" Type="http://schemas.openxmlformats.org/officeDocument/2006/relationships/hyperlink" Target="https://techcombank.com/thong-tin/blog/the-ghi-no-noi-dia" TargetMode="External"/><Relationship Id="rId537" Type="http://schemas.openxmlformats.org/officeDocument/2006/relationships/hyperlink" Target="https://techcombank.com/thong-tin/blog/the-ghi-no-la-gi" TargetMode="External"/><Relationship Id="rId532" Type="http://schemas.openxmlformats.org/officeDocument/2006/relationships/hyperlink" Target="https://techcombank.com/thong-tin/blog/thanh-toan-qr-thai-lan" TargetMode="External"/><Relationship Id="rId531" Type="http://schemas.openxmlformats.org/officeDocument/2006/relationships/hyperlink" Target="https://techcombank.com/thong-tin/blog/thanh-toan-ma-qr-tro-thanh-phuong-thuc-duoc-ua-chuong-va-trien-khai-manh-me" TargetMode="External"/><Relationship Id="rId530" Type="http://schemas.openxmlformats.org/officeDocument/2006/relationships/hyperlink" Target="https://techcombank.com/thong-tin/blog/thanh-toan-khoan-vay" TargetMode="External"/><Relationship Id="rId569" Type="http://schemas.openxmlformats.org/officeDocument/2006/relationships/hyperlink" Target="https://techcombank.com/thong-tin/blog/xac-thuc-sinh-trac-hoc-khi-chuyen-tien" TargetMode="External"/><Relationship Id="rId568" Type="http://schemas.openxmlformats.org/officeDocument/2006/relationships/hyperlink" Target="https://techcombank.com/thong-tin/blog/voucher-xanh-sm" TargetMode="External"/><Relationship Id="rId567" Type="http://schemas.openxmlformats.org/officeDocument/2006/relationships/hyperlink" Target="https://techcombank.com/thong-tin/blog/voucher-phuc-long" TargetMode="External"/><Relationship Id="rId566" Type="http://schemas.openxmlformats.org/officeDocument/2006/relationships/hyperlink" Target="https://techcombank.com/thong-tin/blog/viet-kieu-co-mo-duoc-tai-khoan-ngan-hang-khong" TargetMode="External"/><Relationship Id="rId561" Type="http://schemas.openxmlformats.org/officeDocument/2006/relationships/hyperlink" Target="https://techcombank.com/thong-tin/blog/vay-tin-chap-cho-doanh-nghiep-moi-thanh-lap" TargetMode="External"/><Relationship Id="rId560" Type="http://schemas.openxmlformats.org/officeDocument/2006/relationships/hyperlink" Target="https://techcombank.com/thong-tin/blog/vay-sinh-vien" TargetMode="External"/><Relationship Id="rId565" Type="http://schemas.openxmlformats.org/officeDocument/2006/relationships/hyperlink" Target="https://techcombank.com/thong-tin/blog/vi-tra-sau" TargetMode="External"/><Relationship Id="rId564" Type="http://schemas.openxmlformats.org/officeDocument/2006/relationships/hyperlink" Target="https://techcombank.com/thong-tin/blog/vi-dien-tu" TargetMode="External"/><Relationship Id="rId563" Type="http://schemas.openxmlformats.org/officeDocument/2006/relationships/hyperlink" Target="https://techcombank.com/thong-tin/blog/vay-von-doanh-nghiep-khong-the-chap" TargetMode="External"/><Relationship Id="rId562" Type="http://schemas.openxmlformats.org/officeDocument/2006/relationships/hyperlink" Target="https://techcombank.com/thong-tin/blog/vay-tin-chap-khong-tra-duoc-co-sao-khong" TargetMode="External"/><Relationship Id="rId558" Type="http://schemas.openxmlformats.org/officeDocument/2006/relationships/hyperlink" Target="https://techcombank.com/thong-tin/blog/vay-kinh-doanh-online" TargetMode="External"/><Relationship Id="rId557" Type="http://schemas.openxmlformats.org/officeDocument/2006/relationships/hyperlink" Target="https://techcombank.com/thong-tin/blog/vay-50-trieu" TargetMode="External"/><Relationship Id="rId556" Type="http://schemas.openxmlformats.org/officeDocument/2006/relationships/hyperlink" Target="https://techcombank.com/thong-tin/blog/ung-dung-cong-nghe" TargetMode="External"/><Relationship Id="rId555" Type="http://schemas.openxmlformats.org/officeDocument/2006/relationships/hyperlink" Target="https://techcombank.com/thong-tin/blog/tra-cuu-hoa-don-tien-dien" TargetMode="External"/><Relationship Id="rId559" Type="http://schemas.openxmlformats.org/officeDocument/2006/relationships/hyperlink" Target="https://techcombank.com/thong-tin/blog/vay-ngan-han" TargetMode="External"/><Relationship Id="rId550" Type="http://schemas.openxmlformats.org/officeDocument/2006/relationships/hyperlink" Target="https://techcombank.com/thong-tin/blog/tien-indonesia" TargetMode="External"/><Relationship Id="rId554" Type="http://schemas.openxmlformats.org/officeDocument/2006/relationships/hyperlink" Target="https://techcombank.com/thong-tin/blog/tin-chap-doanh-nghiep" TargetMode="External"/><Relationship Id="rId553" Type="http://schemas.openxmlformats.org/officeDocument/2006/relationships/hyperlink" Target="https://techcombank.com/thong-tin/blog/tieu-dung-ben-vung" TargetMode="External"/><Relationship Id="rId552" Type="http://schemas.openxmlformats.org/officeDocument/2006/relationships/hyperlink" Target="https://techcombank.com/thong-tin/blog/tien-thai-lan" TargetMode="External"/><Relationship Id="rId551" Type="http://schemas.openxmlformats.org/officeDocument/2006/relationships/hyperlink" Target="https://techcombank.com/thong-tin/blog/tien-lao" TargetMode="External"/><Relationship Id="rId495" Type="http://schemas.openxmlformats.org/officeDocument/2006/relationships/hyperlink" Target="https://techcombank.com/thong-tin/blog/phi-chuyen-doi-ngoai-te" TargetMode="External"/><Relationship Id="rId494" Type="http://schemas.openxmlformats.org/officeDocument/2006/relationships/hyperlink" Target="https://techcombank.com/thong-tin/blog/phan-bo-tai-san" TargetMode="External"/><Relationship Id="rId493" Type="http://schemas.openxmlformats.org/officeDocument/2006/relationships/hyperlink" Target="https://techcombank.com/thong-tin/blog/npv-la-gi" TargetMode="External"/><Relationship Id="rId492" Type="http://schemas.openxmlformats.org/officeDocument/2006/relationships/hyperlink" Target="https://techcombank.com/thong-tin/blog/ngan-hang-xanh" TargetMode="External"/><Relationship Id="rId499" Type="http://schemas.openxmlformats.org/officeDocument/2006/relationships/hyperlink" Target="https://techcombank.com/thong-tin/blog/qr-dong" TargetMode="External"/><Relationship Id="rId498" Type="http://schemas.openxmlformats.org/officeDocument/2006/relationships/hyperlink" Target="https://techcombank.com/thong-tin/blog/qr-code-phuong-thuc-thanh-toan-toi-uu-trong-ky-nguyen-so" TargetMode="External"/><Relationship Id="rId497" Type="http://schemas.openxmlformats.org/officeDocument/2006/relationships/hyperlink" Target="https://techcombank.com/thong-tin/blog/qr-code-doanh-nghiep" TargetMode="External"/><Relationship Id="rId496" Type="http://schemas.openxmlformats.org/officeDocument/2006/relationships/hyperlink" Target="https://techcombank.com/thong-tin/blog/pos" TargetMode="External"/><Relationship Id="rId409" Type="http://schemas.openxmlformats.org/officeDocument/2006/relationships/hyperlink" Target="https://techcombank.com/thong-tin/blog/99999-co-y-nghia-gi" TargetMode="External"/><Relationship Id="rId404" Type="http://schemas.openxmlformats.org/officeDocument/2006/relationships/hyperlink" Target="https://techcombank.com/thong-tin/blog/100-riel-bang-bao-nhieu-tien-viet-nam" TargetMode="External"/><Relationship Id="rId403" Type="http://schemas.openxmlformats.org/officeDocument/2006/relationships/hyperlink" Target="https://techcombank.com/thong-tin/blog/1-won-bang-bao-nhieu-tien-viet" TargetMode="External"/><Relationship Id="rId402" Type="http://schemas.openxmlformats.org/officeDocument/2006/relationships/hyperlink" Target="https://techcombank.com/thong-tin/blog/1-van-tien-dai-loan-bang-bao-nhieu-tien-viet" TargetMode="External"/><Relationship Id="rId401" Type="http://schemas.openxmlformats.org/officeDocument/2006/relationships/hyperlink" Target="https://techcombank.com/thong-tin/blog/1-van-te-bang-bao-nhieu-tien-viet" TargetMode="External"/><Relationship Id="rId408" Type="http://schemas.openxmlformats.org/officeDocument/2006/relationships/hyperlink" Target="https://techcombank.com/thong-tin/blog/8868" TargetMode="External"/><Relationship Id="rId407" Type="http://schemas.openxmlformats.org/officeDocument/2006/relationships/hyperlink" Target="https://techcombank.com/thong-tin/blog/88-la-gi" TargetMode="External"/><Relationship Id="rId406" Type="http://schemas.openxmlformats.org/officeDocument/2006/relationships/hyperlink" Target="https://techcombank.com/thong-tin/blog/66666-co-y-nghia-gi" TargetMode="External"/><Relationship Id="rId405" Type="http://schemas.openxmlformats.org/officeDocument/2006/relationships/hyperlink" Target="https://techcombank.com/thong-tin/blog/1000-te-bang-bao-nhieu-tien-viet" TargetMode="External"/><Relationship Id="rId400" Type="http://schemas.openxmlformats.org/officeDocument/2006/relationships/hyperlink" Target="https://techcombank.com/thong-tin/blog/1-trieu-do-bang-bao-nhieu-tien-viet" TargetMode="External"/><Relationship Id="rId469" Type="http://schemas.openxmlformats.org/officeDocument/2006/relationships/hyperlink" Target="https://techcombank.com/thong-tin/blog/li-xi-so-dep" TargetMode="External"/><Relationship Id="rId468" Type="http://schemas.openxmlformats.org/officeDocument/2006/relationships/hyperlink" Target="https://techcombank.com/thong-tin/blog/lap-ke-hoach-tai-chinh-ca-nhan" TargetMode="External"/><Relationship Id="rId467" Type="http://schemas.openxmlformats.org/officeDocument/2006/relationships/hyperlink" Target="https://techcombank.com/thong-tin/blog/lap-ke-hoach-chi-tieu-ca-nhan" TargetMode="External"/><Relationship Id="rId462" Type="http://schemas.openxmlformats.org/officeDocument/2006/relationships/hyperlink" Target="https://techcombank.com/thong-tin/blog/lai-kep-ngan-hang" TargetMode="External"/><Relationship Id="rId461" Type="http://schemas.openxmlformats.org/officeDocument/2006/relationships/hyperlink" Target="https://techcombank.com/thong-tin/blog/khoi-nghiep-truoc-chinh-sach-thue-moi" TargetMode="External"/><Relationship Id="rId460" Type="http://schemas.openxmlformats.org/officeDocument/2006/relationships/hyperlink" Target="https://techcombank.com/thong-tin/blog/khau-vi-nha-dau-tu-tpdn-thay-doi-the-nao-sau-nhung-bien-dong-vua-qua" TargetMode="External"/><Relationship Id="rId466" Type="http://schemas.openxmlformats.org/officeDocument/2006/relationships/hyperlink" Target="https://techcombank.com/thong-tin/blog/lam-the-visa-online" TargetMode="External"/><Relationship Id="rId465" Type="http://schemas.openxmlformats.org/officeDocument/2006/relationships/hyperlink" Target="https://techcombank.com/thong-tin/blog/lam-the-visa-mat-bao-lau" TargetMode="External"/><Relationship Id="rId464" Type="http://schemas.openxmlformats.org/officeDocument/2006/relationships/hyperlink" Target="https://techcombank.com/thong-tin/blog/lam-ma-qr-ngan-hang-co-mat-phi-khong" TargetMode="External"/><Relationship Id="rId463" Type="http://schemas.openxmlformats.org/officeDocument/2006/relationships/hyperlink" Target="https://techcombank.com/thong-tin/blog/lai-suat-chung-chi-tien-gui-cac-ngan-hang" TargetMode="External"/><Relationship Id="rId459" Type="http://schemas.openxmlformats.org/officeDocument/2006/relationships/hyperlink" Target="https://techcombank.com/thong-tin/blog/in-ma-qr-ngan-hang" TargetMode="External"/><Relationship Id="rId458" Type="http://schemas.openxmlformats.org/officeDocument/2006/relationships/hyperlink" Target="https://techcombank.com/thong-tin/blog/iban-la-gi" TargetMode="External"/><Relationship Id="rId457" Type="http://schemas.openxmlformats.org/officeDocument/2006/relationships/hyperlink" Target="https://techcombank.com/thong-tin/blog/huong-dan-dang-ky-thanh-lap-doanh-nghiep" TargetMode="External"/><Relationship Id="rId456" Type="http://schemas.openxmlformats.org/officeDocument/2006/relationships/hyperlink" Target="https://techcombank.com/thong-tin/blog/hu-chi-tieu" TargetMode="External"/><Relationship Id="rId451" Type="http://schemas.openxmlformats.org/officeDocument/2006/relationships/hyperlink" Target="https://techcombank.com/thong-tin/blog/gui-ma-qr-ngan-hang" TargetMode="External"/><Relationship Id="rId450" Type="http://schemas.openxmlformats.org/officeDocument/2006/relationships/hyperlink" Target="https://techcombank.com/thong-tin/blog/giao-thong-xanh" TargetMode="External"/><Relationship Id="rId455" Type="http://schemas.openxmlformats.org/officeDocument/2006/relationships/hyperlink" Target="https://techcombank.com/thong-tin/blog/ho-so-vay-tin-chap" TargetMode="External"/><Relationship Id="rId454" Type="http://schemas.openxmlformats.org/officeDocument/2006/relationships/hyperlink" Target="https://techcombank.com/thong-tin/blog/ho-so-thu-tuc-xoa-the-chap" TargetMode="External"/><Relationship Id="rId453" Type="http://schemas.openxmlformats.org/officeDocument/2006/relationships/hyperlink" Target="https://techcombank.com/thong-tin/blog/gui-tien-du-hoc" TargetMode="External"/><Relationship Id="rId452" Type="http://schemas.openxmlformats.org/officeDocument/2006/relationships/hyperlink" Target="https://techcombank.com/thong-tin/blog/gui-them-tien-vao-so-tiet-kiem" TargetMode="External"/><Relationship Id="rId491" Type="http://schemas.openxmlformats.org/officeDocument/2006/relationships/hyperlink" Target="https://techcombank.com/thong-tin/blog/ngan-hang-thu-huong-la-gi" TargetMode="External"/><Relationship Id="rId490" Type="http://schemas.openxmlformats.org/officeDocument/2006/relationships/hyperlink" Target="https://techcombank.com/thong-tin/blog/ngan-hang-so-cho-doanh-nghiep" TargetMode="External"/><Relationship Id="rId489" Type="http://schemas.openxmlformats.org/officeDocument/2006/relationships/hyperlink" Target="https://techcombank.com/thong-tin/blog/nen-vay-tin-chap-o-dau" TargetMode="External"/><Relationship Id="rId484" Type="http://schemas.openxmlformats.org/officeDocument/2006/relationships/hyperlink" Target="https://techcombank.com/thong-tin/blog/mo-tai-khoan-ngan-hang-online-co-an-toan-khong" TargetMode="External"/><Relationship Id="rId483" Type="http://schemas.openxmlformats.org/officeDocument/2006/relationships/hyperlink" Target="https://techcombank.com/thong-tin/blog/mo-tai-khoan-ngan-hang-duoi-18-tuoi" TargetMode="External"/><Relationship Id="rId482" Type="http://schemas.openxmlformats.org/officeDocument/2006/relationships/hyperlink" Target="https://techcombank.com/thong-tin/blog/mo-tai-khoan-ngan-hang-co-mat-phi-khong" TargetMode="External"/><Relationship Id="rId481" Type="http://schemas.openxmlformats.org/officeDocument/2006/relationships/hyperlink" Target="https://techcombank.com/thong-tin/blog/merchant-la-gi" TargetMode="External"/><Relationship Id="rId488" Type="http://schemas.openxmlformats.org/officeDocument/2006/relationships/hyperlink" Target="https://techcombank.com/thong-tin/blog/nen-mo-tai-khoan-ngan-hang-nao-cho-doanh-nghiep" TargetMode="External"/><Relationship Id="rId487" Type="http://schemas.openxmlformats.org/officeDocument/2006/relationships/hyperlink" Target="https://techcombank.com/thong-tin/blog/nap-tien-vao-tai-khoan-ngan-hang" TargetMode="External"/><Relationship Id="rId486" Type="http://schemas.openxmlformats.org/officeDocument/2006/relationships/hyperlink" Target="https://techcombank.com/thong-tin/blog/mr-eco" TargetMode="External"/><Relationship Id="rId485" Type="http://schemas.openxmlformats.org/officeDocument/2006/relationships/hyperlink" Target="https://techcombank.com/thong-tin/blog/mo-the-ghi-no" TargetMode="External"/><Relationship Id="rId480" Type="http://schemas.openxmlformats.org/officeDocument/2006/relationships/hyperlink" Target="https://techcombank.com/thong-tin/blog/mau-mo-tai-khoan-doanh-nghiep-techcombank" TargetMode="External"/><Relationship Id="rId479" Type="http://schemas.openxmlformats.org/officeDocument/2006/relationships/hyperlink" Target="https://techcombank.com/thong-tin/blog/mat-so-tiet-kiem" TargetMode="External"/><Relationship Id="rId478" Type="http://schemas.openxmlformats.org/officeDocument/2006/relationships/hyperlink" Target="https://techcombank.com/thong-tin/blog/ma-swift-ngan-hang" TargetMode="External"/><Relationship Id="rId473" Type="http://schemas.openxmlformats.org/officeDocument/2006/relationships/hyperlink" Target="https://techcombank.com/thong-tin/blog/ma-giao-dich-la-gi" TargetMode="External"/><Relationship Id="rId472" Type="http://schemas.openxmlformats.org/officeDocument/2006/relationships/hyperlink" Target="https://techcombank.com/thong-tin/blog/luu-y-khi-chuyen-tien-vao-tai-khoan-cong-ty" TargetMode="External"/><Relationship Id="rId471" Type="http://schemas.openxmlformats.org/officeDocument/2006/relationships/hyperlink" Target="https://techcombank.com/thong-tin/blog/luong-huu" TargetMode="External"/><Relationship Id="rId470" Type="http://schemas.openxmlformats.org/officeDocument/2006/relationships/hyperlink" Target="https://techcombank.com/thong-tin/blog/loi-ich-cua-viec-tiet-kiem-tien" TargetMode="External"/><Relationship Id="rId477" Type="http://schemas.openxmlformats.org/officeDocument/2006/relationships/hyperlink" Target="https://techcombank.com/thong-tin/blog/ma-qr-techcombank" TargetMode="External"/><Relationship Id="rId476" Type="http://schemas.openxmlformats.org/officeDocument/2006/relationships/hyperlink" Target="https://techcombank.com/thong-tin/blog/ma-qr-lam-gia-duoc-khong" TargetMode="External"/><Relationship Id="rId475" Type="http://schemas.openxmlformats.org/officeDocument/2006/relationships/hyperlink" Target="https://techcombank.com/thong-tin/blog/ma-pin-the-atm" TargetMode="External"/><Relationship Id="rId474" Type="http://schemas.openxmlformats.org/officeDocument/2006/relationships/hyperlink" Target="https://techcombank.com/thong-tin/blog/ma-mcc" TargetMode="External"/><Relationship Id="rId426" Type="http://schemas.openxmlformats.org/officeDocument/2006/relationships/hyperlink" Target="https://techcombank.com/thong-tin/blog/cach-nhan-tien-tu-nuoc-ngoai-ve-viet-nam" TargetMode="External"/><Relationship Id="rId425" Type="http://schemas.openxmlformats.org/officeDocument/2006/relationships/hyperlink" Target="https://techcombank.com/thong-tin/blog/cach-nap-the" TargetMode="External"/><Relationship Id="rId424" Type="http://schemas.openxmlformats.org/officeDocument/2006/relationships/hyperlink" Target="https://techcombank.com/thong-tin/blog/cach-lien-ket-tai-khoan-ngan-hang-voi-vneid" TargetMode="External"/><Relationship Id="rId423" Type="http://schemas.openxmlformats.org/officeDocument/2006/relationships/hyperlink" Target="https://techcombank.com/thong-tin/blog/cach-kiem-tra-tai-khoan-ngan-hang" TargetMode="External"/><Relationship Id="rId429" Type="http://schemas.openxmlformats.org/officeDocument/2006/relationships/hyperlink" Target="https://techcombank.com/thong-tin/blog/cach-tiet-kiem-tien" TargetMode="External"/><Relationship Id="rId428" Type="http://schemas.openxmlformats.org/officeDocument/2006/relationships/hyperlink" Target="https://techcombank.com/thong-tin/blog/cach-sao-ke-tai-khoan-ngan-hang" TargetMode="External"/><Relationship Id="rId427" Type="http://schemas.openxmlformats.org/officeDocument/2006/relationships/hyperlink" Target="https://techcombank.com/thong-tin/blog/cach-quan-ly-tai-san" TargetMode="External"/><Relationship Id="rId422" Type="http://schemas.openxmlformats.org/officeDocument/2006/relationships/hyperlink" Target="https://techcombank.com/thong-tin/blog/cach-dong-tien-dien-qua-tai-khoan-ngan-hang" TargetMode="External"/><Relationship Id="rId421" Type="http://schemas.openxmlformats.org/officeDocument/2006/relationships/hyperlink" Target="https://techcombank.com/thong-tin/blog/cach-doi-mat-khau-tai-khoan-ngan-hang" TargetMode="External"/><Relationship Id="rId420" Type="http://schemas.openxmlformats.org/officeDocument/2006/relationships/hyperlink" Target="https://techcombank.com/thong-tin/blog/cac-loai-hinh-bao-hiem-nhan-tho" TargetMode="External"/><Relationship Id="rId415" Type="http://schemas.openxmlformats.org/officeDocument/2006/relationships/hyperlink" Target="https://techcombank.com/thong-tin/blog/bao-hiem-du-lich-quoc-te-nao-tot" TargetMode="External"/><Relationship Id="rId414" Type="http://schemas.openxmlformats.org/officeDocument/2006/relationships/hyperlink" Target="https://techcombank.com/thong-tin/blog/atm-la-gi" TargetMode="External"/><Relationship Id="rId413" Type="http://schemas.openxmlformats.org/officeDocument/2006/relationships/hyperlink" Target="https://techcombank.com/thong-tin/blog/app-tra-luong" TargetMode="External"/><Relationship Id="rId412" Type="http://schemas.openxmlformats.org/officeDocument/2006/relationships/hyperlink" Target="https://techcombank.com/thong-tin/blog/app-quan-ly-chi-tieu" TargetMode="External"/><Relationship Id="rId419" Type="http://schemas.openxmlformats.org/officeDocument/2006/relationships/hyperlink" Target="https://techcombank.com/thong-tin/blog/cac-chung-chi-quy-o-viet-nam" TargetMode="External"/><Relationship Id="rId418" Type="http://schemas.openxmlformats.org/officeDocument/2006/relationships/hyperlink" Target="https://techcombank.com/thong-tin/blog/bien-dong-ty-gia-voi-doanh-nghiep-sme" TargetMode="External"/><Relationship Id="rId417" Type="http://schemas.openxmlformats.org/officeDocument/2006/relationships/hyperlink" Target="https://techcombank.com/thong-tin/blog/bib-techcombank" TargetMode="External"/><Relationship Id="rId416" Type="http://schemas.openxmlformats.org/officeDocument/2006/relationships/hyperlink" Target="https://techcombank.com/thong-tin/blog/bi-quyet-tiet-kiem-tien-mua-nha" TargetMode="External"/><Relationship Id="rId411" Type="http://schemas.openxmlformats.org/officeDocument/2006/relationships/hyperlink" Target="https://techcombank.com/thong-tin/blog/app-ngan-hang" TargetMode="External"/><Relationship Id="rId410" Type="http://schemas.openxmlformats.org/officeDocument/2006/relationships/hyperlink" Target="https://techcombank.com/thong-tin/blog/app-mua-truoc-tra-sau" TargetMode="External"/><Relationship Id="rId448" Type="http://schemas.openxmlformats.org/officeDocument/2006/relationships/hyperlink" Target="https://techcombank.com/thong-tin/blog/gia-ca-phe-hom-nay" TargetMode="External"/><Relationship Id="rId447" Type="http://schemas.openxmlformats.org/officeDocument/2006/relationships/hyperlink" Target="https://techcombank.com/thong-tin/blog/ghi-chep-chi-tieu" TargetMode="External"/><Relationship Id="rId446" Type="http://schemas.openxmlformats.org/officeDocument/2006/relationships/hyperlink" Target="https://techcombank.com/thong-tin/blog/dong-tai-khoan-ngan-hang-cong-ty" TargetMode="External"/><Relationship Id="rId445" Type="http://schemas.openxmlformats.org/officeDocument/2006/relationships/hyperlink" Target="https://techcombank.com/thong-tin/blog/doi-tien-do-o-dau" TargetMode="External"/><Relationship Id="rId449" Type="http://schemas.openxmlformats.org/officeDocument/2006/relationships/hyperlink" Target="https://techcombank.com/thong-tin/blog/gia-tri-tai-san-rong" TargetMode="External"/><Relationship Id="rId440" Type="http://schemas.openxmlformats.org/officeDocument/2006/relationships/hyperlink" Target="https://techcombank.com/thong-tin/blog/dau-tu-ngan-han" TargetMode="External"/><Relationship Id="rId444" Type="http://schemas.openxmlformats.org/officeDocument/2006/relationships/hyperlink" Target="https://techcombank.com/thong-tin/blog/doanh-nghiep-moi-thanh-lap-duoc-uu-dai-gi" TargetMode="External"/><Relationship Id="rId443" Type="http://schemas.openxmlformats.org/officeDocument/2006/relationships/hyperlink" Target="https://techcombank.com/thong-tin/blog/dinh-cu-chau-au" TargetMode="External"/><Relationship Id="rId442" Type="http://schemas.openxmlformats.org/officeDocument/2006/relationships/hyperlink" Target="https://techcombank.com/thong-tin/blog/diem-loyalty-la-gi" TargetMode="External"/><Relationship Id="rId441" Type="http://schemas.openxmlformats.org/officeDocument/2006/relationships/hyperlink" Target="https://techcombank.com/thong-tin/blog/dau-tu-tai-chinh-ca-nhan" TargetMode="External"/><Relationship Id="rId437" Type="http://schemas.openxmlformats.org/officeDocument/2006/relationships/hyperlink" Target="https://techcombank.com/thong-tin/blog/chuyen-tien-tro-cap-than-nhan-o-nuoc-ngoai" TargetMode="External"/><Relationship Id="rId436" Type="http://schemas.openxmlformats.org/officeDocument/2006/relationships/hyperlink" Target="https://techcombank.com/thong-tin/blog/chuyen-doi-the-atm" TargetMode="External"/><Relationship Id="rId435" Type="http://schemas.openxmlformats.org/officeDocument/2006/relationships/hyperlink" Target="https://techcombank.com/thong-tin/blog/chung-chi-tien-gui-co-phai-la-trai-phieu-khong" TargetMode="External"/><Relationship Id="rId434" Type="http://schemas.openxmlformats.org/officeDocument/2006/relationships/hyperlink" Target="https://techcombank.com/thong-tin/blog/chung-chi-tien-gui-co-duoc-bao-hiem-khong" TargetMode="External"/><Relationship Id="rId439" Type="http://schemas.openxmlformats.org/officeDocument/2006/relationships/hyperlink" Target="https://techcombank.com/thong-tin/blog/dat-xe-xanh-sm" TargetMode="External"/><Relationship Id="rId438" Type="http://schemas.openxmlformats.org/officeDocument/2006/relationships/hyperlink" Target="https://techcombank.com/thong-tin/blog/cua-hang-tien-loi" TargetMode="External"/><Relationship Id="rId433" Type="http://schemas.openxmlformats.org/officeDocument/2006/relationships/hyperlink" Target="https://techcombank.com/thong-tin/blog/chung-chi-quy-va-co-phieu" TargetMode="External"/><Relationship Id="rId432" Type="http://schemas.openxmlformats.org/officeDocument/2006/relationships/hyperlink" Target="https://techcombank.com/thong-tin/blog/chi-phi-mo-tai-khoan-ngan-hang-cho-cong-ty" TargetMode="External"/><Relationship Id="rId431" Type="http://schemas.openxmlformats.org/officeDocument/2006/relationships/hyperlink" Target="https://techcombank.com/thong-tin/blog/cam-nang-dinh-cu-my" TargetMode="External"/><Relationship Id="rId430" Type="http://schemas.openxmlformats.org/officeDocument/2006/relationships/hyperlink" Target="https://techcombank.com/thong-tin/blog/cach-tiet-kiem-tien-cua-nguoi-nhat" TargetMode="Externa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s://techcombank.com/thong-tin/blog/lai-suat-vay-mua-o-to" TargetMode="External"/><Relationship Id="rId2" Type="http://schemas.openxmlformats.org/officeDocument/2006/relationships/hyperlink" Target="https://techcombank.com/thong-tin/blog/nop-thue-dat-qua-ngan-hang" TargetMode="External"/><Relationship Id="rId3" Type="http://schemas.openxmlformats.org/officeDocument/2006/relationships/hyperlink" Target="https://techcombank.com/thong-tin/blog/cach-nop-thue-dien-tu" TargetMode="External"/><Relationship Id="rId4" Type="http://schemas.openxmlformats.org/officeDocument/2006/relationships/hyperlink" Target="https://techcombank.com/thong-tin/blog/thue-thu-nhap-doanh-nghiep" TargetMode="External"/><Relationship Id="rId9" Type="http://schemas.openxmlformats.org/officeDocument/2006/relationships/hyperlink" Target="https://techcombank.com/thong-tin/blog/cach-tinh-thue-thu-nhap-doanh-nghiep" TargetMode="External"/><Relationship Id="rId5" Type="http://schemas.openxmlformats.org/officeDocument/2006/relationships/hyperlink" Target="https://techcombank.com/thong-tin/blog/thue-vat-la-gi" TargetMode="External"/><Relationship Id="rId6" Type="http://schemas.openxmlformats.org/officeDocument/2006/relationships/hyperlink" Target="https://techcombank.com/thong-tin/blog/tra-cuu-no-thue-doanh-nghiep" TargetMode="External"/><Relationship Id="rId7" Type="http://schemas.openxmlformats.org/officeDocument/2006/relationships/hyperlink" Target="https://techcombank.com/thong-tin/blog/thue-doanh-nghiep" TargetMode="External"/><Relationship Id="rId8" Type="http://schemas.openxmlformats.org/officeDocument/2006/relationships/hyperlink" Target="https://techcombank.com/thong-tin/blog/cong-ty-su-dung-tai-khoan-ca-nhan" TargetMode="External"/><Relationship Id="rId40" Type="http://schemas.openxmlformats.org/officeDocument/2006/relationships/hyperlink" Target="https://techcombank.com/thong-tin/blog/1-dong-do-la-my-bang-bao-nhieu-tien-viet-nam" TargetMode="External"/><Relationship Id="rId42" Type="http://schemas.openxmlformats.org/officeDocument/2006/relationships/hyperlink" Target="https://techcombank.com/thong-tin/blog/1-yen-bang-bao-nhieu-tien-viet-nam" TargetMode="External"/><Relationship Id="rId41" Type="http://schemas.openxmlformats.org/officeDocument/2006/relationships/hyperlink" Target="https://techcombank.com/thong-tin/blog/tien-nhat" TargetMode="External"/><Relationship Id="rId44" Type="http://schemas.openxmlformats.org/officeDocument/2006/relationships/hyperlink" Target="https://techcombank.com/thong-tin/blog/tien-dai-loan" TargetMode="External"/><Relationship Id="rId43" Type="http://schemas.openxmlformats.org/officeDocument/2006/relationships/hyperlink" Target="https://techcombank.com/thong-tin/blog/1-won-bang-bao-nhieu-tien-viet" TargetMode="External"/><Relationship Id="rId46" Type="http://schemas.openxmlformats.org/officeDocument/2006/relationships/hyperlink" Target="https://techcombank.com/thong-tin/blog/tien-thai-lan" TargetMode="External"/><Relationship Id="rId45" Type="http://schemas.openxmlformats.org/officeDocument/2006/relationships/hyperlink" Target="https://techcombank.com/thong-tin/blog/1-man-bang-bao-nhieu-tien-viet" TargetMode="External"/><Relationship Id="rId48" Type="http://schemas.openxmlformats.org/officeDocument/2006/relationships/hyperlink" Target="https://techcombank.com/thong-tin/blog/1000-won-bang-bao-nhieu-tien-viet" TargetMode="External"/><Relationship Id="rId47" Type="http://schemas.openxmlformats.org/officeDocument/2006/relationships/hyperlink" Target="https://techcombank.com/thong-tin/blog/1-trieu-do-bang-bao-nhieu-tien-viet" TargetMode="External"/><Relationship Id="rId49" Type="http://schemas.openxmlformats.org/officeDocument/2006/relationships/hyperlink" Target="https://techcombank.com/thong-tin/blog/cach-nhan-tien-tu-nuoc-ngoai-ve-viet-nam" TargetMode="External"/><Relationship Id="rId31" Type="http://schemas.openxmlformats.org/officeDocument/2006/relationships/hyperlink" Target="https://techcombank.com/thong-tin/blog/lam-the-tin-dung" TargetMode="External"/><Relationship Id="rId30" Type="http://schemas.openxmlformats.org/officeDocument/2006/relationships/hyperlink" Target="https://techcombank.com/thong-tin/blog/rut-tien-mat-tu-the-tin-dung" TargetMode="External"/><Relationship Id="rId33" Type="http://schemas.openxmlformats.org/officeDocument/2006/relationships/hyperlink" Target="https://techcombank.com/thong-tin/blog/the-tin-dung-hoan-tien" TargetMode="External"/><Relationship Id="rId32" Type="http://schemas.openxmlformats.org/officeDocument/2006/relationships/hyperlink" Target="https://techcombank.com/khach-hang-ca-nhan/chi-tieu/the/the-tin-dung/techcombank-everyday" TargetMode="External"/><Relationship Id="rId35" Type="http://schemas.openxmlformats.org/officeDocument/2006/relationships/hyperlink" Target="https://techcombank.com/thong-tin/blog/xep-hang-tin-dung" TargetMode="External"/><Relationship Id="rId34" Type="http://schemas.openxmlformats.org/officeDocument/2006/relationships/hyperlink" Target="https://techcombank.com/thong-tin/blog/cach-huy-the-tin-dung" TargetMode="External"/><Relationship Id="rId37" Type="http://schemas.openxmlformats.org/officeDocument/2006/relationships/hyperlink" Target="https://techcombank.com/thong-tin/blog/chung-chi-tien-gui-la-gi" TargetMode="External"/><Relationship Id="rId36" Type="http://schemas.openxmlformats.org/officeDocument/2006/relationships/hyperlink" Target="https://techcombank.com/thong-tin/blog/cach-thanh-toan-the-tin-dung" TargetMode="External"/><Relationship Id="rId39" Type="http://schemas.openxmlformats.org/officeDocument/2006/relationships/hyperlink" Target="https://techcombank.com/thong-tin/blog/1-te-bang-bao-nhieu-tien-viet-nam" TargetMode="External"/><Relationship Id="rId38" Type="http://schemas.openxmlformats.org/officeDocument/2006/relationships/hyperlink" Target="https://techcombank.com/thong-tin/blog/lai-suat-chung-chi-tien-gui-cac-ngan-hang" TargetMode="External"/><Relationship Id="rId20" Type="http://schemas.openxmlformats.org/officeDocument/2006/relationships/hyperlink" Target="https://techcombank.com/thong-tin/blog/nap-tien-vao-tai-khoan-ngan-hang" TargetMode="External"/><Relationship Id="rId22" Type="http://schemas.openxmlformats.org/officeDocument/2006/relationships/hyperlink" Target="https://techcombank.com/thong-tin/blog/day-so-phat-tai-phat-loc" TargetMode="External"/><Relationship Id="rId21" Type="http://schemas.openxmlformats.org/officeDocument/2006/relationships/hyperlink" Target="https://techcombank.com/thong-tin/blog/cach-sao-ke-tai-khoan-ngan-hang" TargetMode="External"/><Relationship Id="rId24" Type="http://schemas.openxmlformats.org/officeDocument/2006/relationships/hyperlink" Target="https://techcombank.com/thong-tin/blog/ten-dang-nhap-tai-khoan-ngan-hang-la-gi" TargetMode="External"/><Relationship Id="rId23" Type="http://schemas.openxmlformats.org/officeDocument/2006/relationships/hyperlink" Target="https://techcombank.com/thong-tin/blog/kiem-tra-thue-thu-nhap-ca-nhan" TargetMode="External"/><Relationship Id="rId26" Type="http://schemas.openxmlformats.org/officeDocument/2006/relationships/hyperlink" Target="https://techcombank.com/thong-tin/blog/rut-tien-bang-ma-qr-la-gi-cach-thuc-hien-nhu-the-nao" TargetMode="External"/><Relationship Id="rId25" Type="http://schemas.openxmlformats.org/officeDocument/2006/relationships/hyperlink" Target="https://techcombank.com/thong-tin/blog/thue-thu-nhap-ca-nhan" TargetMode="External"/><Relationship Id="rId28" Type="http://schemas.openxmlformats.org/officeDocument/2006/relationships/hyperlink" Target="https://techcombank.com/thong-tin/blog/eco-card" TargetMode="External"/><Relationship Id="rId27" Type="http://schemas.openxmlformats.org/officeDocument/2006/relationships/hyperlink" Target="https://techcombank.com/thong-tin/blog/cach-quet-nfc-cccd-tren-iphone" TargetMode="External"/><Relationship Id="rId29" Type="http://schemas.openxmlformats.org/officeDocument/2006/relationships/hyperlink" Target="https://techcombank.com/thong-tin/blog/cic-la-gi" TargetMode="External"/><Relationship Id="rId11" Type="http://schemas.openxmlformats.org/officeDocument/2006/relationships/hyperlink" Target="https://techcombank.com/thong-tin/blog/cach-tinh-tien-dien-sinh-hoat" TargetMode="External"/><Relationship Id="rId10" Type="http://schemas.openxmlformats.org/officeDocument/2006/relationships/hyperlink" Target="https://techcombank.com/thong-tin/blog/cach-nap-the-viettel" TargetMode="External"/><Relationship Id="rId13" Type="http://schemas.openxmlformats.org/officeDocument/2006/relationships/hyperlink" Target="https://techcombank.com/thong-tin/blog/cach-kiem-tra-tai-khoan-ngan-hang" TargetMode="External"/><Relationship Id="rId12" Type="http://schemas.openxmlformats.org/officeDocument/2006/relationships/hyperlink" Target="https://techcombank.com/thong-tin/blog/cach-tinh-thue-thu-nhap-ca-nhan-2025" TargetMode="External"/><Relationship Id="rId15" Type="http://schemas.openxmlformats.org/officeDocument/2006/relationships/hyperlink" Target="https://techcombank.com/thong-tin/blog/ngan-hang-uy-tin" TargetMode="External"/><Relationship Id="rId14" Type="http://schemas.openxmlformats.org/officeDocument/2006/relationships/hyperlink" Target="https://techcombank.com/thong-tin/blog/cach-mo-tai-khoan" TargetMode="External"/><Relationship Id="rId17" Type="http://schemas.openxmlformats.org/officeDocument/2006/relationships/hyperlink" Target="https://techcombank.com/thong-tin/blog/bao-nhieu-tuoi-duoc-mo-tai-khoan-ngan-hang" TargetMode="External"/><Relationship Id="rId16" Type="http://schemas.openxmlformats.org/officeDocument/2006/relationships/hyperlink" Target="https://techcombank.com/thong-tin/blog/chuyen-khoan-thanh-cong-nhung-khong-nhan-duoc-tien" TargetMode="External"/><Relationship Id="rId19" Type="http://schemas.openxmlformats.org/officeDocument/2006/relationships/hyperlink" Target="https://techcombank.com/thong-tin/blog/mo-tai-khoan-ngan-hang-duoi-18-tuoi" TargetMode="External"/><Relationship Id="rId18" Type="http://schemas.openxmlformats.org/officeDocument/2006/relationships/hyperlink" Target="https://techcombank.com/thong-tin/blog/cach-mo-tai-khoan" TargetMode="External"/><Relationship Id="rId73" Type="http://schemas.openxmlformats.org/officeDocument/2006/relationships/hyperlink" Target="https://techcombank.com/thong-tin/blog/nen-vay-tin-chap-o-dau" TargetMode="External"/><Relationship Id="rId72" Type="http://schemas.openxmlformats.org/officeDocument/2006/relationships/hyperlink" Target="https://techcombank.com/thong-tin/blog/kiem-tra-no-xau" TargetMode="External"/><Relationship Id="rId75" Type="http://schemas.openxmlformats.org/officeDocument/2006/relationships/hyperlink" Target="https://techcombank.com/thong-tin/blog/vay-tin-chap-khong-tra-duoc-co-sao-khong" TargetMode="External"/><Relationship Id="rId74" Type="http://schemas.openxmlformats.org/officeDocument/2006/relationships/hyperlink" Target="https://techcombank.com/thong-tin/blog/no-xau-la-gi" TargetMode="External"/><Relationship Id="rId77" Type="http://schemas.openxmlformats.org/officeDocument/2006/relationships/drawing" Target="../drawings/drawing5.xml"/><Relationship Id="rId76" Type="http://schemas.openxmlformats.org/officeDocument/2006/relationships/hyperlink" Target="https://techcombank.com/thong-tin/blog/phuong-phap-dau-tu-chung-chi-quy" TargetMode="External"/><Relationship Id="rId71" Type="http://schemas.openxmlformats.org/officeDocument/2006/relationships/hyperlink" Target="https://techcombank.com/thong-tin/blog/vay-thau-chi-la-gi" TargetMode="External"/><Relationship Id="rId70" Type="http://schemas.openxmlformats.org/officeDocument/2006/relationships/hyperlink" Target="https://techcombank.com/thong-tin/blog/lai-suat-vay-ngan-hang" TargetMode="External"/><Relationship Id="rId62" Type="http://schemas.openxmlformats.org/officeDocument/2006/relationships/hyperlink" Target="https://techcombank.com/thong-tin/blog/cach-tinh-lai-suat-tien-gui-tiet-kiem" TargetMode="External"/><Relationship Id="rId61" Type="http://schemas.openxmlformats.org/officeDocument/2006/relationships/hyperlink" Target="https://techcombank.com/thong-tin/blog/lai-suat-tiet-kiem" TargetMode="External"/><Relationship Id="rId64" Type="http://schemas.openxmlformats.org/officeDocument/2006/relationships/hyperlink" Target="https://techcombank.com/thong-tin/blog/so-tiet-kiem-ngan-hang" TargetMode="External"/><Relationship Id="rId63" Type="http://schemas.openxmlformats.org/officeDocument/2006/relationships/hyperlink" Target="https://techcombank.com/thong-tin/blog/rut-tien-tiet-kiem-truoc-thoi-han" TargetMode="External"/><Relationship Id="rId66" Type="http://schemas.openxmlformats.org/officeDocument/2006/relationships/hyperlink" Target="https://techcombank.com/thong-tin/blog/rui-ro-khi-gui-tiet-kiem-online" TargetMode="External"/><Relationship Id="rId65" Type="http://schemas.openxmlformats.org/officeDocument/2006/relationships/hyperlink" Target="https://techcombank.com/thong-tin/blog/cach-tiet-kiem-tien" TargetMode="External"/><Relationship Id="rId68" Type="http://schemas.openxmlformats.org/officeDocument/2006/relationships/hyperlink" Target="https://techcombank.com/cong-cu-tien-ich/cong-cu-tinh-toan/bang-tinh-lai-suat-tiet-kiem" TargetMode="External"/><Relationship Id="rId67" Type="http://schemas.openxmlformats.org/officeDocument/2006/relationships/hyperlink" Target="https://techcombank.com/cong-cu-tien-ich/cong-cu-tinh-toan/bang-tinh-lai-suat-vay" TargetMode="External"/><Relationship Id="rId60" Type="http://schemas.openxmlformats.org/officeDocument/2006/relationships/hyperlink" Target="https://techcombank.com/thong-tin/blog/ho-so-thu-tuc-xoa-the-chap" TargetMode="External"/><Relationship Id="rId69" Type="http://schemas.openxmlformats.org/officeDocument/2006/relationships/hyperlink" Target="https://techcombank.com/thong-tin/blog/app-vay-tien-nhanh" TargetMode="External"/><Relationship Id="rId51" Type="http://schemas.openxmlformats.org/officeDocument/2006/relationships/hyperlink" Target="https://techcombank.com/thong-tin/blog/vay-ngan-hang-1-ty-moi-thang-tra-bao-nhieu" TargetMode="External"/><Relationship Id="rId50" Type="http://schemas.openxmlformats.org/officeDocument/2006/relationships/hyperlink" Target="https://techcombank.com/thong-tin/blog/doi-tien-do-o-dau" TargetMode="External"/><Relationship Id="rId53" Type="http://schemas.openxmlformats.org/officeDocument/2006/relationships/hyperlink" Target="https://techcombank.com/thong-tin/blog/ho-kinh-doanh-dong-thue-nhu-nao" TargetMode="External"/><Relationship Id="rId52" Type="http://schemas.openxmlformats.org/officeDocument/2006/relationships/hyperlink" Target="https://techcombank.com/thong-tin/blog/traveloka-voucher" TargetMode="External"/><Relationship Id="rId55" Type="http://schemas.openxmlformats.org/officeDocument/2006/relationships/hyperlink" Target="https://techcombank.com/thong-tin/blog/gui-ma-qr-ngan-hang" TargetMode="External"/><Relationship Id="rId54" Type="http://schemas.openxmlformats.org/officeDocument/2006/relationships/hyperlink" Target="https://techcombank.com/thong-tin/blog/mo-hinh-kinh-doanh-la-gi" TargetMode="External"/><Relationship Id="rId57" Type="http://schemas.openxmlformats.org/officeDocument/2006/relationships/hyperlink" Target="https://techcombank.com/thong-tin/blog/cach-tinh-thue-ho-kinh-doanh-nho-le" TargetMode="External"/><Relationship Id="rId56" Type="http://schemas.openxmlformats.org/officeDocument/2006/relationships/hyperlink" Target="https://techcombank.com/thong-tin/blog/mo-tai-khoan-ho-kinh-doanh" TargetMode="External"/><Relationship Id="rId59" Type="http://schemas.openxmlformats.org/officeDocument/2006/relationships/hyperlink" Target="https://techcombank.com/thong-tin/blog/lai-suat-vay-the-chap-so-do" TargetMode="External"/><Relationship Id="rId58" Type="http://schemas.openxmlformats.org/officeDocument/2006/relationships/hyperlink" Target="https://techcombank.com/thong-tin/blog/cach-tinh-lai-vay-ngan-hang" TargetMode="External"/></Relationships>
</file>

<file path=xl/worksheets/_rels/sheet6.xml.rels><?xml version="1.0" encoding="UTF-8" standalone="yes"?><Relationships xmlns="http://schemas.openxmlformats.org/package/2006/relationships"><Relationship Id="rId392" Type="http://schemas.openxmlformats.org/officeDocument/2006/relationships/hyperlink" Target="https://techcombank.com/thong-tin/blog/di-du-lich-nuoc-ngoai-can-chuan-bi-gi" TargetMode="External"/><Relationship Id="rId391" Type="http://schemas.openxmlformats.org/officeDocument/2006/relationships/hyperlink" Target="https://techcombank.com/thong-tin/blog/tien-thai-lan" TargetMode="External"/><Relationship Id="rId390" Type="http://schemas.openxmlformats.org/officeDocument/2006/relationships/hyperlink" Target="https://techcombank.com/thong-tin/blog/han-muc-mua-ngoai-te-khi-di-du-lich" TargetMode="External"/><Relationship Id="rId1" Type="http://schemas.openxmlformats.org/officeDocument/2006/relationships/hyperlink" Target="https://techcombank.com/thong-tin/blog/lai-suat-vay-mua-o-to" TargetMode="External"/><Relationship Id="rId2" Type="http://schemas.openxmlformats.org/officeDocument/2006/relationships/hyperlink" Target="https://techcombank.com/thong-tin/blog/vay-mua-xe-tra-gop-ngan-hang-nao-tot-nhat" TargetMode="External"/><Relationship Id="rId3" Type="http://schemas.openxmlformats.org/officeDocument/2006/relationships/hyperlink" Target="https://techcombank.com/thong-tin/blog/lai-suat-vay-mua-o-to" TargetMode="External"/><Relationship Id="rId4" Type="http://schemas.openxmlformats.org/officeDocument/2006/relationships/hyperlink" Target="https://techcombank.com/thong-tin/blog/co-nen-mua-o-to-tra-gop" TargetMode="External"/><Relationship Id="rId9" Type="http://schemas.openxmlformats.org/officeDocument/2006/relationships/hyperlink" Target="https://techcombank.com/thong-tin/blog/lai-suat-vay-mua-o-to" TargetMode="External"/><Relationship Id="rId385" Type="http://schemas.openxmlformats.org/officeDocument/2006/relationships/hyperlink" Target="https://techcombank.com/thong-tin/blog/tien-thai-lan" TargetMode="External"/><Relationship Id="rId384" Type="http://schemas.openxmlformats.org/officeDocument/2006/relationships/hyperlink" Target="https://techcombank.com/thong-tin/blog/thanh-toan-khi-du-lich-nhat-ban" TargetMode="External"/><Relationship Id="rId383" Type="http://schemas.openxmlformats.org/officeDocument/2006/relationships/hyperlink" Target="https://techcombank.com/thong-tin/blog/1-man-bang-bao-nhieu-tien-viet" TargetMode="External"/><Relationship Id="rId382" Type="http://schemas.openxmlformats.org/officeDocument/2006/relationships/hyperlink" Target="https://techcombank.com/thong-tin/blog/chuyen-tien-tu-nhat-ve-viet-nam" TargetMode="External"/><Relationship Id="rId5" Type="http://schemas.openxmlformats.org/officeDocument/2006/relationships/hyperlink" Target="https://techcombank.com/thong-tin/blog/lai-suat-vay-mua-o-to" TargetMode="External"/><Relationship Id="rId389" Type="http://schemas.openxmlformats.org/officeDocument/2006/relationships/hyperlink" Target="https://techcombank.com/thong-tin/blog/tien-thai-lan" TargetMode="External"/><Relationship Id="rId6" Type="http://schemas.openxmlformats.org/officeDocument/2006/relationships/hyperlink" Target="https://techcombank.com/thong-tin/blog/thu-tuc-mua-xe-tra-gop" TargetMode="External"/><Relationship Id="rId388" Type="http://schemas.openxmlformats.org/officeDocument/2006/relationships/hyperlink" Target="https://techcombank.com/thong-tin/blog/thanh-toan-qr-thai-lan" TargetMode="External"/><Relationship Id="rId7" Type="http://schemas.openxmlformats.org/officeDocument/2006/relationships/hyperlink" Target="https://techcombank.com/thong-tin/blog/lai-suat-vay-mua-o-to" TargetMode="External"/><Relationship Id="rId387" Type="http://schemas.openxmlformats.org/officeDocument/2006/relationships/hyperlink" Target="https://techcombank.com/thong-tin/blog/tien-thai-lan" TargetMode="External"/><Relationship Id="rId8" Type="http://schemas.openxmlformats.org/officeDocument/2006/relationships/hyperlink" Target="https://techcombank.com/thong-tin/blog/nen-mua-xe-tra-gop-hay-tra-thang" TargetMode="External"/><Relationship Id="rId386" Type="http://schemas.openxmlformats.org/officeDocument/2006/relationships/hyperlink" Target="https://techcombank.com/thong-tin/blog/thanh-toan-khi-du-lich-thai-lan" TargetMode="External"/><Relationship Id="rId381" Type="http://schemas.openxmlformats.org/officeDocument/2006/relationships/hyperlink" Target="https://techcombank.com/thong-tin/blog/1-man-bang-bao-nhieu-tien-viet" TargetMode="External"/><Relationship Id="rId380" Type="http://schemas.openxmlformats.org/officeDocument/2006/relationships/hyperlink" Target="https://techcombank.com/thong-tin/blog/1000-yen-bang-bao-nhieu-tien-viet" TargetMode="External"/><Relationship Id="rId379" Type="http://schemas.openxmlformats.org/officeDocument/2006/relationships/hyperlink" Target="https://techcombank.com/thong-tin/blog/1-man-bang-bao-nhieu-tien-viet" TargetMode="External"/><Relationship Id="rId374" Type="http://schemas.openxmlformats.org/officeDocument/2006/relationships/hyperlink" Target="https://techcombank.com/thong-tin/blog/han-muc-mua-ngoai-te-khi-di-du-lich" TargetMode="External"/><Relationship Id="rId373" Type="http://schemas.openxmlformats.org/officeDocument/2006/relationships/hyperlink" Target="https://techcombank.com/thong-tin/blog/tien-dai-loan" TargetMode="External"/><Relationship Id="rId372" Type="http://schemas.openxmlformats.org/officeDocument/2006/relationships/hyperlink" Target="https://techcombank.com/thong-tin/blog/ty-gia-cac-ngan-hang" TargetMode="External"/><Relationship Id="rId371" Type="http://schemas.openxmlformats.org/officeDocument/2006/relationships/hyperlink" Target="https://techcombank.com/thong-tin/blog/tien-dai-loan" TargetMode="External"/><Relationship Id="rId378" Type="http://schemas.openxmlformats.org/officeDocument/2006/relationships/hyperlink" Target="https://techcombank.com/thong-tin/blog/1-yen-bang-bao-nhieu-tien-viet-nam" TargetMode="External"/><Relationship Id="rId377" Type="http://schemas.openxmlformats.org/officeDocument/2006/relationships/hyperlink" Target="https://techcombank.com/thong-tin/blog/1-man-bang-bao-nhieu-tien-viet" TargetMode="External"/><Relationship Id="rId376" Type="http://schemas.openxmlformats.org/officeDocument/2006/relationships/hyperlink" Target="https://techcombank.com/thong-tin/blog/tien-nhat" TargetMode="External"/><Relationship Id="rId375" Type="http://schemas.openxmlformats.org/officeDocument/2006/relationships/hyperlink" Target="https://techcombank.com/thong-tin/blog/1-man-bang-bao-nhieu-tien-viet" TargetMode="External"/><Relationship Id="rId396" Type="http://schemas.openxmlformats.org/officeDocument/2006/relationships/hyperlink" Target="https://techcombank.com/thong-tin/blog/1-dong-do-la-my-bang-bao-nhieu-tien-viet-nam" TargetMode="External"/><Relationship Id="rId395" Type="http://schemas.openxmlformats.org/officeDocument/2006/relationships/hyperlink" Target="https://techcombank.com/thong-tin/blog/1-trieu-do-bang-bao-nhieu-tien-viet" TargetMode="External"/><Relationship Id="rId394" Type="http://schemas.openxmlformats.org/officeDocument/2006/relationships/hyperlink" Target="https://techcombank.com/thong-tin/blog/thanh-toan-bang-the-quoc-te" TargetMode="External"/><Relationship Id="rId393" Type="http://schemas.openxmlformats.org/officeDocument/2006/relationships/hyperlink" Target="https://techcombank.com/thong-tin/blog/tien-thai-lan" TargetMode="External"/><Relationship Id="rId399" Type="http://schemas.openxmlformats.org/officeDocument/2006/relationships/hyperlink" Target="https://techcombank.com/thong-tin/blog/1-trieu-do-bang-bao-nhieu-tien-viet" TargetMode="External"/><Relationship Id="rId398" Type="http://schemas.openxmlformats.org/officeDocument/2006/relationships/hyperlink" Target="https://techcombank.com/thong-tin/blog/high-net-worth-client-va-ultra-high-net-worth-client" TargetMode="External"/><Relationship Id="rId397" Type="http://schemas.openxmlformats.org/officeDocument/2006/relationships/hyperlink" Target="https://techcombank.com/thong-tin/blog/1-trieu-do-bang-bao-nhieu-tien-viet" TargetMode="External"/><Relationship Id="rId40" Type="http://schemas.openxmlformats.org/officeDocument/2006/relationships/hyperlink" Target="https://techcombank.com/thong-tin/blog/chuyen-doi-hoa-don-dien-tu" TargetMode="External"/><Relationship Id="rId42" Type="http://schemas.openxmlformats.org/officeDocument/2006/relationships/hyperlink" Target="https://techcombank.com/thong-tin/blog/thue-thuong-mai-dien-tu" TargetMode="External"/><Relationship Id="rId41" Type="http://schemas.openxmlformats.org/officeDocument/2006/relationships/hyperlink" Target="https://techcombank.com/thong-tin/blog/thue-vat-la-gi" TargetMode="External"/><Relationship Id="rId44" Type="http://schemas.openxmlformats.org/officeDocument/2006/relationships/hyperlink" Target="https://techcombank.com/thong-tin/blog/kiem-tra-ma-so-thue-doanh-nghiep" TargetMode="External"/><Relationship Id="rId43" Type="http://schemas.openxmlformats.org/officeDocument/2006/relationships/hyperlink" Target="https://techcombank.com/thong-tin/blog/tra-cuu-no-thue-doanh-nghiep" TargetMode="External"/><Relationship Id="rId46" Type="http://schemas.openxmlformats.org/officeDocument/2006/relationships/hyperlink" Target="https://techcombank.com/thong-tin/blog/tra-cuu-no-thue-hai-quan" TargetMode="External"/><Relationship Id="rId45" Type="http://schemas.openxmlformats.org/officeDocument/2006/relationships/hyperlink" Target="https://techcombank.com/thong-tin/blog/tra-cuu-no-thue-doanh-nghiep" TargetMode="External"/><Relationship Id="rId48" Type="http://schemas.openxmlformats.org/officeDocument/2006/relationships/hyperlink" Target="https://techcombank.com/thong-tin/blog/quyet-toan-thue-doanh-nghiep" TargetMode="External"/><Relationship Id="rId47" Type="http://schemas.openxmlformats.org/officeDocument/2006/relationships/hyperlink" Target="https://techcombank.com/thong-tin/blog/tra-cuu-no-thue-doanh-nghiep" TargetMode="External"/><Relationship Id="rId49" Type="http://schemas.openxmlformats.org/officeDocument/2006/relationships/hyperlink" Target="https://techcombank.com/thong-tin/blog/tra-cuu-no-thue-doanh-nghiep" TargetMode="External"/><Relationship Id="rId31" Type="http://schemas.openxmlformats.org/officeDocument/2006/relationships/hyperlink" Target="https://techcombank.com/thong-tin/blog/thue-thu-nhap-doanh-nghiep" TargetMode="External"/><Relationship Id="rId30" Type="http://schemas.openxmlformats.org/officeDocument/2006/relationships/hyperlink" Target="https://techcombank.com/thong-tin/blog/doanh-nghiep-moi-thanh-lap-duoc-uu-dai-gi" TargetMode="External"/><Relationship Id="rId33" Type="http://schemas.openxmlformats.org/officeDocument/2006/relationships/hyperlink" Target="https://techcombank.com/thong-tin/blog/thue-thu-nhap-doanh-nghiep" TargetMode="External"/><Relationship Id="rId32" Type="http://schemas.openxmlformats.org/officeDocument/2006/relationships/hyperlink" Target="https://techcombank.com/thong-tin/blog/loi-nhuan" TargetMode="External"/><Relationship Id="rId35" Type="http://schemas.openxmlformats.org/officeDocument/2006/relationships/hyperlink" Target="https://techcombank.com/thong-tin/blog/thue-vat-la-gi" TargetMode="External"/><Relationship Id="rId34" Type="http://schemas.openxmlformats.org/officeDocument/2006/relationships/hyperlink" Target="https://techcombank.com/thong-tin/blog/hoan-thue-doanh-nghiep" TargetMode="External"/><Relationship Id="rId37" Type="http://schemas.openxmlformats.org/officeDocument/2006/relationships/hyperlink" Target="https://techcombank.com/thong-tin/blog/thue-vat-la-gi" TargetMode="External"/><Relationship Id="rId36" Type="http://schemas.openxmlformats.org/officeDocument/2006/relationships/hyperlink" Target="https://techcombank.com/thong-tin/blog/ke-khai-thue-doanh-nghiep" TargetMode="External"/><Relationship Id="rId39" Type="http://schemas.openxmlformats.org/officeDocument/2006/relationships/hyperlink" Target="https://techcombank.com/thong-tin/blog/thue-vat-la-gi" TargetMode="External"/><Relationship Id="rId38" Type="http://schemas.openxmlformats.org/officeDocument/2006/relationships/hyperlink" Target="https://techcombank.com/thong-tin/blog/hoan-thue-doanh-nghiep" TargetMode="External"/><Relationship Id="rId20" Type="http://schemas.openxmlformats.org/officeDocument/2006/relationships/hyperlink" Target="https://techcombank.com/thong-tin/blog/ke-khai-thue-ho-kinh-doanh-ca-the-online" TargetMode="External"/><Relationship Id="rId22" Type="http://schemas.openxmlformats.org/officeDocument/2006/relationships/hyperlink" Target="https://techcombank.com/thong-tin/blog/hoan-thue-thu-nhap-ca-nhan" TargetMode="External"/><Relationship Id="rId21" Type="http://schemas.openxmlformats.org/officeDocument/2006/relationships/hyperlink" Target="https://techcombank.com/thong-tin/blog/cach-nop-thue-dien-tu" TargetMode="External"/><Relationship Id="rId24" Type="http://schemas.openxmlformats.org/officeDocument/2006/relationships/hyperlink" Target="https://techcombank.com/thong-tin/blog/nop-thue-hai-quan" TargetMode="External"/><Relationship Id="rId23" Type="http://schemas.openxmlformats.org/officeDocument/2006/relationships/hyperlink" Target="https://techcombank.com/thong-tin/blog/cach-nop-thue-dien-tu" TargetMode="External"/><Relationship Id="rId26" Type="http://schemas.openxmlformats.org/officeDocument/2006/relationships/hyperlink" Target="https://techcombank.com/thong-tin/blog/nhung-chi-phi-khong-duoc-tru-khi-tinh-thue-tndn" TargetMode="External"/><Relationship Id="rId25" Type="http://schemas.openxmlformats.org/officeDocument/2006/relationships/hyperlink" Target="https://techcombank.com/thong-tin/blog/thue-thu-nhap-doanh-nghiep" TargetMode="External"/><Relationship Id="rId28" Type="http://schemas.openxmlformats.org/officeDocument/2006/relationships/hyperlink" Target="https://techcombank.com/thong-tin/blog/quyet-toan-thue-doanh-nghiep" TargetMode="External"/><Relationship Id="rId27" Type="http://schemas.openxmlformats.org/officeDocument/2006/relationships/hyperlink" Target="https://techcombank.com/thong-tin/blog/thue-thu-nhap-doanh-nghiep" TargetMode="External"/><Relationship Id="rId29" Type="http://schemas.openxmlformats.org/officeDocument/2006/relationships/hyperlink" Target="https://techcombank.com/thong-tin/blog/thue-thu-nhap-doanh-nghiep" TargetMode="External"/><Relationship Id="rId11" Type="http://schemas.openxmlformats.org/officeDocument/2006/relationships/hyperlink" Target="https://techcombank.com/thong-tin/blog/nop-thue-dat-qua-ngan-hang" TargetMode="External"/><Relationship Id="rId10" Type="http://schemas.openxmlformats.org/officeDocument/2006/relationships/hyperlink" Target="https://techcombank.com/thong-tin/blog/vay-the-chap-xe-o-to-cu" TargetMode="External"/><Relationship Id="rId13" Type="http://schemas.openxmlformats.org/officeDocument/2006/relationships/hyperlink" Target="https://techcombank.com/thong-tin/blog/nop-thue-dat-qua-ngan-hang" TargetMode="External"/><Relationship Id="rId12" Type="http://schemas.openxmlformats.org/officeDocument/2006/relationships/hyperlink" Target="https://techcombank.com/thong-tin/blog/lien-ket-tai-khoan-ngan-hang-voi-etax-mobile" TargetMode="External"/><Relationship Id="rId15" Type="http://schemas.openxmlformats.org/officeDocument/2006/relationships/hyperlink" Target="https://techcombank.com/thong-tin/blog/cach-nop-thue-dien-tu" TargetMode="External"/><Relationship Id="rId14" Type="http://schemas.openxmlformats.org/officeDocument/2006/relationships/hyperlink" Target="https://techcombank.com/thong-tin/blog/cach-nop-thue-dien-tu" TargetMode="External"/><Relationship Id="rId17" Type="http://schemas.openxmlformats.org/officeDocument/2006/relationships/hyperlink" Target="https://techcombank.com/thong-tin/blog/cach-nop-thue-dien-tu" TargetMode="External"/><Relationship Id="rId16" Type="http://schemas.openxmlformats.org/officeDocument/2006/relationships/hyperlink" Target="https://techcombank.com/thong-tin/blog/lien-ket-tai-khoan-ngan-hang-voi-etax-mobile" TargetMode="External"/><Relationship Id="rId19" Type="http://schemas.openxmlformats.org/officeDocument/2006/relationships/hyperlink" Target="https://techcombank.com/thong-tin/blog/cach-nop-thue-dien-tu" TargetMode="External"/><Relationship Id="rId18" Type="http://schemas.openxmlformats.org/officeDocument/2006/relationships/hyperlink" Target="https://techcombank.com/thong-tin/blog/quyet-toan-thue-thu-nhap-ca-nhan" TargetMode="External"/><Relationship Id="rId84" Type="http://schemas.openxmlformats.org/officeDocument/2006/relationships/hyperlink" Target="https://techcombank.com/thong-tin/blog/cach-nap-the-vina" TargetMode="External"/><Relationship Id="rId83" Type="http://schemas.openxmlformats.org/officeDocument/2006/relationships/hyperlink" Target="https://techcombank.com/thong-tin/blog/cach-nap-the-viettel" TargetMode="External"/><Relationship Id="rId86" Type="http://schemas.openxmlformats.org/officeDocument/2006/relationships/hyperlink" Target="https://techcombank.com/thong-tin/blog/cach-nap-the-mobi" TargetMode="External"/><Relationship Id="rId85" Type="http://schemas.openxmlformats.org/officeDocument/2006/relationships/hyperlink" Target="https://techcombank.com/thong-tin/blog/cach-nap-the-viettel" TargetMode="External"/><Relationship Id="rId88" Type="http://schemas.openxmlformats.org/officeDocument/2006/relationships/hyperlink" Target="https://techcombank.com/thong-tin/blog/gia-dien-sinh-hoat" TargetMode="External"/><Relationship Id="rId87" Type="http://schemas.openxmlformats.org/officeDocument/2006/relationships/hyperlink" Target="https://techcombank.com/thong-tin/blog/cach-tinh-tien-dien-sinh-hoat" TargetMode="External"/><Relationship Id="rId89" Type="http://schemas.openxmlformats.org/officeDocument/2006/relationships/hyperlink" Target="https://techcombank.com/thong-tin/blog/cach-tinh-tien-dien-sinh-hoat" TargetMode="External"/><Relationship Id="rId80" Type="http://schemas.openxmlformats.org/officeDocument/2006/relationships/hyperlink" Target="https://techcombank.com/thong-tin/blog/nap-tien-dien-thoai-online" TargetMode="External"/><Relationship Id="rId82" Type="http://schemas.openxmlformats.org/officeDocument/2006/relationships/hyperlink" Target="https://techcombank.com/thong-tin/blog/thanh-toan-tra-sau-viettel-bang-tai-khoan-ngan-hang" TargetMode="External"/><Relationship Id="rId81" Type="http://schemas.openxmlformats.org/officeDocument/2006/relationships/hyperlink" Target="https://techcombank.com/thong-tin/blog/cach-nap-the-viettel" TargetMode="External"/><Relationship Id="rId73" Type="http://schemas.openxmlformats.org/officeDocument/2006/relationships/hyperlink" Target="https://techcombank.com/thong-tin/blog/cach-tinh-thue-thu-nhap-doanh-nghiep" TargetMode="External"/><Relationship Id="rId72" Type="http://schemas.openxmlformats.org/officeDocument/2006/relationships/hyperlink" Target="https://techcombank.com/thong-tin/blog/khau-hao" TargetMode="External"/><Relationship Id="rId75" Type="http://schemas.openxmlformats.org/officeDocument/2006/relationships/hyperlink" Target="https://techcombank.com/thong-tin/blog/cach-tinh-thue-thu-nhap-doanh-nghiep" TargetMode="External"/><Relationship Id="rId74" Type="http://schemas.openxmlformats.org/officeDocument/2006/relationships/hyperlink" Target="https://techcombank.com/thong-tin/blog/loi-nhuan-rong" TargetMode="External"/><Relationship Id="rId77" Type="http://schemas.openxmlformats.org/officeDocument/2006/relationships/hyperlink" Target="https://techcombank.com/thong-tin/blog/cach-nap-the-viettel" TargetMode="External"/><Relationship Id="rId76" Type="http://schemas.openxmlformats.org/officeDocument/2006/relationships/hyperlink" Target="https://techcombank.com/thong-tin/blog/cach-doc-bao-cao-tai-chinh" TargetMode="External"/><Relationship Id="rId79" Type="http://schemas.openxmlformats.org/officeDocument/2006/relationships/hyperlink" Target="https://techcombank.com/thong-tin/blog/cach-nap-the-viettel" TargetMode="External"/><Relationship Id="rId78" Type="http://schemas.openxmlformats.org/officeDocument/2006/relationships/hyperlink" Target="https://techcombank.com/thong-tin/blog/cach-nap-the" TargetMode="External"/><Relationship Id="rId71" Type="http://schemas.openxmlformats.org/officeDocument/2006/relationships/hyperlink" Target="https://techcombank.com/thong-tin/blog/cach-tinh-thue-thu-nhap-doanh-nghiep" TargetMode="External"/><Relationship Id="rId70" Type="http://schemas.openxmlformats.org/officeDocument/2006/relationships/hyperlink" Target="https://techcombank.com/thong-tin/blog/nhung-chi-phi-khong-duoc-tru-khi-tinh-thue-tndn" TargetMode="External"/><Relationship Id="rId62" Type="http://schemas.openxmlformats.org/officeDocument/2006/relationships/hyperlink" Target="https://techcombank.com/thong-tin/blog/mo-tai-khoan-doanh-nghiep" TargetMode="External"/><Relationship Id="rId61" Type="http://schemas.openxmlformats.org/officeDocument/2006/relationships/hyperlink" Target="https://techcombank.com/thong-tin/blog/cong-ty-su-dung-tai-khoan-ca-nhan" TargetMode="External"/><Relationship Id="rId64" Type="http://schemas.openxmlformats.org/officeDocument/2006/relationships/hyperlink" Target="https://techcombank.com/thong-tin/blog/luu-y-khi-chuyen-tien-vao-tai-khoan-cong-ty" TargetMode="External"/><Relationship Id="rId63" Type="http://schemas.openxmlformats.org/officeDocument/2006/relationships/hyperlink" Target="https://techcombank.com/thong-tin/blog/cong-ty-su-dung-tai-khoan-ca-nhan" TargetMode="External"/><Relationship Id="rId66" Type="http://schemas.openxmlformats.org/officeDocument/2006/relationships/hyperlink" Target="https://techcombank.com/thong-tin/blog/cach-su-dung-tai-khoan-cong-ty" TargetMode="External"/><Relationship Id="rId65" Type="http://schemas.openxmlformats.org/officeDocument/2006/relationships/hyperlink" Target="https://techcombank.com/thong-tin/blog/cong-ty-su-dung-tai-khoan-ca-nhan" TargetMode="External"/><Relationship Id="rId68" Type="http://schemas.openxmlformats.org/officeDocument/2006/relationships/hyperlink" Target="https://techcombank.com/thong-tin/blog/tien-chuyen-vao-tai-khoan-co-bi-tinh-thue-khong" TargetMode="External"/><Relationship Id="rId67" Type="http://schemas.openxmlformats.org/officeDocument/2006/relationships/hyperlink" Target="https://techcombank.com/thong-tin/blog/cong-ty-su-dung-tai-khoan-ca-nhan" TargetMode="External"/><Relationship Id="rId60" Type="http://schemas.openxmlformats.org/officeDocument/2006/relationships/hyperlink" Target="https://techcombank.com/thong-tin/blog/thue-doanh-nghiep-2025" TargetMode="External"/><Relationship Id="rId69" Type="http://schemas.openxmlformats.org/officeDocument/2006/relationships/hyperlink" Target="https://techcombank.com/thong-tin/blog/cach-tinh-thue-thu-nhap-doanh-nghiep" TargetMode="External"/><Relationship Id="rId51" Type="http://schemas.openxmlformats.org/officeDocument/2006/relationships/hyperlink" Target="https://techcombank.com/thong-tin/blog/tra-cuu-no-thue-doanh-nghiep" TargetMode="External"/><Relationship Id="rId50" Type="http://schemas.openxmlformats.org/officeDocument/2006/relationships/hyperlink" Target="https://techcombank.com/thong-tin/blog/ke-khai-thue-doanh-nghiep" TargetMode="External"/><Relationship Id="rId53" Type="http://schemas.openxmlformats.org/officeDocument/2006/relationships/hyperlink" Target="https://techcombank.com/thong-tin/blog/thue-doanh-nghiep" TargetMode="External"/><Relationship Id="rId52" Type="http://schemas.openxmlformats.org/officeDocument/2006/relationships/hyperlink" Target="https://techcombank.com/thong-tin/blog/tra-cuu-no-thue-ho-kinh-doanh" TargetMode="External"/><Relationship Id="rId55" Type="http://schemas.openxmlformats.org/officeDocument/2006/relationships/hyperlink" Target="https://techcombank.com/thong-tin/blog/thue-doanh-nghiep" TargetMode="External"/><Relationship Id="rId54" Type="http://schemas.openxmlformats.org/officeDocument/2006/relationships/hyperlink" Target="https://techcombank.com/thong-tin/blog/giai-dap-ve-thue-doanh-nghiep" TargetMode="External"/><Relationship Id="rId57" Type="http://schemas.openxmlformats.org/officeDocument/2006/relationships/hyperlink" Target="https://techcombank.com/thong-tin/blog/thue-doanh-nghiep" TargetMode="External"/><Relationship Id="rId56" Type="http://schemas.openxmlformats.org/officeDocument/2006/relationships/hyperlink" Target="https://techcombank.com/thong-tin/blog/hieu-hiet-ve-tuan-thu-thue-cho-cac-doanh-nghiep-khoi-nghiep" TargetMode="External"/><Relationship Id="rId59" Type="http://schemas.openxmlformats.org/officeDocument/2006/relationships/hyperlink" Target="https://techcombank.com/thong-tin/blog/thue-doanh-nghiep" TargetMode="External"/><Relationship Id="rId58" Type="http://schemas.openxmlformats.org/officeDocument/2006/relationships/hyperlink" Target="https://techcombank.com/thong-tin/blog/thue-phi-co-dinh-khi-chuyen-doi-tu-ho-kinh-doanh-len-doanh-nghiep" TargetMode="External"/><Relationship Id="rId349" Type="http://schemas.openxmlformats.org/officeDocument/2006/relationships/hyperlink" Target="https://techcombank.com/thong-tin/blog/1-yen-bang-bao-nhieu-tien-viet-nam" TargetMode="External"/><Relationship Id="rId348" Type="http://schemas.openxmlformats.org/officeDocument/2006/relationships/hyperlink" Target="https://techcombank.com/thong-tin/blog/1-man-bang-bao-nhieu-tien-viet" TargetMode="External"/><Relationship Id="rId347" Type="http://schemas.openxmlformats.org/officeDocument/2006/relationships/hyperlink" Target="https://techcombank.com/thong-tin/blog/tien-nhat" TargetMode="External"/><Relationship Id="rId346" Type="http://schemas.openxmlformats.org/officeDocument/2006/relationships/hyperlink" Target="https://techcombank.com/thong-tin/blog/1-yen-bang-bao-nhieu-tien-viet-nam" TargetMode="External"/><Relationship Id="rId341" Type="http://schemas.openxmlformats.org/officeDocument/2006/relationships/hyperlink" Target="https://techcombank.com/thong-tin/blog/tien-nhat" TargetMode="External"/><Relationship Id="rId340" Type="http://schemas.openxmlformats.org/officeDocument/2006/relationships/hyperlink" Target="https://techcombank.com/thong-tin/blog/chuyen-tien-tu-my-ve-viet-nam" TargetMode="External"/><Relationship Id="rId345" Type="http://schemas.openxmlformats.org/officeDocument/2006/relationships/hyperlink" Target="https://techcombank.com/thong-tin/blog/tien-nhat" TargetMode="External"/><Relationship Id="rId344" Type="http://schemas.openxmlformats.org/officeDocument/2006/relationships/hyperlink" Target="https://techcombank.com/thong-tin/blog/chuyen-tien-tu-nhat-ve-viet-nam" TargetMode="External"/><Relationship Id="rId343" Type="http://schemas.openxmlformats.org/officeDocument/2006/relationships/hyperlink" Target="https://techcombank.com/thong-tin/blog/tien-nhat" TargetMode="External"/><Relationship Id="rId342" Type="http://schemas.openxmlformats.org/officeDocument/2006/relationships/hyperlink" Target="https://techcombank.com/thong-tin/blog/thanh-toan-khi-du-lich-nhat-ban" TargetMode="External"/><Relationship Id="rId338" Type="http://schemas.openxmlformats.org/officeDocument/2006/relationships/hyperlink" Target="https://techcombank.com/thong-tin/blog/lai-suat-gui-tiet-kiem-usd" TargetMode="External"/><Relationship Id="rId337" Type="http://schemas.openxmlformats.org/officeDocument/2006/relationships/hyperlink" Target="https://techcombank.com/thong-tin/blog/1-dong-do-la-my-bang-bao-nhieu-tien-viet-nam" TargetMode="External"/><Relationship Id="rId336" Type="http://schemas.openxmlformats.org/officeDocument/2006/relationships/hyperlink" Target="https://techcombank.com/thong-tin/blog/1-cent-bang-bao-nhieu-tien-viet" TargetMode="External"/><Relationship Id="rId335" Type="http://schemas.openxmlformats.org/officeDocument/2006/relationships/hyperlink" Target="https://techcombank.com/thong-tin/blog/1-dong-do-la-my-bang-bao-nhieu-tien-viet-nam" TargetMode="External"/><Relationship Id="rId339" Type="http://schemas.openxmlformats.org/officeDocument/2006/relationships/hyperlink" Target="https://techcombank.com/thong-tin/blog/1-dong-do-la-my-bang-bao-nhieu-tien-viet-nam" TargetMode="External"/><Relationship Id="rId330" Type="http://schemas.openxmlformats.org/officeDocument/2006/relationships/hyperlink" Target="https://techcombank.com/thong-tin/blog/thanh-toan-khi-du-lich-trung-quoc" TargetMode="External"/><Relationship Id="rId334" Type="http://schemas.openxmlformats.org/officeDocument/2006/relationships/hyperlink" Target="https://techcombank.com/thong-tin/blog/dieu-kien-mua-usd-tu-ngan-hang" TargetMode="External"/><Relationship Id="rId333" Type="http://schemas.openxmlformats.org/officeDocument/2006/relationships/hyperlink" Target="https://techcombank.com/thong-tin/blog/1-dong-do-la-my-bang-bao-nhieu-tien-viet-nam" TargetMode="External"/><Relationship Id="rId332" Type="http://schemas.openxmlformats.org/officeDocument/2006/relationships/hyperlink" Target="https://techcombank.com/thong-tin/blog/xu-huong-ty-gia-usd" TargetMode="External"/><Relationship Id="rId331" Type="http://schemas.openxmlformats.org/officeDocument/2006/relationships/hyperlink" Target="https://techcombank.com/thong-tin/blog/1-dong-do-la-my-bang-bao-nhieu-tien-viet-nam" TargetMode="External"/><Relationship Id="rId370" Type="http://schemas.openxmlformats.org/officeDocument/2006/relationships/hyperlink" Target="https://techcombank.com/thong-tin/blog/ngoai-te-la-gi" TargetMode="External"/><Relationship Id="rId369" Type="http://schemas.openxmlformats.org/officeDocument/2006/relationships/hyperlink" Target="https://techcombank.com/thong-tin/blog/tien-dai-loan" TargetMode="External"/><Relationship Id="rId368" Type="http://schemas.openxmlformats.org/officeDocument/2006/relationships/hyperlink" Target="https://techcombank.com/thong-tin/blog/1-van-tien-dai-loan-bang-bao-nhieu-tien-viet" TargetMode="External"/><Relationship Id="rId363" Type="http://schemas.openxmlformats.org/officeDocument/2006/relationships/hyperlink" Target="https://techcombank.com/thong-tin/blog/1-won-bang-bao-nhieu-tien-viet" TargetMode="External"/><Relationship Id="rId362" Type="http://schemas.openxmlformats.org/officeDocument/2006/relationships/hyperlink" Target="https://techcombank.com/thong-tin/blog/thanh-toan-khi-du-lich-han-quoc" TargetMode="External"/><Relationship Id="rId361" Type="http://schemas.openxmlformats.org/officeDocument/2006/relationships/hyperlink" Target="https://techcombank.com/thong-tin/blog/1-won-bang-bao-nhieu-tien-viet" TargetMode="External"/><Relationship Id="rId360" Type="http://schemas.openxmlformats.org/officeDocument/2006/relationships/hyperlink" Target="https://techcombank.com/thong-tin/blog/1000-won-bang-bao-nhieu-tien-viet" TargetMode="External"/><Relationship Id="rId367" Type="http://schemas.openxmlformats.org/officeDocument/2006/relationships/hyperlink" Target="https://techcombank.com/thong-tin/blog/tien-dai-loan" TargetMode="External"/><Relationship Id="rId366" Type="http://schemas.openxmlformats.org/officeDocument/2006/relationships/hyperlink" Target="https://techcombank.com/thong-tin/blog/ty-gia-cac-ngan-hang" TargetMode="External"/><Relationship Id="rId365" Type="http://schemas.openxmlformats.org/officeDocument/2006/relationships/hyperlink" Target="https://techcombank.com/thong-tin/blog/1-won-bang-bao-nhieu-tien-viet" TargetMode="External"/><Relationship Id="rId364" Type="http://schemas.openxmlformats.org/officeDocument/2006/relationships/hyperlink" Target="https://techcombank.com/thong-tin/blog/chuyen-tien-tu-han-sang-viet-nam" TargetMode="External"/><Relationship Id="rId95" Type="http://schemas.openxmlformats.org/officeDocument/2006/relationships/hyperlink" Target="https://techcombank.com/thong-tin/blog/cach-tinh-tien-dien-sinh-hoat" TargetMode="External"/><Relationship Id="rId94" Type="http://schemas.openxmlformats.org/officeDocument/2006/relationships/hyperlink" Target="https://techcombank.com/thong-tin/blog/app-dong-tien-dien-online" TargetMode="External"/><Relationship Id="rId97" Type="http://schemas.openxmlformats.org/officeDocument/2006/relationships/hyperlink" Target="https://techcombank.com/thong-tin/blog/cach-tinh-thue-thu-nhap-ca-nhan-2025" TargetMode="External"/><Relationship Id="rId96" Type="http://schemas.openxmlformats.org/officeDocument/2006/relationships/hyperlink" Target="https://techcombank.com/thong-tin/blog/thanh-toan-tien-dien-bang-the-tin-dung" TargetMode="External"/><Relationship Id="rId99" Type="http://schemas.openxmlformats.org/officeDocument/2006/relationships/hyperlink" Target="https://techcombank.com/thong-tin/blog/cach-tinh-thue-thu-nhap-ca-nhan-2025" TargetMode="External"/><Relationship Id="rId98" Type="http://schemas.openxmlformats.org/officeDocument/2006/relationships/hyperlink" Target="https://techcombank.com/thong-tin/blog/quyet-toan-thue-thu-nhap-ca-nhan" TargetMode="External"/><Relationship Id="rId91" Type="http://schemas.openxmlformats.org/officeDocument/2006/relationships/hyperlink" Target="https://techcombank.com/thong-tin/blog/cach-tinh-tien-dien-sinh-hoat" TargetMode="External"/><Relationship Id="rId90" Type="http://schemas.openxmlformats.org/officeDocument/2006/relationships/hyperlink" Target="https://techcombank.com/thong-tin/blog/tra-cuu-hoa-don-tien-dien" TargetMode="External"/><Relationship Id="rId93" Type="http://schemas.openxmlformats.org/officeDocument/2006/relationships/hyperlink" Target="https://techcombank.com/thong-tin/blog/cach-tinh-tien-dien-sinh-hoat" TargetMode="External"/><Relationship Id="rId92" Type="http://schemas.openxmlformats.org/officeDocument/2006/relationships/hyperlink" Target="https://techcombank.com/thong-tin/blog/cach-dong-tien-dien-qua-tai-khoan-ngan-hang" TargetMode="External"/><Relationship Id="rId359" Type="http://schemas.openxmlformats.org/officeDocument/2006/relationships/hyperlink" Target="https://techcombank.com/thong-tin/blog/1-won-bang-bao-nhieu-tien-viet" TargetMode="External"/><Relationship Id="rId358" Type="http://schemas.openxmlformats.org/officeDocument/2006/relationships/hyperlink" Target="https://techcombank.com/thong-tin/blog/1-trieu-won-bang-bao-nhieu-tien-viet" TargetMode="External"/><Relationship Id="rId357" Type="http://schemas.openxmlformats.org/officeDocument/2006/relationships/hyperlink" Target="https://techcombank.com/thong-tin/blog/1-won-bang-bao-nhieu-tien-viet" TargetMode="External"/><Relationship Id="rId352" Type="http://schemas.openxmlformats.org/officeDocument/2006/relationships/hyperlink" Target="https://techcombank.com/thong-tin/blog/tien-nhat" TargetMode="External"/><Relationship Id="rId351" Type="http://schemas.openxmlformats.org/officeDocument/2006/relationships/hyperlink" Target="https://techcombank.com/thong-tin/blog/1-yen-bang-bao-nhieu-tien-viet-nam" TargetMode="External"/><Relationship Id="rId350" Type="http://schemas.openxmlformats.org/officeDocument/2006/relationships/hyperlink" Target="https://techcombank.com/thong-tin/blog/1000-yen-bang-bao-nhieu-tien-viet" TargetMode="External"/><Relationship Id="rId356" Type="http://schemas.openxmlformats.org/officeDocument/2006/relationships/hyperlink" Target="https://techcombank.com/thong-tin/blog/chuyen-tien-tu-nhat-ve-viet-nam" TargetMode="External"/><Relationship Id="rId355" Type="http://schemas.openxmlformats.org/officeDocument/2006/relationships/hyperlink" Target="https://techcombank.com/thong-tin/blog/1-yen-bang-bao-nhieu-tien-viet-nam" TargetMode="External"/><Relationship Id="rId354" Type="http://schemas.openxmlformats.org/officeDocument/2006/relationships/hyperlink" Target="https://techcombank.com/thong-tin/blog/1-man-bang-bao-nhieu-tien-viet" TargetMode="External"/><Relationship Id="rId353" Type="http://schemas.openxmlformats.org/officeDocument/2006/relationships/hyperlink" Target="https://techcombank.com/thong-tin/blog/1-yen-bang-bao-nhieu-tien-viet-nam" TargetMode="External"/><Relationship Id="rId305" Type="http://schemas.openxmlformats.org/officeDocument/2006/relationships/hyperlink" Target="https://techcombank.com/thong-tin/blog/chung-chi-tien-gui-la-gi" TargetMode="External"/><Relationship Id="rId304" Type="http://schemas.openxmlformats.org/officeDocument/2006/relationships/hyperlink" Target="https://techcombank.com/thong-tin/blog/the-tin-dung-mien-lai-55-ngay" TargetMode="External"/><Relationship Id="rId303" Type="http://schemas.openxmlformats.org/officeDocument/2006/relationships/hyperlink" Target="https://techcombank.com/thong-tin/blog/cach-thanh-toan-the-tin-dung" TargetMode="External"/><Relationship Id="rId302" Type="http://schemas.openxmlformats.org/officeDocument/2006/relationships/hyperlink" Target="https://techcombank.com/thong-tin/blog/no-the-tin-dung-qua-han" TargetMode="External"/><Relationship Id="rId309" Type="http://schemas.openxmlformats.org/officeDocument/2006/relationships/hyperlink" Target="https://techcombank.com/thong-tin/blog/chung-chi-tien-gui-la-gi" TargetMode="External"/><Relationship Id="rId308" Type="http://schemas.openxmlformats.org/officeDocument/2006/relationships/hyperlink" Target="https://techcombank.com/thong-tin/blog/chung-chi-tien-gui-co-phai-la-trai-phieu-khong" TargetMode="External"/><Relationship Id="rId307" Type="http://schemas.openxmlformats.org/officeDocument/2006/relationships/hyperlink" Target="https://techcombank.com/thong-tin/blog/chung-chi-tien-gui-la-gi" TargetMode="External"/><Relationship Id="rId306" Type="http://schemas.openxmlformats.org/officeDocument/2006/relationships/hyperlink" Target="https://techcombank.com/thong-tin/blog/chung-chi-tien-gui-khac-gi-so-tiet-kiem" TargetMode="External"/><Relationship Id="rId301" Type="http://schemas.openxmlformats.org/officeDocument/2006/relationships/hyperlink" Target="https://techcombank.com/thong-tin/blog/cach-thanh-toan-the-tin-dung" TargetMode="External"/><Relationship Id="rId300" Type="http://schemas.openxmlformats.org/officeDocument/2006/relationships/hyperlink" Target="https://techcombank.com/thong-tin/blog/sao-ke-the-tin-dung-la-gi" TargetMode="External"/><Relationship Id="rId327" Type="http://schemas.openxmlformats.org/officeDocument/2006/relationships/hyperlink" Target="https://techcombank.com/thong-tin/blog/1-te-bang-bao-nhieu-tien-viet-nam" TargetMode="External"/><Relationship Id="rId326" Type="http://schemas.openxmlformats.org/officeDocument/2006/relationships/hyperlink" Target="https://techcombank.com/thong-tin/blog/1-van-te-bang-bao-nhieu-tien-viet" TargetMode="External"/><Relationship Id="rId325" Type="http://schemas.openxmlformats.org/officeDocument/2006/relationships/hyperlink" Target="https://techcombank.com/thong-tin/blog/1-te-bang-bao-nhieu-tien-viet-nam" TargetMode="External"/><Relationship Id="rId324" Type="http://schemas.openxmlformats.org/officeDocument/2006/relationships/hyperlink" Target="https://techcombank.com/thong-tin/blog/tien-trung-quoc" TargetMode="External"/><Relationship Id="rId329" Type="http://schemas.openxmlformats.org/officeDocument/2006/relationships/hyperlink" Target="https://techcombank.com/thong-tin/blog/1-te-bang-bao-nhieu-tien-viet-nam" TargetMode="External"/><Relationship Id="rId328" Type="http://schemas.openxmlformats.org/officeDocument/2006/relationships/hyperlink" Target="https://techcombank.com/thong-tin/blog/1000-te-bang-bao-nhieu-tien-viet" TargetMode="External"/><Relationship Id="rId323" Type="http://schemas.openxmlformats.org/officeDocument/2006/relationships/hyperlink" Target="https://techcombank.com/thong-tin/blog/1-te-bang-bao-nhieu-tien-viet-nam" TargetMode="External"/><Relationship Id="rId322" Type="http://schemas.openxmlformats.org/officeDocument/2006/relationships/hyperlink" Target="https://techcombank.com/thong-tin/blog/chuyen-nhuong-chung-chi-tien-gui" TargetMode="External"/><Relationship Id="rId321" Type="http://schemas.openxmlformats.org/officeDocument/2006/relationships/hyperlink" Target="https://techcombank.com/thong-tin/blog/lai-suat-chung-chi-tien-gui-cac-ngan-hang" TargetMode="External"/><Relationship Id="rId320" Type="http://schemas.openxmlformats.org/officeDocument/2006/relationships/hyperlink" Target="https://techcombank.com/thong-tin/blog/chung-chi-tien-gui-co-duoc-rut-truoc-han" TargetMode="External"/><Relationship Id="rId316" Type="http://schemas.openxmlformats.org/officeDocument/2006/relationships/hyperlink" Target="https://techcombank.com/thong-tin/blog/cach-tinh-loi-nhuan-chung-chi-tien-gui" TargetMode="External"/><Relationship Id="rId315" Type="http://schemas.openxmlformats.org/officeDocument/2006/relationships/hyperlink" Target="https://techcombank.com/thong-tin/blog/lai-suat-chung-chi-tien-gui-cac-ngan-hang" TargetMode="External"/><Relationship Id="rId314" Type="http://schemas.openxmlformats.org/officeDocument/2006/relationships/hyperlink" Target="https://techcombank.com/thong-tin/blog/tien-nhan-roi-nen-lam-gi" TargetMode="External"/><Relationship Id="rId313" Type="http://schemas.openxmlformats.org/officeDocument/2006/relationships/hyperlink" Target="https://techcombank.com/thong-tin/blog/chung-chi-tien-gui-la-gi" TargetMode="External"/><Relationship Id="rId319" Type="http://schemas.openxmlformats.org/officeDocument/2006/relationships/hyperlink" Target="https://techcombank.com/thong-tin/blog/lai-suat-chung-chi-tien-gui-cac-ngan-hang" TargetMode="External"/><Relationship Id="rId318" Type="http://schemas.openxmlformats.org/officeDocument/2006/relationships/hyperlink" Target="https://techcombank.com/thong-tin/blog/tat-toan-chung-chi-tien-gui" TargetMode="External"/><Relationship Id="rId317" Type="http://schemas.openxmlformats.org/officeDocument/2006/relationships/hyperlink" Target="https://techcombank.com/thong-tin/blog/lai-suat-chung-chi-tien-gui-cac-ngan-hang" TargetMode="External"/><Relationship Id="rId312" Type="http://schemas.openxmlformats.org/officeDocument/2006/relationships/hyperlink" Target="https://techcombank.com/thong-tin/blog/chung-chi-tien-gui-co-an-toan-khong" TargetMode="External"/><Relationship Id="rId311" Type="http://schemas.openxmlformats.org/officeDocument/2006/relationships/hyperlink" Target="https://techcombank.com/thong-tin/blog/chung-chi-tien-gui-la-gi" TargetMode="External"/><Relationship Id="rId310" Type="http://schemas.openxmlformats.org/officeDocument/2006/relationships/hyperlink" Target="https://techcombank.com/thong-tin/blog/co-nen-gui-chung-chi-tien-gui" TargetMode="External"/><Relationship Id="rId297" Type="http://schemas.openxmlformats.org/officeDocument/2006/relationships/hyperlink" Target="https://techcombank.com/thong-tin/blog/cach-thanh-toan-the-tin-dung" TargetMode="External"/><Relationship Id="rId296" Type="http://schemas.openxmlformats.org/officeDocument/2006/relationships/hyperlink" Target="https://techcombank.com/thong-tin/blog/thanh-toan-toi-thieu-the-tin-dung" TargetMode="External"/><Relationship Id="rId295" Type="http://schemas.openxmlformats.org/officeDocument/2006/relationships/hyperlink" Target="https://techcombank.com/thong-tin/blog/cach-thanh-toan-the-tin-dung" TargetMode="External"/><Relationship Id="rId294" Type="http://schemas.openxmlformats.org/officeDocument/2006/relationships/hyperlink" Target="https://techcombank.com/thong-tin/blog/no-xau-co-vay-the-chap-duoc-khong" TargetMode="External"/><Relationship Id="rId299" Type="http://schemas.openxmlformats.org/officeDocument/2006/relationships/hyperlink" Target="https://techcombank.com/thong-tin/blog/cach-thanh-toan-the-tin-dung" TargetMode="External"/><Relationship Id="rId298" Type="http://schemas.openxmlformats.org/officeDocument/2006/relationships/hyperlink" Target="https://techcombank.com/thong-tin/blog/qua-han-thanh-toan-the-tin-dung-1-ngay" TargetMode="External"/><Relationship Id="rId271" Type="http://schemas.openxmlformats.org/officeDocument/2006/relationships/hyperlink" Target="https://techcombank.com/thong-tin/blog/the-tin-dung-hoan-tien" TargetMode="External"/><Relationship Id="rId270" Type="http://schemas.openxmlformats.org/officeDocument/2006/relationships/hyperlink" Target="https://techcombank.com/thong-tin/blog/thanh-toan-tien-dien-bang-the-tin-dung" TargetMode="External"/><Relationship Id="rId269" Type="http://schemas.openxmlformats.org/officeDocument/2006/relationships/hyperlink" Target="https://techcombank.com/thong-tin/blog/the-tin-dung-hoan-tien" TargetMode="External"/><Relationship Id="rId264" Type="http://schemas.openxmlformats.org/officeDocument/2006/relationships/hyperlink" Target="https://techcombank.com/thong-tin/blog/uu-dai-the-tin-dung" TargetMode="External"/><Relationship Id="rId263" Type="http://schemas.openxmlformats.org/officeDocument/2006/relationships/hyperlink" Target="https://techcombank.com/khach-hang-ca-nhan/chi-tieu/the/the-tin-dung/techcombank-everyday" TargetMode="External"/><Relationship Id="rId262" Type="http://schemas.openxmlformats.org/officeDocument/2006/relationships/hyperlink" Target="https://techcombank.com/thong-tin/blog/thoi-gian-hoan-tien-the-tin-dung" TargetMode="External"/><Relationship Id="rId261" Type="http://schemas.openxmlformats.org/officeDocument/2006/relationships/hyperlink" Target="https://techcombank.com/khach-hang-ca-nhan/chi-tieu/the/the-tin-dung/techcombank-everyday" TargetMode="External"/><Relationship Id="rId268" Type="http://schemas.openxmlformats.org/officeDocument/2006/relationships/hyperlink" Target="https://techcombank.com/thong-tin/blog/mo-the-tin-dung-co-loi-ich-gi" TargetMode="External"/><Relationship Id="rId267" Type="http://schemas.openxmlformats.org/officeDocument/2006/relationships/hyperlink" Target="https://techcombank.com/khach-hang-ca-nhan/chi-tieu/the/the-tin-dung/techcombank-everyday" TargetMode="External"/><Relationship Id="rId266" Type="http://schemas.openxmlformats.org/officeDocument/2006/relationships/hyperlink" Target="https://techcombank.com/thong-tin/blog/cac-loai-the-tin-dung" TargetMode="External"/><Relationship Id="rId265" Type="http://schemas.openxmlformats.org/officeDocument/2006/relationships/hyperlink" Target="https://techcombank.com/khach-hang-ca-nhan/chi-tieu/the/the-tin-dung/techcombank-everyday" TargetMode="External"/><Relationship Id="rId260" Type="http://schemas.openxmlformats.org/officeDocument/2006/relationships/hyperlink" Target="https://techcombank.com/thong-tin/blog/the-tin-dung-nao-nhieu-uu-dai-nhat" TargetMode="External"/><Relationship Id="rId259" Type="http://schemas.openxmlformats.org/officeDocument/2006/relationships/hyperlink" Target="https://techcombank.com/khach-hang-ca-nhan/chi-tieu/the/the-tin-dung/techcombank-everyday" TargetMode="External"/><Relationship Id="rId258" Type="http://schemas.openxmlformats.org/officeDocument/2006/relationships/hyperlink" Target="https://techcombank.com/thong-tin/blog/co-nen-dung-the-tin-dung-khong" TargetMode="External"/><Relationship Id="rId253" Type="http://schemas.openxmlformats.org/officeDocument/2006/relationships/hyperlink" Target="https://techcombank.com/thong-tin/blog/lam-the-tin-dung" TargetMode="External"/><Relationship Id="rId252" Type="http://schemas.openxmlformats.org/officeDocument/2006/relationships/hyperlink" Target="https://techcombank.com/thong-tin/blog/mo-the-tin-dung-chi-can-cccd" TargetMode="External"/><Relationship Id="rId251" Type="http://schemas.openxmlformats.org/officeDocument/2006/relationships/hyperlink" Target="https://techcombank.com/thong-tin/blog/lam-the-tin-dung" TargetMode="External"/><Relationship Id="rId250" Type="http://schemas.openxmlformats.org/officeDocument/2006/relationships/hyperlink" Target="https://techcombank.com/thong-tin/blog/the-tin-dung-la-gi" TargetMode="External"/><Relationship Id="rId257" Type="http://schemas.openxmlformats.org/officeDocument/2006/relationships/hyperlink" Target="https://techcombank.com/thong-tin/blog/lam-the-tin-dung" TargetMode="External"/><Relationship Id="rId256" Type="http://schemas.openxmlformats.org/officeDocument/2006/relationships/hyperlink" Target="https://techcombank.com/thong-tin/blog/mo-the-tin-dung-khong-can-chung-minh-thu-nhap" TargetMode="External"/><Relationship Id="rId255" Type="http://schemas.openxmlformats.org/officeDocument/2006/relationships/hyperlink" Target="https://techcombank.com/thong-tin/blog/lam-the-tin-dung" TargetMode="External"/><Relationship Id="rId254" Type="http://schemas.openxmlformats.org/officeDocument/2006/relationships/hyperlink" Target="https://techcombank.com/thong-tin/blog/lam-the-tin-dung-co-mat-phi-khong" TargetMode="External"/><Relationship Id="rId293" Type="http://schemas.openxmlformats.org/officeDocument/2006/relationships/hyperlink" Target="https://techcombank.com/thong-tin/blog/xep-hang-tin-dung" TargetMode="External"/><Relationship Id="rId292" Type="http://schemas.openxmlformats.org/officeDocument/2006/relationships/hyperlink" Target="https://techcombank.com/thong-tin/blog/dieu-kien-vay-von-ngan-hang" TargetMode="External"/><Relationship Id="rId291" Type="http://schemas.openxmlformats.org/officeDocument/2006/relationships/hyperlink" Target="https://techcombank.com/thong-tin/blog/xep-hang-tin-dung" TargetMode="External"/><Relationship Id="rId290" Type="http://schemas.openxmlformats.org/officeDocument/2006/relationships/hyperlink" Target="https://techcombank.com/thong-tin/blog/lich-su-tin-dung" TargetMode="External"/><Relationship Id="rId286" Type="http://schemas.openxmlformats.org/officeDocument/2006/relationships/hyperlink" Target="https://techcombank.com/thong-tin/blog/the-tin-dung-bi-khoa" TargetMode="External"/><Relationship Id="rId285" Type="http://schemas.openxmlformats.org/officeDocument/2006/relationships/hyperlink" Target="https://techcombank.com/thong-tin/blog/cach-huy-the-tin-dung" TargetMode="External"/><Relationship Id="rId284" Type="http://schemas.openxmlformats.org/officeDocument/2006/relationships/hyperlink" Target="https://techcombank.com/thong-tin/blog/cach-khoa-the-ngan-hang" TargetMode="External"/><Relationship Id="rId283" Type="http://schemas.openxmlformats.org/officeDocument/2006/relationships/hyperlink" Target="https://techcombank.com/thong-tin/blog/cach-huy-the-tin-dung" TargetMode="External"/><Relationship Id="rId289" Type="http://schemas.openxmlformats.org/officeDocument/2006/relationships/hyperlink" Target="https://techcombank.com/thong-tin/blog/xep-hang-tin-dung" TargetMode="External"/><Relationship Id="rId288" Type="http://schemas.openxmlformats.org/officeDocument/2006/relationships/hyperlink" Target="https://techcombank.com/thong-tin/blog/the-tin-dung-het-han" TargetMode="External"/><Relationship Id="rId287" Type="http://schemas.openxmlformats.org/officeDocument/2006/relationships/hyperlink" Target="https://techcombank.com/thong-tin/blog/cach-huy-the-tin-dung" TargetMode="External"/><Relationship Id="rId282" Type="http://schemas.openxmlformats.org/officeDocument/2006/relationships/hyperlink" Target="https://techcombank.com/thong-tin/blog/khong-su-dung-the-tin-dung-co-mat-phi-khong" TargetMode="External"/><Relationship Id="rId281" Type="http://schemas.openxmlformats.org/officeDocument/2006/relationships/hyperlink" Target="https://techcombank.com/thong-tin/blog/cach-huy-the-tin-dung" TargetMode="External"/><Relationship Id="rId280" Type="http://schemas.openxmlformats.org/officeDocument/2006/relationships/hyperlink" Target="https://techcombank.com/thong-tin/blog/phi-thuong-nien-la-gi" TargetMode="External"/><Relationship Id="rId275" Type="http://schemas.openxmlformats.org/officeDocument/2006/relationships/hyperlink" Target="https://techcombank.com/thong-tin/blog/the-tin-dung-hoan-tien" TargetMode="External"/><Relationship Id="rId274" Type="http://schemas.openxmlformats.org/officeDocument/2006/relationships/hyperlink" Target="https://techcombank.com/thong-tin/blog/uu-dai-mo-the-tin-dung" TargetMode="External"/><Relationship Id="rId273" Type="http://schemas.openxmlformats.org/officeDocument/2006/relationships/hyperlink" Target="https://techcombank.com/thong-tin/blog/the-tin-dung-hoan-tien" TargetMode="External"/><Relationship Id="rId272" Type="http://schemas.openxmlformats.org/officeDocument/2006/relationships/hyperlink" Target="https://techcombank.com/thong-tin/blog/cashback-the-thanh-toan" TargetMode="External"/><Relationship Id="rId279" Type="http://schemas.openxmlformats.org/officeDocument/2006/relationships/hyperlink" Target="https://techcombank.com/thong-tin/blog/cach-huy-the-tin-dung" TargetMode="External"/><Relationship Id="rId278" Type="http://schemas.openxmlformats.org/officeDocument/2006/relationships/hyperlink" Target="https://techcombank.com/thong-tin/blog/cach-su-dung-the-tin-dung" TargetMode="External"/><Relationship Id="rId277" Type="http://schemas.openxmlformats.org/officeDocument/2006/relationships/hyperlink" Target="https://techcombank.com/thong-tin/blog/the-tin-dung-hoan-tien" TargetMode="External"/><Relationship Id="rId276" Type="http://schemas.openxmlformats.org/officeDocument/2006/relationships/hyperlink" Target="https://techcombank.com/thong-tin/blog/the-tin-dung-mien-phi-thuong-nien" TargetMode="External"/><Relationship Id="rId629" Type="http://schemas.openxmlformats.org/officeDocument/2006/relationships/hyperlink" Target="https://techcombank.com/thong-tin/blog/kiem-tra-no-xau" TargetMode="External"/><Relationship Id="rId624" Type="http://schemas.openxmlformats.org/officeDocument/2006/relationships/hyperlink" Target="https://techcombank.com/thong-tin/blog/thoi-han-vay-thau-chi" TargetMode="External"/><Relationship Id="rId623" Type="http://schemas.openxmlformats.org/officeDocument/2006/relationships/hyperlink" Target="https://techcombank.com/thong-tin/blog/vay-thau-chi-la-gi" TargetMode="External"/><Relationship Id="rId622" Type="http://schemas.openxmlformats.org/officeDocument/2006/relationships/hyperlink" Target="https://techcombank.com/thong-tin/blog/lai-suat-vay-thau-chi" TargetMode="External"/><Relationship Id="rId621" Type="http://schemas.openxmlformats.org/officeDocument/2006/relationships/hyperlink" Target="https://techcombank.com/thong-tin/blog/vay-thau-chi-la-gi" TargetMode="External"/><Relationship Id="rId628" Type="http://schemas.openxmlformats.org/officeDocument/2006/relationships/hyperlink" Target="https://techcombank.com/thong-tin/blog/vay-han-muc-la-gi" TargetMode="External"/><Relationship Id="rId627" Type="http://schemas.openxmlformats.org/officeDocument/2006/relationships/hyperlink" Target="https://techcombank.com/thong-tin/blog/vay-thau-chi-la-gi" TargetMode="External"/><Relationship Id="rId626" Type="http://schemas.openxmlformats.org/officeDocument/2006/relationships/hyperlink" Target="https://techcombank.com/thong-tin/blog/tra-no-vay-thau-chi-nhu-the-nao" TargetMode="External"/><Relationship Id="rId625" Type="http://schemas.openxmlformats.org/officeDocument/2006/relationships/hyperlink" Target="https://techcombank.com/thong-tin/blog/vay-thau-chi-la-gi" TargetMode="External"/><Relationship Id="rId620" Type="http://schemas.openxmlformats.org/officeDocument/2006/relationships/hyperlink" Target="https://techcombank.com/thong-tin/blog/han-muc-thau-chi-la-gi" TargetMode="External"/><Relationship Id="rId619" Type="http://schemas.openxmlformats.org/officeDocument/2006/relationships/hyperlink" Target="https://techcombank.com/thong-tin/blog/vay-thau-chi-la-gi" TargetMode="External"/><Relationship Id="rId618" Type="http://schemas.openxmlformats.org/officeDocument/2006/relationships/hyperlink" Target="https://techcombank.com/thong-tin/blog/lai-suat-qua-han" TargetMode="External"/><Relationship Id="rId613" Type="http://schemas.openxmlformats.org/officeDocument/2006/relationships/hyperlink" Target="https://techcombank.com/thong-tin/blog/lai-suat-vay-ngan-hang" TargetMode="External"/><Relationship Id="rId612" Type="http://schemas.openxmlformats.org/officeDocument/2006/relationships/hyperlink" Target="https://techcombank.com/thong-tin/blog/lai-suat-vay-tieu-dung" TargetMode="External"/><Relationship Id="rId611" Type="http://schemas.openxmlformats.org/officeDocument/2006/relationships/hyperlink" Target="https://techcombank.com/thong-tin/blog/lai-suat-vay-ngan-hang" TargetMode="External"/><Relationship Id="rId610" Type="http://schemas.openxmlformats.org/officeDocument/2006/relationships/hyperlink" Target="https://techcombank.com/thong-tin/blog/lai-suat-la-gi" TargetMode="External"/><Relationship Id="rId617" Type="http://schemas.openxmlformats.org/officeDocument/2006/relationships/hyperlink" Target="https://techcombank.com/thong-tin/blog/lai-suat-vay-ngan-hang" TargetMode="External"/><Relationship Id="rId616" Type="http://schemas.openxmlformats.org/officeDocument/2006/relationships/hyperlink" Target="https://techcombank.com/thong-tin/blog/dieu-kien-vay-von-ngan-hang" TargetMode="External"/><Relationship Id="rId615" Type="http://schemas.openxmlformats.org/officeDocument/2006/relationships/hyperlink" Target="https://techcombank.com/thong-tin/blog/lai-suat-vay-ngan-hang" TargetMode="External"/><Relationship Id="rId614" Type="http://schemas.openxmlformats.org/officeDocument/2006/relationships/hyperlink" Target="https://techcombank.com/thong-tin/blog/lai-suat-vay-tin-chap" TargetMode="External"/><Relationship Id="rId646" Type="http://schemas.openxmlformats.org/officeDocument/2006/relationships/hyperlink" Target="https://techcombank.com/thong-tin/blog/vay-tin-chap-va-vay-the-chap" TargetMode="External"/><Relationship Id="rId645" Type="http://schemas.openxmlformats.org/officeDocument/2006/relationships/hyperlink" Target="https://techcombank.com/thong-tin/blog/nen-vay-tin-chap-o-dau" TargetMode="External"/><Relationship Id="rId644" Type="http://schemas.openxmlformats.org/officeDocument/2006/relationships/hyperlink" Target="https://techcombank.com/thong-tin/blog/vay-tin-chap-toi-da-duoc-bao-nhieu" TargetMode="External"/><Relationship Id="rId643" Type="http://schemas.openxmlformats.org/officeDocument/2006/relationships/hyperlink" Target="https://techcombank.com/thong-tin/blog/nen-vay-tin-chap-o-dau" TargetMode="External"/><Relationship Id="rId649" Type="http://schemas.openxmlformats.org/officeDocument/2006/relationships/hyperlink" Target="https://techcombank.com/thong-tin/blog/no-xau-la-gi" TargetMode="External"/><Relationship Id="rId648" Type="http://schemas.openxmlformats.org/officeDocument/2006/relationships/hyperlink" Target="https://techcombank.com/thong-tin/blog/lai-suat-vay-tin-chap" TargetMode="External"/><Relationship Id="rId647" Type="http://schemas.openxmlformats.org/officeDocument/2006/relationships/hyperlink" Target="https://techcombank.com/thong-tin/blog/nen-vay-tin-chap-o-dau" TargetMode="External"/><Relationship Id="rId642" Type="http://schemas.openxmlformats.org/officeDocument/2006/relationships/hyperlink" Target="https://techcombank.com/thong-tin/blog/ho-so-vay-tin-chap" TargetMode="External"/><Relationship Id="rId641" Type="http://schemas.openxmlformats.org/officeDocument/2006/relationships/hyperlink" Target="https://techcombank.com/thong-tin/blog/nen-vay-tin-chap-o-dau" TargetMode="External"/><Relationship Id="rId640" Type="http://schemas.openxmlformats.org/officeDocument/2006/relationships/hyperlink" Target="https://techcombank.com/thong-tin/blog/vay-tin-chap-la-gi" TargetMode="External"/><Relationship Id="rId635" Type="http://schemas.openxmlformats.org/officeDocument/2006/relationships/hyperlink" Target="https://techcombank.com/thong-tin/blog/kiem-tra-no-xau" TargetMode="External"/><Relationship Id="rId634" Type="http://schemas.openxmlformats.org/officeDocument/2006/relationships/hyperlink" Target="https://techcombank.com/thong-tin/blog/vay-tin-chap-no-xau" TargetMode="External"/><Relationship Id="rId633" Type="http://schemas.openxmlformats.org/officeDocument/2006/relationships/hyperlink" Target="https://techcombank.com/thong-tin/blog/kiem-tra-no-xau" TargetMode="External"/><Relationship Id="rId632" Type="http://schemas.openxmlformats.org/officeDocument/2006/relationships/hyperlink" Target="https://techcombank.com/thong-tin/blog/no-xau-mo-the-tin-dung-duoc-khong" TargetMode="External"/><Relationship Id="rId639" Type="http://schemas.openxmlformats.org/officeDocument/2006/relationships/hyperlink" Target="https://techcombank.com/thong-tin/blog/nen-vay-tin-chap-o-dau" TargetMode="External"/><Relationship Id="rId638" Type="http://schemas.openxmlformats.org/officeDocument/2006/relationships/hyperlink" Target="https://techcombank.com/thong-tin/blog/no-xau-nhom-2" TargetMode="External"/><Relationship Id="rId637" Type="http://schemas.openxmlformats.org/officeDocument/2006/relationships/hyperlink" Target="https://techcombank.com/thong-tin/blog/kiem-tra-no-xau" TargetMode="External"/><Relationship Id="rId636" Type="http://schemas.openxmlformats.org/officeDocument/2006/relationships/hyperlink" Target="https://techcombank.com/thong-tin/blog/no-xau-co-vay-the-chap-duoc-khong" TargetMode="External"/><Relationship Id="rId631" Type="http://schemas.openxmlformats.org/officeDocument/2006/relationships/hyperlink" Target="https://techcombank.com/thong-tin/blog/kiem-tra-no-xau" TargetMode="External"/><Relationship Id="rId630" Type="http://schemas.openxmlformats.org/officeDocument/2006/relationships/hyperlink" Target="https://techcombank.com/thong-tin/blog/no-xau-co-lam-the-visa-duoc-khong" TargetMode="External"/><Relationship Id="rId609" Type="http://schemas.openxmlformats.org/officeDocument/2006/relationships/hyperlink" Target="https://techcombank.com/thong-tin/blog/lai-suat-vay-ngan-hang" TargetMode="External"/><Relationship Id="rId608" Type="http://schemas.openxmlformats.org/officeDocument/2006/relationships/hyperlink" Target="https://techcombank.com/thong-tin/blog/vay-sieu-toc" TargetMode="External"/><Relationship Id="rId607" Type="http://schemas.openxmlformats.org/officeDocument/2006/relationships/hyperlink" Target="https://techcombank.com/thong-tin/blog/app-vay-tien-nhanh" TargetMode="External"/><Relationship Id="rId602" Type="http://schemas.openxmlformats.org/officeDocument/2006/relationships/hyperlink" Target="https://techcombank.com/thong-tin/blog/vay-ngan-hang-chi-can-cccd" TargetMode="External"/><Relationship Id="rId601" Type="http://schemas.openxmlformats.org/officeDocument/2006/relationships/hyperlink" Target="https://techcombank.com/thong-tin/blog/app-vay-tien-nhanh" TargetMode="External"/><Relationship Id="rId600" Type="http://schemas.openxmlformats.org/officeDocument/2006/relationships/hyperlink" Target="https://techcombank.com/thong-tin/blog/vay-tien-online" TargetMode="External"/><Relationship Id="rId606" Type="http://schemas.openxmlformats.org/officeDocument/2006/relationships/hyperlink" Target="https://techcombank.com/thong-tin/blog/vay-50-trieu" TargetMode="External"/><Relationship Id="rId605" Type="http://schemas.openxmlformats.org/officeDocument/2006/relationships/hyperlink" Target="https://techcombank.com/thong-tin/blog/app-vay-tien-nhanh" TargetMode="External"/><Relationship Id="rId604" Type="http://schemas.openxmlformats.org/officeDocument/2006/relationships/hyperlink" Target="https://techcombank.com/thong-tin/blog/vay-30-trieu" TargetMode="External"/><Relationship Id="rId603" Type="http://schemas.openxmlformats.org/officeDocument/2006/relationships/hyperlink" Target="https://techcombank.com/thong-tin/blog/app-vay-tien-nhanh" TargetMode="External"/><Relationship Id="rId228" Type="http://schemas.openxmlformats.org/officeDocument/2006/relationships/hyperlink" Target="https://techcombank.com/thong-tin/blog/the-ghi-no-visa-la-gi" TargetMode="External"/><Relationship Id="rId227" Type="http://schemas.openxmlformats.org/officeDocument/2006/relationships/hyperlink" Target="https://techcombank.com/thong-tin/blog/eco-card" TargetMode="External"/><Relationship Id="rId226" Type="http://schemas.openxmlformats.org/officeDocument/2006/relationships/hyperlink" Target="https://techcombank.com/thong-tin/blog/xu-huong-song-xanh" TargetMode="External"/><Relationship Id="rId225" Type="http://schemas.openxmlformats.org/officeDocument/2006/relationships/hyperlink" Target="https://techcombank.com/thong-tin/blog/eco-card" TargetMode="External"/><Relationship Id="rId229" Type="http://schemas.openxmlformats.org/officeDocument/2006/relationships/hyperlink" Target="https://techcombank.com/thong-tin/blog/cic-la-gi" TargetMode="External"/><Relationship Id="rId220" Type="http://schemas.openxmlformats.org/officeDocument/2006/relationships/hyperlink" Target="https://techcombank.com/thong-tin/blog/mo-tai-khoan-ngan-hang-bang-so-dien-thoai" TargetMode="External"/><Relationship Id="rId224" Type="http://schemas.openxmlformats.org/officeDocument/2006/relationships/hyperlink" Target="https://techcombank.com/thong-tin/blog/san-pham-xanh" TargetMode="External"/><Relationship Id="rId223" Type="http://schemas.openxmlformats.org/officeDocument/2006/relationships/hyperlink" Target="https://techcombank.com/thong-tin/blog/eco-card" TargetMode="External"/><Relationship Id="rId222" Type="http://schemas.openxmlformats.org/officeDocument/2006/relationships/hyperlink" Target="https://techcombank.com/thong-tin/blog/dau-chan-carbon" TargetMode="External"/><Relationship Id="rId221" Type="http://schemas.openxmlformats.org/officeDocument/2006/relationships/hyperlink" Target="https://techcombank.com/thong-tin/blog/eco-card" TargetMode="External"/><Relationship Id="rId217" Type="http://schemas.openxmlformats.org/officeDocument/2006/relationships/hyperlink" Target="https://techcombank.com/thong-tin/blog/cach-quet-nfc-cccd-tren-iphone" TargetMode="External"/><Relationship Id="rId216" Type="http://schemas.openxmlformats.org/officeDocument/2006/relationships/hyperlink" Target="https://techcombank.com/thong-tin/blog/ekyc-la-gi" TargetMode="External"/><Relationship Id="rId215" Type="http://schemas.openxmlformats.org/officeDocument/2006/relationships/hyperlink" Target="https://techcombank.com/thong-tin/blog/cach-quet-nfc-cccd-tren-iphone" TargetMode="External"/><Relationship Id="rId214" Type="http://schemas.openxmlformats.org/officeDocument/2006/relationships/hyperlink" Target="https://techcombank.com/thong-tin/blog/cach-lien-ket-tai-khoan-ngan-hang-voi-vneid" TargetMode="External"/><Relationship Id="rId219" Type="http://schemas.openxmlformats.org/officeDocument/2006/relationships/hyperlink" Target="https://techcombank.com/thong-tin/blog/cach-quet-nfc-cccd-tren-iphone" TargetMode="External"/><Relationship Id="rId218" Type="http://schemas.openxmlformats.org/officeDocument/2006/relationships/hyperlink" Target="https://techcombank.com/thong-tin/blog/cach-dang-ky-dinh-danh-muc-2" TargetMode="External"/><Relationship Id="rId213" Type="http://schemas.openxmlformats.org/officeDocument/2006/relationships/hyperlink" Target="https://techcombank.com/thong-tin/blog/cach-quet-nfc-cccd-tren-iphone" TargetMode="External"/><Relationship Id="rId212" Type="http://schemas.openxmlformats.org/officeDocument/2006/relationships/hyperlink" Target="https://techcombank.com/thong-tin/blog/xac-thuc-sinh-trac-hoc-khi-chuyen-tien" TargetMode="External"/><Relationship Id="rId211" Type="http://schemas.openxmlformats.org/officeDocument/2006/relationships/hyperlink" Target="https://techcombank.com/thong-tin/blog/cach-quet-nfc-cccd-tren-iphone" TargetMode="External"/><Relationship Id="rId210" Type="http://schemas.openxmlformats.org/officeDocument/2006/relationships/hyperlink" Target="https://techcombank.com/thong-tin/blog/cay-atm-gan-day" TargetMode="External"/><Relationship Id="rId249" Type="http://schemas.openxmlformats.org/officeDocument/2006/relationships/hyperlink" Target="https://techcombank.com/thong-tin/blog/lam-the-tin-dung" TargetMode="External"/><Relationship Id="rId248" Type="http://schemas.openxmlformats.org/officeDocument/2006/relationships/hyperlink" Target="https://techcombank.com/thong-tin/blog/lai-suat-the-tin-dung" TargetMode="External"/><Relationship Id="rId247" Type="http://schemas.openxmlformats.org/officeDocument/2006/relationships/hyperlink" Target="https://techcombank.com/thong-tin/blog/rut-tien-mat-tu-the-tin-dung" TargetMode="External"/><Relationship Id="rId242" Type="http://schemas.openxmlformats.org/officeDocument/2006/relationships/hyperlink" Target="https://techcombank.com/thong-tin/blog/the-visa-co-rut-tien-duoc-khong" TargetMode="External"/><Relationship Id="rId241" Type="http://schemas.openxmlformats.org/officeDocument/2006/relationships/hyperlink" Target="https://techcombank.com/thong-tin/blog/rut-tien-mat-tu-the-tin-dung" TargetMode="External"/><Relationship Id="rId240" Type="http://schemas.openxmlformats.org/officeDocument/2006/relationships/hyperlink" Target="https://techcombank.com/thong-tin/blog/phi-rut-tien-mat-the-tin-dung" TargetMode="External"/><Relationship Id="rId246" Type="http://schemas.openxmlformats.org/officeDocument/2006/relationships/hyperlink" Target="https://techcombank.com/thong-tin/blog/han-muc-the-tin-dung" TargetMode="External"/><Relationship Id="rId245" Type="http://schemas.openxmlformats.org/officeDocument/2006/relationships/hyperlink" Target="https://techcombank.com/thong-tin/blog/rut-tien-mat-tu-the-tin-dung" TargetMode="External"/><Relationship Id="rId244" Type="http://schemas.openxmlformats.org/officeDocument/2006/relationships/hyperlink" Target="https://techcombank.com/thong-tin/blog/the-tin-dung-co-chuyen-khoan-duoc-khong" TargetMode="External"/><Relationship Id="rId243" Type="http://schemas.openxmlformats.org/officeDocument/2006/relationships/hyperlink" Target="https://techcombank.com/thong-tin/blog/rut-tien-mat-tu-the-tin-dung" TargetMode="External"/><Relationship Id="rId239" Type="http://schemas.openxmlformats.org/officeDocument/2006/relationships/hyperlink" Target="https://techcombank.com/thong-tin/blog/rut-tien-mat-tu-the-tin-dung" TargetMode="External"/><Relationship Id="rId238" Type="http://schemas.openxmlformats.org/officeDocument/2006/relationships/hyperlink" Target="https://techcombank.com/thong-tin/blog/no-xau-nhom-2" TargetMode="External"/><Relationship Id="rId237" Type="http://schemas.openxmlformats.org/officeDocument/2006/relationships/hyperlink" Target="https://techcombank.com/thong-tin/blog/cic-la-gi" TargetMode="External"/><Relationship Id="rId236" Type="http://schemas.openxmlformats.org/officeDocument/2006/relationships/hyperlink" Target="https://techcombank.com/thong-tin/blog/no-chu-y-la-gi" TargetMode="External"/><Relationship Id="rId231" Type="http://schemas.openxmlformats.org/officeDocument/2006/relationships/hyperlink" Target="https://techcombank.com/thong-tin/blog/cic-la-gi" TargetMode="External"/><Relationship Id="rId230" Type="http://schemas.openxmlformats.org/officeDocument/2006/relationships/hyperlink" Target="https://techcombank.com/thong-tin/blog/diem-tin-dung" TargetMode="External"/><Relationship Id="rId235" Type="http://schemas.openxmlformats.org/officeDocument/2006/relationships/hyperlink" Target="https://techcombank.com/thong-tin/blog/cic-la-gi" TargetMode="External"/><Relationship Id="rId234" Type="http://schemas.openxmlformats.org/officeDocument/2006/relationships/hyperlink" Target="https://techcombank.com/thong-tin/blog/no-nhom-3" TargetMode="External"/><Relationship Id="rId233" Type="http://schemas.openxmlformats.org/officeDocument/2006/relationships/hyperlink" Target="https://techcombank.com/thong-tin/blog/cic-la-gi" TargetMode="External"/><Relationship Id="rId232" Type="http://schemas.openxmlformats.org/officeDocument/2006/relationships/hyperlink" Target="https://techcombank.com/thong-tin/blog/lich-su-tin-dung" TargetMode="External"/><Relationship Id="rId668" Type="http://schemas.openxmlformats.org/officeDocument/2006/relationships/hyperlink" Target="https://techcombank.com/thong-tin/blog/mua-chung-chi-quy" TargetMode="External"/><Relationship Id="rId667" Type="http://schemas.openxmlformats.org/officeDocument/2006/relationships/hyperlink" Target="https://techcombank.com/thong-tin/blog/phuong-phap-dau-tu-chung-chi-quy" TargetMode="External"/><Relationship Id="rId666" Type="http://schemas.openxmlformats.org/officeDocument/2006/relationships/hyperlink" Target="https://techcombank.com/thong-tin/blog/chung-chi-quy" TargetMode="External"/><Relationship Id="rId665" Type="http://schemas.openxmlformats.org/officeDocument/2006/relationships/hyperlink" Target="https://techcombank.com/thong-tin/blog/phuong-phap-dau-tu-chung-chi-quy" TargetMode="External"/><Relationship Id="rId669" Type="http://schemas.openxmlformats.org/officeDocument/2006/relationships/hyperlink" Target="https://techcombank.com/thong-tin/blog/phuong-phap-dau-tu-chung-chi-quy" TargetMode="External"/><Relationship Id="rId660" Type="http://schemas.openxmlformats.org/officeDocument/2006/relationships/hyperlink" Target="https://techcombank.com/thong-tin/blog/lai-suat-qua-han" TargetMode="External"/><Relationship Id="rId664" Type="http://schemas.openxmlformats.org/officeDocument/2006/relationships/hyperlink" Target="https://techcombank.com/thong-tin/blog/vay-tin-chap-la-gi" TargetMode="External"/><Relationship Id="rId663" Type="http://schemas.openxmlformats.org/officeDocument/2006/relationships/hyperlink" Target="https://techcombank.com/thong-tin/blog/vay-tin-chap-khong-tra-duoc-co-sao-khong" TargetMode="External"/><Relationship Id="rId662" Type="http://schemas.openxmlformats.org/officeDocument/2006/relationships/hyperlink" Target="https://techcombank.com/thong-tin/blog/no-the-tin-dung-qua-han" TargetMode="External"/><Relationship Id="rId661" Type="http://schemas.openxmlformats.org/officeDocument/2006/relationships/hyperlink" Target="https://techcombank.com/thong-tin/blog/vay-tin-chap-khong-tra-duoc-co-sao-khong" TargetMode="External"/><Relationship Id="rId657" Type="http://schemas.openxmlformats.org/officeDocument/2006/relationships/hyperlink" Target="https://techcombank.com/thong-tin/blog/vay-tin-chap-khong-tra-duoc-co-sao-khong" TargetMode="External"/><Relationship Id="rId656" Type="http://schemas.openxmlformats.org/officeDocument/2006/relationships/hyperlink" Target="https://techcombank.com/thong-tin/blog/no-the-tin-dung-qua-han" TargetMode="External"/><Relationship Id="rId655" Type="http://schemas.openxmlformats.org/officeDocument/2006/relationships/hyperlink" Target="https://techcombank.com/thong-tin/blog/no-xau-la-gi" TargetMode="External"/><Relationship Id="rId654" Type="http://schemas.openxmlformats.org/officeDocument/2006/relationships/hyperlink" Target="https://techcombank.com/thong-tin/blog/du-no-tin-dung-la-gi" TargetMode="External"/><Relationship Id="rId659" Type="http://schemas.openxmlformats.org/officeDocument/2006/relationships/hyperlink" Target="https://techcombank.com/thong-tin/blog/vay-tin-chap-khong-tra-duoc-co-sao-khong" TargetMode="External"/><Relationship Id="rId658" Type="http://schemas.openxmlformats.org/officeDocument/2006/relationships/hyperlink" Target="https://techcombank.com/thong-tin/blog/vay-the-chap-khong-tra-duoc" TargetMode="External"/><Relationship Id="rId653" Type="http://schemas.openxmlformats.org/officeDocument/2006/relationships/hyperlink" Target="https://techcombank.com/thong-tin/blog/no-xau-la-gi" TargetMode="External"/><Relationship Id="rId652" Type="http://schemas.openxmlformats.org/officeDocument/2006/relationships/hyperlink" Target="https://techcombank.com/thong-tin/blog/no-nhom-3" TargetMode="External"/><Relationship Id="rId651" Type="http://schemas.openxmlformats.org/officeDocument/2006/relationships/hyperlink" Target="https://techcombank.com/thong-tin/blog/no-xau-la-gi" TargetMode="External"/><Relationship Id="rId650" Type="http://schemas.openxmlformats.org/officeDocument/2006/relationships/hyperlink" Target="https://techcombank.com/thong-tin/blog/no-chu-y-la-gi" TargetMode="External"/><Relationship Id="rId206" Type="http://schemas.openxmlformats.org/officeDocument/2006/relationships/hyperlink" Target="https://techcombank.com/thong-tin/blog/the-atm-khong-rut-duoc-tien" TargetMode="External"/><Relationship Id="rId205" Type="http://schemas.openxmlformats.org/officeDocument/2006/relationships/hyperlink" Target="https://techcombank.com/thong-tin/blog/rut-tien-bang-ma-qr-la-gi-cach-thuc-hien-nhu-the-nao" TargetMode="External"/><Relationship Id="rId204" Type="http://schemas.openxmlformats.org/officeDocument/2006/relationships/hyperlink" Target="https://techcombank.com/thong-tin/blog/cach-rut-tien-atm" TargetMode="External"/><Relationship Id="rId203" Type="http://schemas.openxmlformats.org/officeDocument/2006/relationships/hyperlink" Target="https://techcombank.com/thong-tin/blog/rut-tien-bang-ma-qr-la-gi-cach-thuc-hien-nhu-the-nao" TargetMode="External"/><Relationship Id="rId209" Type="http://schemas.openxmlformats.org/officeDocument/2006/relationships/hyperlink" Target="https://techcombank.com/thong-tin/blog/rut-tien-bang-ma-qr-la-gi-cach-thuc-hien-nhu-the-nao" TargetMode="External"/><Relationship Id="rId208" Type="http://schemas.openxmlformats.org/officeDocument/2006/relationships/hyperlink" Target="https://techcombank.com/thong-tin/blog/bi-nuot-the-atm-phai-lam-sao" TargetMode="External"/><Relationship Id="rId207" Type="http://schemas.openxmlformats.org/officeDocument/2006/relationships/hyperlink" Target="https://techcombank.com/thong-tin/blog/rut-tien-bang-ma-qr-la-gi-cach-thuc-hien-nhu-the-nao" TargetMode="External"/><Relationship Id="rId202" Type="http://schemas.openxmlformats.org/officeDocument/2006/relationships/hyperlink" Target="https://techcombank.com/thong-tin/blog/rut-tien-bang-ma-qr-khac-ngan-hang-duoc-khong" TargetMode="External"/><Relationship Id="rId201" Type="http://schemas.openxmlformats.org/officeDocument/2006/relationships/hyperlink" Target="https://techcombank.com/thong-tin/blog/rut-tien-bang-ma-qr-la-gi-cach-thuc-hien-nhu-the-nao" TargetMode="External"/><Relationship Id="rId200" Type="http://schemas.openxmlformats.org/officeDocument/2006/relationships/hyperlink" Target="https://techcombank.com/thong-tin/blog/tra-cuu-no-thue-ca-nhan" TargetMode="External"/><Relationship Id="rId671" Type="http://schemas.openxmlformats.org/officeDocument/2006/relationships/hyperlink" Target="https://techcombank.com/thong-tin/blog/phuong-phap-dau-tu-chung-chi-quy" TargetMode="External"/><Relationship Id="rId670" Type="http://schemas.openxmlformats.org/officeDocument/2006/relationships/hyperlink" Target="https://techcombank.com/thong-tin/blog/dau-tu-quy-mo" TargetMode="External"/><Relationship Id="rId675" Type="http://schemas.openxmlformats.org/officeDocument/2006/relationships/drawing" Target="../drawings/drawing6.xml"/><Relationship Id="rId674" Type="http://schemas.openxmlformats.org/officeDocument/2006/relationships/hyperlink" Target="https://techcombank.com/thong-tin/blog/chung-chi-quy-va-co-phieu" TargetMode="External"/><Relationship Id="rId673" Type="http://schemas.openxmlformats.org/officeDocument/2006/relationships/hyperlink" Target="https://techcombank.com/thong-tin/blog/phuong-phap-dau-tu-chung-chi-quy" TargetMode="External"/><Relationship Id="rId672" Type="http://schemas.openxmlformats.org/officeDocument/2006/relationships/hyperlink" Target="https://techcombank.com/thong-tin/blog/app-theo-doi-chung-chi-quy" TargetMode="External"/><Relationship Id="rId190" Type="http://schemas.openxmlformats.org/officeDocument/2006/relationships/hyperlink" Target="https://techcombank.com/thong-tin/blog/internet-banking" TargetMode="External"/><Relationship Id="rId194" Type="http://schemas.openxmlformats.org/officeDocument/2006/relationships/hyperlink" Target="https://techcombank.com/thong-tin/blog/smart-otp-la-gi" TargetMode="External"/><Relationship Id="rId193" Type="http://schemas.openxmlformats.org/officeDocument/2006/relationships/hyperlink" Target="https://techcombank.com/thong-tin/blog/ten-dang-nhap-tai-khoan-ngan-hang-la-gi" TargetMode="External"/><Relationship Id="rId192" Type="http://schemas.openxmlformats.org/officeDocument/2006/relationships/hyperlink" Target="https://techcombank.com/thong-tin/blog/cach-bao-ve-tai-khoan" TargetMode="External"/><Relationship Id="rId191" Type="http://schemas.openxmlformats.org/officeDocument/2006/relationships/hyperlink" Target="https://techcombank.com/thong-tin/blog/ten-dang-nhap-tai-khoan-ngan-hang-la-gi" TargetMode="External"/><Relationship Id="rId187" Type="http://schemas.openxmlformats.org/officeDocument/2006/relationships/hyperlink" Target="https://techcombank.com/thong-tin/blog/ten-dang-nhap-tai-khoan-ngan-hang-la-gi" TargetMode="External"/><Relationship Id="rId186" Type="http://schemas.openxmlformats.org/officeDocument/2006/relationships/hyperlink" Target="https://techcombank.com/thong-tin/blog/quyet-toan-thue-thu-nhap-ca-nhan" TargetMode="External"/><Relationship Id="rId185" Type="http://schemas.openxmlformats.org/officeDocument/2006/relationships/hyperlink" Target="https://techcombank.com/thong-tin/blog/kiem-tra-thue-thu-nhap-ca-nhan" TargetMode="External"/><Relationship Id="rId184" Type="http://schemas.openxmlformats.org/officeDocument/2006/relationships/hyperlink" Target="https://techcombank.com/thong-tin/blog/hoan-thue-thu-nhap-ca-nhan" TargetMode="External"/><Relationship Id="rId189" Type="http://schemas.openxmlformats.org/officeDocument/2006/relationships/hyperlink" Target="https://techcombank.com/thong-tin/blog/ten-dang-nhap-tai-khoan-ngan-hang-la-gi" TargetMode="External"/><Relationship Id="rId188" Type="http://schemas.openxmlformats.org/officeDocument/2006/relationships/hyperlink" Target="https://techcombank.com/thong-tin/blog/cach-doi-mat-khau-tai-khoan-ngan-hang" TargetMode="External"/><Relationship Id="rId183" Type="http://schemas.openxmlformats.org/officeDocument/2006/relationships/hyperlink" Target="https://techcombank.com/thong-tin/blog/kiem-tra-thue-thu-nhap-ca-nhan" TargetMode="External"/><Relationship Id="rId182" Type="http://schemas.openxmlformats.org/officeDocument/2006/relationships/hyperlink" Target="https://techcombank.com/thong-tin/blog/lien-ket-tai-khoan-ngan-hang-voi-etax-mobile" TargetMode="External"/><Relationship Id="rId181" Type="http://schemas.openxmlformats.org/officeDocument/2006/relationships/hyperlink" Target="https://techcombank.com/thong-tin/blog/kiem-tra-thue-thu-nhap-ca-nhan" TargetMode="External"/><Relationship Id="rId180" Type="http://schemas.openxmlformats.org/officeDocument/2006/relationships/hyperlink" Target="https://techcombank.com/thong-tin/blog/dang-ky-ma-so-thue-ca-nhan" TargetMode="External"/><Relationship Id="rId176" Type="http://schemas.openxmlformats.org/officeDocument/2006/relationships/hyperlink" Target="https://techcombank.com/thong-tin/blog/li-xi-so-dep" TargetMode="External"/><Relationship Id="rId175" Type="http://schemas.openxmlformats.org/officeDocument/2006/relationships/hyperlink" Target="https://techcombank.com/thong-tin/blog/day-so-phat-tai-phat-loc" TargetMode="External"/><Relationship Id="rId174" Type="http://schemas.openxmlformats.org/officeDocument/2006/relationships/hyperlink" Target="https://techcombank.com/thong-tin/blog/cach-chon-so-tai-khoan-dep" TargetMode="External"/><Relationship Id="rId173" Type="http://schemas.openxmlformats.org/officeDocument/2006/relationships/hyperlink" Target="https://techcombank.com/thong-tin/blog/day-so-phat-tai-phat-loc" TargetMode="External"/><Relationship Id="rId179" Type="http://schemas.openxmlformats.org/officeDocument/2006/relationships/hyperlink" Target="https://techcombank.com/thong-tin/blog/kiem-tra-thue-thu-nhap-ca-nhan" TargetMode="External"/><Relationship Id="rId178" Type="http://schemas.openxmlformats.org/officeDocument/2006/relationships/hyperlink" Target="https://techcombank.com/thong-tin/blog/tra-cuu-no-thue-ca-nhan" TargetMode="External"/><Relationship Id="rId177" Type="http://schemas.openxmlformats.org/officeDocument/2006/relationships/hyperlink" Target="https://techcombank.com/thong-tin/blog/kiem-tra-thue-thu-nhap-ca-nhan" TargetMode="External"/><Relationship Id="rId198" Type="http://schemas.openxmlformats.org/officeDocument/2006/relationships/hyperlink" Target="https://techcombank.com/thong-tin/blog/tien-chuyen-vao-tai-khoan-co-bi-tinh-thue-khong" TargetMode="External"/><Relationship Id="rId197" Type="http://schemas.openxmlformats.org/officeDocument/2006/relationships/hyperlink" Target="https://techcombank.com/thong-tin/blog/thue-thu-nhap-ca-nhan" TargetMode="External"/><Relationship Id="rId196" Type="http://schemas.openxmlformats.org/officeDocument/2006/relationships/hyperlink" Target="https://techcombank.com/thong-tin/blog/mat-so-dien-thoai-dang-ky-tai-khoan-ngan-hang" TargetMode="External"/><Relationship Id="rId195" Type="http://schemas.openxmlformats.org/officeDocument/2006/relationships/hyperlink" Target="https://techcombank.com/thong-tin/blog/ten-dang-nhap-tai-khoan-ngan-hang-la-gi" TargetMode="External"/><Relationship Id="rId199" Type="http://schemas.openxmlformats.org/officeDocument/2006/relationships/hyperlink" Target="https://techcombank.com/thong-tin/blog/thue-thu-nhap-ca-nhan" TargetMode="External"/><Relationship Id="rId150" Type="http://schemas.openxmlformats.org/officeDocument/2006/relationships/hyperlink" Target="https://techcombank.com/thong-tin/blog/mo-tai-khoan-ngan-hang-bang-so-dien-thoai" TargetMode="External"/><Relationship Id="rId149" Type="http://schemas.openxmlformats.org/officeDocument/2006/relationships/hyperlink" Target="https://techcombank.com/thong-tin/blog/mo-tai-khoan-ngan-hang-duoi-18-tuoi" TargetMode="External"/><Relationship Id="rId148" Type="http://schemas.openxmlformats.org/officeDocument/2006/relationships/hyperlink" Target="https://techcombank.com/thong-tin/blog/mo-tai-khoan-tiet-kiem-cho-con" TargetMode="External"/><Relationship Id="rId143" Type="http://schemas.openxmlformats.org/officeDocument/2006/relationships/hyperlink" Target="https://techcombank.com/thong-tin/blog/bao-nhieu-tuoi-duoc-mo-tai-khoan-ngan-hang" TargetMode="External"/><Relationship Id="rId142" Type="http://schemas.openxmlformats.org/officeDocument/2006/relationships/hyperlink" Target="https://techcombank.com/thong-tin/blog/hoc-sinh-sinh-vien-nen-lam-the-ngan-hang-nao" TargetMode="External"/><Relationship Id="rId141" Type="http://schemas.openxmlformats.org/officeDocument/2006/relationships/hyperlink" Target="https://techcombank.com/thong-tin/blog/bao-nhieu-tuoi-duoc-mo-tai-khoan-ngan-hang" TargetMode="External"/><Relationship Id="rId140" Type="http://schemas.openxmlformats.org/officeDocument/2006/relationships/hyperlink" Target="https://techcombank.com/thong-tin/blog/mo-tai-khoan-ngan-hang-cho-tre-em" TargetMode="External"/><Relationship Id="rId147" Type="http://schemas.openxmlformats.org/officeDocument/2006/relationships/hyperlink" Target="https://techcombank.com/thong-tin/blog/mo-tai-khoan-ngan-hang-duoi-18-tuoi" TargetMode="External"/><Relationship Id="rId146" Type="http://schemas.openxmlformats.org/officeDocument/2006/relationships/hyperlink" Target="https://techcombank.com/thong-tin/blog/the-debit-cho-con" TargetMode="External"/><Relationship Id="rId145" Type="http://schemas.openxmlformats.org/officeDocument/2006/relationships/hyperlink" Target="https://techcombank.com/thong-tin/blog/mo-tai-khoan-ngan-hang-duoi-18-tuoi" TargetMode="External"/><Relationship Id="rId144" Type="http://schemas.openxmlformats.org/officeDocument/2006/relationships/hyperlink" Target="https://techcombank.com/thong-tin/blog/cach-lam-the-atm" TargetMode="External"/><Relationship Id="rId139" Type="http://schemas.openxmlformats.org/officeDocument/2006/relationships/hyperlink" Target="https://techcombank.com/thong-tin/blog/bao-nhieu-tuoi-duoc-mo-tai-khoan-ngan-hang" TargetMode="External"/><Relationship Id="rId138" Type="http://schemas.openxmlformats.org/officeDocument/2006/relationships/hyperlink" Target="https://techcombank.com/thong-tin/blog/ngan-hang-thu-huong-la-gi" TargetMode="External"/><Relationship Id="rId137" Type="http://schemas.openxmlformats.org/officeDocument/2006/relationships/hyperlink" Target="https://techcombank.com/thong-tin/blog/chuyen-khoan-thanh-cong-nhung-khong-nhan-duoc-tien" TargetMode="External"/><Relationship Id="rId132" Type="http://schemas.openxmlformats.org/officeDocument/2006/relationships/hyperlink" Target="https://techcombank.com/thong-tin/blog/chuyen-khoan-lien-ngan-hang" TargetMode="External"/><Relationship Id="rId131" Type="http://schemas.openxmlformats.org/officeDocument/2006/relationships/hyperlink" Target="https://techcombank.com/thong-tin/blog/chuyen-khoan-thanh-cong-nhung-khong-nhan-duoc-tien" TargetMode="External"/><Relationship Id="rId130" Type="http://schemas.openxmlformats.org/officeDocument/2006/relationships/hyperlink" Target="https://techcombank.com/thong-tin/blog/cach-chuyen-tien" TargetMode="External"/><Relationship Id="rId136" Type="http://schemas.openxmlformats.org/officeDocument/2006/relationships/hyperlink" Target="https://techcombank.com/thong-tin/blog/chuyen-nham-tien-co-lay-lai-duoc-khong" TargetMode="External"/><Relationship Id="rId135" Type="http://schemas.openxmlformats.org/officeDocument/2006/relationships/hyperlink" Target="https://techcombank.com/thong-tin/blog/chuyen-khoan-thanh-cong-nhung-khong-nhan-duoc-tien" TargetMode="External"/><Relationship Id="rId134" Type="http://schemas.openxmlformats.org/officeDocument/2006/relationships/hyperlink" Target="https://techcombank.com/thong-tin/blog/ma-giao-dich-la-gi" TargetMode="External"/><Relationship Id="rId133" Type="http://schemas.openxmlformats.org/officeDocument/2006/relationships/hyperlink" Target="https://techcombank.com/thong-tin/blog/chuyen-khoan-thanh-cong-nhung-khong-nhan-duoc-tien" TargetMode="External"/><Relationship Id="rId172" Type="http://schemas.openxmlformats.org/officeDocument/2006/relationships/hyperlink" Target="https://techcombank.com/thong-tin/blog/so-tai-khoan-dep" TargetMode="External"/><Relationship Id="rId171" Type="http://schemas.openxmlformats.org/officeDocument/2006/relationships/hyperlink" Target="https://techcombank.com/thong-tin/blog/day-so-phat-tai-phat-loc" TargetMode="External"/><Relationship Id="rId170" Type="http://schemas.openxmlformats.org/officeDocument/2006/relationships/hyperlink" Target="https://techcombank.com/thong-tin/blog/so-6868" TargetMode="External"/><Relationship Id="rId165" Type="http://schemas.openxmlformats.org/officeDocument/2006/relationships/hyperlink" Target="https://techcombank.com/thong-tin/blog/cach-sao-ke-tai-khoan-ngan-hang" TargetMode="External"/><Relationship Id="rId164" Type="http://schemas.openxmlformats.org/officeDocument/2006/relationships/hyperlink" Target="https://techcombank.com/thong-tin/blog/sao-ke-tai-khoan-doanh-nghiep" TargetMode="External"/><Relationship Id="rId163" Type="http://schemas.openxmlformats.org/officeDocument/2006/relationships/hyperlink" Target="https://techcombank.com/thong-tin/blog/cach-sao-ke-tai-khoan-ngan-hang" TargetMode="External"/><Relationship Id="rId162" Type="http://schemas.openxmlformats.org/officeDocument/2006/relationships/hyperlink" Target="https://techcombank.com/thong-tin/blog/sao-ke-luong" TargetMode="External"/><Relationship Id="rId169" Type="http://schemas.openxmlformats.org/officeDocument/2006/relationships/hyperlink" Target="https://techcombank.com/thong-tin/blog/day-so-phat-tai-phat-loc" TargetMode="External"/><Relationship Id="rId168" Type="http://schemas.openxmlformats.org/officeDocument/2006/relationships/hyperlink" Target="https://techcombank.com/thong-tin/blog/88-la-gi" TargetMode="External"/><Relationship Id="rId167" Type="http://schemas.openxmlformats.org/officeDocument/2006/relationships/hyperlink" Target="https://techcombank.com/thong-tin/blog/day-so-phat-tai-phat-loc" TargetMode="External"/><Relationship Id="rId166" Type="http://schemas.openxmlformats.org/officeDocument/2006/relationships/hyperlink" Target="https://techcombank.com/thong-tin/blog/vay-the-chap-qua-luong" TargetMode="External"/><Relationship Id="rId161" Type="http://schemas.openxmlformats.org/officeDocument/2006/relationships/hyperlink" Target="https://techcombank.com/thong-tin/blog/cach-sao-ke-tai-khoan-ngan-hang" TargetMode="External"/><Relationship Id="rId160" Type="http://schemas.openxmlformats.org/officeDocument/2006/relationships/hyperlink" Target="https://techcombank.com/thong-tin/blog/cay-atm-gan-day" TargetMode="External"/><Relationship Id="rId159" Type="http://schemas.openxmlformats.org/officeDocument/2006/relationships/hyperlink" Target="https://techcombank.com/thong-tin/blog/nap-tien-vao-tai-khoan-ngan-hang" TargetMode="External"/><Relationship Id="rId154" Type="http://schemas.openxmlformats.org/officeDocument/2006/relationships/hyperlink" Target="https://techcombank.com/thong-tin/blog/cach-nap-tien-vao-the-ghi-no" TargetMode="External"/><Relationship Id="rId153" Type="http://schemas.openxmlformats.org/officeDocument/2006/relationships/hyperlink" Target="https://techcombank.com/thong-tin/blog/nap-tien-vao-tai-khoan-ngan-hang" TargetMode="External"/><Relationship Id="rId152" Type="http://schemas.openxmlformats.org/officeDocument/2006/relationships/hyperlink" Target="https://techcombank.com/thong-tin/blog/cdm" TargetMode="External"/><Relationship Id="rId151" Type="http://schemas.openxmlformats.org/officeDocument/2006/relationships/hyperlink" Target="https://techcombank.com/thong-tin/blog/nap-tien-vao-tai-khoan-ngan-hang" TargetMode="External"/><Relationship Id="rId158" Type="http://schemas.openxmlformats.org/officeDocument/2006/relationships/hyperlink" Target="https://techcombank.com/thong-tin/blog/nop-tien-mat-vao-tai-khoan-cong-ty" TargetMode="External"/><Relationship Id="rId157" Type="http://schemas.openxmlformats.org/officeDocument/2006/relationships/hyperlink" Target="https://techcombank.com/thong-tin/blog/nap-tien-vao-tai-khoan-ngan-hang" TargetMode="External"/><Relationship Id="rId156" Type="http://schemas.openxmlformats.org/officeDocument/2006/relationships/hyperlink" Target="https://techcombank.com/thong-tin/blog/tai-khoan-ngan-hang-con-0-dong-co-sao-khong" TargetMode="External"/><Relationship Id="rId155" Type="http://schemas.openxmlformats.org/officeDocument/2006/relationships/hyperlink" Target="https://techcombank.com/thong-tin/blog/nap-tien-vao-tai-khoan-ngan-hang" TargetMode="External"/><Relationship Id="rId509" Type="http://schemas.openxmlformats.org/officeDocument/2006/relationships/hyperlink" Target="https://techcombank.com/thong-tin/blog/lai-suat-vay-the-chap-so-do" TargetMode="External"/><Relationship Id="rId508" Type="http://schemas.openxmlformats.org/officeDocument/2006/relationships/hyperlink" Target="https://techcombank.com/thong-tin/blog/kinh-nghiem-vay-the-chap-ngan-hang" TargetMode="External"/><Relationship Id="rId503" Type="http://schemas.openxmlformats.org/officeDocument/2006/relationships/hyperlink" Target="https://techcombank.com/thong-tin/blog/lai-suat-vay-the-chap-so-do" TargetMode="External"/><Relationship Id="rId502" Type="http://schemas.openxmlformats.org/officeDocument/2006/relationships/hyperlink" Target="https://techcombank.com/thong-tin/blog/vay-tra-gop" TargetMode="External"/><Relationship Id="rId501" Type="http://schemas.openxmlformats.org/officeDocument/2006/relationships/hyperlink" Target="https://techcombank.com/thong-tin/blog/cach-tinh-lai-vay-ngan-hang" TargetMode="External"/><Relationship Id="rId500" Type="http://schemas.openxmlformats.org/officeDocument/2006/relationships/hyperlink" Target="https://techcombank.com/thong-tin/blog/cong-thuc-tinh-lai-suat-thuc" TargetMode="External"/><Relationship Id="rId507" Type="http://schemas.openxmlformats.org/officeDocument/2006/relationships/hyperlink" Target="https://techcombank.com/thong-tin/blog/lai-suat-vay-the-chap-so-do" TargetMode="External"/><Relationship Id="rId506" Type="http://schemas.openxmlformats.org/officeDocument/2006/relationships/hyperlink" Target="https://techcombank.com/thong-tin/blog/vay-the-chap-so-hong" TargetMode="External"/><Relationship Id="rId505" Type="http://schemas.openxmlformats.org/officeDocument/2006/relationships/hyperlink" Target="https://techcombank.com/thong-tin/blog/lai-suat-vay-the-chap-so-do" TargetMode="External"/><Relationship Id="rId504" Type="http://schemas.openxmlformats.org/officeDocument/2006/relationships/hyperlink" Target="https://techcombank.com/thong-tin/blog/han-muc-vay-the-chap-so-do" TargetMode="External"/><Relationship Id="rId525" Type="http://schemas.openxmlformats.org/officeDocument/2006/relationships/hyperlink" Target="https://techcombank.com/thong-tin/blog/lai-suat-tiet-kiem" TargetMode="External"/><Relationship Id="rId524" Type="http://schemas.openxmlformats.org/officeDocument/2006/relationships/hyperlink" Target="https://techcombank.com/thong-tin/blog/co-nen-gui-tiet-kiem-ngan-hang" TargetMode="External"/><Relationship Id="rId523" Type="http://schemas.openxmlformats.org/officeDocument/2006/relationships/hyperlink" Target="https://techcombank.com/thong-tin/blog/lai-suat-tiet-kiem" TargetMode="External"/><Relationship Id="rId522" Type="http://schemas.openxmlformats.org/officeDocument/2006/relationships/hyperlink" Target="https://techcombank.com/thong-tin/blog/tai-sao-gui-tiet-kiem-online-lai-suat-cao-hon" TargetMode="External"/><Relationship Id="rId529" Type="http://schemas.openxmlformats.org/officeDocument/2006/relationships/hyperlink" Target="https://techcombank.com/thong-tin/blog/cach-tinh-lai-suat-tien-gui-tiet-kiem" TargetMode="External"/><Relationship Id="rId528" Type="http://schemas.openxmlformats.org/officeDocument/2006/relationships/hyperlink" Target="https://techcombank.com/thong-tin/blog/so-sanh-gui-tiet-kiem-online-va-tai-quay" TargetMode="External"/><Relationship Id="rId527" Type="http://schemas.openxmlformats.org/officeDocument/2006/relationships/hyperlink" Target="https://techcombank.com/thong-tin/blog/lai-suat-tiet-kiem" TargetMode="External"/><Relationship Id="rId526" Type="http://schemas.openxmlformats.org/officeDocument/2006/relationships/hyperlink" Target="https://techcombank.com/thong-tin/blog/tien-gui-co-ky-han" TargetMode="External"/><Relationship Id="rId521" Type="http://schemas.openxmlformats.org/officeDocument/2006/relationships/hyperlink" Target="https://techcombank.com/thong-tin/blog/lai-suat-tiet-kiem" TargetMode="External"/><Relationship Id="rId520" Type="http://schemas.openxmlformats.org/officeDocument/2006/relationships/hyperlink" Target="https://techcombank.com/thong-tin/blog/nen-gui-tiet-kiem-6-thang-hay-1-nam" TargetMode="External"/><Relationship Id="rId519" Type="http://schemas.openxmlformats.org/officeDocument/2006/relationships/hyperlink" Target="https://techcombank.com/thong-tin/blog/lai-suat-tiet-kiem" TargetMode="External"/><Relationship Id="rId514" Type="http://schemas.openxmlformats.org/officeDocument/2006/relationships/hyperlink" Target="https://techcombank.com/thong-tin/blog/quy-trinh-tat-toan-khoan-vay-the-chap" TargetMode="External"/><Relationship Id="rId513" Type="http://schemas.openxmlformats.org/officeDocument/2006/relationships/hyperlink" Target="https://techcombank.com/thong-tin/blog/ho-so-thu-tuc-xoa-the-chap" TargetMode="External"/><Relationship Id="rId512" Type="http://schemas.openxmlformats.org/officeDocument/2006/relationships/hyperlink" Target="https://techcombank.com/thong-tin/blog/vay-the-chap-la-gi" TargetMode="External"/><Relationship Id="rId511" Type="http://schemas.openxmlformats.org/officeDocument/2006/relationships/hyperlink" Target="https://techcombank.com/thong-tin/blog/lai-suat-vay-the-chap-so-do" TargetMode="External"/><Relationship Id="rId518" Type="http://schemas.openxmlformats.org/officeDocument/2006/relationships/hyperlink" Target="https://techcombank.com/thong-tin/blog/the-chap-la-gi" TargetMode="External"/><Relationship Id="rId517" Type="http://schemas.openxmlformats.org/officeDocument/2006/relationships/hyperlink" Target="https://techcombank.com/thong-tin/blog/ho-so-thu-tuc-xoa-the-chap" TargetMode="External"/><Relationship Id="rId516" Type="http://schemas.openxmlformats.org/officeDocument/2006/relationships/hyperlink" Target="https://techcombank.com/thong-tin/blog/tat-toan" TargetMode="External"/><Relationship Id="rId515" Type="http://schemas.openxmlformats.org/officeDocument/2006/relationships/hyperlink" Target="https://techcombank.com/thong-tin/blog/ho-so-thu-tuc-xoa-the-chap" TargetMode="External"/><Relationship Id="rId510" Type="http://schemas.openxmlformats.org/officeDocument/2006/relationships/hyperlink" Target="https://techcombank.com/thong-tin/blog/nen-vay-the-chap-ngan-hang-nao" TargetMode="External"/><Relationship Id="rId590" Type="http://schemas.openxmlformats.org/officeDocument/2006/relationships/hyperlink" Target="https://techcombank.com/thong-tin/blog/cach-tiet-kiem-100-trieu-1-nam" TargetMode="External"/><Relationship Id="rId107" Type="http://schemas.openxmlformats.org/officeDocument/2006/relationships/hyperlink" Target="https://techcombank.com/thong-tin/blog/cach-kiem-tra-tai-khoan-ngan-hang" TargetMode="External"/><Relationship Id="rId106" Type="http://schemas.openxmlformats.org/officeDocument/2006/relationships/hyperlink" Target="https://techcombank.com/thong-tin/blog/so-du-kha-dung" TargetMode="External"/><Relationship Id="rId105" Type="http://schemas.openxmlformats.org/officeDocument/2006/relationships/hyperlink" Target="https://techcombank.com/thong-tin/blog/cach-kiem-tra-tai-khoan-ngan-hang" TargetMode="External"/><Relationship Id="rId589" Type="http://schemas.openxmlformats.org/officeDocument/2006/relationships/hyperlink" Target="https://techcombank.com/cong-cu-tien-ich/cong-cu-tinh-toan/bang-tinh-lai-suat-tiet-kiem" TargetMode="External"/><Relationship Id="rId104" Type="http://schemas.openxmlformats.org/officeDocument/2006/relationships/hyperlink" Target="https://techcombank.com/thong-tin/blog/so-tai-khoan-ngan-hang" TargetMode="External"/><Relationship Id="rId588" Type="http://schemas.openxmlformats.org/officeDocument/2006/relationships/hyperlink" Target="https://techcombank.com/thong-tin/blog/dang-vay-tra-gop-co-vay-them-duoc-khong" TargetMode="External"/><Relationship Id="rId109" Type="http://schemas.openxmlformats.org/officeDocument/2006/relationships/hyperlink" Target="https://techcombank.com/thong-tin/blog/cach-kiem-tra-tai-khoan-ngan-hang" TargetMode="External"/><Relationship Id="rId108" Type="http://schemas.openxmlformats.org/officeDocument/2006/relationships/hyperlink" Target="https://techcombank.com/thong-tin/blog/ma-giao-dich-la-gi" TargetMode="External"/><Relationship Id="rId583" Type="http://schemas.openxmlformats.org/officeDocument/2006/relationships/hyperlink" Target="https://techcombank.com/cong-cu-tien-ich/cong-cu-tinh-toan/bang-tinh-lai-suat-vay" TargetMode="External"/><Relationship Id="rId582" Type="http://schemas.openxmlformats.org/officeDocument/2006/relationships/hyperlink" Target="https://techcombank.com/thong-tin/blog/vay-200-trieu" TargetMode="External"/><Relationship Id="rId581" Type="http://schemas.openxmlformats.org/officeDocument/2006/relationships/hyperlink" Target="https://techcombank.com/cong-cu-tien-ich/cong-cu-tinh-toan/bang-tinh-lai-suat-vay" TargetMode="External"/><Relationship Id="rId580" Type="http://schemas.openxmlformats.org/officeDocument/2006/relationships/hyperlink" Target="https://techcombank.com/thong-tin/blog/vay-100-trieu" TargetMode="External"/><Relationship Id="rId103" Type="http://schemas.openxmlformats.org/officeDocument/2006/relationships/hyperlink" Target="https://techcombank.com/thong-tin/blog/cach-kiem-tra-tai-khoan-ngan-hang" TargetMode="External"/><Relationship Id="rId587" Type="http://schemas.openxmlformats.org/officeDocument/2006/relationships/hyperlink" Target="https://techcombank.com/cong-cu-tien-ich/cong-cu-tinh-toan/bang-tinh-lai-suat-vay" TargetMode="External"/><Relationship Id="rId102" Type="http://schemas.openxmlformats.org/officeDocument/2006/relationships/hyperlink" Target="https://techcombank.com/thong-tin/blog/dang-ky-ma-so-thue-ca-nhan" TargetMode="External"/><Relationship Id="rId586" Type="http://schemas.openxmlformats.org/officeDocument/2006/relationships/hyperlink" Target="https://techcombank.com/thong-tin/blog/vay-tra-gop" TargetMode="External"/><Relationship Id="rId101" Type="http://schemas.openxmlformats.org/officeDocument/2006/relationships/hyperlink" Target="https://techcombank.com/thong-tin/blog/cach-tinh-thue-thu-nhap-ca-nhan-2025" TargetMode="External"/><Relationship Id="rId585" Type="http://schemas.openxmlformats.org/officeDocument/2006/relationships/hyperlink" Target="https://techcombank.com/cong-cu-tien-ich/cong-cu-tinh-toan/bang-tinh-lai-suat-vay" TargetMode="External"/><Relationship Id="rId100" Type="http://schemas.openxmlformats.org/officeDocument/2006/relationships/hyperlink" Target="https://techcombank.com/thong-tin/blog/hoan-thue-thu-nhap-ca-nhan" TargetMode="External"/><Relationship Id="rId584" Type="http://schemas.openxmlformats.org/officeDocument/2006/relationships/hyperlink" Target="https://techcombank.com/thong-tin/blog/vay-300-trieu" TargetMode="External"/><Relationship Id="rId579" Type="http://schemas.openxmlformats.org/officeDocument/2006/relationships/hyperlink" Target="https://techcombank.com/cong-cu-tien-ich/cong-cu-tinh-toan/bang-tinh-lai-suat-vay" TargetMode="External"/><Relationship Id="rId578" Type="http://schemas.openxmlformats.org/officeDocument/2006/relationships/hyperlink" Target="https://techcombank.com/thong-tin/blog/rui-ro-khi-gui-tiet-kiem-ngan-hang" TargetMode="External"/><Relationship Id="rId577" Type="http://schemas.openxmlformats.org/officeDocument/2006/relationships/hyperlink" Target="https://techcombank.com/thong-tin/blog/rui-ro-khi-gui-tiet-kiem-online" TargetMode="External"/><Relationship Id="rId572" Type="http://schemas.openxmlformats.org/officeDocument/2006/relationships/hyperlink" Target="https://techcombank.com/thong-tin/blog/gui-tiet-kiem-online-bi-mat-tien" TargetMode="External"/><Relationship Id="rId571" Type="http://schemas.openxmlformats.org/officeDocument/2006/relationships/hyperlink" Target="https://techcombank.com/thong-tin/blog/rui-ro-khi-gui-tiet-kiem-online" TargetMode="External"/><Relationship Id="rId570" Type="http://schemas.openxmlformats.org/officeDocument/2006/relationships/hyperlink" Target="https://techcombank.com/thong-tin/blog/co-nen-gui-tiet-kiem-online" TargetMode="External"/><Relationship Id="rId576" Type="http://schemas.openxmlformats.org/officeDocument/2006/relationships/hyperlink" Target="https://techcombank.com/thong-tin/blog/cach-gui-tiet-kiem-online" TargetMode="External"/><Relationship Id="rId575" Type="http://schemas.openxmlformats.org/officeDocument/2006/relationships/hyperlink" Target="https://techcombank.com/thong-tin/blog/rui-ro-khi-gui-tiet-kiem-online" TargetMode="External"/><Relationship Id="rId574" Type="http://schemas.openxmlformats.org/officeDocument/2006/relationships/hyperlink" Target="https://techcombank.com/thong-tin/blog/kinh-nghiem-gui-tiet-kiem-online" TargetMode="External"/><Relationship Id="rId573" Type="http://schemas.openxmlformats.org/officeDocument/2006/relationships/hyperlink" Target="https://techcombank.com/thong-tin/blog/rui-ro-khi-gui-tiet-kiem-online" TargetMode="External"/><Relationship Id="rId129" Type="http://schemas.openxmlformats.org/officeDocument/2006/relationships/hyperlink" Target="https://techcombank.com/thong-tin/blog/chuyen-khoan-thanh-cong-nhung-khong-nhan-duoc-tien" TargetMode="External"/><Relationship Id="rId128" Type="http://schemas.openxmlformats.org/officeDocument/2006/relationships/hyperlink" Target="https://techcombank.com/thong-tin/blog/nen-mo-tai-khoan-ngan-hang-nao-cho-doanh-nghiep" TargetMode="External"/><Relationship Id="rId127" Type="http://schemas.openxmlformats.org/officeDocument/2006/relationships/hyperlink" Target="https://techcombank.com/thong-tin/blog/ngan-hang-uy-tin" TargetMode="External"/><Relationship Id="rId126" Type="http://schemas.openxmlformats.org/officeDocument/2006/relationships/hyperlink" Target="https://techcombank.com/thong-tin/blog/gui-tien-ngan-hang-co-an-toan-khong" TargetMode="External"/><Relationship Id="rId121" Type="http://schemas.openxmlformats.org/officeDocument/2006/relationships/hyperlink" Target="https://techcombank.com/thong-tin/blog/cach-mo-tai-khoan" TargetMode="External"/><Relationship Id="rId120" Type="http://schemas.openxmlformats.org/officeDocument/2006/relationships/hyperlink" Target="https://techcombank.com/thong-tin/blog/mo-tai-khoan-ngan-hang-co-mat-phi-khong" TargetMode="External"/><Relationship Id="rId125" Type="http://schemas.openxmlformats.org/officeDocument/2006/relationships/hyperlink" Target="https://techcombank.com/thong-tin/blog/ngan-hang-uy-tin" TargetMode="External"/><Relationship Id="rId124" Type="http://schemas.openxmlformats.org/officeDocument/2006/relationships/hyperlink" Target="https://techcombank.com/thong-tin/blog/app-ngan-hang-uy-tin" TargetMode="External"/><Relationship Id="rId123" Type="http://schemas.openxmlformats.org/officeDocument/2006/relationships/hyperlink" Target="https://techcombank.com/thong-tin/blog/ngan-hang-uy-tin" TargetMode="External"/><Relationship Id="rId122" Type="http://schemas.openxmlformats.org/officeDocument/2006/relationships/hyperlink" Target="https://techcombank.com/thong-tin/blog/1-cmnd-dang-ky-duoc-may-tai-khoan-ngan-hang" TargetMode="External"/><Relationship Id="rId118" Type="http://schemas.openxmlformats.org/officeDocument/2006/relationships/hyperlink" Target="https://techcombank.com/thong-tin/blog/mo-tai-khoan-ngan-hang-online-co-an-toan-khong" TargetMode="External"/><Relationship Id="rId117" Type="http://schemas.openxmlformats.org/officeDocument/2006/relationships/hyperlink" Target="https://techcombank.com/thong-tin/blog/cach-mo-tai-khoan" TargetMode="External"/><Relationship Id="rId116" Type="http://schemas.openxmlformats.org/officeDocument/2006/relationships/hyperlink" Target="https://techcombank.com/thong-tin/blog/tai-khoan-thanh-toan-la-gi" TargetMode="External"/><Relationship Id="rId115" Type="http://schemas.openxmlformats.org/officeDocument/2006/relationships/hyperlink" Target="https://techcombank.com/thong-tin/blog/cach-mo-tai-khoan" TargetMode="External"/><Relationship Id="rId599" Type="http://schemas.openxmlformats.org/officeDocument/2006/relationships/hyperlink" Target="https://techcombank.com/thong-tin/blog/app-vay-tien-nhanh" TargetMode="External"/><Relationship Id="rId119" Type="http://schemas.openxmlformats.org/officeDocument/2006/relationships/hyperlink" Target="https://techcombank.com/thong-tin/blog/cach-mo-tai-khoan" TargetMode="External"/><Relationship Id="rId110" Type="http://schemas.openxmlformats.org/officeDocument/2006/relationships/hyperlink" Target="https://techcombank.com/thong-tin/blog/sms-banking" TargetMode="External"/><Relationship Id="rId594" Type="http://schemas.openxmlformats.org/officeDocument/2006/relationships/hyperlink" Target="https://techcombank.com/thong-tin/blog/gui-tiet-kiem-tich-luy-la-gi" TargetMode="External"/><Relationship Id="rId593" Type="http://schemas.openxmlformats.org/officeDocument/2006/relationships/hyperlink" Target="https://techcombank.com/cong-cu-tien-ich/cong-cu-tinh-toan/bang-tinh-lai-suat-tiet-kiem" TargetMode="External"/><Relationship Id="rId592" Type="http://schemas.openxmlformats.org/officeDocument/2006/relationships/hyperlink" Target="https://techcombank.com/thong-tin/blog/co-50-trieu-nen-mua-vang-hay-gui-tiet-kiem" TargetMode="External"/><Relationship Id="rId591" Type="http://schemas.openxmlformats.org/officeDocument/2006/relationships/hyperlink" Target="https://techcombank.com/cong-cu-tien-ich/cong-cu-tinh-toan/bang-tinh-lai-suat-tiet-kiem" TargetMode="External"/><Relationship Id="rId114" Type="http://schemas.openxmlformats.org/officeDocument/2006/relationships/hyperlink" Target="https://techcombank.com/thong-tin/blog/tai-khoan-ngan-hang-la-gi" TargetMode="External"/><Relationship Id="rId598" Type="http://schemas.openxmlformats.org/officeDocument/2006/relationships/hyperlink" Target="https://techcombank.com/thong-tin/blog/nen-de-tien-trong-the-hay-gui-tiet-kiem" TargetMode="External"/><Relationship Id="rId113" Type="http://schemas.openxmlformats.org/officeDocument/2006/relationships/hyperlink" Target="https://techcombank.com/thong-tin/blog/cach-mo-tai-khoan" TargetMode="External"/><Relationship Id="rId597" Type="http://schemas.openxmlformats.org/officeDocument/2006/relationships/hyperlink" Target="https://techcombank.com/cong-cu-tien-ich/cong-cu-tinh-toan/bang-tinh-lai-suat-tiet-kiem" TargetMode="External"/><Relationship Id="rId112" Type="http://schemas.openxmlformats.org/officeDocument/2006/relationships/hyperlink" Target="https://techcombank.com/thong-tin/blog/cach-kiem-tra-tai-khoan-ngan-hang-cua-cong-ty" TargetMode="External"/><Relationship Id="rId596" Type="http://schemas.openxmlformats.org/officeDocument/2006/relationships/hyperlink" Target="https://techcombank.com/thong-tin/blog/quy-trinh-gui-tien-tiet-kiem" TargetMode="External"/><Relationship Id="rId111" Type="http://schemas.openxmlformats.org/officeDocument/2006/relationships/hyperlink" Target="https://techcombank.com/thong-tin/blog/cach-kiem-tra-tai-khoan-ngan-hang" TargetMode="External"/><Relationship Id="rId595" Type="http://schemas.openxmlformats.org/officeDocument/2006/relationships/hyperlink" Target="https://techcombank.com/cong-cu-tien-ich/cong-cu-tinh-toan/bang-tinh-lai-suat-tiet-kiem" TargetMode="External"/><Relationship Id="rId547" Type="http://schemas.openxmlformats.org/officeDocument/2006/relationships/hyperlink" Target="https://techcombank.com/thong-tin/blog/rut-tien-tiet-kiem-truoc-thoi-han" TargetMode="External"/><Relationship Id="rId546" Type="http://schemas.openxmlformats.org/officeDocument/2006/relationships/hyperlink" Target="https://techcombank.com/thong-tin/blog/mat-so-tiet-kiem" TargetMode="External"/><Relationship Id="rId545" Type="http://schemas.openxmlformats.org/officeDocument/2006/relationships/hyperlink" Target="https://techcombank.com/thong-tin/blog/rut-tien-tiet-kiem-truoc-thoi-han" TargetMode="External"/><Relationship Id="rId544" Type="http://schemas.openxmlformats.org/officeDocument/2006/relationships/hyperlink" Target="https://techcombank.com/thong-tin/blog/vay-thau-chi-bang-so-tiet-kiem" TargetMode="External"/><Relationship Id="rId549" Type="http://schemas.openxmlformats.org/officeDocument/2006/relationships/hyperlink" Target="https://techcombank.com/thong-tin/blog/so-tiet-kiem-ngan-hang" TargetMode="External"/><Relationship Id="rId548" Type="http://schemas.openxmlformats.org/officeDocument/2006/relationships/hyperlink" Target="https://techcombank.com/thong-tin/blog/gui-them-tien-vao-so-tiet-kiem" TargetMode="External"/><Relationship Id="rId543" Type="http://schemas.openxmlformats.org/officeDocument/2006/relationships/hyperlink" Target="https://techcombank.com/thong-tin/blog/rut-tien-tiet-kiem-truoc-thoi-han" TargetMode="External"/><Relationship Id="rId542" Type="http://schemas.openxmlformats.org/officeDocument/2006/relationships/hyperlink" Target="https://techcombank.com/thong-tin/blog/gui-tiet-kiem-online-co-rut-truoc-han-duoc-khong" TargetMode="External"/><Relationship Id="rId541" Type="http://schemas.openxmlformats.org/officeDocument/2006/relationships/hyperlink" Target="https://techcombank.com/thong-tin/blog/rut-tien-tiet-kiem-truoc-thoi-han" TargetMode="External"/><Relationship Id="rId540" Type="http://schemas.openxmlformats.org/officeDocument/2006/relationships/hyperlink" Target="https://techcombank.com/thong-tin/blog/tat-toan-so-tiet-kiem" TargetMode="External"/><Relationship Id="rId536" Type="http://schemas.openxmlformats.org/officeDocument/2006/relationships/hyperlink" Target="https://techcombank.com/thong-tin/blog/tien-gui-khong-ky-han" TargetMode="External"/><Relationship Id="rId535" Type="http://schemas.openxmlformats.org/officeDocument/2006/relationships/hyperlink" Target="https://techcombank.com/thong-tin/blog/cach-tinh-lai-suat-tien-gui-tiet-kiem" TargetMode="External"/><Relationship Id="rId534" Type="http://schemas.openxmlformats.org/officeDocument/2006/relationships/hyperlink" Target="https://techcombank.com/thong-tin/blog/gui-tiet-kiem-hang-thang" TargetMode="External"/><Relationship Id="rId533" Type="http://schemas.openxmlformats.org/officeDocument/2006/relationships/hyperlink" Target="https://techcombank.com/thong-tin/blog/cach-tinh-lai-suat-tien-gui-tiet-kiem" TargetMode="External"/><Relationship Id="rId539" Type="http://schemas.openxmlformats.org/officeDocument/2006/relationships/hyperlink" Target="https://techcombank.com/thong-tin/blog/rut-tien-tiet-kiem-truoc-thoi-han" TargetMode="External"/><Relationship Id="rId538" Type="http://schemas.openxmlformats.org/officeDocument/2006/relationships/hyperlink" Target="https://techcombank.com/thong-tin/blog/dao-han-la-gi" TargetMode="External"/><Relationship Id="rId537" Type="http://schemas.openxmlformats.org/officeDocument/2006/relationships/hyperlink" Target="https://techcombank.com/thong-tin/blog/cach-tinh-lai-suat-tien-gui-tiet-kiem" TargetMode="External"/><Relationship Id="rId532" Type="http://schemas.openxmlformats.org/officeDocument/2006/relationships/hyperlink" Target="https://techcombank.com/thong-tin/blog/gui-tiet-kiem-lay-lai-hang-thang" TargetMode="External"/><Relationship Id="rId531" Type="http://schemas.openxmlformats.org/officeDocument/2006/relationships/hyperlink" Target="https://techcombank.com/thong-tin/blog/cach-tinh-lai-suat-tien-gui-tiet-kiem" TargetMode="External"/><Relationship Id="rId530" Type="http://schemas.openxmlformats.org/officeDocument/2006/relationships/hyperlink" Target="https://techcombank.com/thong-tin/blog/lai-kep-ngan-hang" TargetMode="External"/><Relationship Id="rId569" Type="http://schemas.openxmlformats.org/officeDocument/2006/relationships/hyperlink" Target="https://techcombank.com/thong-tin/blog/rui-ro-khi-gui-tiet-kiem-online" TargetMode="External"/><Relationship Id="rId568" Type="http://schemas.openxmlformats.org/officeDocument/2006/relationships/hyperlink" Target="https://techcombank.com/thong-tin/blog/the-nao-la-tiet-kiem" TargetMode="External"/><Relationship Id="rId567" Type="http://schemas.openxmlformats.org/officeDocument/2006/relationships/hyperlink" Target="https://techcombank.com/thong-tin/blog/cach-tiet-kiem-tien" TargetMode="External"/><Relationship Id="rId566" Type="http://schemas.openxmlformats.org/officeDocument/2006/relationships/hyperlink" Target="https://techcombank.com/thong-tin/blog/loi-ich-cua-viec-tiet-kiem-tien" TargetMode="External"/><Relationship Id="rId561" Type="http://schemas.openxmlformats.org/officeDocument/2006/relationships/hyperlink" Target="https://techcombank.com/thong-tin/blog/cach-tiet-kiem-tien" TargetMode="External"/><Relationship Id="rId560" Type="http://schemas.openxmlformats.org/officeDocument/2006/relationships/hyperlink" Target="https://techcombank.com/thong-tin/blog/cach-tiet-kiem-tien-theo-tuan" TargetMode="External"/><Relationship Id="rId565" Type="http://schemas.openxmlformats.org/officeDocument/2006/relationships/hyperlink" Target="https://techcombank.com/thong-tin/blog/cach-tiet-kiem-tien" TargetMode="External"/><Relationship Id="rId564" Type="http://schemas.openxmlformats.org/officeDocument/2006/relationships/hyperlink" Target="https://techcombank.com/thong-tin/blog/hoc-cach-tiet-kiem-tien-luong" TargetMode="External"/><Relationship Id="rId563" Type="http://schemas.openxmlformats.org/officeDocument/2006/relationships/hyperlink" Target="https://techcombank.com/thong-tin/blog/cach-tiet-kiem-tien" TargetMode="External"/><Relationship Id="rId562" Type="http://schemas.openxmlformats.org/officeDocument/2006/relationships/hyperlink" Target="https://techcombank.com/thong-tin/blog/tiet-kiem-tien-moi-ngay" TargetMode="External"/><Relationship Id="rId558" Type="http://schemas.openxmlformats.org/officeDocument/2006/relationships/hyperlink" Target="https://techcombank.com/thong-tin/blog/quy-trinh-gui-tien-tiet-kiem" TargetMode="External"/><Relationship Id="rId557" Type="http://schemas.openxmlformats.org/officeDocument/2006/relationships/hyperlink" Target="https://techcombank.com/thong-tin/blog/so-tiet-kiem-ngan-hang" TargetMode="External"/><Relationship Id="rId556" Type="http://schemas.openxmlformats.org/officeDocument/2006/relationships/hyperlink" Target="https://techcombank.com/thong-tin/blog/gui-them-tien-vao-so-tiet-kiem" TargetMode="External"/><Relationship Id="rId555" Type="http://schemas.openxmlformats.org/officeDocument/2006/relationships/hyperlink" Target="https://techcombank.com/thong-tin/blog/so-tiet-kiem-ngan-hang" TargetMode="External"/><Relationship Id="rId559" Type="http://schemas.openxmlformats.org/officeDocument/2006/relationships/hyperlink" Target="https://techcombank.com/thong-tin/blog/cach-tiet-kiem-tien" TargetMode="External"/><Relationship Id="rId550" Type="http://schemas.openxmlformats.org/officeDocument/2006/relationships/hyperlink" Target="https://techcombank.com/thong-tin/blog/mo-so-tiet-kiem-can-bao-nhieu-tien" TargetMode="External"/><Relationship Id="rId554" Type="http://schemas.openxmlformats.org/officeDocument/2006/relationships/hyperlink" Target="https://techcombank.com/thong-tin/blog/mat-so-tiet-kiem" TargetMode="External"/><Relationship Id="rId553" Type="http://schemas.openxmlformats.org/officeDocument/2006/relationships/hyperlink" Target="https://techcombank.com/thong-tin/blog/so-tiet-kiem-ngan-hang" TargetMode="External"/><Relationship Id="rId552" Type="http://schemas.openxmlformats.org/officeDocument/2006/relationships/hyperlink" Target="https://techcombank.com/thong-tin/blog/tai-khoan-tiet-kiem" TargetMode="External"/><Relationship Id="rId551" Type="http://schemas.openxmlformats.org/officeDocument/2006/relationships/hyperlink" Target="https://techcombank.com/thong-tin/blog/so-tiet-kiem-ngan-hang" TargetMode="External"/><Relationship Id="rId495" Type="http://schemas.openxmlformats.org/officeDocument/2006/relationships/hyperlink" Target="https://techcombank.com/thong-tin/blog/cach-tinh-lai-vay-ngan-hang" TargetMode="External"/><Relationship Id="rId494" Type="http://schemas.openxmlformats.org/officeDocument/2006/relationships/hyperlink" Target="https://techcombank.com/thong-tin/blog/du-no-la-gi" TargetMode="External"/><Relationship Id="rId493" Type="http://schemas.openxmlformats.org/officeDocument/2006/relationships/hyperlink" Target="https://techcombank.com/thong-tin/blog/cach-tinh-lai-vay-ngan-hang" TargetMode="External"/><Relationship Id="rId492" Type="http://schemas.openxmlformats.org/officeDocument/2006/relationships/hyperlink" Target="https://techcombank.com/thong-tin/blog/ho-kinh-doanh-ca-the" TargetMode="External"/><Relationship Id="rId499" Type="http://schemas.openxmlformats.org/officeDocument/2006/relationships/hyperlink" Target="https://techcombank.com/thong-tin/blog/cach-tinh-lai-vay-ngan-hang" TargetMode="External"/><Relationship Id="rId498" Type="http://schemas.openxmlformats.org/officeDocument/2006/relationships/hyperlink" Target="https://techcombank.com/thong-tin/blog/lai-suat-tha-noi" TargetMode="External"/><Relationship Id="rId497" Type="http://schemas.openxmlformats.org/officeDocument/2006/relationships/hyperlink" Target="https://techcombank.com/thong-tin/blog/cach-tinh-lai-vay-ngan-hang" TargetMode="External"/><Relationship Id="rId496" Type="http://schemas.openxmlformats.org/officeDocument/2006/relationships/hyperlink" Target="https://techcombank.com/thong-tin/blog/an-han-no-goc-la-gi" TargetMode="External"/><Relationship Id="rId409" Type="http://schemas.openxmlformats.org/officeDocument/2006/relationships/hyperlink" Target="https://techcombank.com/thong-tin/blog/cach-nhan-tien-tu-nuoc-ngoai-ve-viet-nam" TargetMode="External"/><Relationship Id="rId404" Type="http://schemas.openxmlformats.org/officeDocument/2006/relationships/hyperlink" Target="https://techcombank.com/thong-tin/blog/1-trieu-won-bang-bao-nhieu-tien-viet" TargetMode="External"/><Relationship Id="rId403" Type="http://schemas.openxmlformats.org/officeDocument/2006/relationships/hyperlink" Target="https://techcombank.com/thong-tin/blog/1000-won-bang-bao-nhieu-tien-viet" TargetMode="External"/><Relationship Id="rId402" Type="http://schemas.openxmlformats.org/officeDocument/2006/relationships/hyperlink" Target="https://techcombank.com/thong-tin/blog/1-won-bang-bao-nhieu-tien-viet" TargetMode="External"/><Relationship Id="rId401" Type="http://schemas.openxmlformats.org/officeDocument/2006/relationships/hyperlink" Target="https://techcombank.com/thong-tin/blog/1000-won-bang-bao-nhieu-tien-viet" TargetMode="External"/><Relationship Id="rId408" Type="http://schemas.openxmlformats.org/officeDocument/2006/relationships/hyperlink" Target="https://techcombank.com/thong-tin/blog/chuyen-tien-tu-han-sang-viet-nam" TargetMode="External"/><Relationship Id="rId407" Type="http://schemas.openxmlformats.org/officeDocument/2006/relationships/hyperlink" Target="https://techcombank.com/thong-tin/blog/1000-won-bang-bao-nhieu-tien-viet" TargetMode="External"/><Relationship Id="rId406" Type="http://schemas.openxmlformats.org/officeDocument/2006/relationships/hyperlink" Target="https://techcombank.com/thong-tin/blog/thanh-toan-khi-du-lich-han-quoc" TargetMode="External"/><Relationship Id="rId405" Type="http://schemas.openxmlformats.org/officeDocument/2006/relationships/hyperlink" Target="https://techcombank.com/thong-tin/blog/1000-won-bang-bao-nhieu-tien-viet" TargetMode="External"/><Relationship Id="rId400" Type="http://schemas.openxmlformats.org/officeDocument/2006/relationships/hyperlink" Target="https://techcombank.com/thong-tin/blog/xu-huong-ty-gia-usd" TargetMode="External"/><Relationship Id="rId469" Type="http://schemas.openxmlformats.org/officeDocument/2006/relationships/hyperlink" Target="https://techcombank.com/thong-tin/blog/gui-ma-qr-ngan-hang" TargetMode="External"/><Relationship Id="rId468" Type="http://schemas.openxmlformats.org/officeDocument/2006/relationships/hyperlink" Target="https://techcombank.com/thong-tin/blog/lo-ma-qr-ngan-hang-co-sao-khong" TargetMode="External"/><Relationship Id="rId467" Type="http://schemas.openxmlformats.org/officeDocument/2006/relationships/hyperlink" Target="https://techcombank.com/thong-tin/blog/gui-ma-qr-ngan-hang" TargetMode="External"/><Relationship Id="rId462" Type="http://schemas.openxmlformats.org/officeDocument/2006/relationships/hyperlink" Target="https://techcombank.com/thong-tin/blog/one-stop-shop" TargetMode="External"/><Relationship Id="rId461" Type="http://schemas.openxmlformats.org/officeDocument/2006/relationships/hyperlink" Target="https://techcombank.com/thong-tin/blog/mo-hinh-kinh-doanh-la-gi" TargetMode="External"/><Relationship Id="rId460" Type="http://schemas.openxmlformats.org/officeDocument/2006/relationships/hyperlink" Target="https://techcombank.com/thong-tin/blog/kinh-doanh-online" TargetMode="External"/><Relationship Id="rId466" Type="http://schemas.openxmlformats.org/officeDocument/2006/relationships/hyperlink" Target="https://techcombank.com/thong-tin/blog/in-ma-qr-ngan-hang" TargetMode="External"/><Relationship Id="rId465" Type="http://schemas.openxmlformats.org/officeDocument/2006/relationships/hyperlink" Target="https://techcombank.com/thong-tin/blog/gui-ma-qr-ngan-hang" TargetMode="External"/><Relationship Id="rId464" Type="http://schemas.openxmlformats.org/officeDocument/2006/relationships/hyperlink" Target="https://techcombank.com/thong-tin/blog/cach-tao-ma-qr" TargetMode="External"/><Relationship Id="rId463" Type="http://schemas.openxmlformats.org/officeDocument/2006/relationships/hyperlink" Target="https://techcombank.com/thong-tin/blog/gui-ma-qr-ngan-hang" TargetMode="External"/><Relationship Id="rId459" Type="http://schemas.openxmlformats.org/officeDocument/2006/relationships/hyperlink" Target="https://techcombank.com/thong-tin/blog/mo-hinh-kinh-doanh-la-gi" TargetMode="External"/><Relationship Id="rId458" Type="http://schemas.openxmlformats.org/officeDocument/2006/relationships/hyperlink" Target="https://techcombank.com/thong-tin/blog/nhuong-quyen-la-gi" TargetMode="External"/><Relationship Id="rId457" Type="http://schemas.openxmlformats.org/officeDocument/2006/relationships/hyperlink" Target="https://techcombank.com/thong-tin/blog/mo-hinh-kinh-doanh-la-gi" TargetMode="External"/><Relationship Id="rId456" Type="http://schemas.openxmlformats.org/officeDocument/2006/relationships/hyperlink" Target="https://techcombank.com/thong-tin/blog/thue-ho-kinh-doanh-2025" TargetMode="External"/><Relationship Id="rId451" Type="http://schemas.openxmlformats.org/officeDocument/2006/relationships/hyperlink" Target="https://techcombank.com/thong-tin/blog/ho-kinh-doanh-dong-thue-nhu-nao" TargetMode="External"/><Relationship Id="rId450" Type="http://schemas.openxmlformats.org/officeDocument/2006/relationships/hyperlink" Target="https://techcombank.com/thong-tin/blog/thue-khoan-ho-kinh-doanh-la-gi" TargetMode="External"/><Relationship Id="rId455" Type="http://schemas.openxmlformats.org/officeDocument/2006/relationships/hyperlink" Target="https://techcombank.com/thong-tin/blog/ho-kinh-doanh-dong-thue-nhu-nao" TargetMode="External"/><Relationship Id="rId454" Type="http://schemas.openxmlformats.org/officeDocument/2006/relationships/hyperlink" Target="https://techcombank.com/thong-tin/blog/truy-thu-thue-ho-kinh-doanh" TargetMode="External"/><Relationship Id="rId453" Type="http://schemas.openxmlformats.org/officeDocument/2006/relationships/hyperlink" Target="https://techcombank.com/thong-tin/blog/ho-kinh-doanh-dong-thue-nhu-nao" TargetMode="External"/><Relationship Id="rId452" Type="http://schemas.openxmlformats.org/officeDocument/2006/relationships/hyperlink" Target="https://techcombank.com/thong-tin/blog/nhung-ho-kinh-doanh-duoc-mien-thue" TargetMode="External"/><Relationship Id="rId491" Type="http://schemas.openxmlformats.org/officeDocument/2006/relationships/hyperlink" Target="https://techcombank.com/thong-tin/blog/cach-tinh-thue-ho-kinh-doanh-nho-le" TargetMode="External"/><Relationship Id="rId490" Type="http://schemas.openxmlformats.org/officeDocument/2006/relationships/hyperlink" Target="https://techcombank.com/thong-tin/blog/chinh-sach-thue-moi" TargetMode="External"/><Relationship Id="rId489" Type="http://schemas.openxmlformats.org/officeDocument/2006/relationships/hyperlink" Target="https://techcombank.com/thong-tin/blog/cach-tinh-thue-ho-kinh-doanh-nho-le" TargetMode="External"/><Relationship Id="rId484" Type="http://schemas.openxmlformats.org/officeDocument/2006/relationships/hyperlink" Target="https://techcombank.com/thong-tin/blog/ke-khai-thue-ho-kinh-doanh-ca-the-online" TargetMode="External"/><Relationship Id="rId483" Type="http://schemas.openxmlformats.org/officeDocument/2006/relationships/hyperlink" Target="https://techcombank.com/thong-tin/blog/cach-tinh-thue-ho-kinh-doanh-nho-le" TargetMode="External"/><Relationship Id="rId482" Type="http://schemas.openxmlformats.org/officeDocument/2006/relationships/hyperlink" Target="https://techcombank.com/thong-tin/blog/cach-dang-ky-ma-so-thue-ho-kinh-doanh-online" TargetMode="External"/><Relationship Id="rId481" Type="http://schemas.openxmlformats.org/officeDocument/2006/relationships/hyperlink" Target="https://techcombank.com/thong-tin/blog/mo-tai-khoan-ho-kinh-doanh" TargetMode="External"/><Relationship Id="rId488" Type="http://schemas.openxmlformats.org/officeDocument/2006/relationships/hyperlink" Target="https://techcombank.com/thong-tin/blog/thue-thuong-mai-dien-tu" TargetMode="External"/><Relationship Id="rId487" Type="http://schemas.openxmlformats.org/officeDocument/2006/relationships/hyperlink" Target="https://techcombank.com/thong-tin/blog/cach-tinh-thue-ho-kinh-doanh-nho-le" TargetMode="External"/><Relationship Id="rId486" Type="http://schemas.openxmlformats.org/officeDocument/2006/relationships/hyperlink" Target="https://techcombank.com/thong-tin/blog/kiem-tra-thue-ho-kinh-doanh" TargetMode="External"/><Relationship Id="rId485" Type="http://schemas.openxmlformats.org/officeDocument/2006/relationships/hyperlink" Target="https://techcombank.com/thong-tin/blog/cach-tinh-thue-ho-kinh-doanh-nho-le" TargetMode="External"/><Relationship Id="rId480" Type="http://schemas.openxmlformats.org/officeDocument/2006/relationships/hyperlink" Target="https://techcombank.com/thong-tin/blog/ho-kinh-doanh-ca-the" TargetMode="External"/><Relationship Id="rId479" Type="http://schemas.openxmlformats.org/officeDocument/2006/relationships/hyperlink" Target="https://techcombank.com/thong-tin/blog/mo-tai-khoan-ho-kinh-doanh" TargetMode="External"/><Relationship Id="rId478" Type="http://schemas.openxmlformats.org/officeDocument/2006/relationships/hyperlink" Target="https://techcombank.com/thong-tin/blog/khai-bao-tai-khoan-ngan-hang-voi-co-quan-thue" TargetMode="External"/><Relationship Id="rId473" Type="http://schemas.openxmlformats.org/officeDocument/2006/relationships/hyperlink" Target="https://techcombank.com/thong-tin/blog/mo-tai-khoan-ho-kinh-doanh" TargetMode="External"/><Relationship Id="rId472" Type="http://schemas.openxmlformats.org/officeDocument/2006/relationships/hyperlink" Target="https://techcombank.com/thong-tin/blog/ma-qr-ngan-hang-khong-hop-le" TargetMode="External"/><Relationship Id="rId471" Type="http://schemas.openxmlformats.org/officeDocument/2006/relationships/hyperlink" Target="https://techcombank.com/thong-tin/blog/gui-ma-qr-ngan-hang" TargetMode="External"/><Relationship Id="rId470" Type="http://schemas.openxmlformats.org/officeDocument/2006/relationships/hyperlink" Target="https://techcombank.com/thong-tin/blog/lam-ma-qr-ngan-hang-co-mat-phi-khong" TargetMode="External"/><Relationship Id="rId477" Type="http://schemas.openxmlformats.org/officeDocument/2006/relationships/hyperlink" Target="https://techcombank.com/thong-tin/blog/mo-tai-khoan-ho-kinh-doanh" TargetMode="External"/><Relationship Id="rId476" Type="http://schemas.openxmlformats.org/officeDocument/2006/relationships/hyperlink" Target="https://techcombank.com/thong-tin/blog/thanh-lap-ho-kinh-doanh-ca-the" TargetMode="External"/><Relationship Id="rId475" Type="http://schemas.openxmlformats.org/officeDocument/2006/relationships/hyperlink" Target="https://techcombank.com/thong-tin/blog/mo-tai-khoan-ho-kinh-doanh" TargetMode="External"/><Relationship Id="rId474" Type="http://schemas.openxmlformats.org/officeDocument/2006/relationships/hyperlink" Target="https://techcombank.com/thong-tin/blog/ho-kinh-doanh-can-gi-o-tai-khoan-ngan-hang" TargetMode="External"/><Relationship Id="rId426" Type="http://schemas.openxmlformats.org/officeDocument/2006/relationships/hyperlink" Target="https://techcombank.com/thong-tin/blog/di-du-lich-nuoc-ngoai-can-chuan-bi-gi" TargetMode="External"/><Relationship Id="rId425" Type="http://schemas.openxmlformats.org/officeDocument/2006/relationships/hyperlink" Target="https://techcombank.com/thong-tin/blog/doi-tien-do-o-dau" TargetMode="External"/><Relationship Id="rId424" Type="http://schemas.openxmlformats.org/officeDocument/2006/relationships/hyperlink" Target="https://techcombank.com/thong-tin/blog/ty-gia-cac-ngan-hang" TargetMode="External"/><Relationship Id="rId423" Type="http://schemas.openxmlformats.org/officeDocument/2006/relationships/hyperlink" Target="https://techcombank.com/thong-tin/blog/doi-tien-do-o-dau" TargetMode="External"/><Relationship Id="rId429" Type="http://schemas.openxmlformats.org/officeDocument/2006/relationships/hyperlink" Target="https://techcombank.com/thong-tin/blog/vay-ngan-hang-1-ty-moi-thang-tra-bao-nhieu" TargetMode="External"/><Relationship Id="rId428" Type="http://schemas.openxmlformats.org/officeDocument/2006/relationships/hyperlink" Target="https://techcombank.com/thong-tin/blog/1-trieu-do-bang-bao-nhieu-tien-viet" TargetMode="External"/><Relationship Id="rId427" Type="http://schemas.openxmlformats.org/officeDocument/2006/relationships/hyperlink" Target="https://techcombank.com/thong-tin/blog/doi-tien-do-o-dau" TargetMode="External"/><Relationship Id="rId422" Type="http://schemas.openxmlformats.org/officeDocument/2006/relationships/hyperlink" Target="https://techcombank.com/thong-tin/blog/han-muc-mua-ngoai-te-khi-di-du-lich" TargetMode="External"/><Relationship Id="rId421" Type="http://schemas.openxmlformats.org/officeDocument/2006/relationships/hyperlink" Target="https://techcombank.com/thong-tin/blog/doi-tien-do-o-dau" TargetMode="External"/><Relationship Id="rId420" Type="http://schemas.openxmlformats.org/officeDocument/2006/relationships/hyperlink" Target="https://techcombank.com/thong-tin/blog/dieu-kien-mua-usd-tu-ngan-hang" TargetMode="External"/><Relationship Id="rId415" Type="http://schemas.openxmlformats.org/officeDocument/2006/relationships/hyperlink" Target="https://techcombank.com/thong-tin/blog/cach-nhan-tien-tu-nuoc-ngoai-ve-viet-nam" TargetMode="External"/><Relationship Id="rId414" Type="http://schemas.openxmlformats.org/officeDocument/2006/relationships/hyperlink" Target="https://techcombank.com/thong-tin/blog/ma-swift-ngan-hang" TargetMode="External"/><Relationship Id="rId413" Type="http://schemas.openxmlformats.org/officeDocument/2006/relationships/hyperlink" Target="https://techcombank.com/thong-tin/blog/cach-nhan-tien-tu-nuoc-ngoai-ve-viet-nam" TargetMode="External"/><Relationship Id="rId412" Type="http://schemas.openxmlformats.org/officeDocument/2006/relationships/hyperlink" Target="https://techcombank.com/thong-tin/blog/nhan-tien-western-union" TargetMode="External"/><Relationship Id="rId419" Type="http://schemas.openxmlformats.org/officeDocument/2006/relationships/hyperlink" Target="https://techcombank.com/thong-tin/blog/doi-tien-do-o-dau" TargetMode="External"/><Relationship Id="rId418" Type="http://schemas.openxmlformats.org/officeDocument/2006/relationships/hyperlink" Target="https://techcombank.com/thong-tin/blog/remittance-la-gi" TargetMode="External"/><Relationship Id="rId417" Type="http://schemas.openxmlformats.org/officeDocument/2006/relationships/hyperlink" Target="https://techcombank.com/thong-tin/blog/cach-nhan-tien-tu-nuoc-ngoai-ve-viet-nam" TargetMode="External"/><Relationship Id="rId416" Type="http://schemas.openxmlformats.org/officeDocument/2006/relationships/hyperlink" Target="https://techcombank.com/thong-tin/blog/chuyen-tien-tu-my-ve-viet-nam" TargetMode="External"/><Relationship Id="rId411" Type="http://schemas.openxmlformats.org/officeDocument/2006/relationships/hyperlink" Target="https://techcombank.com/thong-tin/blog/cach-nhan-tien-tu-nuoc-ngoai-ve-viet-nam" TargetMode="External"/><Relationship Id="rId410" Type="http://schemas.openxmlformats.org/officeDocument/2006/relationships/hyperlink" Target="https://techcombank.com/thong-tin/blog/kieu-hoi-la-gi" TargetMode="External"/><Relationship Id="rId448" Type="http://schemas.openxmlformats.org/officeDocument/2006/relationships/hyperlink" Target="https://techcombank.com/thong-tin/blog/ho-kinh-doanh-la-gi" TargetMode="External"/><Relationship Id="rId447" Type="http://schemas.openxmlformats.org/officeDocument/2006/relationships/hyperlink" Target="https://techcombank.com/thong-tin/blog/ho-kinh-doanh-dong-thue-nhu-nao" TargetMode="External"/><Relationship Id="rId446" Type="http://schemas.openxmlformats.org/officeDocument/2006/relationships/hyperlink" Target="https://techcombank.com/thong-tin/blog/tich-diem-doi-qua" TargetMode="External"/><Relationship Id="rId445" Type="http://schemas.openxmlformats.org/officeDocument/2006/relationships/hyperlink" Target="https://techcombank.com/thong-tin/blog/traveloka-voucher" TargetMode="External"/><Relationship Id="rId449" Type="http://schemas.openxmlformats.org/officeDocument/2006/relationships/hyperlink" Target="https://techcombank.com/thong-tin/blog/ho-kinh-doanh-dong-thue-nhu-nao" TargetMode="External"/><Relationship Id="rId440" Type="http://schemas.openxmlformats.org/officeDocument/2006/relationships/hyperlink" Target="https://techcombank.com/thong-tin/blog/dat-ve-may-bay" TargetMode="External"/><Relationship Id="rId444" Type="http://schemas.openxmlformats.org/officeDocument/2006/relationships/hyperlink" Target="https://techcombank.com/thong-tin/blog/techcombank-oneu" TargetMode="External"/><Relationship Id="rId443" Type="http://schemas.openxmlformats.org/officeDocument/2006/relationships/hyperlink" Target="https://techcombank.com/thong-tin/blog/traveloka-voucher" TargetMode="External"/><Relationship Id="rId442" Type="http://schemas.openxmlformats.org/officeDocument/2006/relationships/hyperlink" Target="https://techcombank.com/thong-tin/blog/mua-ve-may-bay-gia-re" TargetMode="External"/><Relationship Id="rId441" Type="http://schemas.openxmlformats.org/officeDocument/2006/relationships/hyperlink" Target="https://techcombank.com/thong-tin/blog/traveloka-voucher" TargetMode="External"/><Relationship Id="rId437" Type="http://schemas.openxmlformats.org/officeDocument/2006/relationships/hyperlink" Target="https://techcombank.com/thong-tin/blog/vay-ngan-hang-1-ty-moi-thang-tra-bao-nhieu" TargetMode="External"/><Relationship Id="rId436" Type="http://schemas.openxmlformats.org/officeDocument/2006/relationships/hyperlink" Target="https://techcombank.com/thong-tin/blog/vay-mua-chung-cu" TargetMode="External"/><Relationship Id="rId435" Type="http://schemas.openxmlformats.org/officeDocument/2006/relationships/hyperlink" Target="https://techcombank.com/thong-tin/blog/vay-ngan-hang-1-ty-moi-thang-tra-bao-nhieu" TargetMode="External"/><Relationship Id="rId434" Type="http://schemas.openxmlformats.org/officeDocument/2006/relationships/hyperlink" Target="https://techcombank.com/thong-tin/blog/kinh-nghiem-vay-tien-mua-nha" TargetMode="External"/><Relationship Id="rId439" Type="http://schemas.openxmlformats.org/officeDocument/2006/relationships/hyperlink" Target="https://techcombank.com/thong-tin/blog/traveloka-voucher" TargetMode="External"/><Relationship Id="rId438" Type="http://schemas.openxmlformats.org/officeDocument/2006/relationships/hyperlink" Target="https://techcombank.com/thong-tin/blog/lai-suat-vay-the-chap" TargetMode="External"/><Relationship Id="rId433" Type="http://schemas.openxmlformats.org/officeDocument/2006/relationships/hyperlink" Target="https://techcombank.com/thong-tin/blog/vay-ngan-hang-1-ty-moi-thang-tra-bao-nhieu" TargetMode="External"/><Relationship Id="rId432" Type="http://schemas.openxmlformats.org/officeDocument/2006/relationships/hyperlink" Target="https://techcombank.com/thong-tin/blog/thu-tuc-vay-ngan-hang-mua-nha" TargetMode="External"/><Relationship Id="rId431" Type="http://schemas.openxmlformats.org/officeDocument/2006/relationships/hyperlink" Target="https://techcombank.com/thong-tin/blog/vay-ngan-hang-1-ty-moi-thang-tra-bao-nhieu" TargetMode="External"/><Relationship Id="rId430" Type="http://schemas.openxmlformats.org/officeDocument/2006/relationships/hyperlink" Target="https://techcombank.com/thong-tin/blog/co-nen-vay-ngan-hang-mua-nha" TargetMode="Externa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hyperlink" Target="https://techcombank.com/thong-tin/blog/vay-thau-chi-la-gi" TargetMode="External"/><Relationship Id="rId2" Type="http://schemas.openxmlformats.org/officeDocument/2006/relationships/hyperlink" Target="https://techcombank.com/thong-tin/blog/vay-thau-chi-la-gi" TargetMode="External"/><Relationship Id="rId3" Type="http://schemas.openxmlformats.org/officeDocument/2006/relationships/hyperlink" Target="https://techcombank.com/thong-tin/blog/vay-thau-chi-la-gi" TargetMode="External"/><Relationship Id="rId4" Type="http://schemas.openxmlformats.org/officeDocument/2006/relationships/hyperlink" Target="https://techcombank.com/thong-tin/blog/vay-thau-chi-la-gi" TargetMode="External"/><Relationship Id="rId9" Type="http://schemas.openxmlformats.org/officeDocument/2006/relationships/hyperlink" Target="https://techcombank.com/thong-tin/blog/nop-thue-dat-qua-ngan-hang" TargetMode="External"/><Relationship Id="rId5" Type="http://schemas.openxmlformats.org/officeDocument/2006/relationships/hyperlink" Target="https://techcombank.com/thong-tin/blog/thue-thu-nhap-doanh-nghiep" TargetMode="External"/><Relationship Id="rId6" Type="http://schemas.openxmlformats.org/officeDocument/2006/relationships/hyperlink" Target="https://techcombank.com/thong-tin/blog/thue-thu-nhap-doanh-nghiep" TargetMode="External"/><Relationship Id="rId7" Type="http://schemas.openxmlformats.org/officeDocument/2006/relationships/hyperlink" Target="https://techcombank.com/thong-tin/blog/rut-tien-mat-tu-the-tin-dung" TargetMode="External"/><Relationship Id="rId8" Type="http://schemas.openxmlformats.org/officeDocument/2006/relationships/hyperlink" Target="https://techcombank.com/thong-tin/blog/rut-tien-mat-tu-the-tin-dung" TargetMode="External"/><Relationship Id="rId40" Type="http://schemas.openxmlformats.org/officeDocument/2006/relationships/hyperlink" Target="https://techcombank.com/thong-tin/blog/cach-tinh-tien-dien-sinh-hoat" TargetMode="External"/><Relationship Id="rId42" Type="http://schemas.openxmlformats.org/officeDocument/2006/relationships/hyperlink" Target="https://techcombank.com/thong-tin/blog/cach-tinh-thue-thu-nhap-ca-nhan-2025" TargetMode="External"/><Relationship Id="rId41" Type="http://schemas.openxmlformats.org/officeDocument/2006/relationships/hyperlink" Target="https://techcombank.com/thong-tin/blog/cach-tinh-thue-thu-nhap-ca-nhan-2025" TargetMode="External"/><Relationship Id="rId44" Type="http://schemas.openxmlformats.org/officeDocument/2006/relationships/hyperlink" Target="https://techcombank.com/thong-tin/blog/cach-tinh-lai-vay-ngan-hang" TargetMode="External"/><Relationship Id="rId43" Type="http://schemas.openxmlformats.org/officeDocument/2006/relationships/hyperlink" Target="https://techcombank.com/thong-tin/blog/cach-tinh-lai-vay-ngan-hang" TargetMode="External"/><Relationship Id="rId46" Type="http://schemas.openxmlformats.org/officeDocument/2006/relationships/hyperlink" Target="https://techcombank.com/thong-tin/blog/cach-tinh-lai-suat-tien-gui-tiet-kiem" TargetMode="External"/><Relationship Id="rId45" Type="http://schemas.openxmlformats.org/officeDocument/2006/relationships/hyperlink" Target="https://techcombank.com/thong-tin/blog/cach-tinh-lai-suat-tien-gui-tiet-kiem" TargetMode="External"/><Relationship Id="rId48" Type="http://schemas.openxmlformats.org/officeDocument/2006/relationships/hyperlink" Target="https://techcombank.com/thong-tin/blog/cach-tinh-lai-suat-tien-gui-tiet-kiem" TargetMode="External"/><Relationship Id="rId47" Type="http://schemas.openxmlformats.org/officeDocument/2006/relationships/hyperlink" Target="https://techcombank.com/thong-tin/blog/cach-tinh-lai-suat-tien-gui-tiet-kiem" TargetMode="External"/><Relationship Id="rId49" Type="http://schemas.openxmlformats.org/officeDocument/2006/relationships/hyperlink" Target="https://techcombank.com/thong-tin/blog/cach-tinh-lai-suat-tien-gui-tiet-kiem" TargetMode="External"/><Relationship Id="rId31" Type="http://schemas.openxmlformats.org/officeDocument/2006/relationships/hyperlink" Target="https://techcombank.com/thong-tin/blog/lai-suat-tiet-kiem" TargetMode="External"/><Relationship Id="rId30" Type="http://schemas.openxmlformats.org/officeDocument/2006/relationships/hyperlink" Target="https://techcombank.com/thong-tin/blog/lai-suat-tiet-kiem" TargetMode="External"/><Relationship Id="rId33" Type="http://schemas.openxmlformats.org/officeDocument/2006/relationships/hyperlink" Target="https://techcombank.com/thong-tin/blog/ho-kinh-doanh-dong-thue-nhu-nao" TargetMode="External"/><Relationship Id="rId32" Type="http://schemas.openxmlformats.org/officeDocument/2006/relationships/hyperlink" Target="https://techcombank.com/thong-tin/blog/ho-kinh-doanh-dong-thue-nhu-nao" TargetMode="External"/><Relationship Id="rId35" Type="http://schemas.openxmlformats.org/officeDocument/2006/relationships/hyperlink" Target="https://techcombank.com/thong-tin/blog/cic-la-gi" TargetMode="External"/><Relationship Id="rId34" Type="http://schemas.openxmlformats.org/officeDocument/2006/relationships/hyperlink" Target="https://techcombank.com/thong-tin/blog/cic-la-gi" TargetMode="External"/><Relationship Id="rId37" Type="http://schemas.openxmlformats.org/officeDocument/2006/relationships/hyperlink" Target="https://techcombank.com/thong-tin/blog/cic-la-gi" TargetMode="External"/><Relationship Id="rId36" Type="http://schemas.openxmlformats.org/officeDocument/2006/relationships/hyperlink" Target="https://techcombank.com/thong-tin/blog/cic-la-gi" TargetMode="External"/><Relationship Id="rId39" Type="http://schemas.openxmlformats.org/officeDocument/2006/relationships/hyperlink" Target="https://techcombank.com/thong-tin/blog/cach-tinh-tien-dien-sinh-hoat" TargetMode="External"/><Relationship Id="rId38" Type="http://schemas.openxmlformats.org/officeDocument/2006/relationships/hyperlink" Target="https://techcombank.com/thong-tin/blog/cic-la-gi" TargetMode="External"/><Relationship Id="rId20" Type="http://schemas.openxmlformats.org/officeDocument/2006/relationships/hyperlink" Target="https://techcombank.com/thong-tin/blog/lai-suat-tiet-kiem" TargetMode="External"/><Relationship Id="rId22" Type="http://schemas.openxmlformats.org/officeDocument/2006/relationships/hyperlink" Target="https://techcombank.com/thong-tin/blog/lai-suat-tiet-kiem" TargetMode="External"/><Relationship Id="rId21" Type="http://schemas.openxmlformats.org/officeDocument/2006/relationships/hyperlink" Target="https://techcombank.com/thong-tin/blog/lai-suat-tiet-kiem" TargetMode="External"/><Relationship Id="rId24" Type="http://schemas.openxmlformats.org/officeDocument/2006/relationships/hyperlink" Target="https://techcombank.com/thong-tin/blog/lai-suat-tiet-kiem" TargetMode="External"/><Relationship Id="rId23" Type="http://schemas.openxmlformats.org/officeDocument/2006/relationships/hyperlink" Target="https://techcombank.com/thong-tin/blog/lai-suat-tiet-kiem" TargetMode="External"/><Relationship Id="rId26" Type="http://schemas.openxmlformats.org/officeDocument/2006/relationships/hyperlink" Target="https://techcombank.com/thong-tin/blog/lai-suat-tiet-kiem" TargetMode="External"/><Relationship Id="rId25" Type="http://schemas.openxmlformats.org/officeDocument/2006/relationships/hyperlink" Target="https://techcombank.com/thong-tin/blog/lai-suat-tiet-kiem" TargetMode="External"/><Relationship Id="rId28" Type="http://schemas.openxmlformats.org/officeDocument/2006/relationships/hyperlink" Target="https://techcombank.com/thong-tin/blog/lai-suat-tiet-kiem" TargetMode="External"/><Relationship Id="rId27" Type="http://schemas.openxmlformats.org/officeDocument/2006/relationships/hyperlink" Target="https://techcombank.com/thong-tin/blog/lai-suat-tiet-kiem" TargetMode="External"/><Relationship Id="rId29" Type="http://schemas.openxmlformats.org/officeDocument/2006/relationships/hyperlink" Target="https://techcombank.com/thong-tin/blog/lai-suat-tiet-kiem" TargetMode="External"/><Relationship Id="rId11" Type="http://schemas.openxmlformats.org/officeDocument/2006/relationships/hyperlink" Target="https://techcombank.com/thong-tin/blog/nop-thue-dat-qua-ngan-hang" TargetMode="External"/><Relationship Id="rId10" Type="http://schemas.openxmlformats.org/officeDocument/2006/relationships/hyperlink" Target="https://techcombank.com/thong-tin/blog/nop-thue-dat-qua-ngan-hang" TargetMode="External"/><Relationship Id="rId13" Type="http://schemas.openxmlformats.org/officeDocument/2006/relationships/hyperlink" Target="https://techcombank.com/thong-tin/blog/lai-suat-vay-ngan-hang" TargetMode="External"/><Relationship Id="rId12" Type="http://schemas.openxmlformats.org/officeDocument/2006/relationships/hyperlink" Target="https://techcombank.com/thong-tin/blog/lai-suat-vay-ngan-hang" TargetMode="External"/><Relationship Id="rId15" Type="http://schemas.openxmlformats.org/officeDocument/2006/relationships/hyperlink" Target="https://techcombank.com/thong-tin/blog/lai-suat-vay-ngan-hang" TargetMode="External"/><Relationship Id="rId14" Type="http://schemas.openxmlformats.org/officeDocument/2006/relationships/hyperlink" Target="https://techcombank.com/thong-tin/blog/lai-suat-vay-ngan-hang" TargetMode="External"/><Relationship Id="rId17" Type="http://schemas.openxmlformats.org/officeDocument/2006/relationships/hyperlink" Target="https://techcombank.com/thong-tin/blog/lai-suat-vay-ngan-hang" TargetMode="External"/><Relationship Id="rId16" Type="http://schemas.openxmlformats.org/officeDocument/2006/relationships/hyperlink" Target="https://techcombank.com/thong-tin/blog/lai-suat-vay-ngan-hang" TargetMode="External"/><Relationship Id="rId19" Type="http://schemas.openxmlformats.org/officeDocument/2006/relationships/hyperlink" Target="https://techcombank.com/thong-tin/blog/lai-suat-tiet-kiem" TargetMode="External"/><Relationship Id="rId18" Type="http://schemas.openxmlformats.org/officeDocument/2006/relationships/hyperlink" Target="https://techcombank.com/thong-tin/blog/lai-suat-tiet-kiem" TargetMode="External"/><Relationship Id="rId80" Type="http://schemas.openxmlformats.org/officeDocument/2006/relationships/hyperlink" Target="https://techcombank.com/cong-cu-tien-ich/cong-cu-tinh-toan/bang-tinh-lai-suat-vay" TargetMode="External"/><Relationship Id="rId81" Type="http://schemas.openxmlformats.org/officeDocument/2006/relationships/drawing" Target="../drawings/drawing7.xml"/><Relationship Id="rId73" Type="http://schemas.openxmlformats.org/officeDocument/2006/relationships/hyperlink" Target="https://techcombank.com/thong-tin/blog/app-vay-tien-nhanh" TargetMode="External"/><Relationship Id="rId72" Type="http://schemas.openxmlformats.org/officeDocument/2006/relationships/hyperlink" Target="https://techcombank.com/thong-tin/blog/app-vay-tien-nhanh" TargetMode="External"/><Relationship Id="rId75" Type="http://schemas.openxmlformats.org/officeDocument/2006/relationships/hyperlink" Target="https://techcombank.com/thong-tin/blog/app-vay-tien-nhanh" TargetMode="External"/><Relationship Id="rId74" Type="http://schemas.openxmlformats.org/officeDocument/2006/relationships/hyperlink" Target="https://techcombank.com/thong-tin/blog/app-vay-tien-nhanh" TargetMode="External"/><Relationship Id="rId77" Type="http://schemas.openxmlformats.org/officeDocument/2006/relationships/hyperlink" Target="https://techcombank.com/thong-tin/blog/app-vay-tien-nhanh" TargetMode="External"/><Relationship Id="rId76" Type="http://schemas.openxmlformats.org/officeDocument/2006/relationships/hyperlink" Target="https://techcombank.com/thong-tin/blog/app-vay-tien-nhanh" TargetMode="External"/><Relationship Id="rId79" Type="http://schemas.openxmlformats.org/officeDocument/2006/relationships/hyperlink" Target="https://techcombank.com/cong-cu-tien-ich/cong-cu-tinh-toan/bang-tinh-lai-suat-vay" TargetMode="External"/><Relationship Id="rId78" Type="http://schemas.openxmlformats.org/officeDocument/2006/relationships/hyperlink" Target="https://techcombank.com/cong-cu-tien-ich/cong-cu-tinh-toan/bang-tinh-lai-suat-vay" TargetMode="External"/><Relationship Id="rId71" Type="http://schemas.openxmlformats.org/officeDocument/2006/relationships/hyperlink" Target="https://techcombank.com/thong-tin/blog/app-vay-tien-nhanh" TargetMode="External"/><Relationship Id="rId70" Type="http://schemas.openxmlformats.org/officeDocument/2006/relationships/hyperlink" Target="https://techcombank.com/thong-tin/blog/app-vay-tien-nhanh" TargetMode="External"/><Relationship Id="rId62" Type="http://schemas.openxmlformats.org/officeDocument/2006/relationships/hyperlink" Target="https://techcombank.com/thong-tin/blog/cach-kiem-tra-tai-khoan-ngan-hang" TargetMode="External"/><Relationship Id="rId61" Type="http://schemas.openxmlformats.org/officeDocument/2006/relationships/hyperlink" Target="https://techcombank.com/thong-tin/blog/cach-kiem-tra-tai-khoan-ngan-hang" TargetMode="External"/><Relationship Id="rId64" Type="http://schemas.openxmlformats.org/officeDocument/2006/relationships/hyperlink" Target="https://techcombank.com/thong-tin/blog/app-vay-tien-nhanh" TargetMode="External"/><Relationship Id="rId63" Type="http://schemas.openxmlformats.org/officeDocument/2006/relationships/hyperlink" Target="https://techcombank.com/thong-tin/blog/app-vay-tien-nhanh" TargetMode="External"/><Relationship Id="rId66" Type="http://schemas.openxmlformats.org/officeDocument/2006/relationships/hyperlink" Target="https://techcombank.com/thong-tin/blog/app-vay-tien-nhanh" TargetMode="External"/><Relationship Id="rId65" Type="http://schemas.openxmlformats.org/officeDocument/2006/relationships/hyperlink" Target="https://techcombank.com/thong-tin/blog/app-vay-tien-nhanh" TargetMode="External"/><Relationship Id="rId68" Type="http://schemas.openxmlformats.org/officeDocument/2006/relationships/hyperlink" Target="https://techcombank.com/thong-tin/blog/app-vay-tien-nhanh" TargetMode="External"/><Relationship Id="rId67" Type="http://schemas.openxmlformats.org/officeDocument/2006/relationships/hyperlink" Target="https://techcombank.com/thong-tin/blog/app-vay-tien-nhanh" TargetMode="External"/><Relationship Id="rId60" Type="http://schemas.openxmlformats.org/officeDocument/2006/relationships/hyperlink" Target="https://techcombank.com/thong-tin/blog/cach-mo-tai-khoan" TargetMode="External"/><Relationship Id="rId69" Type="http://schemas.openxmlformats.org/officeDocument/2006/relationships/hyperlink" Target="https://techcombank.com/thong-tin/blog/app-vay-tien-nhanh" TargetMode="External"/><Relationship Id="rId51" Type="http://schemas.openxmlformats.org/officeDocument/2006/relationships/hyperlink" Target="https://techcombank.com/thong-tin/blog/cach-tinh-lai-suat-tien-gui-tiet-kiem" TargetMode="External"/><Relationship Id="rId50" Type="http://schemas.openxmlformats.org/officeDocument/2006/relationships/hyperlink" Target="https://techcombank.com/thong-tin/blog/cach-tinh-lai-suat-tien-gui-tiet-kiem" TargetMode="External"/><Relationship Id="rId53" Type="http://schemas.openxmlformats.org/officeDocument/2006/relationships/hyperlink" Target="https://techcombank.com/thong-tin/blog/cach-nop-thue-dien-tu" TargetMode="External"/><Relationship Id="rId52" Type="http://schemas.openxmlformats.org/officeDocument/2006/relationships/hyperlink" Target="https://techcombank.com/thong-tin/blog/cach-tinh-lai-suat-tien-gui-tiet-kiem" TargetMode="External"/><Relationship Id="rId55" Type="http://schemas.openxmlformats.org/officeDocument/2006/relationships/hyperlink" Target="https://techcombank.com/thong-tin/blog/cach-nap-the-viettel" TargetMode="External"/><Relationship Id="rId54" Type="http://schemas.openxmlformats.org/officeDocument/2006/relationships/hyperlink" Target="https://techcombank.com/thong-tin/blog/cach-nop-thue-dien-tu" TargetMode="External"/><Relationship Id="rId57" Type="http://schemas.openxmlformats.org/officeDocument/2006/relationships/hyperlink" Target="https://techcombank.com/thong-tin/blog/cach-nap-the-viettel" TargetMode="External"/><Relationship Id="rId56" Type="http://schemas.openxmlformats.org/officeDocument/2006/relationships/hyperlink" Target="https://techcombank.com/thong-tin/blog/cach-nap-the-viettel" TargetMode="External"/><Relationship Id="rId59" Type="http://schemas.openxmlformats.org/officeDocument/2006/relationships/hyperlink" Target="https://techcombank.com/thong-tin/blog/cach-mo-tai-khoan" TargetMode="External"/><Relationship Id="rId58" Type="http://schemas.openxmlformats.org/officeDocument/2006/relationships/hyperlink" Target="https://techcombank.com/thong-tin/blog/cach-nap-the-viette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2.63"/>
    <col customWidth="1" min="2" max="2" width="95.13"/>
  </cols>
  <sheetData>
    <row r="1">
      <c r="A1" s="2" t="s">
        <v>1</v>
      </c>
    </row>
    <row r="2">
      <c r="A2" s="1" t="s">
        <v>5</v>
      </c>
      <c r="B2" s="1" t="s">
        <v>8</v>
      </c>
    </row>
    <row r="3" ht="25.5" customHeight="1">
      <c r="A3" s="3" t="s">
        <v>11</v>
      </c>
      <c r="B3" s="4" t="s">
        <v>13</v>
      </c>
    </row>
    <row r="4" ht="25.5" customHeight="1">
      <c r="A4" s="3" t="s">
        <v>16</v>
      </c>
      <c r="B4" s="4" t="s">
        <v>17</v>
      </c>
    </row>
    <row r="5" ht="25.5" customHeight="1">
      <c r="A5" s="3" t="s">
        <v>18</v>
      </c>
      <c r="B5" s="4" t="s">
        <v>19</v>
      </c>
    </row>
    <row r="6" ht="25.5" customHeight="1">
      <c r="A6" s="3" t="s">
        <v>20</v>
      </c>
      <c r="B6" s="4" t="s">
        <v>21</v>
      </c>
    </row>
    <row r="7" ht="25.5" customHeight="1">
      <c r="A7" s="3" t="s">
        <v>22</v>
      </c>
      <c r="B7" s="4" t="s">
        <v>23</v>
      </c>
    </row>
    <row r="8" ht="25.5" customHeight="1">
      <c r="A8" s="3" t="s">
        <v>24</v>
      </c>
      <c r="B8" s="4" t="s">
        <v>25</v>
      </c>
    </row>
    <row r="9" ht="25.5" customHeight="1">
      <c r="A9" s="3" t="s">
        <v>26</v>
      </c>
      <c r="B9" s="4" t="s">
        <v>27</v>
      </c>
    </row>
    <row r="10">
      <c r="A10" s="5" t="s">
        <v>28</v>
      </c>
      <c r="B10" s="5" t="s">
        <v>29</v>
      </c>
    </row>
  </sheetData>
  <mergeCells count="1">
    <mergeCell ref="A1:B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2.63" defaultRowHeight="15.75"/>
  <cols>
    <col customWidth="1" min="1" max="1" width="5.75"/>
    <col customWidth="1" min="2" max="2" width="15.13"/>
    <col customWidth="1" min="3" max="3" width="26.38"/>
    <col customWidth="1" min="4" max="4" width="32.63"/>
    <col customWidth="1" min="5" max="8" width="10.13"/>
    <col customWidth="1" min="9" max="9" width="16.38"/>
    <col customWidth="1" min="10" max="10" width="10.75"/>
    <col customWidth="1" min="11" max="11" width="20.13"/>
    <col customWidth="1" min="12" max="197" width="23.88"/>
  </cols>
  <sheetData>
    <row r="1" ht="33.0" customHeight="1">
      <c r="A1" s="1" t="s">
        <v>0</v>
      </c>
      <c r="B1" s="1" t="s">
        <v>2</v>
      </c>
      <c r="C1" s="1" t="s">
        <v>3</v>
      </c>
      <c r="D1" s="1" t="s">
        <v>4</v>
      </c>
      <c r="E1" s="1" t="s">
        <v>6</v>
      </c>
      <c r="F1" s="1" t="s">
        <v>7</v>
      </c>
      <c r="G1" s="1" t="s">
        <v>9</v>
      </c>
      <c r="H1" s="1" t="s">
        <v>10</v>
      </c>
      <c r="I1" s="1" t="s">
        <v>12</v>
      </c>
      <c r="J1" s="1" t="s">
        <v>14</v>
      </c>
      <c r="K1" s="1" t="s">
        <v>15</v>
      </c>
      <c r="L1" s="1" t="str">
        <f t="array" ref="L1:GO1">TOROW({"Anchortext "&amp;TEXT(SEQUENCE(93,1),"00"),"URL "&amp;TEXT(SEQUENCE(93,1),"00")&amp;" (bài đặt link)"})</f>
        <v>Anchortext 01</v>
      </c>
      <c r="M1" s="1" t="s">
        <v>40</v>
      </c>
      <c r="N1" s="1" t="s">
        <v>41</v>
      </c>
      <c r="O1" s="1" t="s">
        <v>42</v>
      </c>
      <c r="P1" s="1" t="s">
        <v>43</v>
      </c>
      <c r="Q1" s="1" t="s">
        <v>44</v>
      </c>
      <c r="R1" s="1" t="s">
        <v>45</v>
      </c>
      <c r="S1" s="1" t="s">
        <v>46</v>
      </c>
      <c r="T1" s="1" t="s">
        <v>47</v>
      </c>
      <c r="U1" s="1" t="s">
        <v>48</v>
      </c>
      <c r="V1" s="1" t="s">
        <v>50</v>
      </c>
      <c r="W1" s="1" t="s">
        <v>51</v>
      </c>
      <c r="X1" s="1" t="s">
        <v>53</v>
      </c>
      <c r="Y1" s="1" t="s">
        <v>54</v>
      </c>
      <c r="Z1" s="1" t="s">
        <v>55</v>
      </c>
      <c r="AA1" s="1" t="s">
        <v>57</v>
      </c>
      <c r="AB1" s="1" t="s">
        <v>58</v>
      </c>
      <c r="AC1" s="1" t="s">
        <v>59</v>
      </c>
      <c r="AD1" s="1" t="s">
        <v>60</v>
      </c>
      <c r="AE1" s="1" t="s">
        <v>62</v>
      </c>
      <c r="AF1" s="1" t="s">
        <v>63</v>
      </c>
      <c r="AG1" s="1" t="s">
        <v>66</v>
      </c>
      <c r="AH1" s="1" t="s">
        <v>67</v>
      </c>
      <c r="AI1" s="1" t="s">
        <v>70</v>
      </c>
      <c r="AJ1" s="1" t="s">
        <v>72</v>
      </c>
      <c r="AK1" s="1" t="s">
        <v>74</v>
      </c>
      <c r="AL1" s="1" t="s">
        <v>76</v>
      </c>
      <c r="AM1" s="1" t="s">
        <v>78</v>
      </c>
      <c r="AN1" s="1" t="s">
        <v>79</v>
      </c>
      <c r="AO1" s="1" t="s">
        <v>80</v>
      </c>
      <c r="AP1" s="1" t="s">
        <v>81</v>
      </c>
      <c r="AQ1" s="1" t="s">
        <v>82</v>
      </c>
      <c r="AR1" s="1" t="s">
        <v>83</v>
      </c>
      <c r="AS1" s="1" t="s">
        <v>85</v>
      </c>
      <c r="AT1" s="1" t="s">
        <v>86</v>
      </c>
      <c r="AU1" s="1" t="s">
        <v>87</v>
      </c>
      <c r="AV1" s="1" t="s">
        <v>88</v>
      </c>
      <c r="AW1" s="1" t="s">
        <v>90</v>
      </c>
      <c r="AX1" s="1" t="s">
        <v>91</v>
      </c>
      <c r="AY1" s="1" t="s">
        <v>92</v>
      </c>
      <c r="AZ1" s="1" t="s">
        <v>93</v>
      </c>
      <c r="BA1" s="1" t="s">
        <v>94</v>
      </c>
      <c r="BB1" s="1" t="s">
        <v>95</v>
      </c>
      <c r="BC1" s="1" t="s">
        <v>96</v>
      </c>
      <c r="BD1" s="1" t="s">
        <v>98</v>
      </c>
      <c r="BE1" s="1" t="s">
        <v>99</v>
      </c>
      <c r="BF1" s="1" t="s">
        <v>100</v>
      </c>
      <c r="BG1" s="1" t="s">
        <v>101</v>
      </c>
      <c r="BH1" s="1" t="s">
        <v>102</v>
      </c>
      <c r="BI1" s="1" t="s">
        <v>103</v>
      </c>
      <c r="BJ1" s="1" t="s">
        <v>104</v>
      </c>
      <c r="BK1" s="1" t="s">
        <v>105</v>
      </c>
      <c r="BL1" s="1" t="s">
        <v>106</v>
      </c>
      <c r="BM1" s="1" t="s">
        <v>107</v>
      </c>
      <c r="BN1" s="1" t="s">
        <v>108</v>
      </c>
      <c r="BO1" s="1" t="s">
        <v>109</v>
      </c>
      <c r="BP1" s="1" t="s">
        <v>111</v>
      </c>
      <c r="BQ1" s="1" t="s">
        <v>112</v>
      </c>
      <c r="BR1" s="1" t="s">
        <v>113</v>
      </c>
      <c r="BS1" s="1" t="s">
        <v>114</v>
      </c>
      <c r="BT1" s="1" t="s">
        <v>115</v>
      </c>
      <c r="BU1" s="1" t="s">
        <v>116</v>
      </c>
      <c r="BV1" s="1" t="s">
        <v>117</v>
      </c>
      <c r="BW1" s="1" t="s">
        <v>118</v>
      </c>
      <c r="BX1" s="1" t="s">
        <v>119</v>
      </c>
      <c r="BY1" s="1" t="s">
        <v>120</v>
      </c>
      <c r="BZ1" s="1" t="s">
        <v>121</v>
      </c>
      <c r="CA1" s="1" t="s">
        <v>122</v>
      </c>
      <c r="CB1" s="1" t="s">
        <v>123</v>
      </c>
      <c r="CC1" s="1" t="s">
        <v>124</v>
      </c>
      <c r="CD1" s="1" t="s">
        <v>125</v>
      </c>
      <c r="CE1" s="1" t="s">
        <v>127</v>
      </c>
      <c r="CF1" s="1" t="s">
        <v>128</v>
      </c>
      <c r="CG1" s="1" t="s">
        <v>129</v>
      </c>
      <c r="CH1" s="1" t="s">
        <v>130</v>
      </c>
      <c r="CI1" s="1" t="s">
        <v>131</v>
      </c>
      <c r="CJ1" s="1" t="s">
        <v>132</v>
      </c>
      <c r="CK1" s="1" t="s">
        <v>133</v>
      </c>
      <c r="CL1" s="1" t="s">
        <v>134</v>
      </c>
      <c r="CM1" s="1" t="s">
        <v>135</v>
      </c>
      <c r="CN1" s="1" t="s">
        <v>136</v>
      </c>
      <c r="CO1" s="1" t="s">
        <v>137</v>
      </c>
      <c r="CP1" s="1" t="s">
        <v>138</v>
      </c>
      <c r="CQ1" s="1" t="s">
        <v>139</v>
      </c>
      <c r="CR1" s="1" t="s">
        <v>140</v>
      </c>
      <c r="CS1" s="1" t="s">
        <v>142</v>
      </c>
      <c r="CT1" s="1" t="s">
        <v>143</v>
      </c>
      <c r="CU1" s="1" t="s">
        <v>144</v>
      </c>
      <c r="CV1" s="1" t="s">
        <v>145</v>
      </c>
      <c r="CW1" s="1" t="s">
        <v>146</v>
      </c>
      <c r="CX1" s="1" t="s">
        <v>147</v>
      </c>
      <c r="CY1" s="1" t="s">
        <v>148</v>
      </c>
      <c r="CZ1" s="1" t="s">
        <v>149</v>
      </c>
      <c r="DA1" s="1" t="s">
        <v>150</v>
      </c>
      <c r="DB1" s="1" t="s">
        <v>151</v>
      </c>
      <c r="DC1" s="1" t="s">
        <v>152</v>
      </c>
      <c r="DD1" s="1" t="s">
        <v>153</v>
      </c>
      <c r="DE1" s="1" t="s">
        <v>154</v>
      </c>
      <c r="DF1" s="1" t="s">
        <v>155</v>
      </c>
      <c r="DG1" s="1" t="s">
        <v>156</v>
      </c>
      <c r="DH1" s="1" t="s">
        <v>157</v>
      </c>
      <c r="DI1" s="1" t="s">
        <v>158</v>
      </c>
      <c r="DJ1" s="1" t="s">
        <v>159</v>
      </c>
      <c r="DK1" s="1" t="s">
        <v>160</v>
      </c>
      <c r="DL1" s="1" t="s">
        <v>161</v>
      </c>
      <c r="DM1" s="1" t="s">
        <v>162</v>
      </c>
      <c r="DN1" s="1" t="s">
        <v>163</v>
      </c>
      <c r="DO1" s="1" t="s">
        <v>164</v>
      </c>
      <c r="DP1" s="1" t="s">
        <v>165</v>
      </c>
      <c r="DQ1" s="1" t="s">
        <v>166</v>
      </c>
      <c r="DR1" s="1" t="s">
        <v>167</v>
      </c>
      <c r="DS1" s="1" t="s">
        <v>168</v>
      </c>
      <c r="DT1" s="1" t="s">
        <v>170</v>
      </c>
      <c r="DU1" s="1" t="s">
        <v>171</v>
      </c>
      <c r="DV1" s="1" t="s">
        <v>172</v>
      </c>
      <c r="DW1" s="1" t="s">
        <v>173</v>
      </c>
      <c r="DX1" s="1" t="s">
        <v>174</v>
      </c>
      <c r="DY1" s="1" t="s">
        <v>175</v>
      </c>
      <c r="DZ1" s="1" t="s">
        <v>176</v>
      </c>
      <c r="EA1" s="1" t="s">
        <v>177</v>
      </c>
      <c r="EB1" s="1" t="s">
        <v>178</v>
      </c>
      <c r="EC1" s="1" t="s">
        <v>179</v>
      </c>
      <c r="ED1" s="1" t="s">
        <v>180</v>
      </c>
      <c r="EE1" s="1" t="s">
        <v>181</v>
      </c>
      <c r="EF1" s="1" t="s">
        <v>182</v>
      </c>
      <c r="EG1" s="1" t="s">
        <v>183</v>
      </c>
      <c r="EH1" s="1" t="s">
        <v>184</v>
      </c>
      <c r="EI1" s="1" t="s">
        <v>185</v>
      </c>
      <c r="EJ1" s="1" t="s">
        <v>186</v>
      </c>
      <c r="EK1" s="1" t="s">
        <v>187</v>
      </c>
      <c r="EL1" s="1" t="s">
        <v>188</v>
      </c>
      <c r="EM1" s="1" t="s">
        <v>189</v>
      </c>
      <c r="EN1" s="1" t="s">
        <v>190</v>
      </c>
      <c r="EO1" s="1" t="s">
        <v>191</v>
      </c>
      <c r="EP1" s="1" t="s">
        <v>192</v>
      </c>
      <c r="EQ1" s="1" t="s">
        <v>194</v>
      </c>
      <c r="ER1" s="1" t="s">
        <v>195</v>
      </c>
      <c r="ES1" s="1" t="s">
        <v>196</v>
      </c>
      <c r="ET1" s="1" t="s">
        <v>197</v>
      </c>
      <c r="EU1" s="1" t="s">
        <v>198</v>
      </c>
      <c r="EV1" s="1" t="s">
        <v>199</v>
      </c>
      <c r="EW1" s="1" t="s">
        <v>200</v>
      </c>
      <c r="EX1" s="1" t="s">
        <v>201</v>
      </c>
      <c r="EY1" s="1" t="s">
        <v>202</v>
      </c>
      <c r="EZ1" s="1" t="s">
        <v>203</v>
      </c>
      <c r="FA1" s="1" t="s">
        <v>204</v>
      </c>
      <c r="FB1" s="1" t="s">
        <v>205</v>
      </c>
      <c r="FC1" s="1" t="s">
        <v>206</v>
      </c>
      <c r="FD1" s="1" t="s">
        <v>207</v>
      </c>
      <c r="FE1" s="1" t="s">
        <v>208</v>
      </c>
      <c r="FF1" s="1" t="s">
        <v>209</v>
      </c>
      <c r="FG1" s="1" t="s">
        <v>210</v>
      </c>
      <c r="FH1" s="1" t="s">
        <v>211</v>
      </c>
      <c r="FI1" s="1" t="s">
        <v>212</v>
      </c>
      <c r="FJ1" s="1" t="s">
        <v>213</v>
      </c>
      <c r="FK1" s="1" t="s">
        <v>214</v>
      </c>
      <c r="FL1" s="1" t="s">
        <v>215</v>
      </c>
      <c r="FM1" s="1" t="s">
        <v>216</v>
      </c>
      <c r="FN1" s="1" t="s">
        <v>217</v>
      </c>
      <c r="FO1" s="1" t="s">
        <v>219</v>
      </c>
      <c r="FP1" s="1" t="s">
        <v>220</v>
      </c>
      <c r="FQ1" s="1" t="s">
        <v>221</v>
      </c>
      <c r="FR1" s="1" t="s">
        <v>222</v>
      </c>
      <c r="FS1" s="1" t="s">
        <v>223</v>
      </c>
      <c r="FT1" s="1" t="s">
        <v>224</v>
      </c>
      <c r="FU1" s="1" t="s">
        <v>225</v>
      </c>
      <c r="FV1" s="1" t="s">
        <v>226</v>
      </c>
      <c r="FW1" s="1" t="s">
        <v>227</v>
      </c>
      <c r="FX1" s="1" t="s">
        <v>228</v>
      </c>
      <c r="FY1" s="1" t="s">
        <v>229</v>
      </c>
      <c r="FZ1" s="1" t="s">
        <v>230</v>
      </c>
      <c r="GA1" s="1" t="s">
        <v>231</v>
      </c>
      <c r="GB1" s="1" t="s">
        <v>232</v>
      </c>
      <c r="GC1" s="1" t="s">
        <v>233</v>
      </c>
      <c r="GD1" s="1" t="s">
        <v>234</v>
      </c>
      <c r="GE1" s="1" t="s">
        <v>235</v>
      </c>
      <c r="GF1" s="1" t="s">
        <v>236</v>
      </c>
      <c r="GG1" s="1" t="s">
        <v>237</v>
      </c>
      <c r="GH1" s="1" t="s">
        <v>238</v>
      </c>
      <c r="GI1" s="1" t="s">
        <v>239</v>
      </c>
      <c r="GJ1" s="1" t="s">
        <v>240</v>
      </c>
      <c r="GK1" s="1" t="s">
        <v>241</v>
      </c>
      <c r="GL1" s="1" t="s">
        <v>242</v>
      </c>
      <c r="GM1" s="1" t="s">
        <v>243</v>
      </c>
      <c r="GN1" s="1" t="s">
        <v>244</v>
      </c>
      <c r="GO1" s="1" t="s">
        <v>245</v>
      </c>
    </row>
    <row r="2" ht="18.0" customHeight="1">
      <c r="A2" s="15">
        <v>1.0</v>
      </c>
      <c r="B2" s="16" t="s">
        <v>89</v>
      </c>
      <c r="C2" s="17" t="s">
        <v>247</v>
      </c>
      <c r="D2" s="16" t="s">
        <v>36</v>
      </c>
      <c r="E2" s="15">
        <f>COUNTIF('Tổng hợp 75 trang đích'!$B$2:$B$2505,$D2)</f>
        <v>7</v>
      </c>
      <c r="F2" s="15">
        <f>COUNTIFS('Tổng hợp 75 trang đích'!$B$2:$B$2505,$D2,'Tổng hợp 75 trang đích'!$K$2:$K$2505,"PHÙ HỢP CAO")</f>
        <v>4</v>
      </c>
      <c r="G2" s="15">
        <f>COUNTIFS('Tổng hợp 75 trang đích'!$B$2:$B$2505,$D2,'Tổng hợp 75 trang đích'!$K$2:$K$2505,"CÓ THỂ ĐI")</f>
        <v>1</v>
      </c>
      <c r="H2" s="15">
        <f>COUNTIFS('Tổng hợp 75 trang đích'!$B$2:$B$2505,$D2,'Tổng hợp 75 trang đích'!$K$2:$K$2505,"CẦN SOÁT")</f>
        <v>2</v>
      </c>
      <c r="I2" s="19" t="s">
        <v>256</v>
      </c>
      <c r="J2" s="19" t="b">
        <v>0</v>
      </c>
      <c r="K2" s="20" t="s">
        <v>258</v>
      </c>
      <c r="L2" s="16" t="str">
        <f>IFERROR(__xludf.DUMMYFUNCTION("IFERROR(TOROW(CHOOSECOLS(SORT(FILTER({'Tổng hợp 75 trang đích'!$J$2:$J$2505,'Tổng hợp 75 trang đích'!$I$2:$I$2505,MATCH('Tổng hợp 75 trang đích'!$K$2:$K$2505,{""PHÙ HỢP CAO"",""CÓ THỂ ĐI"",""CẦN SOÁT""},0)},'Tổng hợp 75 trang đích'!$B$2:$B$2505=$D2),3,TRU"&amp;"E),1,2)),"""")"),"lãi suất vay mua ô tô")</f>
        <v>lãi suất vay mua ô tô</v>
      </c>
      <c r="M2" s="21" t="str">
        <f>IFERROR(__xludf.DUMMYFUNCTION("""COMPUTED_VALUE"""),"https://techcombank.com/thong-tin/blog/vay-mua-xe-tra-gop-ngan-hang-nao-tot-nhat")</f>
        <v>https://techcombank.com/thong-tin/blog/vay-mua-xe-tra-gop-ngan-hang-nao-tot-nhat</v>
      </c>
      <c r="N2" s="16" t="str">
        <f>IFERROR(__xludf.DUMMYFUNCTION("""COMPUTED_VALUE"""),"lãi suất vay mua xe ô tô")</f>
        <v>lãi suất vay mua xe ô tô</v>
      </c>
      <c r="O2" s="21" t="str">
        <f>IFERROR(__xludf.DUMMYFUNCTION("""COMPUTED_VALUE"""),"https://techcombank.com/thong-tin/blog/co-nen-mua-o-to-tra-gop")</f>
        <v>https://techcombank.com/thong-tin/blog/co-nen-mua-o-to-tra-gop</v>
      </c>
      <c r="P2" s="16" t="str">
        <f>IFERROR(__xludf.DUMMYFUNCTION("""COMPUTED_VALUE"""),"lãi suất vay mua ô tô các ngân hàng")</f>
        <v>lãi suất vay mua ô tô các ngân hàng</v>
      </c>
      <c r="Q2" s="21" t="str">
        <f>IFERROR(__xludf.DUMMYFUNCTION("""COMPUTED_VALUE"""),"https://techcombank.com/thong-tin/blog/thu-tuc-mua-xe-tra-gop")</f>
        <v>https://techcombank.com/thong-tin/blog/thu-tuc-mua-xe-tra-gop</v>
      </c>
      <c r="R2" s="16" t="str">
        <f>IFERROR(__xludf.DUMMYFUNCTION("""COMPUTED_VALUE"""),"mua xe trả góp lãi suất bao nhiêu")</f>
        <v>mua xe trả góp lãi suất bao nhiêu</v>
      </c>
      <c r="S2" s="21" t="str">
        <f>IFERROR(__xludf.DUMMYFUNCTION("""COMPUTED_VALUE"""),"https://techcombank.com/thong-tin/blog/nen-mua-xe-tra-gop-hay-tra-thang")</f>
        <v>https://techcombank.com/thong-tin/blog/nen-mua-xe-tra-gop-hay-tra-thang</v>
      </c>
      <c r="T2" s="16" t="str">
        <f>IFERROR(__xludf.DUMMYFUNCTION("""COMPUTED_VALUE"""),"lãi suất vay mua ô tô")</f>
        <v>lãi suất vay mua ô tô</v>
      </c>
      <c r="U2" s="21" t="str">
        <f>IFERROR(__xludf.DUMMYFUNCTION("""COMPUTED_VALUE"""),"https://techcombank.com/thong-tin/blog/vay-the-chap-xe-o-to-cu")</f>
        <v>https://techcombank.com/thong-tin/blog/vay-the-chap-xe-o-to-cu</v>
      </c>
      <c r="V2" s="16" t="str">
        <f>IFERROR(__xludf.DUMMYFUNCTION("""COMPUTED_VALUE"""),"lãi suất vay mua xe ô tô")</f>
        <v>lãi suất vay mua xe ô tô</v>
      </c>
      <c r="W2" s="21" t="str">
        <f>IFERROR(__xludf.DUMMYFUNCTION("""COMPUTED_VALUE"""),"https://techcombank.com/thong-tin/blog/mua-bao-hiem-o-to-dien")</f>
        <v>https://techcombank.com/thong-tin/blog/mua-bao-hiem-o-to-dien</v>
      </c>
      <c r="X2" s="16" t="str">
        <f>IFERROR(__xludf.DUMMYFUNCTION("""COMPUTED_VALUE"""),"lãi suất vay mua ô tô các ngân hàng")</f>
        <v>lãi suất vay mua ô tô các ngân hàng</v>
      </c>
      <c r="Y2" s="21" t="str">
        <f>IFERROR(__xludf.DUMMYFUNCTION("""COMPUTED_VALUE"""),"https://techcombank.com/thong-tin/blog/mua-bao-hiem-o-to")</f>
        <v>https://techcombank.com/thong-tin/blog/mua-bao-hiem-o-to</v>
      </c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  <c r="BM2" s="16"/>
      <c r="BN2" s="16"/>
      <c r="BO2" s="16"/>
      <c r="BP2" s="16"/>
      <c r="BQ2" s="16"/>
      <c r="BR2" s="16"/>
      <c r="BS2" s="16"/>
      <c r="BT2" s="16"/>
      <c r="BU2" s="16"/>
      <c r="BV2" s="16"/>
      <c r="BW2" s="16"/>
      <c r="BX2" s="16"/>
      <c r="BY2" s="16"/>
      <c r="BZ2" s="16"/>
      <c r="CA2" s="16"/>
      <c r="CB2" s="16"/>
      <c r="CC2" s="16"/>
      <c r="CD2" s="16"/>
      <c r="CE2" s="16"/>
      <c r="CF2" s="16"/>
      <c r="CG2" s="16"/>
      <c r="CH2" s="16"/>
      <c r="CI2" s="16"/>
      <c r="CJ2" s="16"/>
      <c r="CK2" s="16"/>
      <c r="CL2" s="16"/>
      <c r="CM2" s="16"/>
      <c r="CN2" s="16"/>
      <c r="CO2" s="16"/>
      <c r="CP2" s="16"/>
      <c r="CQ2" s="16"/>
      <c r="CR2" s="16"/>
      <c r="CS2" s="16"/>
      <c r="CT2" s="16"/>
      <c r="CU2" s="16"/>
      <c r="CV2" s="16"/>
      <c r="CW2" s="16"/>
      <c r="CX2" s="16"/>
      <c r="CY2" s="16"/>
      <c r="CZ2" s="16"/>
      <c r="DA2" s="16"/>
      <c r="DB2" s="16"/>
      <c r="DC2" s="16"/>
      <c r="DD2" s="16"/>
      <c r="DE2" s="16"/>
      <c r="DF2" s="16"/>
      <c r="DG2" s="16"/>
      <c r="DH2" s="16"/>
      <c r="DI2" s="16"/>
      <c r="DJ2" s="16"/>
      <c r="DK2" s="16"/>
      <c r="DL2" s="16"/>
      <c r="DM2" s="16"/>
      <c r="DN2" s="16"/>
      <c r="DO2" s="16"/>
      <c r="DP2" s="16"/>
      <c r="DQ2" s="16"/>
      <c r="DR2" s="16"/>
      <c r="DS2" s="16"/>
      <c r="DT2" s="16"/>
      <c r="DU2" s="16"/>
      <c r="DV2" s="16"/>
      <c r="DW2" s="16"/>
      <c r="DX2" s="16"/>
      <c r="DY2" s="16"/>
      <c r="DZ2" s="16"/>
      <c r="EA2" s="16"/>
      <c r="EB2" s="16"/>
      <c r="EC2" s="16"/>
      <c r="ED2" s="16"/>
      <c r="EE2" s="16"/>
      <c r="EF2" s="16"/>
      <c r="EG2" s="16"/>
      <c r="EH2" s="16"/>
      <c r="EI2" s="16"/>
      <c r="EJ2" s="16"/>
      <c r="EK2" s="16"/>
      <c r="EL2" s="16"/>
      <c r="EM2" s="16"/>
      <c r="EN2" s="16"/>
      <c r="EO2" s="16"/>
      <c r="EP2" s="16"/>
      <c r="EQ2" s="16"/>
      <c r="ER2" s="16"/>
      <c r="ES2" s="16"/>
      <c r="ET2" s="16"/>
      <c r="EU2" s="16"/>
      <c r="EV2" s="16"/>
      <c r="EW2" s="16"/>
      <c r="EX2" s="16"/>
      <c r="EY2" s="16"/>
      <c r="EZ2" s="16"/>
      <c r="FA2" s="16"/>
      <c r="FB2" s="16"/>
      <c r="FC2" s="16"/>
      <c r="FD2" s="16"/>
      <c r="FE2" s="16"/>
      <c r="FF2" s="16"/>
      <c r="FG2" s="16"/>
      <c r="FH2" s="16"/>
      <c r="FI2" s="16"/>
      <c r="FJ2" s="16"/>
      <c r="FK2" s="16"/>
      <c r="FL2" s="16"/>
      <c r="FM2" s="16"/>
      <c r="FN2" s="16"/>
      <c r="FO2" s="16"/>
      <c r="FP2" s="16"/>
      <c r="FQ2" s="16"/>
      <c r="FR2" s="16"/>
      <c r="FS2" s="16"/>
      <c r="FT2" s="16"/>
      <c r="FU2" s="16"/>
      <c r="FV2" s="16"/>
      <c r="FW2" s="16"/>
      <c r="FX2" s="16"/>
      <c r="FY2" s="16"/>
      <c r="FZ2" s="16"/>
      <c r="GA2" s="16"/>
      <c r="GB2" s="16"/>
      <c r="GC2" s="16"/>
      <c r="GD2" s="16"/>
      <c r="GE2" s="16"/>
      <c r="GF2" s="16"/>
      <c r="GG2" s="16"/>
      <c r="GH2" s="16"/>
      <c r="GI2" s="16"/>
      <c r="GJ2" s="16"/>
      <c r="GK2" s="16"/>
      <c r="GL2" s="16"/>
      <c r="GM2" s="16"/>
      <c r="GN2" s="16"/>
      <c r="GO2" s="16"/>
    </row>
    <row r="3" ht="18.0" customHeight="1">
      <c r="A3" s="15">
        <v>2.0</v>
      </c>
      <c r="B3" s="16" t="s">
        <v>280</v>
      </c>
      <c r="C3" s="17" t="s">
        <v>290</v>
      </c>
      <c r="D3" s="16" t="s">
        <v>39</v>
      </c>
      <c r="E3" s="15">
        <f>COUNTIF('Tổng hợp 75 trang đích'!$B$2:$B$2505,$D3)</f>
        <v>21</v>
      </c>
      <c r="F3" s="15">
        <f>COUNTIFS('Tổng hợp 75 trang đích'!$B$2:$B$2505,$D3,'Tổng hợp 75 trang đích'!$K$2:$K$2505,"PHÙ HỢP CAO")</f>
        <v>1</v>
      </c>
      <c r="G3" s="15">
        <f>COUNTIFS('Tổng hợp 75 trang đích'!$B$2:$B$2505,$D3,'Tổng hợp 75 trang đích'!$K$2:$K$2505,"CÓ THỂ ĐI")</f>
        <v>2</v>
      </c>
      <c r="H3" s="15">
        <f>COUNTIFS('Tổng hợp 75 trang đích'!$B$2:$B$2505,$D3,'Tổng hợp 75 trang đích'!$K$2:$K$2505,"CẦN SOÁT")</f>
        <v>18</v>
      </c>
      <c r="I3" s="19" t="s">
        <v>256</v>
      </c>
      <c r="J3" s="19" t="b">
        <v>0</v>
      </c>
      <c r="K3" s="20" t="s">
        <v>258</v>
      </c>
      <c r="L3" s="16" t="str">
        <f>IFERROR(__xludf.DUMMYFUNCTION("IFERROR(TOROW(CHOOSECOLS(SORT(FILTER({'Tổng hợp 75 trang đích'!$J$2:$J$2505,'Tổng hợp 75 trang đích'!$I$2:$I$2505,MATCH('Tổng hợp 75 trang đích'!$K$2:$K$2505,{""PHÙ HỢP CAO"",""CÓ THỂ ĐI"",""CẦN SOÁT""},0)},'Tổng hợp 75 trang đích'!$B$2:$B$2505=$D3),3,TRU"&amp;"E),1,2)),"""")"),"đóng thuế đất online")</f>
        <v>đóng thuế đất online</v>
      </c>
      <c r="M3" s="21" t="str">
        <f>IFERROR(__xludf.DUMMYFUNCTION("""COMPUTED_VALUE"""),"https://techcombank.com/thong-tin/blog/lien-ket-tai-khoan-ngan-hang-voi-etax-mobile")</f>
        <v>https://techcombank.com/thong-tin/blog/lien-ket-tai-khoan-ngan-hang-voi-etax-mobile</v>
      </c>
      <c r="N3" s="16" t="str">
        <f>IFERROR(__xludf.DUMMYFUNCTION("""COMPUTED_VALUE"""),"nộp thuế đất online")</f>
        <v>nộp thuế đất online</v>
      </c>
      <c r="O3" s="21" t="str">
        <f>IFERROR(__xludf.DUMMYFUNCTION("""COMPUTED_VALUE"""),"https://techcombank.com/thong-tin/blog/cach-nop-thue-dien-tu")</f>
        <v>https://techcombank.com/thong-tin/blog/cach-nop-thue-dien-tu</v>
      </c>
      <c r="P3" s="16" t="str">
        <f>IFERROR(__xludf.DUMMYFUNCTION("""COMPUTED_VALUE"""),"cách nộp thuế đất online")</f>
        <v>cách nộp thuế đất online</v>
      </c>
      <c r="Q3" s="21" t="str">
        <f>IFERROR(__xludf.DUMMYFUNCTION("""COMPUTED_VALUE"""),"https://techcombank.com/thong-tin/blog/ho-so-thu-tuc-xoa-the-chap")</f>
        <v>https://techcombank.com/thong-tin/blog/ho-so-thu-tuc-xoa-the-chap</v>
      </c>
      <c r="R3" s="16" t="str">
        <f>IFERROR(__xludf.DUMMYFUNCTION("""COMPUTED_VALUE"""),"đóng thuế đất online")</f>
        <v>đóng thuế đất online</v>
      </c>
      <c r="S3" s="21" t="str">
        <f>IFERROR(__xludf.DUMMYFUNCTION("""COMPUTED_VALUE"""),"https://techcombank.com/thong-tin/blog/quyet-toan-thue-thu-nhap-ca-nhan")</f>
        <v>https://techcombank.com/thong-tin/blog/quyet-toan-thue-thu-nhap-ca-nhan</v>
      </c>
      <c r="T3" s="16" t="str">
        <f>IFERROR(__xludf.DUMMYFUNCTION("""COMPUTED_VALUE"""),"nộp thuế đất online")</f>
        <v>nộp thuế đất online</v>
      </c>
      <c r="U3" s="21" t="str">
        <f>IFERROR(__xludf.DUMMYFUNCTION("""COMPUTED_VALUE"""),"https://techcombank.com/thong-tin/blog/tra-cuu-no-thue-hai-quan")</f>
        <v>https://techcombank.com/thong-tin/blog/tra-cuu-no-thue-hai-quan</v>
      </c>
      <c r="V3" s="16" t="str">
        <f>IFERROR(__xludf.DUMMYFUNCTION("""COMPUTED_VALUE"""),"cách nộp thuế đất online")</f>
        <v>cách nộp thuế đất online</v>
      </c>
      <c r="W3" s="21" t="str">
        <f>IFERROR(__xludf.DUMMYFUNCTION("""COMPUTED_VALUE"""),"https://techcombank.com/thong-tin/blog/tra-cuu-no-thue-ho-kinh-doanh")</f>
        <v>https://techcombank.com/thong-tin/blog/tra-cuu-no-thue-ho-kinh-doanh</v>
      </c>
      <c r="X3" s="16" t="str">
        <f>IFERROR(__xludf.DUMMYFUNCTION("""COMPUTED_VALUE"""),"đóng thuế đất online")</f>
        <v>đóng thuế đất online</v>
      </c>
      <c r="Y3" s="21" t="str">
        <f>IFERROR(__xludf.DUMMYFUNCTION("""COMPUTED_VALUE"""),"https://techcombank.com/thong-tin/blog/truy-thu-thue-ho-kinh-doanh")</f>
        <v>https://techcombank.com/thong-tin/blog/truy-thu-thue-ho-kinh-doanh</v>
      </c>
      <c r="Z3" s="16" t="str">
        <f>IFERROR(__xludf.DUMMYFUNCTION("""COMPUTED_VALUE"""),"nộp thuế đất online")</f>
        <v>nộp thuế đất online</v>
      </c>
      <c r="AA3" s="21" t="str">
        <f>IFERROR(__xludf.DUMMYFUNCTION("""COMPUTED_VALUE"""),"https://techcombank.com/thong-tin/blog/kiem-tra-thue-ho-kinh-doanh")</f>
        <v>https://techcombank.com/thong-tin/blog/kiem-tra-thue-ho-kinh-doanh</v>
      </c>
      <c r="AB3" s="16" t="str">
        <f>IFERROR(__xludf.DUMMYFUNCTION("""COMPUTED_VALUE"""),"cách nộp thuế đất online")</f>
        <v>cách nộp thuế đất online</v>
      </c>
      <c r="AC3" s="21" t="str">
        <f>IFERROR(__xludf.DUMMYFUNCTION("""COMPUTED_VALUE"""),"https://techcombank.com/thong-tin/blog/tra-cuu-no-thue-ca-nhan")</f>
        <v>https://techcombank.com/thong-tin/blog/tra-cuu-no-thue-ca-nhan</v>
      </c>
      <c r="AD3" s="16" t="str">
        <f>IFERROR(__xludf.DUMMYFUNCTION("""COMPUTED_VALUE"""),"đóng thuế đất online")</f>
        <v>đóng thuế đất online</v>
      </c>
      <c r="AE3" s="21" t="str">
        <f>IFERROR(__xludf.DUMMYFUNCTION("""COMPUTED_VALUE"""),"https://techcombank.com/thong-tin/blog/hoan-thue-thu-nhap-ca-nhan")</f>
        <v>https://techcombank.com/thong-tin/blog/hoan-thue-thu-nhap-ca-nhan</v>
      </c>
      <c r="AF3" s="16" t="str">
        <f>IFERROR(__xludf.DUMMYFUNCTION("""COMPUTED_VALUE"""),"nộp thuế đất online")</f>
        <v>nộp thuế đất online</v>
      </c>
      <c r="AG3" s="21" t="str">
        <f>IFERROR(__xludf.DUMMYFUNCTION("""COMPUTED_VALUE"""),"https://techcombank.com/thong-tin/blog/ke-khai-thue-ho-kinh-doanh-ca-the-online")</f>
        <v>https://techcombank.com/thong-tin/blog/ke-khai-thue-ho-kinh-doanh-ca-the-online</v>
      </c>
      <c r="AH3" s="16" t="str">
        <f>IFERROR(__xludf.DUMMYFUNCTION("""COMPUTED_VALUE"""),"cách nộp thuế đất online")</f>
        <v>cách nộp thuế đất online</v>
      </c>
      <c r="AI3" s="21" t="str">
        <f>IFERROR(__xludf.DUMMYFUNCTION("""COMPUTED_VALUE"""),"https://techcombank.com/thong-tin/blog/thue-thuong-mai-dien-tu")</f>
        <v>https://techcombank.com/thong-tin/blog/thue-thuong-mai-dien-tu</v>
      </c>
      <c r="AJ3" s="16" t="str">
        <f>IFERROR(__xludf.DUMMYFUNCTION("""COMPUTED_VALUE"""),"đóng thuế đất online")</f>
        <v>đóng thuế đất online</v>
      </c>
      <c r="AK3" s="21" t="str">
        <f>IFERROR(__xludf.DUMMYFUNCTION("""COMPUTED_VALUE"""),"https://techcombank.com/thong-tin/blog/thue-thu-nhap-doanh-nghiep")</f>
        <v>https://techcombank.com/thong-tin/blog/thue-thu-nhap-doanh-nghiep</v>
      </c>
      <c r="AL3" s="16" t="str">
        <f>IFERROR(__xludf.DUMMYFUNCTION("""COMPUTED_VALUE"""),"nộp thuế đất online")</f>
        <v>nộp thuế đất online</v>
      </c>
      <c r="AM3" s="21" t="str">
        <f>IFERROR(__xludf.DUMMYFUNCTION("""COMPUTED_VALUE"""),"https://techcombank.com/thong-tin/blog/ke-khai-thue-doanh-nghiep")</f>
        <v>https://techcombank.com/thong-tin/blog/ke-khai-thue-doanh-nghiep</v>
      </c>
      <c r="AN3" s="16" t="str">
        <f>IFERROR(__xludf.DUMMYFUNCTION("""COMPUTED_VALUE"""),"cách nộp thuế đất online")</f>
        <v>cách nộp thuế đất online</v>
      </c>
      <c r="AO3" s="21" t="str">
        <f>IFERROR(__xludf.DUMMYFUNCTION("""COMPUTED_VALUE"""),"https://techcombank.com/thong-tin/blog/tra-cuu-no-thue-doanh-nghiep")</f>
        <v>https://techcombank.com/thong-tin/blog/tra-cuu-no-thue-doanh-nghiep</v>
      </c>
      <c r="AP3" s="16" t="str">
        <f>IFERROR(__xludf.DUMMYFUNCTION("""COMPUTED_VALUE"""),"đóng thuế đất online")</f>
        <v>đóng thuế đất online</v>
      </c>
      <c r="AQ3" s="21" t="str">
        <f>IFERROR(__xludf.DUMMYFUNCTION("""COMPUTED_VALUE"""),"https://techcombank.com/thong-tin/blog/nop-thue-hai-quan")</f>
        <v>https://techcombank.com/thong-tin/blog/nop-thue-hai-quan</v>
      </c>
      <c r="AR3" s="16" t="str">
        <f>IFERROR(__xludf.DUMMYFUNCTION("""COMPUTED_VALUE"""),"nộp thuế đất online")</f>
        <v>nộp thuế đất online</v>
      </c>
      <c r="AS3" s="21" t="str">
        <f>IFERROR(__xludf.DUMMYFUNCTION("""COMPUTED_VALUE"""),"https://techcombank.com/thong-tin/blog/tien-chuyen-vao-tai-khoan-co-bi-tinh-thue-khong")</f>
        <v>https://techcombank.com/thong-tin/blog/tien-chuyen-vao-tai-khoan-co-bi-tinh-thue-khong</v>
      </c>
      <c r="AT3" s="16" t="str">
        <f>IFERROR(__xludf.DUMMYFUNCTION("""COMPUTED_VALUE"""),"cách nộp thuế đất online")</f>
        <v>cách nộp thuế đất online</v>
      </c>
      <c r="AU3" s="21" t="str">
        <f>IFERROR(__xludf.DUMMYFUNCTION("""COMPUTED_VALUE"""),"https://techcombank.com/thong-tin/blog/cach-tinh-thue-thu-nhap-ca-nhan-2025")</f>
        <v>https://techcombank.com/thong-tin/blog/cach-tinh-thue-thu-nhap-ca-nhan-2025</v>
      </c>
      <c r="AV3" s="16" t="str">
        <f>IFERROR(__xludf.DUMMYFUNCTION("""COMPUTED_VALUE"""),"đóng thuế đất online")</f>
        <v>đóng thuế đất online</v>
      </c>
      <c r="AW3" s="21" t="str">
        <f>IFERROR(__xludf.DUMMYFUNCTION("""COMPUTED_VALUE"""),"https://techcombank.com/thong-tin/blog/kiem-tra-thue-thu-nhap-ca-nhan")</f>
        <v>https://techcombank.com/thong-tin/blog/kiem-tra-thue-thu-nhap-ca-nhan</v>
      </c>
      <c r="AX3" s="16" t="str">
        <f>IFERROR(__xludf.DUMMYFUNCTION("""COMPUTED_VALUE"""),"nộp thuế đất online")</f>
        <v>nộp thuế đất online</v>
      </c>
      <c r="AY3" s="21" t="str">
        <f>IFERROR(__xludf.DUMMYFUNCTION("""COMPUTED_VALUE"""),"https://techcombank.com/thong-tin/blog/lai-suat-vay-the-chap-so-do")</f>
        <v>https://techcombank.com/thong-tin/blog/lai-suat-vay-the-chap-so-do</v>
      </c>
      <c r="AZ3" s="16" t="str">
        <f>IFERROR(__xludf.DUMMYFUNCTION("""COMPUTED_VALUE"""),"cách nộp thuế đất online")</f>
        <v>cách nộp thuế đất online</v>
      </c>
      <c r="BA3" s="21" t="str">
        <f>IFERROR(__xludf.DUMMYFUNCTION("""COMPUTED_VALUE"""),"https://techcombank.com/thong-tin/blog/han-muc-vay-the-chap-so-do")</f>
        <v>https://techcombank.com/thong-tin/blog/han-muc-vay-the-chap-so-do</v>
      </c>
      <c r="BB3" s="16"/>
      <c r="BC3" s="16"/>
      <c r="BD3" s="16"/>
      <c r="BE3" s="16"/>
      <c r="BF3" s="16"/>
      <c r="BG3" s="16"/>
      <c r="BH3" s="16"/>
      <c r="BI3" s="16"/>
      <c r="BJ3" s="16"/>
      <c r="BK3" s="16"/>
      <c r="BL3" s="16"/>
      <c r="BM3" s="16"/>
      <c r="BN3" s="16"/>
      <c r="BO3" s="16"/>
      <c r="BP3" s="16"/>
      <c r="BQ3" s="16"/>
      <c r="BR3" s="16"/>
      <c r="BS3" s="16"/>
      <c r="BT3" s="16"/>
      <c r="BU3" s="16"/>
      <c r="BV3" s="16"/>
      <c r="BW3" s="16"/>
      <c r="BX3" s="16"/>
      <c r="BY3" s="16"/>
      <c r="BZ3" s="16"/>
      <c r="CA3" s="16"/>
      <c r="CB3" s="16"/>
      <c r="CC3" s="16"/>
      <c r="CD3" s="16"/>
      <c r="CE3" s="16"/>
      <c r="CF3" s="16"/>
      <c r="CG3" s="16"/>
      <c r="CH3" s="16"/>
      <c r="CI3" s="16"/>
      <c r="CJ3" s="16"/>
      <c r="CK3" s="16"/>
      <c r="CL3" s="16"/>
      <c r="CM3" s="16"/>
      <c r="CN3" s="16"/>
      <c r="CO3" s="16"/>
      <c r="CP3" s="16"/>
      <c r="CQ3" s="16"/>
      <c r="CR3" s="16"/>
      <c r="CS3" s="16"/>
      <c r="CT3" s="16"/>
      <c r="CU3" s="16"/>
      <c r="CV3" s="16"/>
      <c r="CW3" s="16"/>
      <c r="CX3" s="16"/>
      <c r="CY3" s="16"/>
      <c r="CZ3" s="16"/>
      <c r="DA3" s="16"/>
      <c r="DB3" s="16"/>
      <c r="DC3" s="16"/>
      <c r="DD3" s="16"/>
      <c r="DE3" s="16"/>
      <c r="DF3" s="16"/>
      <c r="DG3" s="16"/>
      <c r="DH3" s="16"/>
      <c r="DI3" s="16"/>
      <c r="DJ3" s="16"/>
      <c r="DK3" s="16"/>
      <c r="DL3" s="16"/>
      <c r="DM3" s="16"/>
      <c r="DN3" s="16"/>
      <c r="DO3" s="16"/>
      <c r="DP3" s="16"/>
      <c r="DQ3" s="16"/>
      <c r="DR3" s="16"/>
      <c r="DS3" s="16"/>
      <c r="DT3" s="16"/>
      <c r="DU3" s="16"/>
      <c r="DV3" s="16"/>
      <c r="DW3" s="16"/>
      <c r="DX3" s="16"/>
      <c r="DY3" s="16"/>
      <c r="DZ3" s="16"/>
      <c r="EA3" s="16"/>
      <c r="EB3" s="16"/>
      <c r="EC3" s="16"/>
      <c r="ED3" s="16"/>
      <c r="EE3" s="16"/>
      <c r="EF3" s="16"/>
      <c r="EG3" s="16"/>
      <c r="EH3" s="16"/>
      <c r="EI3" s="16"/>
      <c r="EJ3" s="16"/>
      <c r="EK3" s="16"/>
      <c r="EL3" s="16"/>
      <c r="EM3" s="16"/>
      <c r="EN3" s="16"/>
      <c r="EO3" s="16"/>
      <c r="EP3" s="16"/>
      <c r="EQ3" s="16"/>
      <c r="ER3" s="16"/>
      <c r="ES3" s="16"/>
      <c r="ET3" s="16"/>
      <c r="EU3" s="16"/>
      <c r="EV3" s="16"/>
      <c r="EW3" s="16"/>
      <c r="EX3" s="16"/>
      <c r="EY3" s="16"/>
      <c r="EZ3" s="16"/>
      <c r="FA3" s="16"/>
      <c r="FB3" s="16"/>
      <c r="FC3" s="16"/>
      <c r="FD3" s="16"/>
      <c r="FE3" s="16"/>
      <c r="FF3" s="16"/>
      <c r="FG3" s="16"/>
      <c r="FH3" s="16"/>
      <c r="FI3" s="16"/>
      <c r="FJ3" s="16"/>
      <c r="FK3" s="16"/>
      <c r="FL3" s="16"/>
      <c r="FM3" s="16"/>
      <c r="FN3" s="16"/>
      <c r="FO3" s="16"/>
      <c r="FP3" s="16"/>
      <c r="FQ3" s="16"/>
      <c r="FR3" s="16"/>
      <c r="FS3" s="16"/>
      <c r="FT3" s="16"/>
      <c r="FU3" s="16"/>
      <c r="FV3" s="16"/>
      <c r="FW3" s="16"/>
      <c r="FX3" s="16"/>
      <c r="FY3" s="16"/>
      <c r="FZ3" s="16"/>
      <c r="GA3" s="16"/>
      <c r="GB3" s="16"/>
      <c r="GC3" s="16"/>
      <c r="GD3" s="16"/>
      <c r="GE3" s="16"/>
      <c r="GF3" s="16"/>
      <c r="GG3" s="16"/>
      <c r="GH3" s="16"/>
      <c r="GI3" s="16"/>
      <c r="GJ3" s="16"/>
      <c r="GK3" s="16"/>
      <c r="GL3" s="16"/>
      <c r="GM3" s="16"/>
      <c r="GN3" s="16"/>
      <c r="GO3" s="16"/>
    </row>
    <row r="4" ht="18.0" customHeight="1">
      <c r="A4" s="15">
        <v>3.0</v>
      </c>
      <c r="B4" s="16" t="s">
        <v>280</v>
      </c>
      <c r="C4" s="17" t="s">
        <v>344</v>
      </c>
      <c r="D4" s="16" t="s">
        <v>49</v>
      </c>
      <c r="E4" s="15">
        <f>COUNTIF('Tổng hợp 75 trang đích'!$B$2:$B$2505,$D4)</f>
        <v>22</v>
      </c>
      <c r="F4" s="15">
        <f>COUNTIFS('Tổng hợp 75 trang đích'!$B$2:$B$2505,$D4,'Tổng hợp 75 trang đích'!$K$2:$K$2505,"PHÙ HỢP CAO")</f>
        <v>3</v>
      </c>
      <c r="G4" s="15">
        <f>COUNTIFS('Tổng hợp 75 trang đích'!$B$2:$B$2505,$D4,'Tổng hợp 75 trang đích'!$K$2:$K$2505,"CÓ THỂ ĐI")</f>
        <v>2</v>
      </c>
      <c r="H4" s="15">
        <f>COUNTIFS('Tổng hợp 75 trang đích'!$B$2:$B$2505,$D4,'Tổng hợp 75 trang đích'!$K$2:$K$2505,"CẦN SOÁT")</f>
        <v>17</v>
      </c>
      <c r="I4" s="19" t="s">
        <v>256</v>
      </c>
      <c r="J4" s="19" t="b">
        <v>0</v>
      </c>
      <c r="K4" s="20" t="s">
        <v>258</v>
      </c>
      <c r="L4" s="16" t="str">
        <f>IFERROR(__xludf.DUMMYFUNCTION("IFERROR(TOROW(CHOOSECOLS(SORT(FILTER({'Tổng hợp 75 trang đích'!$J$2:$J$2505,'Tổng hợp 75 trang đích'!$I$2:$I$2505,MATCH('Tổng hợp 75 trang đích'!$K$2:$K$2505,{""PHÙ HỢP CAO"",""CÓ THỂ ĐI"",""CẦN SOÁT""},0)},'Tổng hợp 75 trang đích'!$B$2:$B$2505=$D4),3,TRU"&amp;"E),1,2)),"""")"),"nộp thuế online")</f>
        <v>nộp thuế online</v>
      </c>
      <c r="M4" s="21" t="str">
        <f>IFERROR(__xludf.DUMMYFUNCTION("""COMPUTED_VALUE"""),"https://techcombank.com/thong-tin/blog/lien-ket-tai-khoan-ngan-hang-voi-etax-mobile")</f>
        <v>https://techcombank.com/thong-tin/blog/lien-ket-tai-khoan-ngan-hang-voi-etax-mobile</v>
      </c>
      <c r="N4" s="16" t="str">
        <f>IFERROR(__xludf.DUMMYFUNCTION("""COMPUTED_VALUE"""),"nộp thuế hộ trên etax")</f>
        <v>nộp thuế hộ trên etax</v>
      </c>
      <c r="O4" s="21" t="str">
        <f>IFERROR(__xludf.DUMMYFUNCTION("""COMPUTED_VALUE"""),"https://techcombank.com/thong-tin/blog/quyet-toan-thue-thu-nhap-ca-nhan")</f>
        <v>https://techcombank.com/thong-tin/blog/quyet-toan-thue-thu-nhap-ca-nhan</v>
      </c>
      <c r="P4" s="16" t="str">
        <f>IFERROR(__xludf.DUMMYFUNCTION("""COMPUTED_VALUE"""),"nộp thuế online")</f>
        <v>nộp thuế online</v>
      </c>
      <c r="Q4" s="21" t="str">
        <f>IFERROR(__xludf.DUMMYFUNCTION("""COMPUTED_VALUE"""),"https://techcombank.com/thong-tin/blog/ke-khai-thue-ho-kinh-doanh-ca-the-online")</f>
        <v>https://techcombank.com/thong-tin/blog/ke-khai-thue-ho-kinh-doanh-ca-the-online</v>
      </c>
      <c r="R4" s="16" t="str">
        <f>IFERROR(__xludf.DUMMYFUNCTION("""COMPUTED_VALUE"""),"nộp thuế hộ trên etax")</f>
        <v>nộp thuế hộ trên etax</v>
      </c>
      <c r="S4" s="21" t="str">
        <f>IFERROR(__xludf.DUMMYFUNCTION("""COMPUTED_VALUE"""),"https://techcombank.com/thong-tin/blog/hoan-thue-thu-nhap-ca-nhan")</f>
        <v>https://techcombank.com/thong-tin/blog/hoan-thue-thu-nhap-ca-nhan</v>
      </c>
      <c r="T4" s="16" t="str">
        <f>IFERROR(__xludf.DUMMYFUNCTION("""COMPUTED_VALUE"""),"nộp thuế online")</f>
        <v>nộp thuế online</v>
      </c>
      <c r="U4" s="21" t="str">
        <f>IFERROR(__xludf.DUMMYFUNCTION("""COMPUTED_VALUE"""),"https://techcombank.com/thong-tin/blog/nop-thue-hai-quan")</f>
        <v>https://techcombank.com/thong-tin/blog/nop-thue-hai-quan</v>
      </c>
      <c r="V4" s="16" t="str">
        <f>IFERROR(__xludf.DUMMYFUNCTION("""COMPUTED_VALUE"""),"nộp thuế hộ trên etax")</f>
        <v>nộp thuế hộ trên etax</v>
      </c>
      <c r="W4" s="21" t="str">
        <f>IFERROR(__xludf.DUMMYFUNCTION("""COMPUTED_VALUE"""),"https://techcombank.com/thong-tin/blog/hoan-thue-doanh-nghiep")</f>
        <v>https://techcombank.com/thong-tin/blog/hoan-thue-doanh-nghiep</v>
      </c>
      <c r="X4" s="16" t="str">
        <f>IFERROR(__xludf.DUMMYFUNCTION("""COMPUTED_VALUE"""),"nộp thuế online")</f>
        <v>nộp thuế online</v>
      </c>
      <c r="Y4" s="21" t="str">
        <f>IFERROR(__xludf.DUMMYFUNCTION("""COMPUTED_VALUE"""),"https://techcombank.com/thong-tin/blog/tra-cuu-no-thue-hai-quan")</f>
        <v>https://techcombank.com/thong-tin/blog/tra-cuu-no-thue-hai-quan</v>
      </c>
      <c r="Z4" s="16" t="str">
        <f>IFERROR(__xludf.DUMMYFUNCTION("""COMPUTED_VALUE"""),"nộp thuế hộ trên etax")</f>
        <v>nộp thuế hộ trên etax</v>
      </c>
      <c r="AA4" s="21" t="str">
        <f>IFERROR(__xludf.DUMMYFUNCTION("""COMPUTED_VALUE"""),"https://techcombank.com/thong-tin/blog/tra-cuu-no-thue-ho-kinh-doanh")</f>
        <v>https://techcombank.com/thong-tin/blog/tra-cuu-no-thue-ho-kinh-doanh</v>
      </c>
      <c r="AB4" s="16" t="str">
        <f>IFERROR(__xludf.DUMMYFUNCTION("""COMPUTED_VALUE"""),"nộp thuế online")</f>
        <v>nộp thuế online</v>
      </c>
      <c r="AC4" s="21" t="str">
        <f>IFERROR(__xludf.DUMMYFUNCTION("""COMPUTED_VALUE"""),"https://techcombank.com/thong-tin/blog/truy-thu-thue-ho-kinh-doanh")</f>
        <v>https://techcombank.com/thong-tin/blog/truy-thu-thue-ho-kinh-doanh</v>
      </c>
      <c r="AD4" s="16" t="str">
        <f>IFERROR(__xludf.DUMMYFUNCTION("""COMPUTED_VALUE"""),"nộp thuế hộ trên etax")</f>
        <v>nộp thuế hộ trên etax</v>
      </c>
      <c r="AE4" s="21" t="str">
        <f>IFERROR(__xludf.DUMMYFUNCTION("""COMPUTED_VALUE"""),"https://techcombank.com/thong-tin/blog/kiem-tra-thue-ho-kinh-doanh")</f>
        <v>https://techcombank.com/thong-tin/blog/kiem-tra-thue-ho-kinh-doanh</v>
      </c>
      <c r="AF4" s="16" t="str">
        <f>IFERROR(__xludf.DUMMYFUNCTION("""COMPUTED_VALUE"""),"nộp thuế online")</f>
        <v>nộp thuế online</v>
      </c>
      <c r="AG4" s="21" t="str">
        <f>IFERROR(__xludf.DUMMYFUNCTION("""COMPUTED_VALUE"""),"https://techcombank.com/thong-tin/blog/tra-cuu-no-thue-ca-nhan")</f>
        <v>https://techcombank.com/thong-tin/blog/tra-cuu-no-thue-ca-nhan</v>
      </c>
      <c r="AH4" s="16" t="str">
        <f>IFERROR(__xludf.DUMMYFUNCTION("""COMPUTED_VALUE"""),"nộp thuế hộ trên etax")</f>
        <v>nộp thuế hộ trên etax</v>
      </c>
      <c r="AI4" s="21" t="str">
        <f>IFERROR(__xludf.DUMMYFUNCTION("""COMPUTED_VALUE"""),"https://techcombank.com/thong-tin/blog/thue-thuong-mai-dien-tu")</f>
        <v>https://techcombank.com/thong-tin/blog/thue-thuong-mai-dien-tu</v>
      </c>
      <c r="AJ4" s="16" t="str">
        <f>IFERROR(__xludf.DUMMYFUNCTION("""COMPUTED_VALUE"""),"nộp thuế online")</f>
        <v>nộp thuế online</v>
      </c>
      <c r="AK4" s="21" t="str">
        <f>IFERROR(__xludf.DUMMYFUNCTION("""COMPUTED_VALUE"""),"https://techcombank.com/thong-tin/blog/ho-kinh-doanh-dong-thue-nhu-nao")</f>
        <v>https://techcombank.com/thong-tin/blog/ho-kinh-doanh-dong-thue-nhu-nao</v>
      </c>
      <c r="AL4" s="16" t="str">
        <f>IFERROR(__xludf.DUMMYFUNCTION("""COMPUTED_VALUE"""),"nộp thuế hộ trên etax")</f>
        <v>nộp thuế hộ trên etax</v>
      </c>
      <c r="AM4" s="21" t="str">
        <f>IFERROR(__xludf.DUMMYFUNCTION("""COMPUTED_VALUE"""),"https://techcombank.com/thong-tin/blog/thue-thu-nhap-doanh-nghiep")</f>
        <v>https://techcombank.com/thong-tin/blog/thue-thu-nhap-doanh-nghiep</v>
      </c>
      <c r="AN4" s="16" t="str">
        <f>IFERROR(__xludf.DUMMYFUNCTION("""COMPUTED_VALUE"""),"nộp thuế online")</f>
        <v>nộp thuế online</v>
      </c>
      <c r="AO4" s="21" t="str">
        <f>IFERROR(__xludf.DUMMYFUNCTION("""COMPUTED_VALUE"""),"https://techcombank.com/thong-tin/blog/quyet-toan-thue-doanh-nghiep")</f>
        <v>https://techcombank.com/thong-tin/blog/quyet-toan-thue-doanh-nghiep</v>
      </c>
      <c r="AP4" s="16" t="str">
        <f>IFERROR(__xludf.DUMMYFUNCTION("""COMPUTED_VALUE"""),"nộp thuế hộ trên etax")</f>
        <v>nộp thuế hộ trên etax</v>
      </c>
      <c r="AQ4" s="21" t="str">
        <f>IFERROR(__xludf.DUMMYFUNCTION("""COMPUTED_VALUE"""),"https://techcombank.com/thong-tin/blog/ke-khai-thue-doanh-nghiep")</f>
        <v>https://techcombank.com/thong-tin/blog/ke-khai-thue-doanh-nghiep</v>
      </c>
      <c r="AR4" s="16" t="str">
        <f>IFERROR(__xludf.DUMMYFUNCTION("""COMPUTED_VALUE"""),"nộp thuế online")</f>
        <v>nộp thuế online</v>
      </c>
      <c r="AS4" s="21" t="str">
        <f>IFERROR(__xludf.DUMMYFUNCTION("""COMPUTED_VALUE"""),"https://techcombank.com/thong-tin/blog/tra-cuu-no-thue-doanh-nghiep")</f>
        <v>https://techcombank.com/thong-tin/blog/tra-cuu-no-thue-doanh-nghiep</v>
      </c>
      <c r="AT4" s="16" t="str">
        <f>IFERROR(__xludf.DUMMYFUNCTION("""COMPUTED_VALUE"""),"nộp thuế hộ trên etax")</f>
        <v>nộp thuế hộ trên etax</v>
      </c>
      <c r="AU4" s="21" t="str">
        <f>IFERROR(__xludf.DUMMYFUNCTION("""COMPUTED_VALUE"""),"https://techcombank.com/thong-tin/blog/tien-chuyen-vao-tai-khoan-co-bi-tinh-thue-khong")</f>
        <v>https://techcombank.com/thong-tin/blog/tien-chuyen-vao-tai-khoan-co-bi-tinh-thue-khong</v>
      </c>
      <c r="AV4" s="16" t="str">
        <f>IFERROR(__xludf.DUMMYFUNCTION("""COMPUTED_VALUE"""),"nộp thuế online")</f>
        <v>nộp thuế online</v>
      </c>
      <c r="AW4" s="21" t="str">
        <f>IFERROR(__xludf.DUMMYFUNCTION("""COMPUTED_VALUE"""),"https://techcombank.com/thong-tin/blog/cach-tinh-thue-thu-nhap-ca-nhan-2025")</f>
        <v>https://techcombank.com/thong-tin/blog/cach-tinh-thue-thu-nhap-ca-nhan-2025</v>
      </c>
      <c r="AX4" s="16" t="str">
        <f>IFERROR(__xludf.DUMMYFUNCTION("""COMPUTED_VALUE"""),"nộp thuế hộ trên etax")</f>
        <v>nộp thuế hộ trên etax</v>
      </c>
      <c r="AY4" s="21" t="str">
        <f>IFERROR(__xludf.DUMMYFUNCTION("""COMPUTED_VALUE"""),"https://techcombank.com/thong-tin/blog/thue-thu-nhap-ca-nhan")</f>
        <v>https://techcombank.com/thong-tin/blog/thue-thu-nhap-ca-nhan</v>
      </c>
      <c r="AZ4" s="16" t="str">
        <f>IFERROR(__xludf.DUMMYFUNCTION("""COMPUTED_VALUE"""),"nộp thuế online")</f>
        <v>nộp thuế online</v>
      </c>
      <c r="BA4" s="21" t="str">
        <f>IFERROR(__xludf.DUMMYFUNCTION("""COMPUTED_VALUE"""),"https://techcombank.com/thong-tin/blog/kiem-tra-thue-thu-nhap-ca-nhan")</f>
        <v>https://techcombank.com/thong-tin/blog/kiem-tra-thue-thu-nhap-ca-nhan</v>
      </c>
      <c r="BB4" s="16" t="str">
        <f>IFERROR(__xludf.DUMMYFUNCTION("""COMPUTED_VALUE"""),"nộp thuế hộ trên etax")</f>
        <v>nộp thuế hộ trên etax</v>
      </c>
      <c r="BC4" s="21" t="str">
        <f>IFERROR(__xludf.DUMMYFUNCTION("""COMPUTED_VALUE"""),"https://techcombank.com/thong-tin/blog/nop-thue-dat-qua-ngan-hang")</f>
        <v>https://techcombank.com/thong-tin/blog/nop-thue-dat-qua-ngan-hang</v>
      </c>
      <c r="BD4" s="16"/>
      <c r="BE4" s="16"/>
      <c r="BF4" s="16"/>
      <c r="BG4" s="16"/>
      <c r="BH4" s="16"/>
      <c r="BI4" s="16"/>
      <c r="BJ4" s="16"/>
      <c r="BK4" s="16"/>
      <c r="BL4" s="16"/>
      <c r="BM4" s="16"/>
      <c r="BN4" s="16"/>
      <c r="BO4" s="16"/>
      <c r="BP4" s="16"/>
      <c r="BQ4" s="16"/>
      <c r="BR4" s="16"/>
      <c r="BS4" s="16"/>
      <c r="BT4" s="16"/>
      <c r="BU4" s="16"/>
      <c r="BV4" s="16"/>
      <c r="BW4" s="16"/>
      <c r="BX4" s="16"/>
      <c r="BY4" s="16"/>
      <c r="BZ4" s="16"/>
      <c r="CA4" s="16"/>
      <c r="CB4" s="16"/>
      <c r="CC4" s="16"/>
      <c r="CD4" s="16"/>
      <c r="CE4" s="16"/>
      <c r="CF4" s="16"/>
      <c r="CG4" s="16"/>
      <c r="CH4" s="16"/>
      <c r="CI4" s="16"/>
      <c r="CJ4" s="16"/>
      <c r="CK4" s="16"/>
      <c r="CL4" s="16"/>
      <c r="CM4" s="16"/>
      <c r="CN4" s="16"/>
      <c r="CO4" s="16"/>
      <c r="CP4" s="16"/>
      <c r="CQ4" s="16"/>
      <c r="CR4" s="16"/>
      <c r="CS4" s="16"/>
      <c r="CT4" s="16"/>
      <c r="CU4" s="16"/>
      <c r="CV4" s="16"/>
      <c r="CW4" s="16"/>
      <c r="CX4" s="16"/>
      <c r="CY4" s="16"/>
      <c r="CZ4" s="16"/>
      <c r="DA4" s="16"/>
      <c r="DB4" s="16"/>
      <c r="DC4" s="16"/>
      <c r="DD4" s="16"/>
      <c r="DE4" s="16"/>
      <c r="DF4" s="16"/>
      <c r="DG4" s="16"/>
      <c r="DH4" s="16"/>
      <c r="DI4" s="16"/>
      <c r="DJ4" s="16"/>
      <c r="DK4" s="16"/>
      <c r="DL4" s="16"/>
      <c r="DM4" s="16"/>
      <c r="DN4" s="16"/>
      <c r="DO4" s="16"/>
      <c r="DP4" s="16"/>
      <c r="DQ4" s="16"/>
      <c r="DR4" s="16"/>
      <c r="DS4" s="16"/>
      <c r="DT4" s="16"/>
      <c r="DU4" s="16"/>
      <c r="DV4" s="16"/>
      <c r="DW4" s="16"/>
      <c r="DX4" s="16"/>
      <c r="DY4" s="16"/>
      <c r="DZ4" s="16"/>
      <c r="EA4" s="16"/>
      <c r="EB4" s="16"/>
      <c r="EC4" s="16"/>
      <c r="ED4" s="16"/>
      <c r="EE4" s="16"/>
      <c r="EF4" s="16"/>
      <c r="EG4" s="16"/>
      <c r="EH4" s="16"/>
      <c r="EI4" s="16"/>
      <c r="EJ4" s="16"/>
      <c r="EK4" s="16"/>
      <c r="EL4" s="16"/>
      <c r="EM4" s="16"/>
      <c r="EN4" s="16"/>
      <c r="EO4" s="16"/>
      <c r="EP4" s="16"/>
      <c r="EQ4" s="16"/>
      <c r="ER4" s="16"/>
      <c r="ES4" s="16"/>
      <c r="ET4" s="16"/>
      <c r="EU4" s="16"/>
      <c r="EV4" s="16"/>
      <c r="EW4" s="16"/>
      <c r="EX4" s="16"/>
      <c r="EY4" s="16"/>
      <c r="EZ4" s="16"/>
      <c r="FA4" s="16"/>
      <c r="FB4" s="16"/>
      <c r="FC4" s="16"/>
      <c r="FD4" s="16"/>
      <c r="FE4" s="16"/>
      <c r="FF4" s="16"/>
      <c r="FG4" s="16"/>
      <c r="FH4" s="16"/>
      <c r="FI4" s="16"/>
      <c r="FJ4" s="16"/>
      <c r="FK4" s="16"/>
      <c r="FL4" s="16"/>
      <c r="FM4" s="16"/>
      <c r="FN4" s="16"/>
      <c r="FO4" s="16"/>
      <c r="FP4" s="16"/>
      <c r="FQ4" s="16"/>
      <c r="FR4" s="16"/>
      <c r="FS4" s="16"/>
      <c r="FT4" s="16"/>
      <c r="FU4" s="16"/>
      <c r="FV4" s="16"/>
      <c r="FW4" s="16"/>
      <c r="FX4" s="16"/>
      <c r="FY4" s="16"/>
      <c r="FZ4" s="16"/>
      <c r="GA4" s="16"/>
      <c r="GB4" s="16"/>
      <c r="GC4" s="16"/>
      <c r="GD4" s="16"/>
      <c r="GE4" s="16"/>
      <c r="GF4" s="16"/>
      <c r="GG4" s="16"/>
      <c r="GH4" s="16"/>
      <c r="GI4" s="16"/>
      <c r="GJ4" s="16"/>
      <c r="GK4" s="16"/>
      <c r="GL4" s="16"/>
      <c r="GM4" s="16"/>
      <c r="GN4" s="16"/>
      <c r="GO4" s="16"/>
    </row>
    <row r="5" ht="18.0" customHeight="1">
      <c r="A5" s="15">
        <v>4.0</v>
      </c>
      <c r="B5" s="16" t="s">
        <v>280</v>
      </c>
      <c r="C5" s="17" t="s">
        <v>379</v>
      </c>
      <c r="D5" s="16" t="s">
        <v>64</v>
      </c>
      <c r="E5" s="15">
        <f>COUNTIF('Tổng hợp 75 trang đích'!$B$2:$B$2505,$D5)</f>
        <v>28</v>
      </c>
      <c r="F5" s="15">
        <f>COUNTIFS('Tổng hợp 75 trang đích'!$B$2:$B$2505,$D5,'Tổng hợp 75 trang đích'!$K$2:$K$2505,"PHÙ HỢP CAO")</f>
        <v>3</v>
      </c>
      <c r="G5" s="15">
        <f>COUNTIFS('Tổng hợp 75 trang đích'!$B$2:$B$2505,$D5,'Tổng hợp 75 trang đích'!$K$2:$K$2505,"CÓ THỂ ĐI")</f>
        <v>2</v>
      </c>
      <c r="H5" s="15">
        <f>COUNTIFS('Tổng hợp 75 trang đích'!$B$2:$B$2505,$D5,'Tổng hợp 75 trang đích'!$K$2:$K$2505,"CẦN SOÁT")</f>
        <v>23</v>
      </c>
      <c r="I5" s="19" t="s">
        <v>256</v>
      </c>
      <c r="J5" s="19" t="b">
        <v>0</v>
      </c>
      <c r="K5" s="20" t="s">
        <v>258</v>
      </c>
      <c r="L5" s="16" t="str">
        <f>IFERROR(__xludf.DUMMYFUNCTION("IFERROR(TOROW(CHOOSECOLS(SORT(FILTER({'Tổng hợp 75 trang đích'!$J$2:$J$2505,'Tổng hợp 75 trang đích'!$I$2:$I$2505,MATCH('Tổng hợp 75 trang đích'!$K$2:$K$2505,{""PHÙ HỢP CAO"",""CÓ THỂ ĐI"",""CẦN SOÁT""},0)},'Tổng hợp 75 trang đích'!$B$2:$B$2505=$D5),3,TRU"&amp;"E),1,2)),"""")"),"thuế thu nhập doanh nghiệp")</f>
        <v>thuế thu nhập doanh nghiệp</v>
      </c>
      <c r="M5" s="21" t="str">
        <f>IFERROR(__xludf.DUMMYFUNCTION("""COMPUTED_VALUE"""),"https://techcombank.com/thong-tin/blog/nhung-chi-phi-khong-duoc-tru-khi-tinh-thue-tndn")</f>
        <v>https://techcombank.com/thong-tin/blog/nhung-chi-phi-khong-duoc-tru-khi-tinh-thue-tndn</v>
      </c>
      <c r="N5" s="16" t="str">
        <f>IFERROR(__xludf.DUMMYFUNCTION("""COMPUTED_VALUE"""),"thuế thu nhập doanh nghiệp 2026")</f>
        <v>thuế thu nhập doanh nghiệp 2026</v>
      </c>
      <c r="O5" s="21" t="str">
        <f>IFERROR(__xludf.DUMMYFUNCTION("""COMPUTED_VALUE"""),"https://techcombank.com/thong-tin/blog/quyet-toan-thue-doanh-nghiep")</f>
        <v>https://techcombank.com/thong-tin/blog/quyet-toan-thue-doanh-nghiep</v>
      </c>
      <c r="P5" s="16" t="str">
        <f>IFERROR(__xludf.DUMMYFUNCTION("""COMPUTED_VALUE"""),"thuế thu nhập doanh nghiệp")</f>
        <v>thuế thu nhập doanh nghiệp</v>
      </c>
      <c r="Q5" s="21" t="str">
        <f>IFERROR(__xludf.DUMMYFUNCTION("""COMPUTED_VALUE"""),"https://techcombank.com/thong-tin/blog/doanh-nghiep-moi-thanh-lap-duoc-uu-dai-gi")</f>
        <v>https://techcombank.com/thong-tin/blog/doanh-nghiep-moi-thanh-lap-duoc-uu-dai-gi</v>
      </c>
      <c r="R5" s="16" t="str">
        <f>IFERROR(__xludf.DUMMYFUNCTION("""COMPUTED_VALUE"""),"thuế thu nhập doanh nghiệp 2026")</f>
        <v>thuế thu nhập doanh nghiệp 2026</v>
      </c>
      <c r="S5" s="21" t="str">
        <f>IFERROR(__xludf.DUMMYFUNCTION("""COMPUTED_VALUE"""),"https://techcombank.com/thong-tin/blog/loi-nhuan")</f>
        <v>https://techcombank.com/thong-tin/blog/loi-nhuan</v>
      </c>
      <c r="T5" s="16" t="str">
        <f>IFERROR(__xludf.DUMMYFUNCTION("""COMPUTED_VALUE"""),"thuế thu nhập doanh nghiệp")</f>
        <v>thuế thu nhập doanh nghiệp</v>
      </c>
      <c r="U5" s="21" t="str">
        <f>IFERROR(__xludf.DUMMYFUNCTION("""COMPUTED_VALUE"""),"https://techcombank.com/thong-tin/blog/hoan-thue-doanh-nghiep")</f>
        <v>https://techcombank.com/thong-tin/blog/hoan-thue-doanh-nghiep</v>
      </c>
      <c r="V5" s="16" t="str">
        <f>IFERROR(__xludf.DUMMYFUNCTION("""COMPUTED_VALUE"""),"thuế thu nhập doanh nghiệp 2026")</f>
        <v>thuế thu nhập doanh nghiệp 2026</v>
      </c>
      <c r="W5" s="21" t="str">
        <f>IFERROR(__xludf.DUMMYFUNCTION("""COMPUTED_VALUE"""),"https://techcombank.com/thong-tin/blog/cach-tinh-thue-thu-nhap-doanh-nghiep")</f>
        <v>https://techcombank.com/thong-tin/blog/cach-tinh-thue-thu-nhap-doanh-nghiep</v>
      </c>
      <c r="X5" s="16" t="str">
        <f>IFERROR(__xludf.DUMMYFUNCTION("""COMPUTED_VALUE"""),"thuế thu nhập doanh nghiệp")</f>
        <v>thuế thu nhập doanh nghiệp</v>
      </c>
      <c r="Y5" s="21" t="str">
        <f>IFERROR(__xludf.DUMMYFUNCTION("""COMPUTED_VALUE"""),"https://techcombank.com/thong-tin/blog/giai-dap-ve-thue-doanh-nghiep")</f>
        <v>https://techcombank.com/thong-tin/blog/giai-dap-ve-thue-doanh-nghiep</v>
      </c>
      <c r="Z5" s="16" t="str">
        <f>IFERROR(__xludf.DUMMYFUNCTION("""COMPUTED_VALUE"""),"thuế thu nhập doanh nghiệp 2026")</f>
        <v>thuế thu nhập doanh nghiệp 2026</v>
      </c>
      <c r="AA5" s="21" t="str">
        <f>IFERROR(__xludf.DUMMYFUNCTION("""COMPUTED_VALUE"""),"https://techcombank.com/thong-tin/blog/loi-nhuan-rong")</f>
        <v>https://techcombank.com/thong-tin/blog/loi-nhuan-rong</v>
      </c>
      <c r="AB5" s="16" t="str">
        <f>IFERROR(__xludf.DUMMYFUNCTION("""COMPUTED_VALUE"""),"thuế thu nhập doanh nghiệp")</f>
        <v>thuế thu nhập doanh nghiệp</v>
      </c>
      <c r="AC5" s="21" t="str">
        <f>IFERROR(__xludf.DUMMYFUNCTION("""COMPUTED_VALUE"""),"https://techcombank.com/thong-tin/blog/kiem-tra-ma-so-thue-doanh-nghiep")</f>
        <v>https://techcombank.com/thong-tin/blog/kiem-tra-ma-so-thue-doanh-nghiep</v>
      </c>
      <c r="AD5" s="16" t="str">
        <f>IFERROR(__xludf.DUMMYFUNCTION("""COMPUTED_VALUE"""),"thuế thu nhập doanh nghiệp 2026")</f>
        <v>thuế thu nhập doanh nghiệp 2026</v>
      </c>
      <c r="AE5" s="21" t="str">
        <f>IFERROR(__xludf.DUMMYFUNCTION("""COMPUTED_VALUE"""),"https://techcombank.com/thong-tin/blog/thue-doanh-nghiep")</f>
        <v>https://techcombank.com/thong-tin/blog/thue-doanh-nghiep</v>
      </c>
      <c r="AF5" s="16" t="str">
        <f>IFERROR(__xludf.DUMMYFUNCTION("""COMPUTED_VALUE"""),"thuế thu nhập doanh nghiệp")</f>
        <v>thuế thu nhập doanh nghiệp</v>
      </c>
      <c r="AG5" s="21" t="str">
        <f>IFERROR(__xludf.DUMMYFUNCTION("""COMPUTED_VALUE"""),"https://techcombank.com/thong-tin/blog/tim-hieu-ve-chinh-sach-thue-moi")</f>
        <v>https://techcombank.com/thong-tin/blog/tim-hieu-ve-chinh-sach-thue-moi</v>
      </c>
      <c r="AH5" s="16" t="str">
        <f>IFERROR(__xludf.DUMMYFUNCTION("""COMPUTED_VALUE"""),"thuế thu nhập doanh nghiệp 2026")</f>
        <v>thuế thu nhập doanh nghiệp 2026</v>
      </c>
      <c r="AI5" s="21" t="str">
        <f>IFERROR(__xludf.DUMMYFUNCTION("""COMPUTED_VALUE"""),"https://techcombank.com/thong-tin/blog/thi-truong-trai-phieu-am-tro-lai-nha-dau-tu-san-sang-cho-nhung-co-hoi-sinh-loi-moi")</f>
        <v>https://techcombank.com/thong-tin/blog/thi-truong-trai-phieu-am-tro-lai-nha-dau-tu-san-sang-cho-nhung-co-hoi-sinh-loi-moi</v>
      </c>
      <c r="AJ5" s="16" t="str">
        <f>IFERROR(__xludf.DUMMYFUNCTION("""COMPUTED_VALUE"""),"thuế thu nhập doanh nghiệp")</f>
        <v>thuế thu nhập doanh nghiệp</v>
      </c>
      <c r="AK5" s="21" t="str">
        <f>IFERROR(__xludf.DUMMYFUNCTION("""COMPUTED_VALUE"""),"https://techcombank.com/thong-tin/blog/ke-khai-thue-doanh-nghiep")</f>
        <v>https://techcombank.com/thong-tin/blog/ke-khai-thue-doanh-nghiep</v>
      </c>
      <c r="AL5" s="16" t="str">
        <f>IFERROR(__xludf.DUMMYFUNCTION("""COMPUTED_VALUE"""),"thuế thu nhập doanh nghiệp 2026")</f>
        <v>thuế thu nhập doanh nghiệp 2026</v>
      </c>
      <c r="AM5" s="21" t="str">
        <f>IFERROR(__xludf.DUMMYFUNCTION("""COMPUTED_VALUE"""),"https://techcombank.com/thong-tin/blog/tra-cuu-no-thue-doanh-nghiep")</f>
        <v>https://techcombank.com/thong-tin/blog/tra-cuu-no-thue-doanh-nghiep</v>
      </c>
      <c r="AN5" s="16" t="str">
        <f>IFERROR(__xludf.DUMMYFUNCTION("""COMPUTED_VALUE"""),"thuế thu nhập doanh nghiệp")</f>
        <v>thuế thu nhập doanh nghiệp</v>
      </c>
      <c r="AO5" s="21" t="str">
        <f>IFERROR(__xludf.DUMMYFUNCTION("""COMPUTED_VALUE"""),"https://techcombank.com/thong-tin/blog/kinh-nghiem-mua-vang-tich-tru")</f>
        <v>https://techcombank.com/thong-tin/blog/kinh-nghiem-mua-vang-tich-tru</v>
      </c>
      <c r="AP5" s="16" t="str">
        <f>IFERROR(__xludf.DUMMYFUNCTION("""COMPUTED_VALUE"""),"thuế thu nhập doanh nghiệp 2026")</f>
        <v>thuế thu nhập doanh nghiệp 2026</v>
      </c>
      <c r="AQ5" s="21" t="str">
        <f>IFERROR(__xludf.DUMMYFUNCTION("""COMPUTED_VALUE"""),"https://techcombank.com/thong-tin/blog/quan-ly-tai-chinh-doanh-nghiep-la-gi")</f>
        <v>https://techcombank.com/thong-tin/blog/quan-ly-tai-chinh-doanh-nghiep-la-gi</v>
      </c>
      <c r="AR5" s="16" t="str">
        <f>IFERROR(__xludf.DUMMYFUNCTION("""COMPUTED_VALUE"""),"thuế thu nhập doanh nghiệp")</f>
        <v>thuế thu nhập doanh nghiệp</v>
      </c>
      <c r="AS5" s="21" t="str">
        <f>IFERROR(__xludf.DUMMYFUNCTION("""COMPUTED_VALUE"""),"https://techcombank.com/thong-tin/blog/nha-dau-tu-giao-dich-trai-phieu-truc-tuyen-tang-manh-tro-lai")</f>
        <v>https://techcombank.com/thong-tin/blog/nha-dau-tu-giao-dich-trai-phieu-truc-tuyen-tang-manh-tro-lai</v>
      </c>
      <c r="AT5" s="16" t="str">
        <f>IFERROR(__xludf.DUMMYFUNCTION("""COMPUTED_VALUE"""),"thuế thu nhập doanh nghiệp 2026")</f>
        <v>thuế thu nhập doanh nghiệp 2026</v>
      </c>
      <c r="AU5" s="21" t="str">
        <f>IFERROR(__xludf.DUMMYFUNCTION("""COMPUTED_VALUE"""),"https://techcombank.com/thong-tin/blog/gia-chung-chi-quy-la-gi")</f>
        <v>https://techcombank.com/thong-tin/blog/gia-chung-chi-quy-la-gi</v>
      </c>
      <c r="AV5" s="16" t="str">
        <f>IFERROR(__xludf.DUMMYFUNCTION("""COMPUTED_VALUE"""),"thuế thu nhập doanh nghiệp")</f>
        <v>thuế thu nhập doanh nghiệp</v>
      </c>
      <c r="AW5" s="21" t="str">
        <f>IFERROR(__xludf.DUMMYFUNCTION("""COMPUTED_VALUE"""),"https://techcombank.com/thong-tin/blog/lai-suat-tiet-kiem")</f>
        <v>https://techcombank.com/thong-tin/blog/lai-suat-tiet-kiem</v>
      </c>
      <c r="AX5" s="16" t="str">
        <f>IFERROR(__xludf.DUMMYFUNCTION("""COMPUTED_VALUE"""),"thuế thu nhập doanh nghiệp 2026")</f>
        <v>thuế thu nhập doanh nghiệp 2026</v>
      </c>
      <c r="AY5" s="21" t="str">
        <f>IFERROR(__xludf.DUMMYFUNCTION("""COMPUTED_VALUE"""),"https://techcombank.com/thong-tin/blog/lai-suat-chung-chi-quy")</f>
        <v>https://techcombank.com/thong-tin/blog/lai-suat-chung-chi-quy</v>
      </c>
      <c r="AZ5" s="16" t="str">
        <f>IFERROR(__xludf.DUMMYFUNCTION("""COMPUTED_VALUE"""),"thuế thu nhập doanh nghiệp")</f>
        <v>thuế thu nhập doanh nghiệp</v>
      </c>
      <c r="BA5" s="21" t="str">
        <f>IFERROR(__xludf.DUMMYFUNCTION("""COMPUTED_VALUE"""),"https://techcombank.com/thong-tin/blog/ho-kinh-doanh-can-gi-o-tai-khoan-ngan-hang")</f>
        <v>https://techcombank.com/thong-tin/blog/ho-kinh-doanh-can-gi-o-tai-khoan-ngan-hang</v>
      </c>
      <c r="BB5" s="16" t="str">
        <f>IFERROR(__xludf.DUMMYFUNCTION("""COMPUTED_VALUE"""),"thuế thu nhập doanh nghiệp 2026")</f>
        <v>thuế thu nhập doanh nghiệp 2026</v>
      </c>
      <c r="BC5" s="21" t="str">
        <f>IFERROR(__xludf.DUMMYFUNCTION("""COMPUTED_VALUE"""),"https://techcombank.com/thong-tin/blog/danh-muc-dau-tu")</f>
        <v>https://techcombank.com/thong-tin/blog/danh-muc-dau-tu</v>
      </c>
      <c r="BD5" s="16" t="str">
        <f>IFERROR(__xludf.DUMMYFUNCTION("""COMPUTED_VALUE"""),"thuế thu nhập doanh nghiệp")</f>
        <v>thuế thu nhập doanh nghiệp</v>
      </c>
      <c r="BE5" s="21" t="str">
        <f>IFERROR(__xludf.DUMMYFUNCTION("""COMPUTED_VALUE"""),"https://techcombank.com/thong-tin/blog/mua-chung-chi-quy")</f>
        <v>https://techcombank.com/thong-tin/blog/mua-chung-chi-quy</v>
      </c>
      <c r="BF5" s="16" t="str">
        <f>IFERROR(__xludf.DUMMYFUNCTION("""COMPUTED_VALUE"""),"thuế thu nhập doanh nghiệp 2026")</f>
        <v>thuế thu nhập doanh nghiệp 2026</v>
      </c>
      <c r="BG5" s="21" t="str">
        <f>IFERROR(__xludf.DUMMYFUNCTION("""COMPUTED_VALUE"""),"https://techcombank.com/thong-tin/blog/cach-tinh-loi-nhuan-chung-chi-tien-gui")</f>
        <v>https://techcombank.com/thong-tin/blog/cach-tinh-loi-nhuan-chung-chi-tien-gui</v>
      </c>
      <c r="BH5" s="16" t="str">
        <f>IFERROR(__xludf.DUMMYFUNCTION("""COMPUTED_VALUE"""),"thuế thu nhập doanh nghiệp")</f>
        <v>thuế thu nhập doanh nghiệp</v>
      </c>
      <c r="BI5" s="21" t="str">
        <f>IFERROR(__xludf.DUMMYFUNCTION("""COMPUTED_VALUE"""),"https://techcombank.com/thong-tin/blog/dau-co-va-dau-tu")</f>
        <v>https://techcombank.com/thong-tin/blog/dau-co-va-dau-tu</v>
      </c>
      <c r="BJ5" s="16" t="str">
        <f>IFERROR(__xludf.DUMMYFUNCTION("""COMPUTED_VALUE"""),"thuế thu nhập doanh nghiệp 2026")</f>
        <v>thuế thu nhập doanh nghiệp 2026</v>
      </c>
      <c r="BK5" s="21" t="str">
        <f>IFERROR(__xludf.DUMMYFUNCTION("""COMPUTED_VALUE"""),"https://techcombank.com/thong-tin/blog/co-50-trieu-nen-mua-vang-hay-gui-tiet-kiem")</f>
        <v>https://techcombank.com/thong-tin/blog/co-50-trieu-nen-mua-vang-hay-gui-tiet-kiem</v>
      </c>
      <c r="BL5" s="16" t="str">
        <f>IFERROR(__xludf.DUMMYFUNCTION("""COMPUTED_VALUE"""),"thuế thu nhập doanh nghiệp")</f>
        <v>thuế thu nhập doanh nghiệp</v>
      </c>
      <c r="BM5" s="21" t="str">
        <f>IFERROR(__xludf.DUMMYFUNCTION("""COMPUTED_VALUE"""),"https://techcombank.com/thong-tin/blog/toi-uu-hoa-chi-phi-trong-doanh-nghiep")</f>
        <v>https://techcombank.com/thong-tin/blog/toi-uu-hoa-chi-phi-trong-doanh-nghiep</v>
      </c>
      <c r="BN5" s="16" t="str">
        <f>IFERROR(__xludf.DUMMYFUNCTION("""COMPUTED_VALUE"""),"thuế thu nhập doanh nghiệp 2026")</f>
        <v>thuế thu nhập doanh nghiệp 2026</v>
      </c>
      <c r="BO5" s="21" t="str">
        <f>IFERROR(__xludf.DUMMYFUNCTION("""COMPUTED_VALUE"""),"https://techcombank.com/thong-tin/blog/ngoai-hoi-la-gi")</f>
        <v>https://techcombank.com/thong-tin/blog/ngoai-hoi-la-gi</v>
      </c>
      <c r="BP5" s="16"/>
      <c r="BQ5" s="16"/>
      <c r="BR5" s="16"/>
      <c r="BS5" s="16"/>
      <c r="BT5" s="16"/>
      <c r="BU5" s="16"/>
      <c r="BV5" s="16"/>
      <c r="BW5" s="16"/>
      <c r="BX5" s="16"/>
      <c r="BY5" s="16"/>
      <c r="BZ5" s="16"/>
      <c r="CA5" s="16"/>
      <c r="CB5" s="16"/>
      <c r="CC5" s="16"/>
      <c r="CD5" s="16"/>
      <c r="CE5" s="16"/>
      <c r="CF5" s="16"/>
      <c r="CG5" s="16"/>
      <c r="CH5" s="16"/>
      <c r="CI5" s="16"/>
      <c r="CJ5" s="16"/>
      <c r="CK5" s="16"/>
      <c r="CL5" s="16"/>
      <c r="CM5" s="16"/>
      <c r="CN5" s="16"/>
      <c r="CO5" s="16"/>
      <c r="CP5" s="16"/>
      <c r="CQ5" s="16"/>
      <c r="CR5" s="16"/>
      <c r="CS5" s="16"/>
      <c r="CT5" s="16"/>
      <c r="CU5" s="16"/>
      <c r="CV5" s="16"/>
      <c r="CW5" s="16"/>
      <c r="CX5" s="16"/>
      <c r="CY5" s="16"/>
      <c r="CZ5" s="16"/>
      <c r="DA5" s="16"/>
      <c r="DB5" s="16"/>
      <c r="DC5" s="16"/>
      <c r="DD5" s="16"/>
      <c r="DE5" s="16"/>
      <c r="DF5" s="16"/>
      <c r="DG5" s="16"/>
      <c r="DH5" s="16"/>
      <c r="DI5" s="16"/>
      <c r="DJ5" s="16"/>
      <c r="DK5" s="16"/>
      <c r="DL5" s="16"/>
      <c r="DM5" s="16"/>
      <c r="DN5" s="16"/>
      <c r="DO5" s="16"/>
      <c r="DP5" s="16"/>
      <c r="DQ5" s="16"/>
      <c r="DR5" s="16"/>
      <c r="DS5" s="16"/>
      <c r="DT5" s="16"/>
      <c r="DU5" s="16"/>
      <c r="DV5" s="16"/>
      <c r="DW5" s="16"/>
      <c r="DX5" s="16"/>
      <c r="DY5" s="16"/>
      <c r="DZ5" s="16"/>
      <c r="EA5" s="16"/>
      <c r="EB5" s="16"/>
      <c r="EC5" s="16"/>
      <c r="ED5" s="16"/>
      <c r="EE5" s="16"/>
      <c r="EF5" s="16"/>
      <c r="EG5" s="16"/>
      <c r="EH5" s="16"/>
      <c r="EI5" s="16"/>
      <c r="EJ5" s="16"/>
      <c r="EK5" s="16"/>
      <c r="EL5" s="16"/>
      <c r="EM5" s="16"/>
      <c r="EN5" s="16"/>
      <c r="EO5" s="16"/>
      <c r="EP5" s="16"/>
      <c r="EQ5" s="16"/>
      <c r="ER5" s="16"/>
      <c r="ES5" s="16"/>
      <c r="ET5" s="16"/>
      <c r="EU5" s="16"/>
      <c r="EV5" s="16"/>
      <c r="EW5" s="16"/>
      <c r="EX5" s="16"/>
      <c r="EY5" s="16"/>
      <c r="EZ5" s="16"/>
      <c r="FA5" s="16"/>
      <c r="FB5" s="16"/>
      <c r="FC5" s="16"/>
      <c r="FD5" s="16"/>
      <c r="FE5" s="16"/>
      <c r="FF5" s="16"/>
      <c r="FG5" s="16"/>
      <c r="FH5" s="16"/>
      <c r="FI5" s="16"/>
      <c r="FJ5" s="16"/>
      <c r="FK5" s="16"/>
      <c r="FL5" s="16"/>
      <c r="FM5" s="16"/>
      <c r="FN5" s="16"/>
      <c r="FO5" s="16"/>
      <c r="FP5" s="16"/>
      <c r="FQ5" s="16"/>
      <c r="FR5" s="16"/>
      <c r="FS5" s="16"/>
      <c r="FT5" s="16"/>
      <c r="FU5" s="16"/>
      <c r="FV5" s="16"/>
      <c r="FW5" s="16"/>
      <c r="FX5" s="16"/>
      <c r="FY5" s="16"/>
      <c r="FZ5" s="16"/>
      <c r="GA5" s="16"/>
      <c r="GB5" s="16"/>
      <c r="GC5" s="16"/>
      <c r="GD5" s="16"/>
      <c r="GE5" s="16"/>
      <c r="GF5" s="16"/>
      <c r="GG5" s="16"/>
      <c r="GH5" s="16"/>
      <c r="GI5" s="16"/>
      <c r="GJ5" s="16"/>
      <c r="GK5" s="16"/>
      <c r="GL5" s="16"/>
      <c r="GM5" s="16"/>
      <c r="GN5" s="16"/>
      <c r="GO5" s="16"/>
    </row>
    <row r="6" ht="18.0" customHeight="1">
      <c r="A6" s="15">
        <v>5.0</v>
      </c>
      <c r="B6" s="16" t="s">
        <v>280</v>
      </c>
      <c r="C6" s="17" t="s">
        <v>415</v>
      </c>
      <c r="D6" s="16" t="s">
        <v>84</v>
      </c>
      <c r="E6" s="15">
        <f>COUNTIF('Tổng hợp 75 trang đích'!$B$2:$B$2505,$D6)</f>
        <v>23</v>
      </c>
      <c r="F6" s="15">
        <f>COUNTIFS('Tổng hợp 75 trang đích'!$B$2:$B$2505,$D6,'Tổng hợp 75 trang đích'!$K$2:$K$2505,"PHÙ HỢP CAO")</f>
        <v>2</v>
      </c>
      <c r="G6" s="15">
        <f>COUNTIFS('Tổng hợp 75 trang đích'!$B$2:$B$2505,$D6,'Tổng hợp 75 trang đích'!$K$2:$K$2505,"CÓ THỂ ĐI")</f>
        <v>3</v>
      </c>
      <c r="H6" s="15">
        <f>COUNTIFS('Tổng hợp 75 trang đích'!$B$2:$B$2505,$D6,'Tổng hợp 75 trang đích'!$K$2:$K$2505,"CẦN SOÁT")</f>
        <v>18</v>
      </c>
      <c r="I6" s="19" t="s">
        <v>256</v>
      </c>
      <c r="J6" s="19" t="b">
        <v>0</v>
      </c>
      <c r="K6" s="20" t="s">
        <v>258</v>
      </c>
      <c r="L6" s="16" t="str">
        <f>IFERROR(__xludf.DUMMYFUNCTION("IFERROR(TOROW(CHOOSECOLS(SORT(FILTER({'Tổng hợp 75 trang đích'!$J$2:$J$2505,'Tổng hợp 75 trang đích'!$I$2:$I$2505,MATCH('Tổng hợp 75 trang đích'!$K$2:$K$2505,{""PHÙ HỢP CAO"",""CÓ THỂ ĐI"",""CẦN SOÁT""},0)},'Tổng hợp 75 trang đích'!$B$2:$B$2505=$D6),3,TRU"&amp;"E),1,2)),"""")"),"thuế VAT")</f>
        <v>thuế VAT</v>
      </c>
      <c r="M6" s="21" t="str">
        <f>IFERROR(__xludf.DUMMYFUNCTION("""COMPUTED_VALUE"""),"https://techcombank.com/thong-tin/blog/ke-khai-thue-doanh-nghiep")</f>
        <v>https://techcombank.com/thong-tin/blog/ke-khai-thue-doanh-nghiep</v>
      </c>
      <c r="N6" s="16" t="str">
        <f>IFERROR(__xludf.DUMMYFUNCTION("""COMPUTED_VALUE"""),"thuế giá trị gia tăng")</f>
        <v>thuế giá trị gia tăng</v>
      </c>
      <c r="O6" s="21" t="str">
        <f>IFERROR(__xludf.DUMMYFUNCTION("""COMPUTED_VALUE"""),"https://techcombank.com/thong-tin/blog/hoan-thue-doanh-nghiep")</f>
        <v>https://techcombank.com/thong-tin/blog/hoan-thue-doanh-nghiep</v>
      </c>
      <c r="P6" s="16" t="str">
        <f>IFERROR(__xludf.DUMMYFUNCTION("""COMPUTED_VALUE"""),"thuế GTGT là gì")</f>
        <v>thuế GTGT là gì</v>
      </c>
      <c r="Q6" s="21" t="str">
        <f>IFERROR(__xludf.DUMMYFUNCTION("""COMPUTED_VALUE"""),"https://techcombank.com/thong-tin/blog/chuyen-doi-hoa-don-dien-tu")</f>
        <v>https://techcombank.com/thong-tin/blog/chuyen-doi-hoa-don-dien-tu</v>
      </c>
      <c r="R6" s="16" t="str">
        <f>IFERROR(__xludf.DUMMYFUNCTION("""COMPUTED_VALUE"""),"thuế VAT")</f>
        <v>thuế VAT</v>
      </c>
      <c r="S6" s="21" t="str">
        <f>IFERROR(__xludf.DUMMYFUNCTION("""COMPUTED_VALUE"""),"https://techcombank.com/thong-tin/blog/thue-thuong-mai-dien-tu")</f>
        <v>https://techcombank.com/thong-tin/blog/thue-thuong-mai-dien-tu</v>
      </c>
      <c r="T6" s="16" t="str">
        <f>IFERROR(__xludf.DUMMYFUNCTION("""COMPUTED_VALUE"""),"thuế giá trị gia tăng")</f>
        <v>thuế giá trị gia tăng</v>
      </c>
      <c r="U6" s="21" t="str">
        <f>IFERROR(__xludf.DUMMYFUNCTION("""COMPUTED_VALUE"""),"https://techcombank.com/thong-tin/blog/cach-tra-cuu-hoa-don-dien-tu")</f>
        <v>https://techcombank.com/thong-tin/blog/cach-tra-cuu-hoa-don-dien-tu</v>
      </c>
      <c r="V6" s="16" t="str">
        <f>IFERROR(__xludf.DUMMYFUNCTION("""COMPUTED_VALUE"""),"thuế GTGT là gì")</f>
        <v>thuế GTGT là gì</v>
      </c>
      <c r="W6" s="21" t="str">
        <f>IFERROR(__xludf.DUMMYFUNCTION("""COMPUTED_VALUE"""),"https://techcombank.com/thong-tin/blog/cach-tinh-thue-ho-kinh-doanh-nho-le")</f>
        <v>https://techcombank.com/thong-tin/blog/cach-tinh-thue-ho-kinh-doanh-nho-le</v>
      </c>
      <c r="X6" s="16" t="str">
        <f>IFERROR(__xludf.DUMMYFUNCTION("""COMPUTED_VALUE"""),"thuế VAT")</f>
        <v>thuế VAT</v>
      </c>
      <c r="Y6" s="21" t="str">
        <f>IFERROR(__xludf.DUMMYFUNCTION("""COMPUTED_VALUE"""),"https://techcombank.com/thong-tin/blog/nhung-ho-kinh-doanh-duoc-mien-thue")</f>
        <v>https://techcombank.com/thong-tin/blog/nhung-ho-kinh-doanh-duoc-mien-thue</v>
      </c>
      <c r="Z6" s="16" t="str">
        <f>IFERROR(__xludf.DUMMYFUNCTION("""COMPUTED_VALUE"""),"thuế giá trị gia tăng")</f>
        <v>thuế giá trị gia tăng</v>
      </c>
      <c r="AA6" s="21" t="str">
        <f>IFERROR(__xludf.DUMMYFUNCTION("""COMPUTED_VALUE"""),"https://techcombank.com/thong-tin/blog/hoa-don-dien-tu")</f>
        <v>https://techcombank.com/thong-tin/blog/hoa-don-dien-tu</v>
      </c>
      <c r="AB6" s="16" t="str">
        <f>IFERROR(__xludf.DUMMYFUNCTION("""COMPUTED_VALUE"""),"thuế GTGT là gì")</f>
        <v>thuế GTGT là gì</v>
      </c>
      <c r="AC6" s="21" t="str">
        <f>IFERROR(__xludf.DUMMYFUNCTION("""COMPUTED_VALUE"""),"https://techcombank.com/thong-tin/blog/voucher-phuc-long")</f>
        <v>https://techcombank.com/thong-tin/blog/voucher-phuc-long</v>
      </c>
      <c r="AD6" s="16" t="str">
        <f>IFERROR(__xludf.DUMMYFUNCTION("""COMPUTED_VALUE"""),"thuế VAT")</f>
        <v>thuế VAT</v>
      </c>
      <c r="AE6" s="21" t="str">
        <f>IFERROR(__xludf.DUMMYFUNCTION("""COMPUTED_VALUE"""),"https://techcombank.com/thong-tin/blog/hoa-don-dien-tu-ho-kinh-doanh")</f>
        <v>https://techcombank.com/thong-tin/blog/hoa-don-dien-tu-ho-kinh-doanh</v>
      </c>
      <c r="AF6" s="16" t="str">
        <f>IFERROR(__xludf.DUMMYFUNCTION("""COMPUTED_VALUE"""),"thuế giá trị gia tăng")</f>
        <v>thuế giá trị gia tăng</v>
      </c>
      <c r="AG6" s="21" t="str">
        <f>IFERROR(__xludf.DUMMYFUNCTION("""COMPUTED_VALUE"""),"https://techcombank.com/thong-tin/blog/ho-kinh-doanh-dong-thue-nhu-nao")</f>
        <v>https://techcombank.com/thong-tin/blog/ho-kinh-doanh-dong-thue-nhu-nao</v>
      </c>
      <c r="AH6" s="16" t="str">
        <f>IFERROR(__xludf.DUMMYFUNCTION("""COMPUTED_VALUE"""),"thuế GTGT là gì")</f>
        <v>thuế GTGT là gì</v>
      </c>
      <c r="AI6" s="21" t="str">
        <f>IFERROR(__xludf.DUMMYFUNCTION("""COMPUTED_VALUE"""),"https://techcombank.com/thong-tin/blog/thue-doanh-nghiep")</f>
        <v>https://techcombank.com/thong-tin/blog/thue-doanh-nghiep</v>
      </c>
      <c r="AJ6" s="16" t="str">
        <f>IFERROR(__xludf.DUMMYFUNCTION("""COMPUTED_VALUE"""),"thuế VAT")</f>
        <v>thuế VAT</v>
      </c>
      <c r="AK6" s="21" t="str">
        <f>IFERROR(__xludf.DUMMYFUNCTION("""COMPUTED_VALUE"""),"https://techcombank.com/thong-tin/blog/one-stop-shop")</f>
        <v>https://techcombank.com/thong-tin/blog/one-stop-shop</v>
      </c>
      <c r="AL6" s="16" t="str">
        <f>IFERROR(__xludf.DUMMYFUNCTION("""COMPUTED_VALUE"""),"thuế giá trị gia tăng")</f>
        <v>thuế giá trị gia tăng</v>
      </c>
      <c r="AM6" s="21" t="str">
        <f>IFERROR(__xludf.DUMMYFUNCTION("""COMPUTED_VALUE"""),"https://techcombank.com/thong-tin/blog/tim-hieu-ve-chinh-sach-thue-moi")</f>
        <v>https://techcombank.com/thong-tin/blog/tim-hieu-ve-chinh-sach-thue-moi</v>
      </c>
      <c r="AN6" s="16" t="str">
        <f>IFERROR(__xludf.DUMMYFUNCTION("""COMPUTED_VALUE"""),"thuế GTGT là gì")</f>
        <v>thuế GTGT là gì</v>
      </c>
      <c r="AO6" s="21" t="str">
        <f>IFERROR(__xludf.DUMMYFUNCTION("""COMPUTED_VALUE"""),"https://techcombank.com/thong-tin/blog/may-tinh-tien")</f>
        <v>https://techcombank.com/thong-tin/blog/may-tinh-tien</v>
      </c>
      <c r="AP6" s="16" t="str">
        <f>IFERROR(__xludf.DUMMYFUNCTION("""COMPUTED_VALUE"""),"thuế VAT")</f>
        <v>thuế VAT</v>
      </c>
      <c r="AQ6" s="21" t="str">
        <f>IFERROR(__xludf.DUMMYFUNCTION("""COMPUTED_VALUE"""),"https://techcombank.com/thong-tin/blog/phan-mem-xuat-hoa-don-dien-tu")</f>
        <v>https://techcombank.com/thong-tin/blog/phan-mem-xuat-hoa-don-dien-tu</v>
      </c>
      <c r="AR6" s="16" t="str">
        <f>IFERROR(__xludf.DUMMYFUNCTION("""COMPUTED_VALUE"""),"thuế giá trị gia tăng")</f>
        <v>thuế giá trị gia tăng</v>
      </c>
      <c r="AS6" s="21" t="str">
        <f>IFERROR(__xludf.DUMMYFUNCTION("""COMPUTED_VALUE"""),"https://techcombank.com/thong-tin/blog/the-tin-dung-co-chuyen-khoan-duoc-khong")</f>
        <v>https://techcombank.com/thong-tin/blog/the-tin-dung-co-chuyen-khoan-duoc-khong</v>
      </c>
      <c r="AT6" s="16" t="str">
        <f>IFERROR(__xludf.DUMMYFUNCTION("""COMPUTED_VALUE"""),"thuế GTGT là gì")</f>
        <v>thuế GTGT là gì</v>
      </c>
      <c r="AU6" s="21" t="str">
        <f>IFERROR(__xludf.DUMMYFUNCTION("""COMPUTED_VALUE"""),"https://techcombank.com/thong-tin/blog/app-dong-tien-dien-online")</f>
        <v>https://techcombank.com/thong-tin/blog/app-dong-tien-dien-online</v>
      </c>
      <c r="AV6" s="16" t="str">
        <f>IFERROR(__xludf.DUMMYFUNCTION("""COMPUTED_VALUE"""),"thuế VAT")</f>
        <v>thuế VAT</v>
      </c>
      <c r="AW6" s="21" t="str">
        <f>IFERROR(__xludf.DUMMYFUNCTION("""COMPUTED_VALUE"""),"https://techcombank.com/thong-tin/blog/tra-cuu-hoa-don-nuoc")</f>
        <v>https://techcombank.com/thong-tin/blog/tra-cuu-hoa-don-nuoc</v>
      </c>
      <c r="AX6" s="16" t="str">
        <f>IFERROR(__xludf.DUMMYFUNCTION("""COMPUTED_VALUE"""),"thuế giá trị gia tăng")</f>
        <v>thuế giá trị gia tăng</v>
      </c>
      <c r="AY6" s="21" t="str">
        <f>IFERROR(__xludf.DUMMYFUNCTION("""COMPUTED_VALUE"""),"https://techcombank.com/thong-tin/blog/tra-cuu-hoa-don-tien-dien")</f>
        <v>https://techcombank.com/thong-tin/blog/tra-cuu-hoa-don-tien-dien</v>
      </c>
      <c r="AZ6" s="16" t="str">
        <f>IFERROR(__xludf.DUMMYFUNCTION("""COMPUTED_VALUE"""),"thuế GTGT là gì")</f>
        <v>thuế GTGT là gì</v>
      </c>
      <c r="BA6" s="21" t="str">
        <f>IFERROR(__xludf.DUMMYFUNCTION("""COMPUTED_VALUE"""),"https://techcombank.com/thong-tin/blog/thanh-toan-hoa-don-tieu-dung")</f>
        <v>https://techcombank.com/thong-tin/blog/thanh-toan-hoa-don-tieu-dung</v>
      </c>
      <c r="BB6" s="16" t="str">
        <f>IFERROR(__xludf.DUMMYFUNCTION("""COMPUTED_VALUE"""),"thuế VAT")</f>
        <v>thuế VAT</v>
      </c>
      <c r="BC6" s="21" t="str">
        <f>IFERROR(__xludf.DUMMYFUNCTION("""COMPUTED_VALUE"""),"https://techcombank.com/thong-tin/blog/cach-huy-thanh-toan-tien-dien")</f>
        <v>https://techcombank.com/thong-tin/blog/cach-huy-thanh-toan-tien-dien</v>
      </c>
      <c r="BD6" s="16" t="str">
        <f>IFERROR(__xludf.DUMMYFUNCTION("""COMPUTED_VALUE"""),"thuế giá trị gia tăng")</f>
        <v>thuế giá trị gia tăng</v>
      </c>
      <c r="BE6" s="21" t="str">
        <f>IFERROR(__xludf.DUMMYFUNCTION("""COMPUTED_VALUE"""),"https://techcombank.com/thong-tin/blog/app-chia-tien")</f>
        <v>https://techcombank.com/thong-tin/blog/app-chia-tien</v>
      </c>
      <c r="BF6" s="16"/>
      <c r="BG6" s="16"/>
      <c r="BH6" s="16"/>
      <c r="BI6" s="16"/>
      <c r="BJ6" s="16"/>
      <c r="BK6" s="16"/>
      <c r="BL6" s="16"/>
      <c r="BM6" s="16"/>
      <c r="BN6" s="16"/>
      <c r="BO6" s="16"/>
      <c r="BP6" s="16"/>
      <c r="BQ6" s="16"/>
      <c r="BR6" s="16"/>
      <c r="BS6" s="16"/>
      <c r="BT6" s="16"/>
      <c r="BU6" s="16"/>
      <c r="BV6" s="16"/>
      <c r="BW6" s="16"/>
      <c r="BX6" s="16"/>
      <c r="BY6" s="16"/>
      <c r="BZ6" s="16"/>
      <c r="CA6" s="16"/>
      <c r="CB6" s="16"/>
      <c r="CC6" s="16"/>
      <c r="CD6" s="16"/>
      <c r="CE6" s="16"/>
      <c r="CF6" s="16"/>
      <c r="CG6" s="16"/>
      <c r="CH6" s="16"/>
      <c r="CI6" s="16"/>
      <c r="CJ6" s="16"/>
      <c r="CK6" s="16"/>
      <c r="CL6" s="16"/>
      <c r="CM6" s="16"/>
      <c r="CN6" s="16"/>
      <c r="CO6" s="16"/>
      <c r="CP6" s="16"/>
      <c r="CQ6" s="16"/>
      <c r="CR6" s="16"/>
      <c r="CS6" s="16"/>
      <c r="CT6" s="16"/>
      <c r="CU6" s="16"/>
      <c r="CV6" s="16"/>
      <c r="CW6" s="16"/>
      <c r="CX6" s="16"/>
      <c r="CY6" s="16"/>
      <c r="CZ6" s="16"/>
      <c r="DA6" s="16"/>
      <c r="DB6" s="16"/>
      <c r="DC6" s="16"/>
      <c r="DD6" s="16"/>
      <c r="DE6" s="16"/>
      <c r="DF6" s="16"/>
      <c r="DG6" s="16"/>
      <c r="DH6" s="16"/>
      <c r="DI6" s="16"/>
      <c r="DJ6" s="16"/>
      <c r="DK6" s="16"/>
      <c r="DL6" s="16"/>
      <c r="DM6" s="16"/>
      <c r="DN6" s="16"/>
      <c r="DO6" s="16"/>
      <c r="DP6" s="16"/>
      <c r="DQ6" s="16"/>
      <c r="DR6" s="16"/>
      <c r="DS6" s="16"/>
      <c r="DT6" s="16"/>
      <c r="DU6" s="16"/>
      <c r="DV6" s="16"/>
      <c r="DW6" s="16"/>
      <c r="DX6" s="16"/>
      <c r="DY6" s="16"/>
      <c r="DZ6" s="16"/>
      <c r="EA6" s="16"/>
      <c r="EB6" s="16"/>
      <c r="EC6" s="16"/>
      <c r="ED6" s="16"/>
      <c r="EE6" s="16"/>
      <c r="EF6" s="16"/>
      <c r="EG6" s="16"/>
      <c r="EH6" s="16"/>
      <c r="EI6" s="16"/>
      <c r="EJ6" s="16"/>
      <c r="EK6" s="16"/>
      <c r="EL6" s="16"/>
      <c r="EM6" s="16"/>
      <c r="EN6" s="16"/>
      <c r="EO6" s="16"/>
      <c r="EP6" s="16"/>
      <c r="EQ6" s="16"/>
      <c r="ER6" s="16"/>
      <c r="ES6" s="16"/>
      <c r="ET6" s="16"/>
      <c r="EU6" s="16"/>
      <c r="EV6" s="16"/>
      <c r="EW6" s="16"/>
      <c r="EX6" s="16"/>
      <c r="EY6" s="16"/>
      <c r="EZ6" s="16"/>
      <c r="FA6" s="16"/>
      <c r="FB6" s="16"/>
      <c r="FC6" s="16"/>
      <c r="FD6" s="16"/>
      <c r="FE6" s="16"/>
      <c r="FF6" s="16"/>
      <c r="FG6" s="16"/>
      <c r="FH6" s="16"/>
      <c r="FI6" s="16"/>
      <c r="FJ6" s="16"/>
      <c r="FK6" s="16"/>
      <c r="FL6" s="16"/>
      <c r="FM6" s="16"/>
      <c r="FN6" s="16"/>
      <c r="FO6" s="16"/>
      <c r="FP6" s="16"/>
      <c r="FQ6" s="16"/>
      <c r="FR6" s="16"/>
      <c r="FS6" s="16"/>
      <c r="FT6" s="16"/>
      <c r="FU6" s="16"/>
      <c r="FV6" s="16"/>
      <c r="FW6" s="16"/>
      <c r="FX6" s="16"/>
      <c r="FY6" s="16"/>
      <c r="FZ6" s="16"/>
      <c r="GA6" s="16"/>
      <c r="GB6" s="16"/>
      <c r="GC6" s="16"/>
      <c r="GD6" s="16"/>
      <c r="GE6" s="16"/>
      <c r="GF6" s="16"/>
      <c r="GG6" s="16"/>
      <c r="GH6" s="16"/>
      <c r="GI6" s="16"/>
      <c r="GJ6" s="16"/>
      <c r="GK6" s="16"/>
      <c r="GL6" s="16"/>
      <c r="GM6" s="16"/>
      <c r="GN6" s="16"/>
      <c r="GO6" s="16"/>
    </row>
    <row r="7" ht="18.0" customHeight="1">
      <c r="A7" s="15">
        <v>6.0</v>
      </c>
      <c r="B7" s="16" t="s">
        <v>280</v>
      </c>
      <c r="C7" s="17" t="s">
        <v>443</v>
      </c>
      <c r="D7" s="16" t="s">
        <v>97</v>
      </c>
      <c r="E7" s="15">
        <f>COUNTIF('Tổng hợp 75 trang đích'!$B$2:$B$2505,$D7)</f>
        <v>10</v>
      </c>
      <c r="F7" s="15">
        <f>COUNTIFS('Tổng hợp 75 trang đích'!$B$2:$B$2505,$D7,'Tổng hợp 75 trang đích'!$K$2:$K$2505,"PHÙ HỢP CAO")</f>
        <v>2</v>
      </c>
      <c r="G7" s="15">
        <f>COUNTIFS('Tổng hợp 75 trang đích'!$B$2:$B$2505,$D7,'Tổng hợp 75 trang đích'!$K$2:$K$2505,"CÓ THỂ ĐI")</f>
        <v>3</v>
      </c>
      <c r="H7" s="15">
        <f>COUNTIFS('Tổng hợp 75 trang đích'!$B$2:$B$2505,$D7,'Tổng hợp 75 trang đích'!$K$2:$K$2505,"CẦN SOÁT")</f>
        <v>5</v>
      </c>
      <c r="I7" s="19" t="s">
        <v>256</v>
      </c>
      <c r="J7" s="19" t="b">
        <v>0</v>
      </c>
      <c r="K7" s="20" t="s">
        <v>258</v>
      </c>
      <c r="L7" s="16" t="str">
        <f>IFERROR(__xludf.DUMMYFUNCTION("IFERROR(TOROW(CHOOSECOLS(SORT(FILTER({'Tổng hợp 75 trang đích'!$J$2:$J$2505,'Tổng hợp 75 trang đích'!$I$2:$I$2505,MATCH('Tổng hợp 75 trang đích'!$K$2:$K$2505,{""PHÙ HỢP CAO"",""CÓ THỂ ĐI"",""CẦN SOÁT""},0)},'Tổng hợp 75 trang đích'!$B$2:$B$2505=$D7),3,TRU"&amp;"E),1,2)),"""")"),"tra cứu nợ thuế doanh nghiệp")</f>
        <v>tra cứu nợ thuế doanh nghiệp</v>
      </c>
      <c r="M7" s="21" t="str">
        <f>IFERROR(__xludf.DUMMYFUNCTION("""COMPUTED_VALUE"""),"https://techcombank.com/thong-tin/blog/kiem-tra-ma-so-thue-doanh-nghiep")</f>
        <v>https://techcombank.com/thong-tin/blog/kiem-tra-ma-so-thue-doanh-nghiep</v>
      </c>
      <c r="N7" s="16" t="str">
        <f>IFERROR(__xludf.DUMMYFUNCTION("""COMPUTED_VALUE"""),"kiểm tra nợ thuế doanh nghiệp")</f>
        <v>kiểm tra nợ thuế doanh nghiệp</v>
      </c>
      <c r="O7" s="21" t="str">
        <f>IFERROR(__xludf.DUMMYFUNCTION("""COMPUTED_VALUE"""),"https://techcombank.com/thong-tin/blog/tra-cuu-no-thue-hai-quan")</f>
        <v>https://techcombank.com/thong-tin/blog/tra-cuu-no-thue-hai-quan</v>
      </c>
      <c r="P7" s="16" t="str">
        <f>IFERROR(__xludf.DUMMYFUNCTION("""COMPUTED_VALUE"""),"tra cứu nợ thuế theo mã số thuế")</f>
        <v>tra cứu nợ thuế theo mã số thuế</v>
      </c>
      <c r="Q7" s="21" t="str">
        <f>IFERROR(__xludf.DUMMYFUNCTION("""COMPUTED_VALUE"""),"https://techcombank.com/thong-tin/blog/quyet-toan-thue-doanh-nghiep")</f>
        <v>https://techcombank.com/thong-tin/blog/quyet-toan-thue-doanh-nghiep</v>
      </c>
      <c r="R7" s="16" t="str">
        <f>IFERROR(__xludf.DUMMYFUNCTION("""COMPUTED_VALUE"""),"tra cứu nợ thuế doanh nghiệp")</f>
        <v>tra cứu nợ thuế doanh nghiệp</v>
      </c>
      <c r="S7" s="21" t="str">
        <f>IFERROR(__xludf.DUMMYFUNCTION("""COMPUTED_VALUE"""),"https://techcombank.com/thong-tin/blog/ke-khai-thue-doanh-nghiep")</f>
        <v>https://techcombank.com/thong-tin/blog/ke-khai-thue-doanh-nghiep</v>
      </c>
      <c r="T7" s="16" t="str">
        <f>IFERROR(__xludf.DUMMYFUNCTION("""COMPUTED_VALUE"""),"kiểm tra nợ thuế doanh nghiệp")</f>
        <v>kiểm tra nợ thuế doanh nghiệp</v>
      </c>
      <c r="U7" s="21" t="str">
        <f>IFERROR(__xludf.DUMMYFUNCTION("""COMPUTED_VALUE"""),"https://techcombank.com/thong-tin/blog/tra-cuu-no-thue-ho-kinh-doanh")</f>
        <v>https://techcombank.com/thong-tin/blog/tra-cuu-no-thue-ho-kinh-doanh</v>
      </c>
      <c r="V7" s="16" t="str">
        <f>IFERROR(__xludf.DUMMYFUNCTION("""COMPUTED_VALUE"""),"tra cứu nợ thuế theo mã số thuế")</f>
        <v>tra cứu nợ thuế theo mã số thuế</v>
      </c>
      <c r="W7" s="21" t="str">
        <f>IFERROR(__xludf.DUMMYFUNCTION("""COMPUTED_VALUE"""),"https://techcombank.com/thong-tin/blog/hoan-thue-doanh-nghiep")</f>
        <v>https://techcombank.com/thong-tin/blog/hoan-thue-doanh-nghiep</v>
      </c>
      <c r="X7" s="16" t="str">
        <f>IFERROR(__xludf.DUMMYFUNCTION("""COMPUTED_VALUE"""),"tra cứu nợ thuế doanh nghiệp")</f>
        <v>tra cứu nợ thuế doanh nghiệp</v>
      </c>
      <c r="Y7" s="21" t="str">
        <f>IFERROR(__xludf.DUMMYFUNCTION("""COMPUTED_VALUE"""),"https://techcombank.com/thong-tin/blog/cach-tinh-thue-thu-nhap-doanh-nghiep")</f>
        <v>https://techcombank.com/thong-tin/blog/cach-tinh-thue-thu-nhap-doanh-nghiep</v>
      </c>
      <c r="Z7" s="16" t="str">
        <f>IFERROR(__xludf.DUMMYFUNCTION("""COMPUTED_VALUE"""),"kiểm tra nợ thuế doanh nghiệp")</f>
        <v>kiểm tra nợ thuế doanh nghiệp</v>
      </c>
      <c r="AA7" s="21" t="str">
        <f>IFERROR(__xludf.DUMMYFUNCTION("""COMPUTED_VALUE"""),"https://techcombank.com/thong-tin/blog/giai-dap-ve-thue-doanh-nghiep")</f>
        <v>https://techcombank.com/thong-tin/blog/giai-dap-ve-thue-doanh-nghiep</v>
      </c>
      <c r="AB7" s="16" t="str">
        <f>IFERROR(__xludf.DUMMYFUNCTION("""COMPUTED_VALUE"""),"tra cứu nợ thuế theo mã số thuế")</f>
        <v>tra cứu nợ thuế theo mã số thuế</v>
      </c>
      <c r="AC7" s="21" t="str">
        <f>IFERROR(__xludf.DUMMYFUNCTION("""COMPUTED_VALUE"""),"https://techcombank.com/thong-tin/blog/tra-cuu-no-thue-ca-nhan")</f>
        <v>https://techcombank.com/thong-tin/blog/tra-cuu-no-thue-ca-nhan</v>
      </c>
      <c r="AD7" s="16" t="str">
        <f>IFERROR(__xludf.DUMMYFUNCTION("""COMPUTED_VALUE"""),"tra cứu nợ thuế doanh nghiệp")</f>
        <v>tra cứu nợ thuế doanh nghiệp</v>
      </c>
      <c r="AE7" s="21" t="str">
        <f>IFERROR(__xludf.DUMMYFUNCTION("""COMPUTED_VALUE"""),"https://techcombank.com/thong-tin/blog/thue-doanh-nghiep")</f>
        <v>https://techcombank.com/thong-tin/blog/thue-doanh-nghiep</v>
      </c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  <c r="BM7" s="16"/>
      <c r="BN7" s="16"/>
      <c r="BO7" s="16"/>
      <c r="BP7" s="16"/>
      <c r="BQ7" s="16"/>
      <c r="BR7" s="16"/>
      <c r="BS7" s="16"/>
      <c r="BT7" s="16"/>
      <c r="BU7" s="16"/>
      <c r="BV7" s="16"/>
      <c r="BW7" s="16"/>
      <c r="BX7" s="16"/>
      <c r="BY7" s="16"/>
      <c r="BZ7" s="16"/>
      <c r="CA7" s="16"/>
      <c r="CB7" s="16"/>
      <c r="CC7" s="16"/>
      <c r="CD7" s="16"/>
      <c r="CE7" s="16"/>
      <c r="CF7" s="16"/>
      <c r="CG7" s="16"/>
      <c r="CH7" s="16"/>
      <c r="CI7" s="16"/>
      <c r="CJ7" s="16"/>
      <c r="CK7" s="16"/>
      <c r="CL7" s="16"/>
      <c r="CM7" s="16"/>
      <c r="CN7" s="16"/>
      <c r="CO7" s="16"/>
      <c r="CP7" s="16"/>
      <c r="CQ7" s="16"/>
      <c r="CR7" s="16"/>
      <c r="CS7" s="16"/>
      <c r="CT7" s="16"/>
      <c r="CU7" s="16"/>
      <c r="CV7" s="16"/>
      <c r="CW7" s="16"/>
      <c r="CX7" s="16"/>
      <c r="CY7" s="16"/>
      <c r="CZ7" s="16"/>
      <c r="DA7" s="16"/>
      <c r="DB7" s="16"/>
      <c r="DC7" s="16"/>
      <c r="DD7" s="16"/>
      <c r="DE7" s="16"/>
      <c r="DF7" s="16"/>
      <c r="DG7" s="16"/>
      <c r="DH7" s="16"/>
      <c r="DI7" s="16"/>
      <c r="DJ7" s="16"/>
      <c r="DK7" s="16"/>
      <c r="DL7" s="16"/>
      <c r="DM7" s="16"/>
      <c r="DN7" s="16"/>
      <c r="DO7" s="16"/>
      <c r="DP7" s="16"/>
      <c r="DQ7" s="16"/>
      <c r="DR7" s="16"/>
      <c r="DS7" s="16"/>
      <c r="DT7" s="16"/>
      <c r="DU7" s="16"/>
      <c r="DV7" s="16"/>
      <c r="DW7" s="16"/>
      <c r="DX7" s="16"/>
      <c r="DY7" s="16"/>
      <c r="DZ7" s="16"/>
      <c r="EA7" s="16"/>
      <c r="EB7" s="16"/>
      <c r="EC7" s="16"/>
      <c r="ED7" s="16"/>
      <c r="EE7" s="16"/>
      <c r="EF7" s="16"/>
      <c r="EG7" s="16"/>
      <c r="EH7" s="16"/>
      <c r="EI7" s="16"/>
      <c r="EJ7" s="16"/>
      <c r="EK7" s="16"/>
      <c r="EL7" s="16"/>
      <c r="EM7" s="16"/>
      <c r="EN7" s="16"/>
      <c r="EO7" s="16"/>
      <c r="EP7" s="16"/>
      <c r="EQ7" s="16"/>
      <c r="ER7" s="16"/>
      <c r="ES7" s="16"/>
      <c r="ET7" s="16"/>
      <c r="EU7" s="16"/>
      <c r="EV7" s="16"/>
      <c r="EW7" s="16"/>
      <c r="EX7" s="16"/>
      <c r="EY7" s="16"/>
      <c r="EZ7" s="16"/>
      <c r="FA7" s="16"/>
      <c r="FB7" s="16"/>
      <c r="FC7" s="16"/>
      <c r="FD7" s="16"/>
      <c r="FE7" s="16"/>
      <c r="FF7" s="16"/>
      <c r="FG7" s="16"/>
      <c r="FH7" s="16"/>
      <c r="FI7" s="16"/>
      <c r="FJ7" s="16"/>
      <c r="FK7" s="16"/>
      <c r="FL7" s="16"/>
      <c r="FM7" s="16"/>
      <c r="FN7" s="16"/>
      <c r="FO7" s="16"/>
      <c r="FP7" s="16"/>
      <c r="FQ7" s="16"/>
      <c r="FR7" s="16"/>
      <c r="FS7" s="16"/>
      <c r="FT7" s="16"/>
      <c r="FU7" s="16"/>
      <c r="FV7" s="16"/>
      <c r="FW7" s="16"/>
      <c r="FX7" s="16"/>
      <c r="FY7" s="16"/>
      <c r="FZ7" s="16"/>
      <c r="GA7" s="16"/>
      <c r="GB7" s="16"/>
      <c r="GC7" s="16"/>
      <c r="GD7" s="16"/>
      <c r="GE7" s="16"/>
      <c r="GF7" s="16"/>
      <c r="GG7" s="16"/>
      <c r="GH7" s="16"/>
      <c r="GI7" s="16"/>
      <c r="GJ7" s="16"/>
      <c r="GK7" s="16"/>
      <c r="GL7" s="16"/>
      <c r="GM7" s="16"/>
      <c r="GN7" s="16"/>
      <c r="GO7" s="16"/>
    </row>
    <row r="8" ht="18.0" customHeight="1">
      <c r="A8" s="15">
        <v>7.0</v>
      </c>
      <c r="B8" s="16" t="s">
        <v>280</v>
      </c>
      <c r="C8" s="17" t="s">
        <v>457</v>
      </c>
      <c r="D8" s="16" t="s">
        <v>110</v>
      </c>
      <c r="E8" s="15">
        <f>COUNTIF('Tổng hợp 75 trang đích'!$B$2:$B$2505,$D8)</f>
        <v>19</v>
      </c>
      <c r="F8" s="15">
        <f>COUNTIFS('Tổng hợp 75 trang đích'!$B$2:$B$2505,$D8,'Tổng hợp 75 trang đích'!$K$2:$K$2505,"PHÙ HỢP CAO")</f>
        <v>3</v>
      </c>
      <c r="G8" s="15">
        <f>COUNTIFS('Tổng hợp 75 trang đích'!$B$2:$B$2505,$D8,'Tổng hợp 75 trang đích'!$K$2:$K$2505,"CÓ THỂ ĐI")</f>
        <v>2</v>
      </c>
      <c r="H8" s="15">
        <f>COUNTIFS('Tổng hợp 75 trang đích'!$B$2:$B$2505,$D8,'Tổng hợp 75 trang đích'!$K$2:$K$2505,"CẦN SOÁT")</f>
        <v>14</v>
      </c>
      <c r="I8" s="19" t="s">
        <v>256</v>
      </c>
      <c r="J8" s="19" t="b">
        <v>0</v>
      </c>
      <c r="K8" s="20" t="s">
        <v>258</v>
      </c>
      <c r="L8" s="16" t="str">
        <f>IFERROR(__xludf.DUMMYFUNCTION("IFERROR(TOROW(CHOOSECOLS(SORT(FILTER({'Tổng hợp 75 trang đích'!$J$2:$J$2505,'Tổng hợp 75 trang đích'!$I$2:$I$2505,MATCH('Tổng hợp 75 trang đích'!$K$2:$K$2505,{""PHÙ HỢP CAO"",""CÓ THỂ ĐI"",""CẦN SOÁT""},0)},'Tổng hợp 75 trang đích'!$B$2:$B$2505=$D8),3,TRU"&amp;"E),1,2)),"""")"),"các loại thuế doanh nghiệp phải nộp")</f>
        <v>các loại thuế doanh nghiệp phải nộp</v>
      </c>
      <c r="M8" s="21" t="str">
        <f>IFERROR(__xludf.DUMMYFUNCTION("""COMPUTED_VALUE"""),"https://techcombank.com/thong-tin/blog/giai-dap-ve-thue-doanh-nghiep")</f>
        <v>https://techcombank.com/thong-tin/blog/giai-dap-ve-thue-doanh-nghiep</v>
      </c>
      <c r="N8" s="16" t="str">
        <f>IFERROR(__xludf.DUMMYFUNCTION("""COMPUTED_VALUE"""),"thuế doanh nghiệp")</f>
        <v>thuế doanh nghiệp</v>
      </c>
      <c r="O8" s="21" t="str">
        <f>IFERROR(__xludf.DUMMYFUNCTION("""COMPUTED_VALUE"""),"https://techcombank.com/thong-tin/blog/hieu-hiet-ve-tuan-thu-thue-cho-cac-doanh-nghiep-khoi-nghiep")</f>
        <v>https://techcombank.com/thong-tin/blog/hieu-hiet-ve-tuan-thu-thue-cho-cac-doanh-nghiep-khoi-nghiep</v>
      </c>
      <c r="P8" s="16" t="str">
        <f>IFERROR(__xludf.DUMMYFUNCTION("""COMPUTED_VALUE"""),"doanh nghiệp phải nộp những loại thuế nào")</f>
        <v>doanh nghiệp phải nộp những loại thuế nào</v>
      </c>
      <c r="Q8" s="21" t="str">
        <f>IFERROR(__xludf.DUMMYFUNCTION("""COMPUTED_VALUE"""),"https://techcombank.com/thong-tin/blog/thue-phi-co-dinh-khi-chuyen-doi-tu-ho-kinh-doanh-len-doanh-nghiep")</f>
        <v>https://techcombank.com/thong-tin/blog/thue-phi-co-dinh-khi-chuyen-doi-tu-ho-kinh-doanh-len-doanh-nghiep</v>
      </c>
      <c r="R8" s="16" t="str">
        <f>IFERROR(__xludf.DUMMYFUNCTION("""COMPUTED_VALUE"""),"các loại thuế doanh nghiệp phải nộp")</f>
        <v>các loại thuế doanh nghiệp phải nộp</v>
      </c>
      <c r="S8" s="21" t="str">
        <f>IFERROR(__xludf.DUMMYFUNCTION("""COMPUTED_VALUE"""),"https://techcombank.com/thong-tin/blog/thue-doanh-nghiep-2025")</f>
        <v>https://techcombank.com/thong-tin/blog/thue-doanh-nghiep-2025</v>
      </c>
      <c r="T8" s="16" t="str">
        <f>IFERROR(__xludf.DUMMYFUNCTION("""COMPUTED_VALUE"""),"thuế doanh nghiệp")</f>
        <v>thuế doanh nghiệp</v>
      </c>
      <c r="U8" s="21" t="str">
        <f>IFERROR(__xludf.DUMMYFUNCTION("""COMPUTED_VALUE"""),"https://techcombank.com/thong-tin/blog/dieu-kien-thanh-lap-doanh-nghiep")</f>
        <v>https://techcombank.com/thong-tin/blog/dieu-kien-thanh-lap-doanh-nghiep</v>
      </c>
      <c r="V8" s="16" t="str">
        <f>IFERROR(__xludf.DUMMYFUNCTION("""COMPUTED_VALUE"""),"doanh nghiệp phải nộp những loại thuế nào")</f>
        <v>doanh nghiệp phải nộp những loại thuế nào</v>
      </c>
      <c r="W8" s="21" t="str">
        <f>IFERROR(__xludf.DUMMYFUNCTION("""COMPUTED_VALUE"""),"https://techcombank.com/thong-tin/blog/huong-dan-dang-ky-thanh-lap-doanh-nghiep")</f>
        <v>https://techcombank.com/thong-tin/blog/huong-dan-dang-ky-thanh-lap-doanh-nghiep</v>
      </c>
      <c r="X8" s="16" t="str">
        <f>IFERROR(__xludf.DUMMYFUNCTION("""COMPUTED_VALUE"""),"các loại thuế doanh nghiệp phải nộp")</f>
        <v>các loại thuế doanh nghiệp phải nộp</v>
      </c>
      <c r="Y8" s="21" t="str">
        <f>IFERROR(__xludf.DUMMYFUNCTION("""COMPUTED_VALUE"""),"https://techcombank.com/thong-tin/blog/hoan-thue-doanh-nghiep")</f>
        <v>https://techcombank.com/thong-tin/blog/hoan-thue-doanh-nghiep</v>
      </c>
      <c r="Z8" s="16" t="str">
        <f>IFERROR(__xludf.DUMMYFUNCTION("""COMPUTED_VALUE"""),"thuế doanh nghiệp")</f>
        <v>thuế doanh nghiệp</v>
      </c>
      <c r="AA8" s="21" t="str">
        <f>IFERROR(__xludf.DUMMYFUNCTION("""COMPUTED_VALUE"""),"https://techcombank.com/thong-tin/blog/dang-ky-thanh-lap-doanh-nghiep")</f>
        <v>https://techcombank.com/thong-tin/blog/dang-ky-thanh-lap-doanh-nghiep</v>
      </c>
      <c r="AB8" s="16" t="str">
        <f>IFERROR(__xludf.DUMMYFUNCTION("""COMPUTED_VALUE"""),"doanh nghiệp phải nộp những loại thuế nào")</f>
        <v>doanh nghiệp phải nộp những loại thuế nào</v>
      </c>
      <c r="AC8" s="21" t="str">
        <f>IFERROR(__xludf.DUMMYFUNCTION("""COMPUTED_VALUE"""),"https://techcombank.com/thong-tin/blog/cach-tinh-thue-thu-nhap-doanh-nghiep")</f>
        <v>https://techcombank.com/thong-tin/blog/cach-tinh-thue-thu-nhap-doanh-nghiep</v>
      </c>
      <c r="AD8" s="16" t="str">
        <f>IFERROR(__xludf.DUMMYFUNCTION("""COMPUTED_VALUE"""),"các loại thuế doanh nghiệp phải nộp")</f>
        <v>các loại thuế doanh nghiệp phải nộp</v>
      </c>
      <c r="AE8" s="21" t="str">
        <f>IFERROR(__xludf.DUMMYFUNCTION("""COMPUTED_VALUE"""),"https://techcombank.com/thong-tin/blog/kiem-tra-ma-so-thue-doanh-nghiep")</f>
        <v>https://techcombank.com/thong-tin/blog/kiem-tra-ma-so-thue-doanh-nghiep</v>
      </c>
      <c r="AF8" s="16" t="str">
        <f>IFERROR(__xludf.DUMMYFUNCTION("""COMPUTED_VALUE"""),"thuế doanh nghiệp")</f>
        <v>thuế doanh nghiệp</v>
      </c>
      <c r="AG8" s="21" t="str">
        <f>IFERROR(__xludf.DUMMYFUNCTION("""COMPUTED_VALUE"""),"https://techcombank.com/thong-tin/blog/chinh-sach-thue-moi")</f>
        <v>https://techcombank.com/thong-tin/blog/chinh-sach-thue-moi</v>
      </c>
      <c r="AH8" s="16" t="str">
        <f>IFERROR(__xludf.DUMMYFUNCTION("""COMPUTED_VALUE"""),"doanh nghiệp phải nộp những loại thuế nào")</f>
        <v>doanh nghiệp phải nộp những loại thuế nào</v>
      </c>
      <c r="AI8" s="21" t="str">
        <f>IFERROR(__xludf.DUMMYFUNCTION("""COMPUTED_VALUE"""),"https://techcombank.com/thong-tin/blog/ho-so-dang-ky-thanh-lap-doanh-nghiep")</f>
        <v>https://techcombank.com/thong-tin/blog/ho-so-dang-ky-thanh-lap-doanh-nghiep</v>
      </c>
      <c r="AJ8" s="16" t="str">
        <f>IFERROR(__xludf.DUMMYFUNCTION("""COMPUTED_VALUE"""),"các loại thuế doanh nghiệp phải nộp")</f>
        <v>các loại thuế doanh nghiệp phải nộp</v>
      </c>
      <c r="AK8" s="21" t="str">
        <f>IFERROR(__xludf.DUMMYFUNCTION("""COMPUTED_VALUE"""),"https://techcombank.com/thong-tin/blog/chuan-bi-cho-doanh-nghiep-khoi-nghiep-truoc-nhung-thay-doi-ve-thue")</f>
        <v>https://techcombank.com/thong-tin/blog/chuan-bi-cho-doanh-nghiep-khoi-nghiep-truoc-nhung-thay-doi-ve-thue</v>
      </c>
      <c r="AL8" s="16" t="str">
        <f>IFERROR(__xludf.DUMMYFUNCTION("""COMPUTED_VALUE"""),"thuế doanh nghiệp")</f>
        <v>thuế doanh nghiệp</v>
      </c>
      <c r="AM8" s="21" t="str">
        <f>IFERROR(__xludf.DUMMYFUNCTION("""COMPUTED_VALUE"""),"https://techcombank.com/thong-tin/blog/tim-hieu-ve-chinh-sach-thue-moi")</f>
        <v>https://techcombank.com/thong-tin/blog/tim-hieu-ve-chinh-sach-thue-moi</v>
      </c>
      <c r="AN8" s="16" t="str">
        <f>IFERROR(__xludf.DUMMYFUNCTION("""COMPUTED_VALUE"""),"doanh nghiệp phải nộp những loại thuế nào")</f>
        <v>doanh nghiệp phải nộp những loại thuế nào</v>
      </c>
      <c r="AO8" s="21" t="str">
        <f>IFERROR(__xludf.DUMMYFUNCTION("""COMPUTED_VALUE"""),"https://techcombank.com/thong-tin/blog/quyet-toan-thue-doanh-nghiep")</f>
        <v>https://techcombank.com/thong-tin/blog/quyet-toan-thue-doanh-nghiep</v>
      </c>
      <c r="AP8" s="16" t="str">
        <f>IFERROR(__xludf.DUMMYFUNCTION("""COMPUTED_VALUE"""),"các loại thuế doanh nghiệp phải nộp")</f>
        <v>các loại thuế doanh nghiệp phải nộp</v>
      </c>
      <c r="AQ8" s="21" t="str">
        <f>IFERROR(__xludf.DUMMYFUNCTION("""COMPUTED_VALUE"""),"https://techcombank.com/thong-tin/blog/ke-khai-thue-doanh-nghiep")</f>
        <v>https://techcombank.com/thong-tin/blog/ke-khai-thue-doanh-nghiep</v>
      </c>
      <c r="AR8" s="16" t="str">
        <f>IFERROR(__xludf.DUMMYFUNCTION("""COMPUTED_VALUE"""),"thuế doanh nghiệp")</f>
        <v>thuế doanh nghiệp</v>
      </c>
      <c r="AS8" s="21" t="str">
        <f>IFERROR(__xludf.DUMMYFUNCTION("""COMPUTED_VALUE"""),"https://techcombank.com/thong-tin/blog/dang-ky-thanh-lap-doanh-nghiep-online")</f>
        <v>https://techcombank.com/thong-tin/blog/dang-ky-thanh-lap-doanh-nghiep-online</v>
      </c>
      <c r="AT8" s="16" t="str">
        <f>IFERROR(__xludf.DUMMYFUNCTION("""COMPUTED_VALUE"""),"doanh nghiệp phải nộp những loại thuế nào")</f>
        <v>doanh nghiệp phải nộp những loại thuế nào</v>
      </c>
      <c r="AU8" s="21" t="str">
        <f>IFERROR(__xludf.DUMMYFUNCTION("""COMPUTED_VALUE"""),"https://techcombank.com/thong-tin/blog/tra-cuu-no-thue-doanh-nghiep")</f>
        <v>https://techcombank.com/thong-tin/blog/tra-cuu-no-thue-doanh-nghiep</v>
      </c>
      <c r="AV8" s="16" t="str">
        <f>IFERROR(__xludf.DUMMYFUNCTION("""COMPUTED_VALUE"""),"các loại thuế doanh nghiệp phải nộp")</f>
        <v>các loại thuế doanh nghiệp phải nộp</v>
      </c>
      <c r="AW8" s="21" t="str">
        <f>IFERROR(__xludf.DUMMYFUNCTION("""COMPUTED_VALUE"""),"https://techcombank.com/thong-tin/blog/thu-tuc-thanh-lap-doanh-nghiep")</f>
        <v>https://techcombank.com/thong-tin/blog/thu-tuc-thanh-lap-doanh-nghiep</v>
      </c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  <c r="BM8" s="16"/>
      <c r="BN8" s="16"/>
      <c r="BO8" s="16"/>
      <c r="BP8" s="16"/>
      <c r="BQ8" s="16"/>
      <c r="BR8" s="16"/>
      <c r="BS8" s="16"/>
      <c r="BT8" s="16"/>
      <c r="BU8" s="16"/>
      <c r="BV8" s="16"/>
      <c r="BW8" s="16"/>
      <c r="BX8" s="16"/>
      <c r="BY8" s="16"/>
      <c r="BZ8" s="16"/>
      <c r="CA8" s="16"/>
      <c r="CB8" s="16"/>
      <c r="CC8" s="16"/>
      <c r="CD8" s="16"/>
      <c r="CE8" s="16"/>
      <c r="CF8" s="16"/>
      <c r="CG8" s="16"/>
      <c r="CH8" s="16"/>
      <c r="CI8" s="16"/>
      <c r="CJ8" s="16"/>
      <c r="CK8" s="16"/>
      <c r="CL8" s="16"/>
      <c r="CM8" s="16"/>
      <c r="CN8" s="16"/>
      <c r="CO8" s="16"/>
      <c r="CP8" s="16"/>
      <c r="CQ8" s="16"/>
      <c r="CR8" s="16"/>
      <c r="CS8" s="16"/>
      <c r="CT8" s="16"/>
      <c r="CU8" s="16"/>
      <c r="CV8" s="16"/>
      <c r="CW8" s="16"/>
      <c r="CX8" s="16"/>
      <c r="CY8" s="16"/>
      <c r="CZ8" s="16"/>
      <c r="DA8" s="16"/>
      <c r="DB8" s="16"/>
      <c r="DC8" s="16"/>
      <c r="DD8" s="16"/>
      <c r="DE8" s="16"/>
      <c r="DF8" s="16"/>
      <c r="DG8" s="16"/>
      <c r="DH8" s="16"/>
      <c r="DI8" s="16"/>
      <c r="DJ8" s="16"/>
      <c r="DK8" s="16"/>
      <c r="DL8" s="16"/>
      <c r="DM8" s="16"/>
      <c r="DN8" s="16"/>
      <c r="DO8" s="16"/>
      <c r="DP8" s="16"/>
      <c r="DQ8" s="16"/>
      <c r="DR8" s="16"/>
      <c r="DS8" s="16"/>
      <c r="DT8" s="16"/>
      <c r="DU8" s="16"/>
      <c r="DV8" s="16"/>
      <c r="DW8" s="16"/>
      <c r="DX8" s="16"/>
      <c r="DY8" s="16"/>
      <c r="DZ8" s="16"/>
      <c r="EA8" s="16"/>
      <c r="EB8" s="16"/>
      <c r="EC8" s="16"/>
      <c r="ED8" s="16"/>
      <c r="EE8" s="16"/>
      <c r="EF8" s="16"/>
      <c r="EG8" s="16"/>
      <c r="EH8" s="16"/>
      <c r="EI8" s="16"/>
      <c r="EJ8" s="16"/>
      <c r="EK8" s="16"/>
      <c r="EL8" s="16"/>
      <c r="EM8" s="16"/>
      <c r="EN8" s="16"/>
      <c r="EO8" s="16"/>
      <c r="EP8" s="16"/>
      <c r="EQ8" s="16"/>
      <c r="ER8" s="16"/>
      <c r="ES8" s="16"/>
      <c r="ET8" s="16"/>
      <c r="EU8" s="16"/>
      <c r="EV8" s="16"/>
      <c r="EW8" s="16"/>
      <c r="EX8" s="16"/>
      <c r="EY8" s="16"/>
      <c r="EZ8" s="16"/>
      <c r="FA8" s="16"/>
      <c r="FB8" s="16"/>
      <c r="FC8" s="16"/>
      <c r="FD8" s="16"/>
      <c r="FE8" s="16"/>
      <c r="FF8" s="16"/>
      <c r="FG8" s="16"/>
      <c r="FH8" s="16"/>
      <c r="FI8" s="16"/>
      <c r="FJ8" s="16"/>
      <c r="FK8" s="16"/>
      <c r="FL8" s="16"/>
      <c r="FM8" s="16"/>
      <c r="FN8" s="16"/>
      <c r="FO8" s="16"/>
      <c r="FP8" s="16"/>
      <c r="FQ8" s="16"/>
      <c r="FR8" s="16"/>
      <c r="FS8" s="16"/>
      <c r="FT8" s="16"/>
      <c r="FU8" s="16"/>
      <c r="FV8" s="16"/>
      <c r="FW8" s="16"/>
      <c r="FX8" s="16"/>
      <c r="FY8" s="16"/>
      <c r="FZ8" s="16"/>
      <c r="GA8" s="16"/>
      <c r="GB8" s="16"/>
      <c r="GC8" s="16"/>
      <c r="GD8" s="16"/>
      <c r="GE8" s="16"/>
      <c r="GF8" s="16"/>
      <c r="GG8" s="16"/>
      <c r="GH8" s="16"/>
      <c r="GI8" s="16"/>
      <c r="GJ8" s="16"/>
      <c r="GK8" s="16"/>
      <c r="GL8" s="16"/>
      <c r="GM8" s="16"/>
      <c r="GN8" s="16"/>
      <c r="GO8" s="16"/>
    </row>
    <row r="9" ht="18.0" customHeight="1">
      <c r="A9" s="15">
        <v>8.0</v>
      </c>
      <c r="B9" s="16" t="s">
        <v>280</v>
      </c>
      <c r="C9" s="17" t="s">
        <v>499</v>
      </c>
      <c r="D9" s="16" t="s">
        <v>126</v>
      </c>
      <c r="E9" s="15">
        <f>COUNTIF('Tổng hợp 75 trang đích'!$B$2:$B$2505,$D9)</f>
        <v>13</v>
      </c>
      <c r="F9" s="15">
        <f>COUNTIFS('Tổng hợp 75 trang đích'!$B$2:$B$2505,$D9,'Tổng hợp 75 trang đích'!$K$2:$K$2505,"PHÙ HỢP CAO")</f>
        <v>3</v>
      </c>
      <c r="G9" s="15">
        <f>COUNTIFS('Tổng hợp 75 trang đích'!$B$2:$B$2505,$D9,'Tổng hợp 75 trang đích'!$K$2:$K$2505,"CÓ THỂ ĐI")</f>
        <v>2</v>
      </c>
      <c r="H9" s="15">
        <f>COUNTIFS('Tổng hợp 75 trang đích'!$B$2:$B$2505,$D9,'Tổng hợp 75 trang đích'!$K$2:$K$2505,"CẦN SOÁT")</f>
        <v>8</v>
      </c>
      <c r="I9" s="19" t="s">
        <v>256</v>
      </c>
      <c r="J9" s="19" t="b">
        <v>0</v>
      </c>
      <c r="K9" s="20" t="s">
        <v>258</v>
      </c>
      <c r="L9" s="16" t="str">
        <f>IFERROR(__xludf.DUMMYFUNCTION("IFERROR(TOROW(CHOOSECOLS(SORT(FILTER({'Tổng hợp 75 trang đích'!$J$2:$J$2505,'Tổng hợp 75 trang đích'!$I$2:$I$2505,MATCH('Tổng hợp 75 trang đích'!$K$2:$K$2505,{""PHÙ HỢP CAO"",""CÓ THỂ ĐI"",""CẦN SOÁT""},0)},'Tổng hợp 75 trang đích'!$B$2:$B$2505=$D9),3,TRU"&amp;"E),1,2)),"""")"),"công ty sử dụng tài khoản cá nhân")</f>
        <v>công ty sử dụng tài khoản cá nhân</v>
      </c>
      <c r="M9" s="21" t="str">
        <f>IFERROR(__xludf.DUMMYFUNCTION("""COMPUTED_VALUE"""),"https://techcombank.com/thong-tin/blog/mo-tai-khoan-doanh-nghiep")</f>
        <v>https://techcombank.com/thong-tin/blog/mo-tai-khoan-doanh-nghiep</v>
      </c>
      <c r="N9" s="16" t="str">
        <f>IFERROR(__xludf.DUMMYFUNCTION("""COMPUTED_VALUE"""),"công ty dùng tài khoản cá nhân có được không")</f>
        <v>công ty dùng tài khoản cá nhân có được không</v>
      </c>
      <c r="O9" s="21" t="str">
        <f>IFERROR(__xludf.DUMMYFUNCTION("""COMPUTED_VALUE"""),"https://techcombank.com/thong-tin/blog/luu-y-khi-chuyen-tien-vao-tai-khoan-cong-ty")</f>
        <v>https://techcombank.com/thong-tin/blog/luu-y-khi-chuyen-tien-vao-tai-khoan-cong-ty</v>
      </c>
      <c r="P9" s="16" t="str">
        <f>IFERROR(__xludf.DUMMYFUNCTION("""COMPUTED_VALUE"""),"công ty sử dụng tài khoản cá nhân")</f>
        <v>công ty sử dụng tài khoản cá nhân</v>
      </c>
      <c r="Q9" s="21" t="str">
        <f>IFERROR(__xludf.DUMMYFUNCTION("""COMPUTED_VALUE"""),"https://techcombank.com/thong-tin/blog/cach-su-dung-tai-khoan-cong-ty")</f>
        <v>https://techcombank.com/thong-tin/blog/cach-su-dung-tai-khoan-cong-ty</v>
      </c>
      <c r="R9" s="16" t="str">
        <f>IFERROR(__xludf.DUMMYFUNCTION("""COMPUTED_VALUE"""),"công ty dùng tài khoản cá nhân có được không")</f>
        <v>công ty dùng tài khoản cá nhân có được không</v>
      </c>
      <c r="S9" s="21" t="str">
        <f>IFERROR(__xludf.DUMMYFUNCTION("""COMPUTED_VALUE"""),"https://techcombank.com/thong-tin/blog/tien-chuyen-vao-tai-khoan-co-bi-tinh-thue-khong")</f>
        <v>https://techcombank.com/thong-tin/blog/tien-chuyen-vao-tai-khoan-co-bi-tinh-thue-khong</v>
      </c>
      <c r="T9" s="16" t="str">
        <f>IFERROR(__xludf.DUMMYFUNCTION("""COMPUTED_VALUE"""),"công ty sử dụng tài khoản cá nhân")</f>
        <v>công ty sử dụng tài khoản cá nhân</v>
      </c>
      <c r="U9" s="21" t="str">
        <f>IFERROR(__xludf.DUMMYFUNCTION("""COMPUTED_VALUE"""),"https://techcombank.com/thong-tin/blog/tra-luong-tien-mat")</f>
        <v>https://techcombank.com/thong-tin/blog/tra-luong-tien-mat</v>
      </c>
      <c r="V9" s="16" t="str">
        <f>IFERROR(__xludf.DUMMYFUNCTION("""COMPUTED_VALUE"""),"công ty dùng tài khoản cá nhân có được không")</f>
        <v>công ty dùng tài khoản cá nhân có được không</v>
      </c>
      <c r="W9" s="21" t="str">
        <f>IFERROR(__xludf.DUMMYFUNCTION("""COMPUTED_VALUE"""),"https://techcombank.com/thong-tin/blog/nop-tien-mat-vao-tai-khoan-cong-ty")</f>
        <v>https://techcombank.com/thong-tin/blog/nop-tien-mat-vao-tai-khoan-cong-ty</v>
      </c>
      <c r="X9" s="16" t="str">
        <f>IFERROR(__xludf.DUMMYFUNCTION("""COMPUTED_VALUE"""),"công ty sử dụng tài khoản cá nhân")</f>
        <v>công ty sử dụng tài khoản cá nhân</v>
      </c>
      <c r="Y9" s="21" t="str">
        <f>IFERROR(__xludf.DUMMYFUNCTION("""COMPUTED_VALUE"""),"https://techcombank.com/thong-tin/blog/dong-tai-khoan-ngan-hang-cong-ty")</f>
        <v>https://techcombank.com/thong-tin/blog/dong-tai-khoan-ngan-hang-cong-ty</v>
      </c>
      <c r="Z9" s="16" t="str">
        <f>IFERROR(__xludf.DUMMYFUNCTION("""COMPUTED_VALUE"""),"công ty dùng tài khoản cá nhân có được không")</f>
        <v>công ty dùng tài khoản cá nhân có được không</v>
      </c>
      <c r="AA9" s="21" t="str">
        <f>IFERROR(__xludf.DUMMYFUNCTION("""COMPUTED_VALUE"""),"https://techcombank.com/thong-tin/blog/tai-khoan-doanh-nghiep-co-the-khong")</f>
        <v>https://techcombank.com/thong-tin/blog/tai-khoan-doanh-nghiep-co-the-khong</v>
      </c>
      <c r="AB9" s="16" t="str">
        <f>IFERROR(__xludf.DUMMYFUNCTION("""COMPUTED_VALUE"""),"công ty sử dụng tài khoản cá nhân")</f>
        <v>công ty sử dụng tài khoản cá nhân</v>
      </c>
      <c r="AC9" s="21" t="str">
        <f>IFERROR(__xludf.DUMMYFUNCTION("""COMPUTED_VALUE"""),"https://techcombank.com/thong-tin/blog/rut-tien-mat-tu-tai-khoan-doanh-nghiep")</f>
        <v>https://techcombank.com/thong-tin/blog/rut-tien-mat-tu-tai-khoan-doanh-nghiep</v>
      </c>
      <c r="AD9" s="16" t="str">
        <f>IFERROR(__xludf.DUMMYFUNCTION("""COMPUTED_VALUE"""),"công ty dùng tài khoản cá nhân có được không")</f>
        <v>công ty dùng tài khoản cá nhân có được không</v>
      </c>
      <c r="AE9" s="21" t="str">
        <f>IFERROR(__xludf.DUMMYFUNCTION("""COMPUTED_VALUE"""),"https://techcombank.com/thong-tin/blog/sao-ke-tai-khoan-doanh-nghiep")</f>
        <v>https://techcombank.com/thong-tin/blog/sao-ke-tai-khoan-doanh-nghiep</v>
      </c>
      <c r="AF9" s="16" t="str">
        <f>IFERROR(__xludf.DUMMYFUNCTION("""COMPUTED_VALUE"""),"công ty sử dụng tài khoản cá nhân")</f>
        <v>công ty sử dụng tài khoản cá nhân</v>
      </c>
      <c r="AG9" s="21" t="str">
        <f>IFERROR(__xludf.DUMMYFUNCTION("""COMPUTED_VALUE"""),"https://techcombank.com/thong-tin/blog/mau-mo-tai-khoan-doanh-nghiep-techcombank")</f>
        <v>https://techcombank.com/thong-tin/blog/mau-mo-tai-khoan-doanh-nghiep-techcombank</v>
      </c>
      <c r="AH9" s="16" t="str">
        <f>IFERROR(__xludf.DUMMYFUNCTION("""COMPUTED_VALUE"""),"công ty dùng tài khoản cá nhân có được không")</f>
        <v>công ty dùng tài khoản cá nhân có được không</v>
      </c>
      <c r="AI9" s="21" t="str">
        <f>IFERROR(__xludf.DUMMYFUNCTION("""COMPUTED_VALUE"""),"https://techcombank.com/thong-tin/blog/tai-khoan-cong-ty-co-chuyen-online-duoc-khong")</f>
        <v>https://techcombank.com/thong-tin/blog/tai-khoan-cong-ty-co-chuyen-online-duoc-khong</v>
      </c>
      <c r="AJ9" s="16" t="str">
        <f>IFERROR(__xludf.DUMMYFUNCTION("""COMPUTED_VALUE"""),"công ty sử dụng tài khoản cá nhân")</f>
        <v>công ty sử dụng tài khoản cá nhân</v>
      </c>
      <c r="AK9" s="21" t="str">
        <f>IFERROR(__xludf.DUMMYFUNCTION("""COMPUTED_VALUE"""),"https://techcombank.com/thong-tin/blog/chi-phi-mo-tai-khoan-ngan-hang-cho-cong-ty")</f>
        <v>https://techcombank.com/thong-tin/blog/chi-phi-mo-tai-khoan-ngan-hang-cho-cong-ty</v>
      </c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  <c r="BM9" s="16"/>
      <c r="BN9" s="16"/>
      <c r="BO9" s="16"/>
      <c r="BP9" s="16"/>
      <c r="BQ9" s="16"/>
      <c r="BR9" s="16"/>
      <c r="BS9" s="16"/>
      <c r="BT9" s="16"/>
      <c r="BU9" s="16"/>
      <c r="BV9" s="16"/>
      <c r="BW9" s="16"/>
      <c r="BX9" s="16"/>
      <c r="BY9" s="16"/>
      <c r="BZ9" s="16"/>
      <c r="CA9" s="16"/>
      <c r="CB9" s="16"/>
      <c r="CC9" s="16"/>
      <c r="CD9" s="16"/>
      <c r="CE9" s="16"/>
      <c r="CF9" s="16"/>
      <c r="CG9" s="16"/>
      <c r="CH9" s="16"/>
      <c r="CI9" s="16"/>
      <c r="CJ9" s="16"/>
      <c r="CK9" s="16"/>
      <c r="CL9" s="16"/>
      <c r="CM9" s="16"/>
      <c r="CN9" s="16"/>
      <c r="CO9" s="16"/>
      <c r="CP9" s="16"/>
      <c r="CQ9" s="16"/>
      <c r="CR9" s="16"/>
      <c r="CS9" s="16"/>
      <c r="CT9" s="16"/>
      <c r="CU9" s="16"/>
      <c r="CV9" s="16"/>
      <c r="CW9" s="16"/>
      <c r="CX9" s="16"/>
      <c r="CY9" s="16"/>
      <c r="CZ9" s="16"/>
      <c r="DA9" s="16"/>
      <c r="DB9" s="16"/>
      <c r="DC9" s="16"/>
      <c r="DD9" s="16"/>
      <c r="DE9" s="16"/>
      <c r="DF9" s="16"/>
      <c r="DG9" s="16"/>
      <c r="DH9" s="16"/>
      <c r="DI9" s="16"/>
      <c r="DJ9" s="16"/>
      <c r="DK9" s="16"/>
      <c r="DL9" s="16"/>
      <c r="DM9" s="16"/>
      <c r="DN9" s="16"/>
      <c r="DO9" s="16"/>
      <c r="DP9" s="16"/>
      <c r="DQ9" s="16"/>
      <c r="DR9" s="16"/>
      <c r="DS9" s="16"/>
      <c r="DT9" s="16"/>
      <c r="DU9" s="16"/>
      <c r="DV9" s="16"/>
      <c r="DW9" s="16"/>
      <c r="DX9" s="16"/>
      <c r="DY9" s="16"/>
      <c r="DZ9" s="16"/>
      <c r="EA9" s="16"/>
      <c r="EB9" s="16"/>
      <c r="EC9" s="16"/>
      <c r="ED9" s="16"/>
      <c r="EE9" s="16"/>
      <c r="EF9" s="16"/>
      <c r="EG9" s="16"/>
      <c r="EH9" s="16"/>
      <c r="EI9" s="16"/>
      <c r="EJ9" s="16"/>
      <c r="EK9" s="16"/>
      <c r="EL9" s="16"/>
      <c r="EM9" s="16"/>
      <c r="EN9" s="16"/>
      <c r="EO9" s="16"/>
      <c r="EP9" s="16"/>
      <c r="EQ9" s="16"/>
      <c r="ER9" s="16"/>
      <c r="ES9" s="16"/>
      <c r="ET9" s="16"/>
      <c r="EU9" s="16"/>
      <c r="EV9" s="16"/>
      <c r="EW9" s="16"/>
      <c r="EX9" s="16"/>
      <c r="EY9" s="16"/>
      <c r="EZ9" s="16"/>
      <c r="FA9" s="16"/>
      <c r="FB9" s="16"/>
      <c r="FC9" s="16"/>
      <c r="FD9" s="16"/>
      <c r="FE9" s="16"/>
      <c r="FF9" s="16"/>
      <c r="FG9" s="16"/>
      <c r="FH9" s="16"/>
      <c r="FI9" s="16"/>
      <c r="FJ9" s="16"/>
      <c r="FK9" s="16"/>
      <c r="FL9" s="16"/>
      <c r="FM9" s="16"/>
      <c r="FN9" s="16"/>
      <c r="FO9" s="16"/>
      <c r="FP9" s="16"/>
      <c r="FQ9" s="16"/>
      <c r="FR9" s="16"/>
      <c r="FS9" s="16"/>
      <c r="FT9" s="16"/>
      <c r="FU9" s="16"/>
      <c r="FV9" s="16"/>
      <c r="FW9" s="16"/>
      <c r="FX9" s="16"/>
      <c r="FY9" s="16"/>
      <c r="FZ9" s="16"/>
      <c r="GA9" s="16"/>
      <c r="GB9" s="16"/>
      <c r="GC9" s="16"/>
      <c r="GD9" s="16"/>
      <c r="GE9" s="16"/>
      <c r="GF9" s="16"/>
      <c r="GG9" s="16"/>
      <c r="GH9" s="16"/>
      <c r="GI9" s="16"/>
      <c r="GJ9" s="16"/>
      <c r="GK9" s="16"/>
      <c r="GL9" s="16"/>
      <c r="GM9" s="16"/>
      <c r="GN9" s="16"/>
      <c r="GO9" s="16"/>
    </row>
    <row r="10" ht="18.0" customHeight="1">
      <c r="A10" s="15">
        <v>9.0</v>
      </c>
      <c r="B10" s="16" t="s">
        <v>280</v>
      </c>
      <c r="C10" s="17" t="s">
        <v>537</v>
      </c>
      <c r="D10" s="16" t="s">
        <v>141</v>
      </c>
      <c r="E10" s="15">
        <f>COUNTIF('Tổng hợp 75 trang đích'!$B$2:$B$2505,$D10)</f>
        <v>25</v>
      </c>
      <c r="F10" s="15">
        <f>COUNTIFS('Tổng hợp 75 trang đích'!$B$2:$B$2505,$D10,'Tổng hợp 75 trang đích'!$K$2:$K$2505,"PHÙ HỢP CAO")</f>
        <v>2</v>
      </c>
      <c r="G10" s="15">
        <f>COUNTIFS('Tổng hợp 75 trang đích'!$B$2:$B$2505,$D10,'Tổng hợp 75 trang đích'!$K$2:$K$2505,"CÓ THỂ ĐI")</f>
        <v>3</v>
      </c>
      <c r="H10" s="15">
        <f>COUNTIFS('Tổng hợp 75 trang đích'!$B$2:$B$2505,$D10,'Tổng hợp 75 trang đích'!$K$2:$K$2505,"CẦN SOÁT")</f>
        <v>20</v>
      </c>
      <c r="I10" s="19" t="s">
        <v>256</v>
      </c>
      <c r="J10" s="19" t="b">
        <v>0</v>
      </c>
      <c r="K10" s="20" t="s">
        <v>258</v>
      </c>
      <c r="L10" s="16" t="str">
        <f>IFERROR(__xludf.DUMMYFUNCTION("IFERROR(TOROW(CHOOSECOLS(SORT(FILTER({'Tổng hợp 75 trang đích'!$J$2:$J$2505,'Tổng hợp 75 trang đích'!$I$2:$I$2505,MATCH('Tổng hợp 75 trang đích'!$K$2:$K$2505,{""PHÙ HỢP CAO"",""CÓ THỂ ĐI"",""CẦN SOÁT""},0)},'Tổng hợp 75 trang đích'!$B$2:$B$2505=$D10),3,TR"&amp;"UE),1,2)),"""")"),"cách tính thuế thu nhập doanh nghiệp")</f>
        <v>cách tính thuế thu nhập doanh nghiệp</v>
      </c>
      <c r="M10" s="21" t="str">
        <f>IFERROR(__xludf.DUMMYFUNCTION("""COMPUTED_VALUE"""),"https://techcombank.com/thong-tin/blog/nhung-chi-phi-khong-duoc-tru-khi-tinh-thue-tndn")</f>
        <v>https://techcombank.com/thong-tin/blog/nhung-chi-phi-khong-duoc-tru-khi-tinh-thue-tndn</v>
      </c>
      <c r="N10" s="16" t="str">
        <f>IFERROR(__xludf.DUMMYFUNCTION("""COMPUTED_VALUE"""),"cách tính thuế TNDN")</f>
        <v>cách tính thuế TNDN</v>
      </c>
      <c r="O10" s="21" t="str">
        <f>IFERROR(__xludf.DUMMYFUNCTION("""COMPUTED_VALUE"""),"https://techcombank.com/thong-tin/blog/khau-hao")</f>
        <v>https://techcombank.com/thong-tin/blog/khau-hao</v>
      </c>
      <c r="P10" s="16" t="str">
        <f>IFERROR(__xludf.DUMMYFUNCTION("""COMPUTED_VALUE"""),"công thức tính thuế TNDN")</f>
        <v>công thức tính thuế TNDN</v>
      </c>
      <c r="Q10" s="21" t="str">
        <f>IFERROR(__xludf.DUMMYFUNCTION("""COMPUTED_VALUE"""),"https://techcombank.com/thong-tin/blog/loi-nhuan-rong")</f>
        <v>https://techcombank.com/thong-tin/blog/loi-nhuan-rong</v>
      </c>
      <c r="R10" s="16" t="str">
        <f>IFERROR(__xludf.DUMMYFUNCTION("""COMPUTED_VALUE"""),"cách tính thuế thu nhập doanh nghiệp")</f>
        <v>cách tính thuế thu nhập doanh nghiệp</v>
      </c>
      <c r="S10" s="21" t="str">
        <f>IFERROR(__xludf.DUMMYFUNCTION("""COMPUTED_VALUE"""),"https://techcombank.com/thong-tin/blog/cach-doc-bao-cao-tai-chinh")</f>
        <v>https://techcombank.com/thong-tin/blog/cach-doc-bao-cao-tai-chinh</v>
      </c>
      <c r="T10" s="16" t="str">
        <f>IFERROR(__xludf.DUMMYFUNCTION("""COMPUTED_VALUE"""),"cách tính thuế TNDN")</f>
        <v>cách tính thuế TNDN</v>
      </c>
      <c r="U10" s="21" t="str">
        <f>IFERROR(__xludf.DUMMYFUNCTION("""COMPUTED_VALUE"""),"https://techcombank.com/thong-tin/blog/chuan-bi-cho-doanh-nghiep-khoi-nghiep-truoc-nhung-thay-doi-ve-thue")</f>
        <v>https://techcombank.com/thong-tin/blog/chuan-bi-cho-doanh-nghiep-khoi-nghiep-truoc-nhung-thay-doi-ve-thue</v>
      </c>
      <c r="V10" s="16" t="str">
        <f>IFERROR(__xludf.DUMMYFUNCTION("""COMPUTED_VALUE"""),"công thức tính thuế TNDN")</f>
        <v>công thức tính thuế TNDN</v>
      </c>
      <c r="W10" s="21" t="str">
        <f>IFERROR(__xludf.DUMMYFUNCTION("""COMPUTED_VALUE"""),"https://techcombank.com/thong-tin/blog/khau-hao-la-gi")</f>
        <v>https://techcombank.com/thong-tin/blog/khau-hao-la-gi</v>
      </c>
      <c r="X10" s="16" t="str">
        <f>IFERROR(__xludf.DUMMYFUNCTION("""COMPUTED_VALUE"""),"cách tính thuế thu nhập doanh nghiệp")</f>
        <v>cách tính thuế thu nhập doanh nghiệp</v>
      </c>
      <c r="Y10" s="21" t="str">
        <f>IFERROR(__xludf.DUMMYFUNCTION("""COMPUTED_VALUE"""),"https://techcombank.com/thong-tin/blog/loi-nhuan")</f>
        <v>https://techcombank.com/thong-tin/blog/loi-nhuan</v>
      </c>
      <c r="Z10" s="16" t="str">
        <f>IFERROR(__xludf.DUMMYFUNCTION("""COMPUTED_VALUE"""),"cách tính thuế TNDN")</f>
        <v>cách tính thuế TNDN</v>
      </c>
      <c r="AA10" s="21" t="str">
        <f>IFERROR(__xludf.DUMMYFUNCTION("""COMPUTED_VALUE"""),"https://techcombank.com/thong-tin/blog/thue-doanh-nghiep")</f>
        <v>https://techcombank.com/thong-tin/blog/thue-doanh-nghiep</v>
      </c>
      <c r="AB10" s="16" t="str">
        <f>IFERROR(__xludf.DUMMYFUNCTION("""COMPUTED_VALUE"""),"công thức tính thuế TNDN")</f>
        <v>công thức tính thuế TNDN</v>
      </c>
      <c r="AC10" s="21" t="str">
        <f>IFERROR(__xludf.DUMMYFUNCTION("""COMPUTED_VALUE"""),"https://techcombank.com/thong-tin/blog/tim-hieu-ve-chinh-sach-thue-moi")</f>
        <v>https://techcombank.com/thong-tin/blog/tim-hieu-ve-chinh-sach-thue-moi</v>
      </c>
      <c r="AD10" s="16" t="str">
        <f>IFERROR(__xludf.DUMMYFUNCTION("""COMPUTED_VALUE"""),"cách tính thuế thu nhập doanh nghiệp")</f>
        <v>cách tính thuế thu nhập doanh nghiệp</v>
      </c>
      <c r="AE10" s="21" t="str">
        <f>IFERROR(__xludf.DUMMYFUNCTION("""COMPUTED_VALUE"""),"https://techcombank.com/thong-tin/blog/thue-thu-nhap-doanh-nghiep")</f>
        <v>https://techcombank.com/thong-tin/blog/thue-thu-nhap-doanh-nghiep</v>
      </c>
      <c r="AF10" s="16" t="str">
        <f>IFERROR(__xludf.DUMMYFUNCTION("""COMPUTED_VALUE"""),"cách tính thuế TNDN")</f>
        <v>cách tính thuế TNDN</v>
      </c>
      <c r="AG10" s="21" t="str">
        <f>IFERROR(__xludf.DUMMYFUNCTION("""COMPUTED_VALUE"""),"https://techcombank.com/thong-tin/blog/thi-truong-trai-phieu-am-tro-lai-nha-dau-tu-san-sang-cho-nhung-co-hoi-sinh-loi-moi")</f>
        <v>https://techcombank.com/thong-tin/blog/thi-truong-trai-phieu-am-tro-lai-nha-dau-tu-san-sang-cho-nhung-co-hoi-sinh-loi-moi</v>
      </c>
      <c r="AH10" s="16" t="str">
        <f>IFERROR(__xludf.DUMMYFUNCTION("""COMPUTED_VALUE"""),"công thức tính thuế TNDN")</f>
        <v>công thức tính thuế TNDN</v>
      </c>
      <c r="AI10" s="21" t="str">
        <f>IFERROR(__xludf.DUMMYFUNCTION("""COMPUTED_VALUE"""),"https://techcombank.com/thong-tin/blog/kinh-nghiem-mua-vang-tich-tru")</f>
        <v>https://techcombank.com/thong-tin/blog/kinh-nghiem-mua-vang-tich-tru</v>
      </c>
      <c r="AJ10" s="16" t="str">
        <f>IFERROR(__xludf.DUMMYFUNCTION("""COMPUTED_VALUE"""),"cách tính thuế thu nhập doanh nghiệp")</f>
        <v>cách tính thuế thu nhập doanh nghiệp</v>
      </c>
      <c r="AK10" s="21" t="str">
        <f>IFERROR(__xludf.DUMMYFUNCTION("""COMPUTED_VALUE"""),"https://techcombank.com/thong-tin/blog/quan-ly-tai-chinh-doanh-nghiep-la-gi")</f>
        <v>https://techcombank.com/thong-tin/blog/quan-ly-tai-chinh-doanh-nghiep-la-gi</v>
      </c>
      <c r="AL10" s="16" t="str">
        <f>IFERROR(__xludf.DUMMYFUNCTION("""COMPUTED_VALUE"""),"cách tính thuế TNDN")</f>
        <v>cách tính thuế TNDN</v>
      </c>
      <c r="AM10" s="21" t="str">
        <f>IFERROR(__xludf.DUMMYFUNCTION("""COMPUTED_VALUE"""),"https://techcombank.com/thong-tin/blog/nha-dau-tu-giao-dich-trai-phieu-truc-tuyen-tang-manh-tro-lai")</f>
        <v>https://techcombank.com/thong-tin/blog/nha-dau-tu-giao-dich-trai-phieu-truc-tuyen-tang-manh-tro-lai</v>
      </c>
      <c r="AN10" s="16" t="str">
        <f>IFERROR(__xludf.DUMMYFUNCTION("""COMPUTED_VALUE"""),"công thức tính thuế TNDN")</f>
        <v>công thức tính thuế TNDN</v>
      </c>
      <c r="AO10" s="21" t="str">
        <f>IFERROR(__xludf.DUMMYFUNCTION("""COMPUTED_VALUE"""),"https://techcombank.com/thong-tin/blog/gia-chung-chi-quy-la-gi")</f>
        <v>https://techcombank.com/thong-tin/blog/gia-chung-chi-quy-la-gi</v>
      </c>
      <c r="AP10" s="16" t="str">
        <f>IFERROR(__xludf.DUMMYFUNCTION("""COMPUTED_VALUE"""),"cách tính thuế thu nhập doanh nghiệp")</f>
        <v>cách tính thuế thu nhập doanh nghiệp</v>
      </c>
      <c r="AQ10" s="21" t="str">
        <f>IFERROR(__xludf.DUMMYFUNCTION("""COMPUTED_VALUE"""),"https://techcombank.com/thong-tin/blog/lai-suat-tiet-kiem")</f>
        <v>https://techcombank.com/thong-tin/blog/lai-suat-tiet-kiem</v>
      </c>
      <c r="AR10" s="16" t="str">
        <f>IFERROR(__xludf.DUMMYFUNCTION("""COMPUTED_VALUE"""),"cách tính thuế TNDN")</f>
        <v>cách tính thuế TNDN</v>
      </c>
      <c r="AS10" s="21" t="str">
        <f>IFERROR(__xludf.DUMMYFUNCTION("""COMPUTED_VALUE"""),"https://techcombank.com/thong-tin/blog/lai-suat-chung-chi-quy")</f>
        <v>https://techcombank.com/thong-tin/blog/lai-suat-chung-chi-quy</v>
      </c>
      <c r="AT10" s="16" t="str">
        <f>IFERROR(__xludf.DUMMYFUNCTION("""COMPUTED_VALUE"""),"công thức tính thuế TNDN")</f>
        <v>công thức tính thuế TNDN</v>
      </c>
      <c r="AU10" s="21" t="str">
        <f>IFERROR(__xludf.DUMMYFUNCTION("""COMPUTED_VALUE"""),"https://techcombank.com/thong-tin/blog/ho-kinh-doanh-can-gi-o-tai-khoan-ngan-hang")</f>
        <v>https://techcombank.com/thong-tin/blog/ho-kinh-doanh-can-gi-o-tai-khoan-ngan-hang</v>
      </c>
      <c r="AV10" s="16" t="str">
        <f>IFERROR(__xludf.DUMMYFUNCTION("""COMPUTED_VALUE"""),"cách tính thuế thu nhập doanh nghiệp")</f>
        <v>cách tính thuế thu nhập doanh nghiệp</v>
      </c>
      <c r="AW10" s="21" t="str">
        <f>IFERROR(__xludf.DUMMYFUNCTION("""COMPUTED_VALUE"""),"https://techcombank.com/thong-tin/blog/danh-muc-dau-tu")</f>
        <v>https://techcombank.com/thong-tin/blog/danh-muc-dau-tu</v>
      </c>
      <c r="AX10" s="16" t="str">
        <f>IFERROR(__xludf.DUMMYFUNCTION("""COMPUTED_VALUE"""),"cách tính thuế TNDN")</f>
        <v>cách tính thuế TNDN</v>
      </c>
      <c r="AY10" s="21" t="str">
        <f>IFERROR(__xludf.DUMMYFUNCTION("""COMPUTED_VALUE"""),"https://techcombank.com/thong-tin/blog/mua-chung-chi-quy")</f>
        <v>https://techcombank.com/thong-tin/blog/mua-chung-chi-quy</v>
      </c>
      <c r="AZ10" s="16" t="str">
        <f>IFERROR(__xludf.DUMMYFUNCTION("""COMPUTED_VALUE"""),"công thức tính thuế TNDN")</f>
        <v>công thức tính thuế TNDN</v>
      </c>
      <c r="BA10" s="21" t="str">
        <f>IFERROR(__xludf.DUMMYFUNCTION("""COMPUTED_VALUE"""),"https://techcombank.com/thong-tin/blog/cach-tinh-loi-nhuan-chung-chi-tien-gui")</f>
        <v>https://techcombank.com/thong-tin/blog/cach-tinh-loi-nhuan-chung-chi-tien-gui</v>
      </c>
      <c r="BB10" s="16" t="str">
        <f>IFERROR(__xludf.DUMMYFUNCTION("""COMPUTED_VALUE"""),"cách tính thuế thu nhập doanh nghiệp")</f>
        <v>cách tính thuế thu nhập doanh nghiệp</v>
      </c>
      <c r="BC10" s="21" t="str">
        <f>IFERROR(__xludf.DUMMYFUNCTION("""COMPUTED_VALUE"""),"https://techcombank.com/thong-tin/blog/dau-co-va-dau-tu")</f>
        <v>https://techcombank.com/thong-tin/blog/dau-co-va-dau-tu</v>
      </c>
      <c r="BD10" s="16" t="str">
        <f>IFERROR(__xludf.DUMMYFUNCTION("""COMPUTED_VALUE"""),"cách tính thuế TNDN")</f>
        <v>cách tính thuế TNDN</v>
      </c>
      <c r="BE10" s="21" t="str">
        <f>IFERROR(__xludf.DUMMYFUNCTION("""COMPUTED_VALUE"""),"https://techcombank.com/thong-tin/blog/co-50-trieu-nen-mua-vang-hay-gui-tiet-kiem")</f>
        <v>https://techcombank.com/thong-tin/blog/co-50-trieu-nen-mua-vang-hay-gui-tiet-kiem</v>
      </c>
      <c r="BF10" s="16" t="str">
        <f>IFERROR(__xludf.DUMMYFUNCTION("""COMPUTED_VALUE"""),"công thức tính thuế TNDN")</f>
        <v>công thức tính thuế TNDN</v>
      </c>
      <c r="BG10" s="21" t="str">
        <f>IFERROR(__xludf.DUMMYFUNCTION("""COMPUTED_VALUE"""),"https://techcombank.com/thong-tin/blog/toi-uu-hoa-chi-phi-trong-doanh-nghiep")</f>
        <v>https://techcombank.com/thong-tin/blog/toi-uu-hoa-chi-phi-trong-doanh-nghiep</v>
      </c>
      <c r="BH10" s="16" t="str">
        <f>IFERROR(__xludf.DUMMYFUNCTION("""COMPUTED_VALUE"""),"cách tính thuế thu nhập doanh nghiệp")</f>
        <v>cách tính thuế thu nhập doanh nghiệp</v>
      </c>
      <c r="BI10" s="21" t="str">
        <f>IFERROR(__xludf.DUMMYFUNCTION("""COMPUTED_VALUE"""),"https://techcombank.com/thong-tin/blog/ngoai-hoi-la-gi")</f>
        <v>https://techcombank.com/thong-tin/blog/ngoai-hoi-la-gi</v>
      </c>
      <c r="BJ10" s="16"/>
      <c r="BK10" s="16"/>
      <c r="BL10" s="16"/>
      <c r="BM10" s="16"/>
      <c r="BN10" s="16"/>
      <c r="BO10" s="16"/>
      <c r="BP10" s="16"/>
      <c r="BQ10" s="16"/>
      <c r="BR10" s="16"/>
      <c r="BS10" s="16"/>
      <c r="BT10" s="16"/>
      <c r="BU10" s="16"/>
      <c r="BV10" s="16"/>
      <c r="BW10" s="16"/>
      <c r="BX10" s="16"/>
      <c r="BY10" s="16"/>
      <c r="BZ10" s="16"/>
      <c r="CA10" s="16"/>
      <c r="CB10" s="16"/>
      <c r="CC10" s="16"/>
      <c r="CD10" s="16"/>
      <c r="CE10" s="16"/>
      <c r="CF10" s="16"/>
      <c r="CG10" s="16"/>
      <c r="CH10" s="16"/>
      <c r="CI10" s="16"/>
      <c r="CJ10" s="16"/>
      <c r="CK10" s="16"/>
      <c r="CL10" s="16"/>
      <c r="CM10" s="16"/>
      <c r="CN10" s="16"/>
      <c r="CO10" s="16"/>
      <c r="CP10" s="16"/>
      <c r="CQ10" s="16"/>
      <c r="CR10" s="16"/>
      <c r="CS10" s="16"/>
      <c r="CT10" s="16"/>
      <c r="CU10" s="16"/>
      <c r="CV10" s="16"/>
      <c r="CW10" s="16"/>
      <c r="CX10" s="16"/>
      <c r="CY10" s="16"/>
      <c r="CZ10" s="16"/>
      <c r="DA10" s="16"/>
      <c r="DB10" s="16"/>
      <c r="DC10" s="16"/>
      <c r="DD10" s="16"/>
      <c r="DE10" s="16"/>
      <c r="DF10" s="16"/>
      <c r="DG10" s="16"/>
      <c r="DH10" s="16"/>
      <c r="DI10" s="16"/>
      <c r="DJ10" s="16"/>
      <c r="DK10" s="16"/>
      <c r="DL10" s="16"/>
      <c r="DM10" s="16"/>
      <c r="DN10" s="16"/>
      <c r="DO10" s="16"/>
      <c r="DP10" s="16"/>
      <c r="DQ10" s="16"/>
      <c r="DR10" s="16"/>
      <c r="DS10" s="16"/>
      <c r="DT10" s="16"/>
      <c r="DU10" s="16"/>
      <c r="DV10" s="16"/>
      <c r="DW10" s="16"/>
      <c r="DX10" s="16"/>
      <c r="DY10" s="16"/>
      <c r="DZ10" s="16"/>
      <c r="EA10" s="16"/>
      <c r="EB10" s="16"/>
      <c r="EC10" s="16"/>
      <c r="ED10" s="16"/>
      <c r="EE10" s="16"/>
      <c r="EF10" s="16"/>
      <c r="EG10" s="16"/>
      <c r="EH10" s="16"/>
      <c r="EI10" s="16"/>
      <c r="EJ10" s="16"/>
      <c r="EK10" s="16"/>
      <c r="EL10" s="16"/>
      <c r="EM10" s="16"/>
      <c r="EN10" s="16"/>
      <c r="EO10" s="16"/>
      <c r="EP10" s="16"/>
      <c r="EQ10" s="16"/>
      <c r="ER10" s="16"/>
      <c r="ES10" s="16"/>
      <c r="ET10" s="16"/>
      <c r="EU10" s="16"/>
      <c r="EV10" s="16"/>
      <c r="EW10" s="16"/>
      <c r="EX10" s="16"/>
      <c r="EY10" s="16"/>
      <c r="EZ10" s="16"/>
      <c r="FA10" s="16"/>
      <c r="FB10" s="16"/>
      <c r="FC10" s="16"/>
      <c r="FD10" s="16"/>
      <c r="FE10" s="16"/>
      <c r="FF10" s="16"/>
      <c r="FG10" s="16"/>
      <c r="FH10" s="16"/>
      <c r="FI10" s="16"/>
      <c r="FJ10" s="16"/>
      <c r="FK10" s="16"/>
      <c r="FL10" s="16"/>
      <c r="FM10" s="16"/>
      <c r="FN10" s="16"/>
      <c r="FO10" s="16"/>
      <c r="FP10" s="16"/>
      <c r="FQ10" s="16"/>
      <c r="FR10" s="16"/>
      <c r="FS10" s="16"/>
      <c r="FT10" s="16"/>
      <c r="FU10" s="16"/>
      <c r="FV10" s="16"/>
      <c r="FW10" s="16"/>
      <c r="FX10" s="16"/>
      <c r="FY10" s="16"/>
      <c r="FZ10" s="16"/>
      <c r="GA10" s="16"/>
      <c r="GB10" s="16"/>
      <c r="GC10" s="16"/>
      <c r="GD10" s="16"/>
      <c r="GE10" s="16"/>
      <c r="GF10" s="16"/>
      <c r="GG10" s="16"/>
      <c r="GH10" s="16"/>
      <c r="GI10" s="16"/>
      <c r="GJ10" s="16"/>
      <c r="GK10" s="16"/>
      <c r="GL10" s="16"/>
      <c r="GM10" s="16"/>
      <c r="GN10" s="16"/>
      <c r="GO10" s="16"/>
    </row>
    <row r="11" ht="18.0" customHeight="1">
      <c r="A11" s="15">
        <v>10.0</v>
      </c>
      <c r="B11" s="16" t="s">
        <v>557</v>
      </c>
      <c r="C11" s="17" t="s">
        <v>566</v>
      </c>
      <c r="D11" s="16" t="s">
        <v>169</v>
      </c>
      <c r="E11" s="15">
        <f>COUNTIF('Tổng hợp 75 trang đích'!$B$2:$B$2505,$D11)</f>
        <v>8</v>
      </c>
      <c r="F11" s="15">
        <f>COUNTIFS('Tổng hợp 75 trang đích'!$B$2:$B$2505,$D11,'Tổng hợp 75 trang đích'!$K$2:$K$2505,"PHÙ HỢP CAO")</f>
        <v>3</v>
      </c>
      <c r="G11" s="15">
        <f>COUNTIFS('Tổng hợp 75 trang đích'!$B$2:$B$2505,$D11,'Tổng hợp 75 trang đích'!$K$2:$K$2505,"CÓ THỂ ĐI")</f>
        <v>2</v>
      </c>
      <c r="H11" s="15">
        <f>COUNTIFS('Tổng hợp 75 trang đích'!$B$2:$B$2505,$D11,'Tổng hợp 75 trang đích'!$K$2:$K$2505,"CẦN SOÁT")</f>
        <v>3</v>
      </c>
      <c r="I11" s="19" t="s">
        <v>256</v>
      </c>
      <c r="J11" s="19" t="b">
        <v>0</v>
      </c>
      <c r="K11" s="20" t="s">
        <v>258</v>
      </c>
      <c r="L11" s="16" t="str">
        <f>IFERROR(__xludf.DUMMYFUNCTION("IFERROR(TOROW(CHOOSECOLS(SORT(FILTER({'Tổng hợp 75 trang đích'!$J$2:$J$2505,'Tổng hợp 75 trang đích'!$I$2:$I$2505,MATCH('Tổng hợp 75 trang đích'!$K$2:$K$2505,{""PHÙ HỢP CAO"",""CÓ THỂ ĐI"",""CẦN SOÁT""},0)},'Tổng hợp 75 trang đích'!$B$2:$B$2505=$D11),3,TR"&amp;"UE),1,2)),"""")"),"nạp thẻ viettel")</f>
        <v>nạp thẻ viettel</v>
      </c>
      <c r="M11" s="21" t="str">
        <f>IFERROR(__xludf.DUMMYFUNCTION("""COMPUTED_VALUE"""),"https://techcombank.com/thong-tin/blog/cach-nap-the")</f>
        <v>https://techcombank.com/thong-tin/blog/cach-nap-the</v>
      </c>
      <c r="N11" s="16" t="str">
        <f>IFERROR(__xludf.DUMMYFUNCTION("""COMPUTED_VALUE"""),"cách nạp thẻ viettel")</f>
        <v>cách nạp thẻ viettel</v>
      </c>
      <c r="O11" s="21" t="str">
        <f>IFERROR(__xludf.DUMMYFUNCTION("""COMPUTED_VALUE"""),"https://techcombank.com/thong-tin/blog/nap-tien-dien-thoai-online")</f>
        <v>https://techcombank.com/thong-tin/blog/nap-tien-dien-thoai-online</v>
      </c>
      <c r="P11" s="16" t="str">
        <f>IFERROR(__xludf.DUMMYFUNCTION("""COMPUTED_VALUE"""),"cách nạp tiền điện thoại viettel")</f>
        <v>cách nạp tiền điện thoại viettel</v>
      </c>
      <c r="Q11" s="21" t="str">
        <f>IFERROR(__xludf.DUMMYFUNCTION("""COMPUTED_VALUE"""),"https://techcombank.com/thong-tin/blog/thanh-toan-tra-sau-viettel-bang-tai-khoan-ngan-hang")</f>
        <v>https://techcombank.com/thong-tin/blog/thanh-toan-tra-sau-viettel-bang-tai-khoan-ngan-hang</v>
      </c>
      <c r="R11" s="16" t="str">
        <f>IFERROR(__xludf.DUMMYFUNCTION("""COMPUTED_VALUE"""),"cách nạp tiền viettel")</f>
        <v>cách nạp tiền viettel</v>
      </c>
      <c r="S11" s="21" t="str">
        <f>IFERROR(__xludf.DUMMYFUNCTION("""COMPUTED_VALUE"""),"https://techcombank.com/thong-tin/blog/cach-nap-the-vina")</f>
        <v>https://techcombank.com/thong-tin/blog/cach-nap-the-vina</v>
      </c>
      <c r="T11" s="16" t="str">
        <f>IFERROR(__xludf.DUMMYFUNCTION("""COMPUTED_VALUE"""),"nạp thẻ viettel")</f>
        <v>nạp thẻ viettel</v>
      </c>
      <c r="U11" s="21" t="str">
        <f>IFERROR(__xludf.DUMMYFUNCTION("""COMPUTED_VALUE"""),"https://techcombank.com/thong-tin/blog/cach-nap-the-mobi")</f>
        <v>https://techcombank.com/thong-tin/blog/cach-nap-the-mobi</v>
      </c>
      <c r="V11" s="16" t="str">
        <f>IFERROR(__xludf.DUMMYFUNCTION("""COMPUTED_VALUE"""),"cách nạp thẻ viettel")</f>
        <v>cách nạp thẻ viettel</v>
      </c>
      <c r="W11" s="21" t="str">
        <f>IFERROR(__xludf.DUMMYFUNCTION("""COMPUTED_VALUE"""),"https://techcombank.com/thong-tin/blog/mat-so-dien-thoai-dang-ky-tai-khoan-ngan-hang")</f>
        <v>https://techcombank.com/thong-tin/blog/mat-so-dien-thoai-dang-ky-tai-khoan-ngan-hang</v>
      </c>
      <c r="X11" s="16" t="str">
        <f>IFERROR(__xludf.DUMMYFUNCTION("""COMPUTED_VALUE"""),"cách nạp tiền điện thoại viettel")</f>
        <v>cách nạp tiền điện thoại viettel</v>
      </c>
      <c r="Y11" s="21" t="str">
        <f>IFERROR(__xludf.DUMMYFUNCTION("""COMPUTED_VALUE"""),"https://techcombank.com/thong-tin/blog/thanh-toan-tien-internet-online")</f>
        <v>https://techcombank.com/thong-tin/blog/thanh-toan-tien-internet-online</v>
      </c>
      <c r="Z11" s="16" t="str">
        <f>IFERROR(__xludf.DUMMYFUNCTION("""COMPUTED_VALUE"""),"cách nạp tiền viettel")</f>
        <v>cách nạp tiền viettel</v>
      </c>
      <c r="AA11" s="21" t="str">
        <f>IFERROR(__xludf.DUMMYFUNCTION("""COMPUTED_VALUE"""),"https://techcombank.com/thong-tin/blog/app-dong-tien-dien-online")</f>
        <v>https://techcombank.com/thong-tin/blog/app-dong-tien-dien-online</v>
      </c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  <c r="BM11" s="16"/>
      <c r="BN11" s="16"/>
      <c r="BO11" s="16"/>
      <c r="BP11" s="16"/>
      <c r="BQ11" s="16"/>
      <c r="BR11" s="16"/>
      <c r="BS11" s="16"/>
      <c r="BT11" s="16"/>
      <c r="BU11" s="16"/>
      <c r="BV11" s="16"/>
      <c r="BW11" s="16"/>
      <c r="BX11" s="16"/>
      <c r="BY11" s="16"/>
      <c r="BZ11" s="16"/>
      <c r="CA11" s="16"/>
      <c r="CB11" s="16"/>
      <c r="CC11" s="16"/>
      <c r="CD11" s="16"/>
      <c r="CE11" s="16"/>
      <c r="CF11" s="16"/>
      <c r="CG11" s="16"/>
      <c r="CH11" s="16"/>
      <c r="CI11" s="16"/>
      <c r="CJ11" s="16"/>
      <c r="CK11" s="16"/>
      <c r="CL11" s="16"/>
      <c r="CM11" s="16"/>
      <c r="CN11" s="16"/>
      <c r="CO11" s="16"/>
      <c r="CP11" s="16"/>
      <c r="CQ11" s="16"/>
      <c r="CR11" s="16"/>
      <c r="CS11" s="16"/>
      <c r="CT11" s="16"/>
      <c r="CU11" s="16"/>
      <c r="CV11" s="16"/>
      <c r="CW11" s="16"/>
      <c r="CX11" s="16"/>
      <c r="CY11" s="16"/>
      <c r="CZ11" s="16"/>
      <c r="DA11" s="16"/>
      <c r="DB11" s="16"/>
      <c r="DC11" s="16"/>
      <c r="DD11" s="16"/>
      <c r="DE11" s="16"/>
      <c r="DF11" s="16"/>
      <c r="DG11" s="16"/>
      <c r="DH11" s="16"/>
      <c r="DI11" s="16"/>
      <c r="DJ11" s="16"/>
      <c r="DK11" s="16"/>
      <c r="DL11" s="16"/>
      <c r="DM11" s="16"/>
      <c r="DN11" s="16"/>
      <c r="DO11" s="16"/>
      <c r="DP11" s="16"/>
      <c r="DQ11" s="16"/>
      <c r="DR11" s="16"/>
      <c r="DS11" s="16"/>
      <c r="DT11" s="16"/>
      <c r="DU11" s="16"/>
      <c r="DV11" s="16"/>
      <c r="DW11" s="16"/>
      <c r="DX11" s="16"/>
      <c r="DY11" s="16"/>
      <c r="DZ11" s="16"/>
      <c r="EA11" s="16"/>
      <c r="EB11" s="16"/>
      <c r="EC11" s="16"/>
      <c r="ED11" s="16"/>
      <c r="EE11" s="16"/>
      <c r="EF11" s="16"/>
      <c r="EG11" s="16"/>
      <c r="EH11" s="16"/>
      <c r="EI11" s="16"/>
      <c r="EJ11" s="16"/>
      <c r="EK11" s="16"/>
      <c r="EL11" s="16"/>
      <c r="EM11" s="16"/>
      <c r="EN11" s="16"/>
      <c r="EO11" s="16"/>
      <c r="EP11" s="16"/>
      <c r="EQ11" s="16"/>
      <c r="ER11" s="16"/>
      <c r="ES11" s="16"/>
      <c r="ET11" s="16"/>
      <c r="EU11" s="16"/>
      <c r="EV11" s="16"/>
      <c r="EW11" s="16"/>
      <c r="EX11" s="16"/>
      <c r="EY11" s="16"/>
      <c r="EZ11" s="16"/>
      <c r="FA11" s="16"/>
      <c r="FB11" s="16"/>
      <c r="FC11" s="16"/>
      <c r="FD11" s="16"/>
      <c r="FE11" s="16"/>
      <c r="FF11" s="16"/>
      <c r="FG11" s="16"/>
      <c r="FH11" s="16"/>
      <c r="FI11" s="16"/>
      <c r="FJ11" s="16"/>
      <c r="FK11" s="16"/>
      <c r="FL11" s="16"/>
      <c r="FM11" s="16"/>
      <c r="FN11" s="16"/>
      <c r="FO11" s="16"/>
      <c r="FP11" s="16"/>
      <c r="FQ11" s="16"/>
      <c r="FR11" s="16"/>
      <c r="FS11" s="16"/>
      <c r="FT11" s="16"/>
      <c r="FU11" s="16"/>
      <c r="FV11" s="16"/>
      <c r="FW11" s="16"/>
      <c r="FX11" s="16"/>
      <c r="FY11" s="16"/>
      <c r="FZ11" s="16"/>
      <c r="GA11" s="16"/>
      <c r="GB11" s="16"/>
      <c r="GC11" s="16"/>
      <c r="GD11" s="16"/>
      <c r="GE11" s="16"/>
      <c r="GF11" s="16"/>
      <c r="GG11" s="16"/>
      <c r="GH11" s="16"/>
      <c r="GI11" s="16"/>
      <c r="GJ11" s="16"/>
      <c r="GK11" s="16"/>
      <c r="GL11" s="16"/>
      <c r="GM11" s="16"/>
      <c r="GN11" s="16"/>
      <c r="GO11" s="16"/>
    </row>
    <row r="12" ht="18.0" customHeight="1">
      <c r="A12" s="15">
        <v>11.0</v>
      </c>
      <c r="B12" s="16" t="s">
        <v>557</v>
      </c>
      <c r="C12" s="17" t="s">
        <v>598</v>
      </c>
      <c r="D12" s="16" t="s">
        <v>193</v>
      </c>
      <c r="E12" s="15">
        <f>COUNTIF('Tổng hợp 75 trang đích'!$B$2:$B$2505,$D12)</f>
        <v>17</v>
      </c>
      <c r="F12" s="15">
        <f>COUNTIFS('Tổng hợp 75 trang đích'!$B$2:$B$2505,$D12,'Tổng hợp 75 trang đích'!$K$2:$K$2505,"PHÙ HỢP CAO")</f>
        <v>3</v>
      </c>
      <c r="G12" s="15">
        <f>COUNTIFS('Tổng hợp 75 trang đích'!$B$2:$B$2505,$D12,'Tổng hợp 75 trang đích'!$K$2:$K$2505,"CÓ THỂ ĐI")</f>
        <v>2</v>
      </c>
      <c r="H12" s="15">
        <f>COUNTIFS('Tổng hợp 75 trang đích'!$B$2:$B$2505,$D12,'Tổng hợp 75 trang đích'!$K$2:$K$2505,"CẦN SOÁT")</f>
        <v>12</v>
      </c>
      <c r="I12" s="19" t="s">
        <v>256</v>
      </c>
      <c r="J12" s="19" t="b">
        <v>0</v>
      </c>
      <c r="K12" s="20" t="s">
        <v>258</v>
      </c>
      <c r="L12" s="16" t="str">
        <f>IFERROR(__xludf.DUMMYFUNCTION("IFERROR(TOROW(CHOOSECOLS(SORT(FILTER({'Tổng hợp 75 trang đích'!$J$2:$J$2505,'Tổng hợp 75 trang đích'!$I$2:$I$2505,MATCH('Tổng hợp 75 trang đích'!$K$2:$K$2505,{""PHÙ HỢP CAO"",""CÓ THỂ ĐI"",""CẦN SOÁT""},0)},'Tổng hợp 75 trang đích'!$B$2:$B$2505=$D12),3,TR"&amp;"UE),1,2)),"""")"),"giá điện sinh hoạt")</f>
        <v>giá điện sinh hoạt</v>
      </c>
      <c r="M12" s="21" t="str">
        <f>IFERROR(__xludf.DUMMYFUNCTION("""COMPUTED_VALUE"""),"https://techcombank.com/thong-tin/blog/gia-dien-sinh-hoat")</f>
        <v>https://techcombank.com/thong-tin/blog/gia-dien-sinh-hoat</v>
      </c>
      <c r="N12" s="16" t="str">
        <f>IFERROR(__xludf.DUMMYFUNCTION("""COMPUTED_VALUE"""),"giá điện sinh hoạt mới nhất")</f>
        <v>giá điện sinh hoạt mới nhất</v>
      </c>
      <c r="O12" s="21" t="str">
        <f>IFERROR(__xludf.DUMMYFUNCTION("""COMPUTED_VALUE"""),"https://techcombank.com/thong-tin/blog/tra-cuu-hoa-don-tien-dien")</f>
        <v>https://techcombank.com/thong-tin/blog/tra-cuu-hoa-don-tien-dien</v>
      </c>
      <c r="P12" s="16" t="str">
        <f>IFERROR(__xludf.DUMMYFUNCTION("""COMPUTED_VALUE"""),"giá điện sinh hoạt")</f>
        <v>giá điện sinh hoạt</v>
      </c>
      <c r="Q12" s="21" t="str">
        <f>IFERROR(__xludf.DUMMYFUNCTION("""COMPUTED_VALUE"""),"https://techcombank.com/thong-tin/blog/cach-dong-tien-dien-qua-tai-khoan-ngan-hang")</f>
        <v>https://techcombank.com/thong-tin/blog/cach-dong-tien-dien-qua-tai-khoan-ngan-hang</v>
      </c>
      <c r="R12" s="16" t="str">
        <f>IFERROR(__xludf.DUMMYFUNCTION("""COMPUTED_VALUE"""),"giá điện sinh hoạt mới nhất")</f>
        <v>giá điện sinh hoạt mới nhất</v>
      </c>
      <c r="S12" s="21" t="str">
        <f>IFERROR(__xludf.DUMMYFUNCTION("""COMPUTED_VALUE"""),"https://techcombank.com/thong-tin/blog/app-dong-tien-dien-online")</f>
        <v>https://techcombank.com/thong-tin/blog/app-dong-tien-dien-online</v>
      </c>
      <c r="T12" s="16" t="str">
        <f>IFERROR(__xludf.DUMMYFUNCTION("""COMPUTED_VALUE"""),"giá điện sinh hoạt")</f>
        <v>giá điện sinh hoạt</v>
      </c>
      <c r="U12" s="21" t="str">
        <f>IFERROR(__xludf.DUMMYFUNCTION("""COMPUTED_VALUE"""),"https://techcombank.com/thong-tin/blog/thanh-toan-tien-dien-bang-the-tin-dung")</f>
        <v>https://techcombank.com/thong-tin/blog/thanh-toan-tien-dien-bang-the-tin-dung</v>
      </c>
      <c r="V12" s="16" t="str">
        <f>IFERROR(__xludf.DUMMYFUNCTION("""COMPUTED_VALUE"""),"giá điện sinh hoạt mới nhất")</f>
        <v>giá điện sinh hoạt mới nhất</v>
      </c>
      <c r="W12" s="21" t="str">
        <f>IFERROR(__xludf.DUMMYFUNCTION("""COMPUTED_VALUE"""),"https://techcombank.com/thong-tin/blog/cach-tra-cuu-hoa-don-dien-tu")</f>
        <v>https://techcombank.com/thong-tin/blog/cach-tra-cuu-hoa-don-dien-tu</v>
      </c>
      <c r="X12" s="16" t="str">
        <f>IFERROR(__xludf.DUMMYFUNCTION("""COMPUTED_VALUE"""),"giá điện sinh hoạt")</f>
        <v>giá điện sinh hoạt</v>
      </c>
      <c r="Y12" s="21" t="str">
        <f>IFERROR(__xludf.DUMMYFUNCTION("""COMPUTED_VALUE"""),"https://techcombank.com/thong-tin/blog/chuyen-doi-hoa-don-dien-tu")</f>
        <v>https://techcombank.com/thong-tin/blog/chuyen-doi-hoa-don-dien-tu</v>
      </c>
      <c r="Z12" s="16" t="str">
        <f>IFERROR(__xludf.DUMMYFUNCTION("""COMPUTED_VALUE"""),"giá điện sinh hoạt mới nhất")</f>
        <v>giá điện sinh hoạt mới nhất</v>
      </c>
      <c r="AA12" s="21" t="str">
        <f>IFERROR(__xludf.DUMMYFUNCTION("""COMPUTED_VALUE"""),"https://techcombank.com/thong-tin/blog/hoa-don-dien-tu")</f>
        <v>https://techcombank.com/thong-tin/blog/hoa-don-dien-tu</v>
      </c>
      <c r="AB12" s="16" t="str">
        <f>IFERROR(__xludf.DUMMYFUNCTION("""COMPUTED_VALUE"""),"giá điện sinh hoạt")</f>
        <v>giá điện sinh hoạt</v>
      </c>
      <c r="AC12" s="21" t="str">
        <f>IFERROR(__xludf.DUMMYFUNCTION("""COMPUTED_VALUE"""),"https://techcombank.com/thong-tin/blog/hoa-don-dien-tu-ho-kinh-doanh")</f>
        <v>https://techcombank.com/thong-tin/blog/hoa-don-dien-tu-ho-kinh-doanh</v>
      </c>
      <c r="AD12" s="16" t="str">
        <f>IFERROR(__xludf.DUMMYFUNCTION("""COMPUTED_VALUE"""),"giá điện sinh hoạt mới nhất")</f>
        <v>giá điện sinh hoạt mới nhất</v>
      </c>
      <c r="AE12" s="21" t="str">
        <f>IFERROR(__xludf.DUMMYFUNCTION("""COMPUTED_VALUE"""),"https://techcombank.com/thong-tin/blog/one-stop-shop")</f>
        <v>https://techcombank.com/thong-tin/blog/one-stop-shop</v>
      </c>
      <c r="AF12" s="16" t="str">
        <f>IFERROR(__xludf.DUMMYFUNCTION("""COMPUTED_VALUE"""),"giá điện sinh hoạt")</f>
        <v>giá điện sinh hoạt</v>
      </c>
      <c r="AG12" s="21" t="str">
        <f>IFERROR(__xludf.DUMMYFUNCTION("""COMPUTED_VALUE"""),"https://techcombank.com/thong-tin/blog/tim-hieu-ve-chinh-sach-thue-moi")</f>
        <v>https://techcombank.com/thong-tin/blog/tim-hieu-ve-chinh-sach-thue-moi</v>
      </c>
      <c r="AH12" s="16" t="str">
        <f>IFERROR(__xludf.DUMMYFUNCTION("""COMPUTED_VALUE"""),"giá điện sinh hoạt mới nhất")</f>
        <v>giá điện sinh hoạt mới nhất</v>
      </c>
      <c r="AI12" s="21" t="str">
        <f>IFERROR(__xludf.DUMMYFUNCTION("""COMPUTED_VALUE"""),"https://techcombank.com/thong-tin/blog/may-tinh-tien")</f>
        <v>https://techcombank.com/thong-tin/blog/may-tinh-tien</v>
      </c>
      <c r="AJ12" s="16" t="str">
        <f>IFERROR(__xludf.DUMMYFUNCTION("""COMPUTED_VALUE"""),"giá điện sinh hoạt")</f>
        <v>giá điện sinh hoạt</v>
      </c>
      <c r="AK12" s="21" t="str">
        <f>IFERROR(__xludf.DUMMYFUNCTION("""COMPUTED_VALUE"""),"https://techcombank.com/thong-tin/blog/phan-mem-xuat-hoa-don-dien-tu")</f>
        <v>https://techcombank.com/thong-tin/blog/phan-mem-xuat-hoa-don-dien-tu</v>
      </c>
      <c r="AL12" s="16" t="str">
        <f>IFERROR(__xludf.DUMMYFUNCTION("""COMPUTED_VALUE"""),"giá điện sinh hoạt mới nhất")</f>
        <v>giá điện sinh hoạt mới nhất</v>
      </c>
      <c r="AM12" s="21" t="str">
        <f>IFERROR(__xludf.DUMMYFUNCTION("""COMPUTED_VALUE"""),"https://techcombank.com/thong-tin/blog/vay-ngan-hang-1-ty-moi-thang-tra-bao-nhieu")</f>
        <v>https://techcombank.com/thong-tin/blog/vay-ngan-hang-1-ty-moi-thang-tra-bao-nhieu</v>
      </c>
      <c r="AN12" s="16" t="str">
        <f>IFERROR(__xludf.DUMMYFUNCTION("""COMPUTED_VALUE"""),"giá điện sinh hoạt")</f>
        <v>giá điện sinh hoạt</v>
      </c>
      <c r="AO12" s="21" t="str">
        <f>IFERROR(__xludf.DUMMYFUNCTION("""COMPUTED_VALUE"""),"https://techcombank.com/thong-tin/blog/nap-tien-dien-thoai-online")</f>
        <v>https://techcombank.com/thong-tin/blog/nap-tien-dien-thoai-online</v>
      </c>
      <c r="AP12" s="16" t="str">
        <f>IFERROR(__xludf.DUMMYFUNCTION("""COMPUTED_VALUE"""),"giá điện sinh hoạt mới nhất")</f>
        <v>giá điện sinh hoạt mới nhất</v>
      </c>
      <c r="AQ12" s="21" t="str">
        <f>IFERROR(__xludf.DUMMYFUNCTION("""COMPUTED_VALUE"""),"https://techcombank.com/thong-tin/blog/thanh-toan-hoa-don-tieu-dung")</f>
        <v>https://techcombank.com/thong-tin/blog/thanh-toan-hoa-don-tieu-dung</v>
      </c>
      <c r="AR12" s="16" t="str">
        <f>IFERROR(__xludf.DUMMYFUNCTION("""COMPUTED_VALUE"""),"giá điện sinh hoạt")</f>
        <v>giá điện sinh hoạt</v>
      </c>
      <c r="AS12" s="21" t="str">
        <f>IFERROR(__xludf.DUMMYFUNCTION("""COMPUTED_VALUE"""),"https://techcombank.com/thong-tin/blog/cach-huy-thanh-toan-tien-dien")</f>
        <v>https://techcombank.com/thong-tin/blog/cach-huy-thanh-toan-tien-dien</v>
      </c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  <c r="BM12" s="16"/>
      <c r="BN12" s="16"/>
      <c r="BO12" s="16"/>
      <c r="BP12" s="16"/>
      <c r="BQ12" s="16"/>
      <c r="BR12" s="16"/>
      <c r="BS12" s="16"/>
      <c r="BT12" s="16"/>
      <c r="BU12" s="16"/>
      <c r="BV12" s="16"/>
      <c r="BW12" s="16"/>
      <c r="BX12" s="16"/>
      <c r="BY12" s="16"/>
      <c r="BZ12" s="16"/>
      <c r="CA12" s="16"/>
      <c r="CB12" s="16"/>
      <c r="CC12" s="16"/>
      <c r="CD12" s="16"/>
      <c r="CE12" s="16"/>
      <c r="CF12" s="16"/>
      <c r="CG12" s="16"/>
      <c r="CH12" s="16"/>
      <c r="CI12" s="16"/>
      <c r="CJ12" s="16"/>
      <c r="CK12" s="16"/>
      <c r="CL12" s="16"/>
      <c r="CM12" s="16"/>
      <c r="CN12" s="16"/>
      <c r="CO12" s="16"/>
      <c r="CP12" s="16"/>
      <c r="CQ12" s="16"/>
      <c r="CR12" s="16"/>
      <c r="CS12" s="16"/>
      <c r="CT12" s="16"/>
      <c r="CU12" s="16"/>
      <c r="CV12" s="16"/>
      <c r="CW12" s="16"/>
      <c r="CX12" s="16"/>
      <c r="CY12" s="16"/>
      <c r="CZ12" s="16"/>
      <c r="DA12" s="16"/>
      <c r="DB12" s="16"/>
      <c r="DC12" s="16"/>
      <c r="DD12" s="16"/>
      <c r="DE12" s="16"/>
      <c r="DF12" s="16"/>
      <c r="DG12" s="16"/>
      <c r="DH12" s="16"/>
      <c r="DI12" s="16"/>
      <c r="DJ12" s="16"/>
      <c r="DK12" s="16"/>
      <c r="DL12" s="16"/>
      <c r="DM12" s="16"/>
      <c r="DN12" s="16"/>
      <c r="DO12" s="16"/>
      <c r="DP12" s="16"/>
      <c r="DQ12" s="16"/>
      <c r="DR12" s="16"/>
      <c r="DS12" s="16"/>
      <c r="DT12" s="16"/>
      <c r="DU12" s="16"/>
      <c r="DV12" s="16"/>
      <c r="DW12" s="16"/>
      <c r="DX12" s="16"/>
      <c r="DY12" s="16"/>
      <c r="DZ12" s="16"/>
      <c r="EA12" s="16"/>
      <c r="EB12" s="16"/>
      <c r="EC12" s="16"/>
      <c r="ED12" s="16"/>
      <c r="EE12" s="16"/>
      <c r="EF12" s="16"/>
      <c r="EG12" s="16"/>
      <c r="EH12" s="16"/>
      <c r="EI12" s="16"/>
      <c r="EJ12" s="16"/>
      <c r="EK12" s="16"/>
      <c r="EL12" s="16"/>
      <c r="EM12" s="16"/>
      <c r="EN12" s="16"/>
      <c r="EO12" s="16"/>
      <c r="EP12" s="16"/>
      <c r="EQ12" s="16"/>
      <c r="ER12" s="16"/>
      <c r="ES12" s="16"/>
      <c r="ET12" s="16"/>
      <c r="EU12" s="16"/>
      <c r="EV12" s="16"/>
      <c r="EW12" s="16"/>
      <c r="EX12" s="16"/>
      <c r="EY12" s="16"/>
      <c r="EZ12" s="16"/>
      <c r="FA12" s="16"/>
      <c r="FB12" s="16"/>
      <c r="FC12" s="16"/>
      <c r="FD12" s="16"/>
      <c r="FE12" s="16"/>
      <c r="FF12" s="16"/>
      <c r="FG12" s="16"/>
      <c r="FH12" s="16"/>
      <c r="FI12" s="16"/>
      <c r="FJ12" s="16"/>
      <c r="FK12" s="16"/>
      <c r="FL12" s="16"/>
      <c r="FM12" s="16"/>
      <c r="FN12" s="16"/>
      <c r="FO12" s="16"/>
      <c r="FP12" s="16"/>
      <c r="FQ12" s="16"/>
      <c r="FR12" s="16"/>
      <c r="FS12" s="16"/>
      <c r="FT12" s="16"/>
      <c r="FU12" s="16"/>
      <c r="FV12" s="16"/>
      <c r="FW12" s="16"/>
      <c r="FX12" s="16"/>
      <c r="FY12" s="16"/>
      <c r="FZ12" s="16"/>
      <c r="GA12" s="16"/>
      <c r="GB12" s="16"/>
      <c r="GC12" s="16"/>
      <c r="GD12" s="16"/>
      <c r="GE12" s="16"/>
      <c r="GF12" s="16"/>
      <c r="GG12" s="16"/>
      <c r="GH12" s="16"/>
      <c r="GI12" s="16"/>
      <c r="GJ12" s="16"/>
      <c r="GK12" s="16"/>
      <c r="GL12" s="16"/>
      <c r="GM12" s="16"/>
      <c r="GN12" s="16"/>
      <c r="GO12" s="16"/>
    </row>
    <row r="13" ht="18.0" customHeight="1">
      <c r="A13" s="15">
        <v>12.0</v>
      </c>
      <c r="B13" s="16" t="s">
        <v>557</v>
      </c>
      <c r="C13" s="17" t="s">
        <v>611</v>
      </c>
      <c r="D13" s="16" t="s">
        <v>218</v>
      </c>
      <c r="E13" s="15">
        <f>COUNTIF('Tổng hợp 75 trang đích'!$B$2:$B$2505,$D13)</f>
        <v>16</v>
      </c>
      <c r="F13" s="15">
        <f>COUNTIFS('Tổng hợp 75 trang đích'!$B$2:$B$2505,$D13,'Tổng hợp 75 trang đích'!$K$2:$K$2505,"PHÙ HỢP CAO")</f>
        <v>2</v>
      </c>
      <c r="G13" s="15">
        <f>COUNTIFS('Tổng hợp 75 trang đích'!$B$2:$B$2505,$D13,'Tổng hợp 75 trang đích'!$K$2:$K$2505,"CÓ THỂ ĐI")</f>
        <v>3</v>
      </c>
      <c r="H13" s="15">
        <f>COUNTIFS('Tổng hợp 75 trang đích'!$B$2:$B$2505,$D13,'Tổng hợp 75 trang đích'!$K$2:$K$2505,"CẦN SOÁT")</f>
        <v>11</v>
      </c>
      <c r="I13" s="19" t="s">
        <v>256</v>
      </c>
      <c r="J13" s="19" t="b">
        <v>0</v>
      </c>
      <c r="K13" s="20" t="s">
        <v>258</v>
      </c>
      <c r="L13" s="16" t="str">
        <f>IFERROR(__xludf.DUMMYFUNCTION("IFERROR(TOROW(CHOOSECOLS(SORT(FILTER({'Tổng hợp 75 trang đích'!$J$2:$J$2505,'Tổng hợp 75 trang đích'!$I$2:$I$2505,MATCH('Tổng hợp 75 trang đích'!$K$2:$K$2505,{""PHÙ HỢP CAO"",""CÓ THỂ ĐI"",""CẦN SOÁT""},0)},'Tổng hợp 75 trang đích'!$B$2:$B$2505=$D13),3,TR"&amp;"UE),1,2)),"""")"),"thuế thu nhập cá nhân")</f>
        <v>thuế thu nhập cá nhân</v>
      </c>
      <c r="M13" s="21" t="str">
        <f>IFERROR(__xludf.DUMMYFUNCTION("""COMPUTED_VALUE"""),"https://techcombank.com/thong-tin/blog/quyet-toan-thue-thu-nhap-ca-nhan")</f>
        <v>https://techcombank.com/thong-tin/blog/quyet-toan-thue-thu-nhap-ca-nhan</v>
      </c>
      <c r="N13" s="16" t="str">
        <f>IFERROR(__xludf.DUMMYFUNCTION("""COMPUTED_VALUE"""),"thuế thu nhập cá nhân năm 2026")</f>
        <v>thuế thu nhập cá nhân năm 2026</v>
      </c>
      <c r="O13" s="21" t="str">
        <f>IFERROR(__xludf.DUMMYFUNCTION("""COMPUTED_VALUE"""),"https://techcombank.com/thong-tin/blog/hoan-thue-thu-nhap-ca-nhan")</f>
        <v>https://techcombank.com/thong-tin/blog/hoan-thue-thu-nhap-ca-nhan</v>
      </c>
      <c r="P13" s="16" t="str">
        <f>IFERROR(__xludf.DUMMYFUNCTION("""COMPUTED_VALUE"""),"thuế thu nhập cá nhân")</f>
        <v>thuế thu nhập cá nhân</v>
      </c>
      <c r="Q13" s="21" t="str">
        <f>IFERROR(__xludf.DUMMYFUNCTION("""COMPUTED_VALUE"""),"https://techcombank.com/thong-tin/blog/dang-ky-ma-so-thue-ca-nhan")</f>
        <v>https://techcombank.com/thong-tin/blog/dang-ky-ma-so-thue-ca-nhan</v>
      </c>
      <c r="R13" s="16" t="str">
        <f>IFERROR(__xludf.DUMMYFUNCTION("""COMPUTED_VALUE"""),"thuế thu nhập cá nhân năm 2026")</f>
        <v>thuế thu nhập cá nhân năm 2026</v>
      </c>
      <c r="S13" s="21" t="str">
        <f>IFERROR(__xludf.DUMMYFUNCTION("""COMPUTED_VALUE"""),"https://techcombank.com/thong-tin/blog/sao-ke-luong")</f>
        <v>https://techcombank.com/thong-tin/blog/sao-ke-luong</v>
      </c>
      <c r="T13" s="16" t="str">
        <f>IFERROR(__xludf.DUMMYFUNCTION("""COMPUTED_VALUE"""),"thuế thu nhập cá nhân")</f>
        <v>thuế thu nhập cá nhân</v>
      </c>
      <c r="U13" s="21" t="str">
        <f>IFERROR(__xludf.DUMMYFUNCTION("""COMPUTED_VALUE"""),"https://techcombank.com/thong-tin/blog/luong-huu")</f>
        <v>https://techcombank.com/thong-tin/blog/luong-huu</v>
      </c>
      <c r="V13" s="16" t="str">
        <f>IFERROR(__xludf.DUMMYFUNCTION("""COMPUTED_VALUE"""),"thuế thu nhập cá nhân năm 2026")</f>
        <v>thuế thu nhập cá nhân năm 2026</v>
      </c>
      <c r="W13" s="21" t="str">
        <f>IFERROR(__xludf.DUMMYFUNCTION("""COMPUTED_VALUE"""),"https://techcombank.com/thong-tin/blog/cach-tinh-thue-ho-kinh-doanh-nho-le")</f>
        <v>https://techcombank.com/thong-tin/blog/cach-tinh-thue-ho-kinh-doanh-nho-le</v>
      </c>
      <c r="X13" s="16" t="str">
        <f>IFERROR(__xludf.DUMMYFUNCTION("""COMPUTED_VALUE"""),"thuế thu nhập cá nhân")</f>
        <v>thuế thu nhập cá nhân</v>
      </c>
      <c r="Y13" s="21" t="str">
        <f>IFERROR(__xludf.DUMMYFUNCTION("""COMPUTED_VALUE"""),"https://techcombank.com/thong-tin/blog/tra-luong-tien-mat")</f>
        <v>https://techcombank.com/thong-tin/blog/tra-luong-tien-mat</v>
      </c>
      <c r="Z13" s="16" t="str">
        <f>IFERROR(__xludf.DUMMYFUNCTION("""COMPUTED_VALUE"""),"thuế thu nhập cá nhân năm 2026")</f>
        <v>thuế thu nhập cá nhân năm 2026</v>
      </c>
      <c r="AA13" s="21" t="str">
        <f>IFERROR(__xludf.DUMMYFUNCTION("""COMPUTED_VALUE"""),"https://techcombank.com/thong-tin/blog/tra-cuu-no-thue-ca-nhan")</f>
        <v>https://techcombank.com/thong-tin/blog/tra-cuu-no-thue-ca-nhan</v>
      </c>
      <c r="AB13" s="16" t="str">
        <f>IFERROR(__xludf.DUMMYFUNCTION("""COMPUTED_VALUE"""),"thuế thu nhập cá nhân")</f>
        <v>thuế thu nhập cá nhân</v>
      </c>
      <c r="AC13" s="21" t="str">
        <f>IFERROR(__xludf.DUMMYFUNCTION("""COMPUTED_VALUE"""),"https://techcombank.com/thong-tin/blog/nhung-ho-kinh-doanh-duoc-mien-thue")</f>
        <v>https://techcombank.com/thong-tin/blog/nhung-ho-kinh-doanh-duoc-mien-thue</v>
      </c>
      <c r="AD13" s="16" t="str">
        <f>IFERROR(__xludf.DUMMYFUNCTION("""COMPUTED_VALUE"""),"thuế thu nhập cá nhân năm 2026")</f>
        <v>thuế thu nhập cá nhân năm 2026</v>
      </c>
      <c r="AE13" s="21" t="str">
        <f>IFERROR(__xludf.DUMMYFUNCTION("""COMPUTED_VALUE"""),"https://techcombank.com/thong-tin/blog/app-tra-luong")</f>
        <v>https://techcombank.com/thong-tin/blog/app-tra-luong</v>
      </c>
      <c r="AF13" s="16" t="str">
        <f>IFERROR(__xludf.DUMMYFUNCTION("""COMPUTED_VALUE"""),"thuế thu nhập cá nhân")</f>
        <v>thuế thu nhập cá nhân</v>
      </c>
      <c r="AG13" s="21" t="str">
        <f>IFERROR(__xludf.DUMMYFUNCTION("""COMPUTED_VALUE"""),"https://techcombank.com/thong-tin/blog/ho-kinh-doanh-dong-thue-nhu-nao")</f>
        <v>https://techcombank.com/thong-tin/blog/ho-kinh-doanh-dong-thue-nhu-nao</v>
      </c>
      <c r="AH13" s="16" t="str">
        <f>IFERROR(__xludf.DUMMYFUNCTION("""COMPUTED_VALUE"""),"thuế thu nhập cá nhân năm 2026")</f>
        <v>thuế thu nhập cá nhân năm 2026</v>
      </c>
      <c r="AI13" s="21" t="str">
        <f>IFERROR(__xludf.DUMMYFUNCTION("""COMPUTED_VALUE"""),"https://techcombank.com/thong-tin/blog/chinh-sach-tang-luong-huu")</f>
        <v>https://techcombank.com/thong-tin/blog/chinh-sach-tang-luong-huu</v>
      </c>
      <c r="AJ13" s="16" t="str">
        <f>IFERROR(__xludf.DUMMYFUNCTION("""COMPUTED_VALUE"""),"thuế thu nhập cá nhân")</f>
        <v>thuế thu nhập cá nhân</v>
      </c>
      <c r="AK13" s="21" t="str">
        <f>IFERROR(__xludf.DUMMYFUNCTION("""COMPUTED_VALUE"""),"https://techcombank.com/thong-tin/blog/vay-the-chap-qua-luong")</f>
        <v>https://techcombank.com/thong-tin/blog/vay-the-chap-qua-luong</v>
      </c>
      <c r="AL13" s="16" t="str">
        <f>IFERROR(__xludf.DUMMYFUNCTION("""COMPUTED_VALUE"""),"thuế thu nhập cá nhân năm 2026")</f>
        <v>thuế thu nhập cá nhân năm 2026</v>
      </c>
      <c r="AM13" s="21" t="str">
        <f>IFERROR(__xludf.DUMMYFUNCTION("""COMPUTED_VALUE"""),"https://techcombank.com/thong-tin/blog/kiem-tra-thue-thu-nhap-ca-nhan")</f>
        <v>https://techcombank.com/thong-tin/blog/kiem-tra-thue-thu-nhap-ca-nhan</v>
      </c>
      <c r="AN13" s="16" t="str">
        <f>IFERROR(__xludf.DUMMYFUNCTION("""COMPUTED_VALUE"""),"thuế thu nhập cá nhân")</f>
        <v>thuế thu nhập cá nhân</v>
      </c>
      <c r="AO13" s="21" t="str">
        <f>IFERROR(__xludf.DUMMYFUNCTION("""COMPUTED_VALUE"""),"https://techcombank.com/thong-tin/blog/chi-tra-luong-huu")</f>
        <v>https://techcombank.com/thong-tin/blog/chi-tra-luong-huu</v>
      </c>
      <c r="AP13" s="16" t="str">
        <f>IFERROR(__xludf.DUMMYFUNCTION("""COMPUTED_VALUE"""),"thuế thu nhập cá nhân năm 2026")</f>
        <v>thuế thu nhập cá nhân năm 2026</v>
      </c>
      <c r="AQ13" s="21" t="str">
        <f>IFERROR(__xludf.DUMMYFUNCTION("""COMPUTED_VALUE"""),"https://techcombank.com/thong-tin/blog/hoc-cach-tiet-kiem-tien-luong")</f>
        <v>https://techcombank.com/thong-tin/blog/hoc-cach-tiet-kiem-tien-luong</v>
      </c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  <c r="BM13" s="16"/>
      <c r="BN13" s="16"/>
      <c r="BO13" s="16"/>
      <c r="BP13" s="16"/>
      <c r="BQ13" s="16"/>
      <c r="BR13" s="16"/>
      <c r="BS13" s="16"/>
      <c r="BT13" s="16"/>
      <c r="BU13" s="16"/>
      <c r="BV13" s="16"/>
      <c r="BW13" s="16"/>
      <c r="BX13" s="16"/>
      <c r="BY13" s="16"/>
      <c r="BZ13" s="16"/>
      <c r="CA13" s="16"/>
      <c r="CB13" s="16"/>
      <c r="CC13" s="16"/>
      <c r="CD13" s="16"/>
      <c r="CE13" s="16"/>
      <c r="CF13" s="16"/>
      <c r="CG13" s="16"/>
      <c r="CH13" s="16"/>
      <c r="CI13" s="16"/>
      <c r="CJ13" s="16"/>
      <c r="CK13" s="16"/>
      <c r="CL13" s="16"/>
      <c r="CM13" s="16"/>
      <c r="CN13" s="16"/>
      <c r="CO13" s="16"/>
      <c r="CP13" s="16"/>
      <c r="CQ13" s="16"/>
      <c r="CR13" s="16"/>
      <c r="CS13" s="16"/>
      <c r="CT13" s="16"/>
      <c r="CU13" s="16"/>
      <c r="CV13" s="16"/>
      <c r="CW13" s="16"/>
      <c r="CX13" s="16"/>
      <c r="CY13" s="16"/>
      <c r="CZ13" s="16"/>
      <c r="DA13" s="16"/>
      <c r="DB13" s="16"/>
      <c r="DC13" s="16"/>
      <c r="DD13" s="16"/>
      <c r="DE13" s="16"/>
      <c r="DF13" s="16"/>
      <c r="DG13" s="16"/>
      <c r="DH13" s="16"/>
      <c r="DI13" s="16"/>
      <c r="DJ13" s="16"/>
      <c r="DK13" s="16"/>
      <c r="DL13" s="16"/>
      <c r="DM13" s="16"/>
      <c r="DN13" s="16"/>
      <c r="DO13" s="16"/>
      <c r="DP13" s="16"/>
      <c r="DQ13" s="16"/>
      <c r="DR13" s="16"/>
      <c r="DS13" s="16"/>
      <c r="DT13" s="16"/>
      <c r="DU13" s="16"/>
      <c r="DV13" s="16"/>
      <c r="DW13" s="16"/>
      <c r="DX13" s="16"/>
      <c r="DY13" s="16"/>
      <c r="DZ13" s="16"/>
      <c r="EA13" s="16"/>
      <c r="EB13" s="16"/>
      <c r="EC13" s="16"/>
      <c r="ED13" s="16"/>
      <c r="EE13" s="16"/>
      <c r="EF13" s="16"/>
      <c r="EG13" s="16"/>
      <c r="EH13" s="16"/>
      <c r="EI13" s="16"/>
      <c r="EJ13" s="16"/>
      <c r="EK13" s="16"/>
      <c r="EL13" s="16"/>
      <c r="EM13" s="16"/>
      <c r="EN13" s="16"/>
      <c r="EO13" s="16"/>
      <c r="EP13" s="16"/>
      <c r="EQ13" s="16"/>
      <c r="ER13" s="16"/>
      <c r="ES13" s="16"/>
      <c r="ET13" s="16"/>
      <c r="EU13" s="16"/>
      <c r="EV13" s="16"/>
      <c r="EW13" s="16"/>
      <c r="EX13" s="16"/>
      <c r="EY13" s="16"/>
      <c r="EZ13" s="16"/>
      <c r="FA13" s="16"/>
      <c r="FB13" s="16"/>
      <c r="FC13" s="16"/>
      <c r="FD13" s="16"/>
      <c r="FE13" s="16"/>
      <c r="FF13" s="16"/>
      <c r="FG13" s="16"/>
      <c r="FH13" s="16"/>
      <c r="FI13" s="16"/>
      <c r="FJ13" s="16"/>
      <c r="FK13" s="16"/>
      <c r="FL13" s="16"/>
      <c r="FM13" s="16"/>
      <c r="FN13" s="16"/>
      <c r="FO13" s="16"/>
      <c r="FP13" s="16"/>
      <c r="FQ13" s="16"/>
      <c r="FR13" s="16"/>
      <c r="FS13" s="16"/>
      <c r="FT13" s="16"/>
      <c r="FU13" s="16"/>
      <c r="FV13" s="16"/>
      <c r="FW13" s="16"/>
      <c r="FX13" s="16"/>
      <c r="FY13" s="16"/>
      <c r="FZ13" s="16"/>
      <c r="GA13" s="16"/>
      <c r="GB13" s="16"/>
      <c r="GC13" s="16"/>
      <c r="GD13" s="16"/>
      <c r="GE13" s="16"/>
      <c r="GF13" s="16"/>
      <c r="GG13" s="16"/>
      <c r="GH13" s="16"/>
      <c r="GI13" s="16"/>
      <c r="GJ13" s="16"/>
      <c r="GK13" s="16"/>
      <c r="GL13" s="16"/>
      <c r="GM13" s="16"/>
      <c r="GN13" s="16"/>
      <c r="GO13" s="16"/>
    </row>
    <row r="14" ht="18.0" customHeight="1">
      <c r="A14" s="15">
        <v>13.0</v>
      </c>
      <c r="B14" s="16" t="s">
        <v>557</v>
      </c>
      <c r="C14" s="17" t="s">
        <v>625</v>
      </c>
      <c r="D14" s="16" t="s">
        <v>246</v>
      </c>
      <c r="E14" s="15">
        <f>COUNTIF('Tổng hợp 75 trang đích'!$B$2:$B$2505,$D14)</f>
        <v>22</v>
      </c>
      <c r="F14" s="15">
        <f>COUNTIFS('Tổng hợp 75 trang đích'!$B$2:$B$2505,$D14,'Tổng hợp 75 trang đích'!$K$2:$K$2505,"PHÙ HỢP CAO")</f>
        <v>2</v>
      </c>
      <c r="G14" s="15">
        <f>COUNTIFS('Tổng hợp 75 trang đích'!$B$2:$B$2505,$D14,'Tổng hợp 75 trang đích'!$K$2:$K$2505,"CÓ THỂ ĐI")</f>
        <v>3</v>
      </c>
      <c r="H14" s="15">
        <f>COUNTIFS('Tổng hợp 75 trang đích'!$B$2:$B$2505,$D14,'Tổng hợp 75 trang đích'!$K$2:$K$2505,"CẦN SOÁT")</f>
        <v>17</v>
      </c>
      <c r="I14" s="19" t="s">
        <v>256</v>
      </c>
      <c r="J14" s="19" t="b">
        <v>0</v>
      </c>
      <c r="K14" s="20" t="s">
        <v>258</v>
      </c>
      <c r="L14" s="16" t="str">
        <f>IFERROR(__xludf.DUMMYFUNCTION("IFERROR(TOROW(CHOOSECOLS(SORT(FILTER({'Tổng hợp 75 trang đích'!$J$2:$J$2505,'Tổng hợp 75 trang đích'!$I$2:$I$2505,MATCH('Tổng hợp 75 trang đích'!$K$2:$K$2505,{""PHÙ HỢP CAO"",""CÓ THỂ ĐI"",""CẦN SOÁT""},0)},'Tổng hợp 75 trang đích'!$B$2:$B$2505=$D14),3,TR"&amp;"UE),1,2)),"""")"),"tra tài khoản ngân hàng")</f>
        <v>tra tài khoản ngân hàng</v>
      </c>
      <c r="M14" s="21" t="str">
        <f>IFERROR(__xludf.DUMMYFUNCTION("""COMPUTED_VALUE"""),"https://techcombank.com/thong-tin/blog/so-tai-khoan-ngan-hang")</f>
        <v>https://techcombank.com/thong-tin/blog/so-tai-khoan-ngan-hang</v>
      </c>
      <c r="N14" s="16" t="str">
        <f>IFERROR(__xludf.DUMMYFUNCTION("""COMPUTED_VALUE"""),"tra số tài khoản ngân hàng")</f>
        <v>tra số tài khoản ngân hàng</v>
      </c>
      <c r="O14" s="21" t="str">
        <f>IFERROR(__xludf.DUMMYFUNCTION("""COMPUTED_VALUE"""),"https://techcombank.com/thong-tin/blog/so-du-kha-dung")</f>
        <v>https://techcombank.com/thong-tin/blog/so-du-kha-dung</v>
      </c>
      <c r="P14" s="16" t="str">
        <f>IFERROR(__xludf.DUMMYFUNCTION("""COMPUTED_VALUE"""),"tra tài khoản ngân hàng")</f>
        <v>tra tài khoản ngân hàng</v>
      </c>
      <c r="Q14" s="21" t="str">
        <f>IFERROR(__xludf.DUMMYFUNCTION("""COMPUTED_VALUE"""),"https://techcombank.com/thong-tin/blog/ma-giao-dich-la-gi")</f>
        <v>https://techcombank.com/thong-tin/blog/ma-giao-dich-la-gi</v>
      </c>
      <c r="R14" s="16" t="str">
        <f>IFERROR(__xludf.DUMMYFUNCTION("""COMPUTED_VALUE"""),"tra số tài khoản ngân hàng")</f>
        <v>tra số tài khoản ngân hàng</v>
      </c>
      <c r="S14" s="21" t="str">
        <f>IFERROR(__xludf.DUMMYFUNCTION("""COMPUTED_VALUE"""),"https://techcombank.com/thong-tin/blog/sms-banking")</f>
        <v>https://techcombank.com/thong-tin/blog/sms-banking</v>
      </c>
      <c r="T14" s="16" t="str">
        <f>IFERROR(__xludf.DUMMYFUNCTION("""COMPUTED_VALUE"""),"tra tài khoản ngân hàng")</f>
        <v>tra tài khoản ngân hàng</v>
      </c>
      <c r="U14" s="21" t="str">
        <f>IFERROR(__xludf.DUMMYFUNCTION("""COMPUTED_VALUE"""),"https://techcombank.com/thong-tin/blog/cach-kiem-tra-tai-khoan-ngan-hang-cua-cong-ty")</f>
        <v>https://techcombank.com/thong-tin/blog/cach-kiem-tra-tai-khoan-ngan-hang-cua-cong-ty</v>
      </c>
      <c r="V14" s="16" t="str">
        <f>IFERROR(__xludf.DUMMYFUNCTION("""COMPUTED_VALUE"""),"tra số tài khoản ngân hàng")</f>
        <v>tra số tài khoản ngân hàng</v>
      </c>
      <c r="W14" s="21" t="str">
        <f>IFERROR(__xludf.DUMMYFUNCTION("""COMPUTED_VALUE"""),"https://techcombank.com/thong-tin/blog/co-nen-mua-so-tai-khoan-ngan-hang-dep")</f>
        <v>https://techcombank.com/thong-tin/blog/co-nen-mua-so-tai-khoan-ngan-hang-dep</v>
      </c>
      <c r="X14" s="16" t="str">
        <f>IFERROR(__xludf.DUMMYFUNCTION("""COMPUTED_VALUE"""),"tra tài khoản ngân hàng")</f>
        <v>tra tài khoản ngân hàng</v>
      </c>
      <c r="Y14" s="21" t="str">
        <f>IFERROR(__xludf.DUMMYFUNCTION("""COMPUTED_VALUE"""),"https://techcombank.com/thong-tin/blog/cdm")</f>
        <v>https://techcombank.com/thong-tin/blog/cdm</v>
      </c>
      <c r="Z14" s="16" t="str">
        <f>IFERROR(__xludf.DUMMYFUNCTION("""COMPUTED_VALUE"""),"tra số tài khoản ngân hàng")</f>
        <v>tra số tài khoản ngân hàng</v>
      </c>
      <c r="AA14" s="21" t="str">
        <f>IFERROR(__xludf.DUMMYFUNCTION("""COMPUTED_VALUE"""),"https://techcombank.com/thong-tin/blog/lo-so-tai-khoan-ngan-hang-co-sao-khong")</f>
        <v>https://techcombank.com/thong-tin/blog/lo-so-tai-khoan-ngan-hang-co-sao-khong</v>
      </c>
      <c r="AB14" s="16" t="str">
        <f>IFERROR(__xludf.DUMMYFUNCTION("""COMPUTED_VALUE"""),"tra tài khoản ngân hàng")</f>
        <v>tra tài khoản ngân hàng</v>
      </c>
      <c r="AC14" s="21" t="str">
        <f>IFERROR(__xludf.DUMMYFUNCTION("""COMPUTED_VALUE"""),"https://techcombank.com/thong-tin/blog/cach-chon-so-tai-khoan-dep")</f>
        <v>https://techcombank.com/thong-tin/blog/cach-chon-so-tai-khoan-dep</v>
      </c>
      <c r="AD14" s="16" t="str">
        <f>IFERROR(__xludf.DUMMYFUNCTION("""COMPUTED_VALUE"""),"tra số tài khoản ngân hàng")</f>
        <v>tra số tài khoản ngân hàng</v>
      </c>
      <c r="AE14" s="21" t="str">
        <f>IFERROR(__xludf.DUMMYFUNCTION("""COMPUTED_VALUE"""),"https://techcombank.com/thong-tin/blog/8868")</f>
        <v>https://techcombank.com/thong-tin/blog/8868</v>
      </c>
      <c r="AF14" s="16" t="str">
        <f>IFERROR(__xludf.DUMMYFUNCTION("""COMPUTED_VALUE"""),"tra tài khoản ngân hàng")</f>
        <v>tra tài khoản ngân hàng</v>
      </c>
      <c r="AG14" s="21" t="str">
        <f>IFERROR(__xludf.DUMMYFUNCTION("""COMPUTED_VALUE"""),"https://techcombank.com/thong-tin/blog/day-so-phat-tai-phat-loc")</f>
        <v>https://techcombank.com/thong-tin/blog/day-so-phat-tai-phat-loc</v>
      </c>
      <c r="AH14" s="16" t="str">
        <f>IFERROR(__xludf.DUMMYFUNCTION("""COMPUTED_VALUE"""),"tra số tài khoản ngân hàng")</f>
        <v>tra số tài khoản ngân hàng</v>
      </c>
      <c r="AI14" s="21" t="str">
        <f>IFERROR(__xludf.DUMMYFUNCTION("""COMPUTED_VALUE"""),"https://techcombank.com/thong-tin/blog/66666-co-y-nghia-gi")</f>
        <v>https://techcombank.com/thong-tin/blog/66666-co-y-nghia-gi</v>
      </c>
      <c r="AJ14" s="16" t="str">
        <f>IFERROR(__xludf.DUMMYFUNCTION("""COMPUTED_VALUE"""),"tra tài khoản ngân hàng")</f>
        <v>tra tài khoản ngân hàng</v>
      </c>
      <c r="AK14" s="21" t="str">
        <f>IFERROR(__xludf.DUMMYFUNCTION("""COMPUTED_VALUE"""),"https://techcombank.com/thong-tin/blog/so-8386")</f>
        <v>https://techcombank.com/thong-tin/blog/so-8386</v>
      </c>
      <c r="AL14" s="16" t="str">
        <f>IFERROR(__xludf.DUMMYFUNCTION("""COMPUTED_VALUE"""),"tra số tài khoản ngân hàng")</f>
        <v>tra số tài khoản ngân hàng</v>
      </c>
      <c r="AM14" s="21" t="str">
        <f>IFERROR(__xludf.DUMMYFUNCTION("""COMPUTED_VALUE"""),"https://techcombank.com/thong-tin/blog/so-the-ngan-hang")</f>
        <v>https://techcombank.com/thong-tin/blog/so-the-ngan-hang</v>
      </c>
      <c r="AN14" s="16" t="str">
        <f>IFERROR(__xludf.DUMMYFUNCTION("""COMPUTED_VALUE"""),"tra tài khoản ngân hàng")</f>
        <v>tra tài khoản ngân hàng</v>
      </c>
      <c r="AO14" s="21" t="str">
        <f>IFERROR(__xludf.DUMMYFUNCTION("""COMPUTED_VALUE"""),"https://techcombank.com/thong-tin/blog/so-tai-khoan-dep")</f>
        <v>https://techcombank.com/thong-tin/blog/so-tai-khoan-dep</v>
      </c>
      <c r="AP14" s="16" t="str">
        <f>IFERROR(__xludf.DUMMYFUNCTION("""COMPUTED_VALUE"""),"tra số tài khoản ngân hàng")</f>
        <v>tra số tài khoản ngân hàng</v>
      </c>
      <c r="AQ14" s="21" t="str">
        <f>IFERROR(__xludf.DUMMYFUNCTION("""COMPUTED_VALUE"""),"https://techcombank.com/thong-tin/blog/99999-co-y-nghia-gi")</f>
        <v>https://techcombank.com/thong-tin/blog/99999-co-y-nghia-gi</v>
      </c>
      <c r="AR14" s="16" t="str">
        <f>IFERROR(__xludf.DUMMYFUNCTION("""COMPUTED_VALUE"""),"tra tài khoản ngân hàng")</f>
        <v>tra tài khoản ngân hàng</v>
      </c>
      <c r="AS14" s="21" t="str">
        <f>IFERROR(__xludf.DUMMYFUNCTION("""COMPUTED_VALUE"""),"https://techcombank.com/thong-tin/blog/so-du-tai-khoan-thanh-toan")</f>
        <v>https://techcombank.com/thong-tin/blog/so-du-tai-khoan-thanh-toan</v>
      </c>
      <c r="AT14" s="16" t="str">
        <f>IFERROR(__xludf.DUMMYFUNCTION("""COMPUTED_VALUE"""),"tra số tài khoản ngân hàng")</f>
        <v>tra số tài khoản ngân hàng</v>
      </c>
      <c r="AU14" s="21" t="str">
        <f>IFERROR(__xludf.DUMMYFUNCTION("""COMPUTED_VALUE"""),"https://techcombank.com/thong-tin/blog/so-du-tien-gui-la-gi")</f>
        <v>https://techcombank.com/thong-tin/blog/so-du-tien-gui-la-gi</v>
      </c>
      <c r="AV14" s="16" t="str">
        <f>IFERROR(__xludf.DUMMYFUNCTION("""COMPUTED_VALUE"""),"tra tài khoản ngân hàng")</f>
        <v>tra tài khoản ngân hàng</v>
      </c>
      <c r="AW14" s="21" t="str">
        <f>IFERROR(__xludf.DUMMYFUNCTION("""COMPUTED_VALUE"""),"https://techcombank.com/thong-tin/blog/so-6868")</f>
        <v>https://techcombank.com/thong-tin/blog/so-6868</v>
      </c>
      <c r="AX14" s="16" t="str">
        <f>IFERROR(__xludf.DUMMYFUNCTION("""COMPUTED_VALUE"""),"tra số tài khoản ngân hàng")</f>
        <v>tra số tài khoản ngân hàng</v>
      </c>
      <c r="AY14" s="21" t="str">
        <f>IFERROR(__xludf.DUMMYFUNCTION("""COMPUTED_VALUE"""),"https://techcombank.com/thong-tin/blog/y-nghia-so-68")</f>
        <v>https://techcombank.com/thong-tin/blog/y-nghia-so-68</v>
      </c>
      <c r="AZ14" s="16" t="str">
        <f>IFERROR(__xludf.DUMMYFUNCTION("""COMPUTED_VALUE"""),"tra tài khoản ngân hàng")</f>
        <v>tra tài khoản ngân hàng</v>
      </c>
      <c r="BA14" s="21" t="str">
        <f>IFERROR(__xludf.DUMMYFUNCTION("""COMPUTED_VALUE"""),"https://techcombank.com/thong-tin/blog/cach-chuyen-tien")</f>
        <v>https://techcombank.com/thong-tin/blog/cach-chuyen-tien</v>
      </c>
      <c r="BB14" s="16" t="str">
        <f>IFERROR(__xludf.DUMMYFUNCTION("""COMPUTED_VALUE"""),"tra số tài khoản ngân hàng")</f>
        <v>tra số tài khoản ngân hàng</v>
      </c>
      <c r="BC14" s="21" t="str">
        <f>IFERROR(__xludf.DUMMYFUNCTION("""COMPUTED_VALUE"""),"https://techcombank.com/thong-tin/blog/vip-ngan-hang")</f>
        <v>https://techcombank.com/thong-tin/blog/vip-ngan-hang</v>
      </c>
      <c r="BD14" s="16"/>
      <c r="BE14" s="16"/>
      <c r="BF14" s="16"/>
      <c r="BG14" s="16"/>
      <c r="BH14" s="16"/>
      <c r="BI14" s="16"/>
      <c r="BJ14" s="16"/>
      <c r="BK14" s="16"/>
      <c r="BL14" s="16"/>
      <c r="BM14" s="16"/>
      <c r="BN14" s="16"/>
      <c r="BO14" s="16"/>
      <c r="BP14" s="16"/>
      <c r="BQ14" s="16"/>
      <c r="BR14" s="16"/>
      <c r="BS14" s="16"/>
      <c r="BT14" s="16"/>
      <c r="BU14" s="16"/>
      <c r="BV14" s="16"/>
      <c r="BW14" s="16"/>
      <c r="BX14" s="16"/>
      <c r="BY14" s="16"/>
      <c r="BZ14" s="16"/>
      <c r="CA14" s="16"/>
      <c r="CB14" s="16"/>
      <c r="CC14" s="16"/>
      <c r="CD14" s="16"/>
      <c r="CE14" s="16"/>
      <c r="CF14" s="16"/>
      <c r="CG14" s="16"/>
      <c r="CH14" s="16"/>
      <c r="CI14" s="16"/>
      <c r="CJ14" s="16"/>
      <c r="CK14" s="16"/>
      <c r="CL14" s="16"/>
      <c r="CM14" s="16"/>
      <c r="CN14" s="16"/>
      <c r="CO14" s="16"/>
      <c r="CP14" s="16"/>
      <c r="CQ14" s="16"/>
      <c r="CR14" s="16"/>
      <c r="CS14" s="16"/>
      <c r="CT14" s="16"/>
      <c r="CU14" s="16"/>
      <c r="CV14" s="16"/>
      <c r="CW14" s="16"/>
      <c r="CX14" s="16"/>
      <c r="CY14" s="16"/>
      <c r="CZ14" s="16"/>
      <c r="DA14" s="16"/>
      <c r="DB14" s="16"/>
      <c r="DC14" s="16"/>
      <c r="DD14" s="16"/>
      <c r="DE14" s="16"/>
      <c r="DF14" s="16"/>
      <c r="DG14" s="16"/>
      <c r="DH14" s="16"/>
      <c r="DI14" s="16"/>
      <c r="DJ14" s="16"/>
      <c r="DK14" s="16"/>
      <c r="DL14" s="16"/>
      <c r="DM14" s="16"/>
      <c r="DN14" s="16"/>
      <c r="DO14" s="16"/>
      <c r="DP14" s="16"/>
      <c r="DQ14" s="16"/>
      <c r="DR14" s="16"/>
      <c r="DS14" s="16"/>
      <c r="DT14" s="16"/>
      <c r="DU14" s="16"/>
      <c r="DV14" s="16"/>
      <c r="DW14" s="16"/>
      <c r="DX14" s="16"/>
      <c r="DY14" s="16"/>
      <c r="DZ14" s="16"/>
      <c r="EA14" s="16"/>
      <c r="EB14" s="16"/>
      <c r="EC14" s="16"/>
      <c r="ED14" s="16"/>
      <c r="EE14" s="16"/>
      <c r="EF14" s="16"/>
      <c r="EG14" s="16"/>
      <c r="EH14" s="16"/>
      <c r="EI14" s="16"/>
      <c r="EJ14" s="16"/>
      <c r="EK14" s="16"/>
      <c r="EL14" s="16"/>
      <c r="EM14" s="16"/>
      <c r="EN14" s="16"/>
      <c r="EO14" s="16"/>
      <c r="EP14" s="16"/>
      <c r="EQ14" s="16"/>
      <c r="ER14" s="16"/>
      <c r="ES14" s="16"/>
      <c r="ET14" s="16"/>
      <c r="EU14" s="16"/>
      <c r="EV14" s="16"/>
      <c r="EW14" s="16"/>
      <c r="EX14" s="16"/>
      <c r="EY14" s="16"/>
      <c r="EZ14" s="16"/>
      <c r="FA14" s="16"/>
      <c r="FB14" s="16"/>
      <c r="FC14" s="16"/>
      <c r="FD14" s="16"/>
      <c r="FE14" s="16"/>
      <c r="FF14" s="16"/>
      <c r="FG14" s="16"/>
      <c r="FH14" s="16"/>
      <c r="FI14" s="16"/>
      <c r="FJ14" s="16"/>
      <c r="FK14" s="16"/>
      <c r="FL14" s="16"/>
      <c r="FM14" s="16"/>
      <c r="FN14" s="16"/>
      <c r="FO14" s="16"/>
      <c r="FP14" s="16"/>
      <c r="FQ14" s="16"/>
      <c r="FR14" s="16"/>
      <c r="FS14" s="16"/>
      <c r="FT14" s="16"/>
      <c r="FU14" s="16"/>
      <c r="FV14" s="16"/>
      <c r="FW14" s="16"/>
      <c r="FX14" s="16"/>
      <c r="FY14" s="16"/>
      <c r="FZ14" s="16"/>
      <c r="GA14" s="16"/>
      <c r="GB14" s="16"/>
      <c r="GC14" s="16"/>
      <c r="GD14" s="16"/>
      <c r="GE14" s="16"/>
      <c r="GF14" s="16"/>
      <c r="GG14" s="16"/>
      <c r="GH14" s="16"/>
      <c r="GI14" s="16"/>
      <c r="GJ14" s="16"/>
      <c r="GK14" s="16"/>
      <c r="GL14" s="16"/>
      <c r="GM14" s="16"/>
      <c r="GN14" s="16"/>
      <c r="GO14" s="16"/>
    </row>
    <row r="15" ht="18.0" customHeight="1">
      <c r="A15" s="15">
        <v>14.0</v>
      </c>
      <c r="B15" s="16" t="s">
        <v>557</v>
      </c>
      <c r="C15" s="17" t="s">
        <v>650</v>
      </c>
      <c r="D15" s="16" t="s">
        <v>248</v>
      </c>
      <c r="E15" s="15">
        <f>COUNTIF('Tổng hợp 75 trang đích'!$B$2:$B$2505,$D15)</f>
        <v>53</v>
      </c>
      <c r="F15" s="15">
        <f>COUNTIFS('Tổng hợp 75 trang đích'!$B$2:$B$2505,$D15,'Tổng hợp 75 trang đích'!$K$2:$K$2505,"PHÙ HỢP CAO")</f>
        <v>4</v>
      </c>
      <c r="G15" s="15">
        <f>COUNTIFS('Tổng hợp 75 trang đích'!$B$2:$B$2505,$D15,'Tổng hợp 75 trang đích'!$K$2:$K$2505,"CÓ THỂ ĐI")</f>
        <v>1</v>
      </c>
      <c r="H15" s="15">
        <f>COUNTIFS('Tổng hợp 75 trang đích'!$B$2:$B$2505,$D15,'Tổng hợp 75 trang đích'!$K$2:$K$2505,"CẦN SOÁT")</f>
        <v>48</v>
      </c>
      <c r="I15" s="19" t="s">
        <v>256</v>
      </c>
      <c r="J15" s="19" t="b">
        <v>0</v>
      </c>
      <c r="K15" s="20" t="s">
        <v>258</v>
      </c>
      <c r="L15" s="16" t="str">
        <f>IFERROR(__xludf.DUMMYFUNCTION("IFERROR(TOROW(CHOOSECOLS(SORT(FILTER({'Tổng hợp 75 trang đích'!$J$2:$J$2505,'Tổng hợp 75 trang đích'!$I$2:$I$2505,MATCH('Tổng hợp 75 trang đích'!$K$2:$K$2505,{""PHÙ HỢP CAO"",""CÓ THỂ ĐI"",""CẦN SOÁT""},0)},'Tổng hợp 75 trang đích'!$B$2:$B$2505=$D15),3,TR"&amp;"UE),1,2)),"""")"),"cách tạo tài khoản ngân hàng")</f>
        <v>cách tạo tài khoản ngân hàng</v>
      </c>
      <c r="M15" s="21" t="str">
        <f>IFERROR(__xludf.DUMMYFUNCTION("""COMPUTED_VALUE"""),"https://techcombank.com/thong-tin/blog/tai-khoan-ngan-hang-la-gi")</f>
        <v>https://techcombank.com/thong-tin/blog/tai-khoan-ngan-hang-la-gi</v>
      </c>
      <c r="N15" s="16" t="str">
        <f>IFERROR(__xludf.DUMMYFUNCTION("""COMPUTED_VALUE"""),"mở tài khoản ngân hàng online")</f>
        <v>mở tài khoản ngân hàng online</v>
      </c>
      <c r="O15" s="21" t="str">
        <f>IFERROR(__xludf.DUMMYFUNCTION("""COMPUTED_VALUE"""),"https://techcombank.com/thong-tin/blog/tai-khoan-thanh-toan-la-gi")</f>
        <v>https://techcombank.com/thong-tin/blog/tai-khoan-thanh-toan-la-gi</v>
      </c>
      <c r="P15" s="16" t="str">
        <f>IFERROR(__xludf.DUMMYFUNCTION("""COMPUTED_VALUE"""),"cách tạo tài khoản ngân hàng")</f>
        <v>cách tạo tài khoản ngân hàng</v>
      </c>
      <c r="Q15" s="21" t="str">
        <f>IFERROR(__xludf.DUMMYFUNCTION("""COMPUTED_VALUE"""),"https://techcombank.com/thong-tin/blog/mo-tai-khoan-ngan-hang-online-co-an-toan-khong")</f>
        <v>https://techcombank.com/thong-tin/blog/mo-tai-khoan-ngan-hang-online-co-an-toan-khong</v>
      </c>
      <c r="R15" s="16" t="str">
        <f>IFERROR(__xludf.DUMMYFUNCTION("""COMPUTED_VALUE"""),"mở tài khoản ngân hàng online")</f>
        <v>mở tài khoản ngân hàng online</v>
      </c>
      <c r="S15" s="21" t="str">
        <f>IFERROR(__xludf.DUMMYFUNCTION("""COMPUTED_VALUE"""),"https://techcombank.com/thong-tin/blog/mo-tai-khoan-ngan-hang-co-mat-phi-khong")</f>
        <v>https://techcombank.com/thong-tin/blog/mo-tai-khoan-ngan-hang-co-mat-phi-khong</v>
      </c>
      <c r="T15" s="16" t="str">
        <f>IFERROR(__xludf.DUMMYFUNCTION("""COMPUTED_VALUE"""),"cách tạo tài khoản ngân hàng")</f>
        <v>cách tạo tài khoản ngân hàng</v>
      </c>
      <c r="U15" s="21" t="str">
        <f>IFERROR(__xludf.DUMMYFUNCTION("""COMPUTED_VALUE"""),"https://techcombank.com/thong-tin/blog/1-cmnd-dang-ky-duoc-may-tai-khoan-ngan-hang")</f>
        <v>https://techcombank.com/thong-tin/blog/1-cmnd-dang-ky-duoc-may-tai-khoan-ngan-hang</v>
      </c>
      <c r="V15" s="16" t="str">
        <f>IFERROR(__xludf.DUMMYFUNCTION("""COMPUTED_VALUE"""),"mở tài khoản ngân hàng online")</f>
        <v>mở tài khoản ngân hàng online</v>
      </c>
      <c r="W15" s="21" t="str">
        <f>IFERROR(__xludf.DUMMYFUNCTION("""COMPUTED_VALUE"""),"https://techcombank.com/thong-tin/blog/mo-tai-khoan-doanh-nghiep")</f>
        <v>https://techcombank.com/thong-tin/blog/mo-tai-khoan-doanh-nghiep</v>
      </c>
      <c r="X15" s="16" t="str">
        <f>IFERROR(__xludf.DUMMYFUNCTION("""COMPUTED_VALUE"""),"cách tạo tài khoản ngân hàng")</f>
        <v>cách tạo tài khoản ngân hàng</v>
      </c>
      <c r="Y15" s="21" t="str">
        <f>IFERROR(__xludf.DUMMYFUNCTION("""COMPUTED_VALUE"""),"https://techcombank.com/thong-tin/blog/dong-tai-khoan-ngan-hang-cong-ty")</f>
        <v>https://techcombank.com/thong-tin/blog/dong-tai-khoan-ngan-hang-cong-ty</v>
      </c>
      <c r="Z15" s="16" t="str">
        <f>IFERROR(__xludf.DUMMYFUNCTION("""COMPUTED_VALUE"""),"mở tài khoản ngân hàng online")</f>
        <v>mở tài khoản ngân hàng online</v>
      </c>
      <c r="AA15" s="21" t="str">
        <f>IFERROR(__xludf.DUMMYFUNCTION("""COMPUTED_VALUE"""),"https://techcombank.com/thong-tin/blog/mo-tai-khoan-ho-kinh-doanh")</f>
        <v>https://techcombank.com/thong-tin/blog/mo-tai-khoan-ho-kinh-doanh</v>
      </c>
      <c r="AB15" s="16" t="str">
        <f>IFERROR(__xludf.DUMMYFUNCTION("""COMPUTED_VALUE"""),"cách tạo tài khoản ngân hàng")</f>
        <v>cách tạo tài khoản ngân hàng</v>
      </c>
      <c r="AC15" s="21" t="str">
        <f>IFERROR(__xludf.DUMMYFUNCTION("""COMPUTED_VALUE"""),"https://techcombank.com/thong-tin/blog/lien-ket-tai-khoan-ngan-hang-voi-etax-mobile")</f>
        <v>https://techcombank.com/thong-tin/blog/lien-ket-tai-khoan-ngan-hang-voi-etax-mobile</v>
      </c>
      <c r="AD15" s="16" t="str">
        <f>IFERROR(__xludf.DUMMYFUNCTION("""COMPUTED_VALUE"""),"mở tài khoản ngân hàng online")</f>
        <v>mở tài khoản ngân hàng online</v>
      </c>
      <c r="AE15" s="21" t="str">
        <f>IFERROR(__xludf.DUMMYFUNCTION("""COMPUTED_VALUE"""),"https://techcombank.com/thong-tin/blog/cach-kiem-tra-tai-khoan-ngan-hang-cua-cong-ty")</f>
        <v>https://techcombank.com/thong-tin/blog/cach-kiem-tra-tai-khoan-ngan-hang-cua-cong-ty</v>
      </c>
      <c r="AF15" s="16" t="str">
        <f>IFERROR(__xludf.DUMMYFUNCTION("""COMPUTED_VALUE"""),"cách tạo tài khoản ngân hàng")</f>
        <v>cách tạo tài khoản ngân hàng</v>
      </c>
      <c r="AG15" s="21" t="str">
        <f>IFERROR(__xludf.DUMMYFUNCTION("""COMPUTED_VALUE"""),"https://techcombank.com/thong-tin/blog/cach-lien-ket-epass-voi-tai-khoan-ngan-hang")</f>
        <v>https://techcombank.com/thong-tin/blog/cach-lien-ket-epass-voi-tai-khoan-ngan-hang</v>
      </c>
      <c r="AH15" s="16" t="str">
        <f>IFERROR(__xludf.DUMMYFUNCTION("""COMPUTED_VALUE"""),"mở tài khoản ngân hàng online")</f>
        <v>mở tài khoản ngân hàng online</v>
      </c>
      <c r="AI15" s="21" t="str">
        <f>IFERROR(__xludf.DUMMYFUNCTION("""COMPUTED_VALUE"""),"https://techcombank.com/thong-tin/blog/co-nen-mua-so-tai-khoan-ngan-hang-dep")</f>
        <v>https://techcombank.com/thong-tin/blog/co-nen-mua-so-tai-khoan-ngan-hang-dep</v>
      </c>
      <c r="AJ15" s="16" t="str">
        <f>IFERROR(__xludf.DUMMYFUNCTION("""COMPUTED_VALUE"""),"cách tạo tài khoản ngân hàng")</f>
        <v>cách tạo tài khoản ngân hàng</v>
      </c>
      <c r="AK15" s="21" t="str">
        <f>IFERROR(__xludf.DUMMYFUNCTION("""COMPUTED_VALUE"""),"https://techcombank.com/thong-tin/blog/khai-bao-tai-khoan-ngan-hang-voi-co-quan-thue")</f>
        <v>https://techcombank.com/thong-tin/blog/khai-bao-tai-khoan-ngan-hang-voi-co-quan-thue</v>
      </c>
      <c r="AL15" s="16" t="str">
        <f>IFERROR(__xludf.DUMMYFUNCTION("""COMPUTED_VALUE"""),"mở tài khoản ngân hàng online")</f>
        <v>mở tài khoản ngân hàng online</v>
      </c>
      <c r="AM15" s="21" t="str">
        <f>IFERROR(__xludf.DUMMYFUNCTION("""COMPUTED_VALUE"""),"https://techcombank.com/thong-tin/blog/nen-mo-tai-khoan-ngan-hang-nao-cho-doanh-nghiep")</f>
        <v>https://techcombank.com/thong-tin/blog/nen-mo-tai-khoan-ngan-hang-nao-cho-doanh-nghiep</v>
      </c>
      <c r="AN15" s="16" t="str">
        <f>IFERROR(__xludf.DUMMYFUNCTION("""COMPUTED_VALUE"""),"cách tạo tài khoản ngân hàng")</f>
        <v>cách tạo tài khoản ngân hàng</v>
      </c>
      <c r="AO15" s="21" t="str">
        <f>IFERROR(__xludf.DUMMYFUNCTION("""COMPUTED_VALUE"""),"https://techcombank.com/thong-tin/blog/mo-them-tai-khoan-ngan-hang-cho-cong-ty")</f>
        <v>https://techcombank.com/thong-tin/blog/mo-them-tai-khoan-ngan-hang-cho-cong-ty</v>
      </c>
      <c r="AP15" s="16" t="str">
        <f>IFERROR(__xludf.DUMMYFUNCTION("""COMPUTED_VALUE"""),"mở tài khoản ngân hàng online")</f>
        <v>mở tài khoản ngân hàng online</v>
      </c>
      <c r="AQ15" s="21" t="str">
        <f>IFERROR(__xludf.DUMMYFUNCTION("""COMPUTED_VALUE"""),"https://techcombank.com/thong-tin/blog/techcombank-sinh-loi-tu-dong")</f>
        <v>https://techcombank.com/thong-tin/blog/techcombank-sinh-loi-tu-dong</v>
      </c>
      <c r="AR15" s="16" t="str">
        <f>IFERROR(__xludf.DUMMYFUNCTION("""COMPUTED_VALUE"""),"cách tạo tài khoản ngân hàng")</f>
        <v>cách tạo tài khoản ngân hàng</v>
      </c>
      <c r="AS15" s="21" t="str">
        <f>IFERROR(__xludf.DUMMYFUNCTION("""COMPUTED_VALUE"""),"https://techcombank.com/thong-tin/blog/nap-tien-vao-tai-khoan-ngan-hang")</f>
        <v>https://techcombank.com/thong-tin/blog/nap-tien-vao-tai-khoan-ngan-hang</v>
      </c>
      <c r="AT15" s="16" t="str">
        <f>IFERROR(__xludf.DUMMYFUNCTION("""COMPUTED_VALUE"""),"mở tài khoản ngân hàng online")</f>
        <v>mở tài khoản ngân hàng online</v>
      </c>
      <c r="AU15" s="21" t="str">
        <f>IFERROR(__xludf.DUMMYFUNCTION("""COMPUTED_VALUE"""),"https://techcombank.com/thong-tin/blog/cach-doi-mat-khau-tai-khoan-ngan-hang")</f>
        <v>https://techcombank.com/thong-tin/blog/cach-doi-mat-khau-tai-khoan-ngan-hang</v>
      </c>
      <c r="AV15" s="16" t="str">
        <f>IFERROR(__xludf.DUMMYFUNCTION("""COMPUTED_VALUE"""),"cách tạo tài khoản ngân hàng")</f>
        <v>cách tạo tài khoản ngân hàng</v>
      </c>
      <c r="AW15" s="21" t="str">
        <f>IFERROR(__xludf.DUMMYFUNCTION("""COMPUTED_VALUE"""),"https://techcombank.com/thong-tin/blog/cach-lien-ket-tai-khoan-ngan-hang-voi-vneid")</f>
        <v>https://techcombank.com/thong-tin/blog/cach-lien-ket-tai-khoan-ngan-hang-voi-vneid</v>
      </c>
      <c r="AX15" s="16" t="str">
        <f>IFERROR(__xludf.DUMMYFUNCTION("""COMPUTED_VALUE"""),"mở tài khoản ngân hàng online")</f>
        <v>mở tài khoản ngân hàng online</v>
      </c>
      <c r="AY15" s="21" t="str">
        <f>IFERROR(__xludf.DUMMYFUNCTION("""COMPUTED_VALUE"""),"https://techcombank.com/thong-tin/blog/lo-so-tai-khoan-ngan-hang-co-sao-khong")</f>
        <v>https://techcombank.com/thong-tin/blog/lo-so-tai-khoan-ngan-hang-co-sao-khong</v>
      </c>
      <c r="AZ15" s="16" t="str">
        <f>IFERROR(__xludf.DUMMYFUNCTION("""COMPUTED_VALUE"""),"cách tạo tài khoản ngân hàng")</f>
        <v>cách tạo tài khoản ngân hàng</v>
      </c>
      <c r="BA15" s="21" t="str">
        <f>IFERROR(__xludf.DUMMYFUNCTION("""COMPUTED_VALUE"""),"https://techcombank.com/thong-tin/blog/tai-khoan-ngan-hang-chua-toi-da-bao-nhieu-tien")</f>
        <v>https://techcombank.com/thong-tin/blog/tai-khoan-ngan-hang-chua-toi-da-bao-nhieu-tien</v>
      </c>
      <c r="BB15" s="16" t="str">
        <f>IFERROR(__xludf.DUMMYFUNCTION("""COMPUTED_VALUE"""),"mở tài khoản ngân hàng online")</f>
        <v>mở tài khoản ngân hàng online</v>
      </c>
      <c r="BC15" s="21" t="str">
        <f>IFERROR(__xludf.DUMMYFUNCTION("""COMPUTED_VALUE"""),"https://techcombank.com/thong-tin/blog/88-la-gi")</f>
        <v>https://techcombank.com/thong-tin/blog/88-la-gi</v>
      </c>
      <c r="BD15" s="16" t="str">
        <f>IFERROR(__xludf.DUMMYFUNCTION("""COMPUTED_VALUE"""),"cách tạo tài khoản ngân hàng")</f>
        <v>cách tạo tài khoản ngân hàng</v>
      </c>
      <c r="BE15" s="21" t="str">
        <f>IFERROR(__xludf.DUMMYFUNCTION("""COMPUTED_VALUE"""),"https://techcombank.com/thong-tin/blog/dang-ky-nhieu-tai-khoan-ngan-hang-co-sao-khong")</f>
        <v>https://techcombank.com/thong-tin/blog/dang-ky-nhieu-tai-khoan-ngan-hang-co-sao-khong</v>
      </c>
      <c r="BF15" s="16" t="str">
        <f>IFERROR(__xludf.DUMMYFUNCTION("""COMPUTED_VALUE"""),"mở tài khoản ngân hàng online")</f>
        <v>mở tài khoản ngân hàng online</v>
      </c>
      <c r="BG15" s="21" t="str">
        <f>IFERROR(__xludf.DUMMYFUNCTION("""COMPUTED_VALUE"""),"https://techcombank.com/thong-tin/blog/thue-thu-nhap-ca-nhan")</f>
        <v>https://techcombank.com/thong-tin/blog/thue-thu-nhap-ca-nhan</v>
      </c>
      <c r="BH15" s="16" t="str">
        <f>IFERROR(__xludf.DUMMYFUNCTION("""COMPUTED_VALUE"""),"cách tạo tài khoản ngân hàng")</f>
        <v>cách tạo tài khoản ngân hàng</v>
      </c>
      <c r="BI15" s="21" t="str">
        <f>IFERROR(__xludf.DUMMYFUNCTION("""COMPUTED_VALUE"""),"https://techcombank.com/thong-tin/blog/cach-chon-so-tai-khoan-dep")</f>
        <v>https://techcombank.com/thong-tin/blog/cach-chon-so-tai-khoan-dep</v>
      </c>
      <c r="BJ15" s="16" t="str">
        <f>IFERROR(__xludf.DUMMYFUNCTION("""COMPUTED_VALUE"""),"mở tài khoản ngân hàng online")</f>
        <v>mở tài khoản ngân hàng online</v>
      </c>
      <c r="BK15" s="21" t="str">
        <f>IFERROR(__xludf.DUMMYFUNCTION("""COMPUTED_VALUE"""),"https://techcombank.com/thong-tin/blog/cach-dong-tien-dien-qua-tai-khoan-ngan-hang")</f>
        <v>https://techcombank.com/thong-tin/blog/cach-dong-tien-dien-qua-tai-khoan-ngan-hang</v>
      </c>
      <c r="BL15" s="16" t="str">
        <f>IFERROR(__xludf.DUMMYFUNCTION("""COMPUTED_VALUE"""),"cách tạo tài khoản ngân hàng")</f>
        <v>cách tạo tài khoản ngân hàng</v>
      </c>
      <c r="BM15" s="21" t="str">
        <f>IFERROR(__xludf.DUMMYFUNCTION("""COMPUTED_VALUE"""),"https://techcombank.com/thong-tin/blog/mau-mo-tai-khoan-doanh-nghiep-techcombank")</f>
        <v>https://techcombank.com/thong-tin/blog/mau-mo-tai-khoan-doanh-nghiep-techcombank</v>
      </c>
      <c r="BN15" s="16" t="str">
        <f>IFERROR(__xludf.DUMMYFUNCTION("""COMPUTED_VALUE"""),"mở tài khoản ngân hàng online")</f>
        <v>mở tài khoản ngân hàng online</v>
      </c>
      <c r="BO15" s="21" t="str">
        <f>IFERROR(__xludf.DUMMYFUNCTION("""COMPUTED_VALUE"""),"https://techcombank.com/thong-tin/blog/mo-tai-khoan-ngan-hang-duoi-18-tuoi")</f>
        <v>https://techcombank.com/thong-tin/blog/mo-tai-khoan-ngan-hang-duoi-18-tuoi</v>
      </c>
      <c r="BP15" s="16" t="str">
        <f>IFERROR(__xludf.DUMMYFUNCTION("""COMPUTED_VALUE"""),"cách tạo tài khoản ngân hàng")</f>
        <v>cách tạo tài khoản ngân hàng</v>
      </c>
      <c r="BQ15" s="21" t="str">
        <f>IFERROR(__xludf.DUMMYFUNCTION("""COMPUTED_VALUE"""),"https://techcombank.com/thong-tin/blog/mat-so-dien-thoai-dang-ky-tai-khoan-ngan-hang")</f>
        <v>https://techcombank.com/thong-tin/blog/mat-so-dien-thoai-dang-ky-tai-khoan-ngan-hang</v>
      </c>
      <c r="BR15" s="16" t="str">
        <f>IFERROR(__xludf.DUMMYFUNCTION("""COMPUTED_VALUE"""),"mở tài khoản ngân hàng online")</f>
        <v>mở tài khoản ngân hàng online</v>
      </c>
      <c r="BS15" s="21" t="str">
        <f>IFERROR(__xludf.DUMMYFUNCTION("""COMPUTED_VALUE"""),"https://techcombank.com/thong-tin/blog/mo-tai-khoan-tiet-kiem-cho-con")</f>
        <v>https://techcombank.com/thong-tin/blog/mo-tai-khoan-tiet-kiem-cho-con</v>
      </c>
      <c r="BT15" s="16" t="str">
        <f>IFERROR(__xludf.DUMMYFUNCTION("""COMPUTED_VALUE"""),"cách tạo tài khoản ngân hàng")</f>
        <v>cách tạo tài khoản ngân hàng</v>
      </c>
      <c r="BU15" s="21" t="str">
        <f>IFERROR(__xludf.DUMMYFUNCTION("""COMPUTED_VALUE"""),"https://techcombank.com/thong-tin/blog/ho-kinh-doanh-can-gi-o-tai-khoan-ngan-hang")</f>
        <v>https://techcombank.com/thong-tin/blog/ho-kinh-doanh-can-gi-o-tai-khoan-ngan-hang</v>
      </c>
      <c r="BV15" s="16" t="str">
        <f>IFERROR(__xludf.DUMMYFUNCTION("""COMPUTED_VALUE"""),"mở tài khoản ngân hàng online")</f>
        <v>mở tài khoản ngân hàng online</v>
      </c>
      <c r="BW15" s="21" t="str">
        <f>IFERROR(__xludf.DUMMYFUNCTION("""COMPUTED_VALUE"""),"https://techcombank.com/thong-tin/blog/tai-khoan-ngan-hang-con-0-dong-co-sao-khong")</f>
        <v>https://techcombank.com/thong-tin/blog/tai-khoan-ngan-hang-con-0-dong-co-sao-khong</v>
      </c>
      <c r="BX15" s="16" t="str">
        <f>IFERROR(__xludf.DUMMYFUNCTION("""COMPUTED_VALUE"""),"cách tạo tài khoản ngân hàng")</f>
        <v>cách tạo tài khoản ngân hàng</v>
      </c>
      <c r="BY15" s="21" t="str">
        <f>IFERROR(__xludf.DUMMYFUNCTION("""COMPUTED_VALUE"""),"https://techcombank.com/thong-tin/blog/mo-tai-khoan-ngan-hang-trung-so-dien-thoai")</f>
        <v>https://techcombank.com/thong-tin/blog/mo-tai-khoan-ngan-hang-trung-so-dien-thoai</v>
      </c>
      <c r="BZ15" s="16" t="str">
        <f>IFERROR(__xludf.DUMMYFUNCTION("""COMPUTED_VALUE"""),"mở tài khoản ngân hàng online")</f>
        <v>mở tài khoản ngân hàng online</v>
      </c>
      <c r="CA15" s="21" t="str">
        <f>IFERROR(__xludf.DUMMYFUNCTION("""COMPUTED_VALUE"""),"https://techcombank.com/thong-tin/blog/tai-khoan-ngan-hang-bi-khoa")</f>
        <v>https://techcombank.com/thong-tin/blog/tai-khoan-ngan-hang-bi-khoa</v>
      </c>
      <c r="CB15" s="16" t="str">
        <f>IFERROR(__xludf.DUMMYFUNCTION("""COMPUTED_VALUE"""),"cách tạo tài khoản ngân hàng")</f>
        <v>cách tạo tài khoản ngân hàng</v>
      </c>
      <c r="CC15" s="21" t="str">
        <f>IFERROR(__xludf.DUMMYFUNCTION("""COMPUTED_VALUE"""),"https://techcombank.com/thong-tin/blog/so-the-ngan-hang")</f>
        <v>https://techcombank.com/thong-tin/blog/so-the-ngan-hang</v>
      </c>
      <c r="CD15" s="16" t="str">
        <f>IFERROR(__xludf.DUMMYFUNCTION("""COMPUTED_VALUE"""),"mở tài khoản ngân hàng online")</f>
        <v>mở tài khoản ngân hàng online</v>
      </c>
      <c r="CE15" s="21" t="str">
        <f>IFERROR(__xludf.DUMMYFUNCTION("""COMPUTED_VALUE"""),"https://techcombank.com/thong-tin/blog/nho-nguoi-than-mo-tai-khoan-ngan-hang")</f>
        <v>https://techcombank.com/thong-tin/blog/nho-nguoi-than-mo-tai-khoan-ngan-hang</v>
      </c>
      <c r="CF15" s="16" t="str">
        <f>IFERROR(__xludf.DUMMYFUNCTION("""COMPUTED_VALUE"""),"cách tạo tài khoản ngân hàng")</f>
        <v>cách tạo tài khoản ngân hàng</v>
      </c>
      <c r="CG15" s="21" t="str">
        <f>IFERROR(__xludf.DUMMYFUNCTION("""COMPUTED_VALUE"""),"https://techcombank.com/thong-tin/blog/99999-co-y-nghia-gi")</f>
        <v>https://techcombank.com/thong-tin/blog/99999-co-y-nghia-gi</v>
      </c>
      <c r="CH15" s="16" t="str">
        <f>IFERROR(__xludf.DUMMYFUNCTION("""COMPUTED_VALUE"""),"mở tài khoản ngân hàng online")</f>
        <v>mở tài khoản ngân hàng online</v>
      </c>
      <c r="CI15" s="21" t="str">
        <f>IFERROR(__xludf.DUMMYFUNCTION("""COMPUTED_VALUE"""),"https://techcombank.com/thong-tin/blog/gui-tiet-kiem-hang-thang")</f>
        <v>https://techcombank.com/thong-tin/blog/gui-tiet-kiem-hang-thang</v>
      </c>
      <c r="CJ15" s="16" t="str">
        <f>IFERROR(__xludf.DUMMYFUNCTION("""COMPUTED_VALUE"""),"cách tạo tài khoản ngân hàng")</f>
        <v>cách tạo tài khoản ngân hàng</v>
      </c>
      <c r="CK15" s="21" t="str">
        <f>IFERROR(__xludf.DUMMYFUNCTION("""COMPUTED_VALUE"""),"https://techcombank.com/thong-tin/blog/tai-khoan-ngan-hang-duoi-50k-co-bi-khoa-khong")</f>
        <v>https://techcombank.com/thong-tin/blog/tai-khoan-ngan-hang-duoi-50k-co-bi-khoa-khong</v>
      </c>
      <c r="CL15" s="16" t="str">
        <f>IFERROR(__xludf.DUMMYFUNCTION("""COMPUTED_VALUE"""),"mở tài khoản ngân hàng online")</f>
        <v>mở tài khoản ngân hàng online</v>
      </c>
      <c r="CM15" s="21" t="str">
        <f>IFERROR(__xludf.DUMMYFUNCTION("""COMPUTED_VALUE"""),"https://techcombank.com/thong-tin/blog/so-du-tai-khoan-thanh-toan")</f>
        <v>https://techcombank.com/thong-tin/blog/so-du-tai-khoan-thanh-toan</v>
      </c>
      <c r="CN15" s="16" t="str">
        <f>IFERROR(__xludf.DUMMYFUNCTION("""COMPUTED_VALUE"""),"cách tạo tài khoản ngân hàng")</f>
        <v>cách tạo tài khoản ngân hàng</v>
      </c>
      <c r="CO15" s="21" t="str">
        <f>IFERROR(__xludf.DUMMYFUNCTION("""COMPUTED_VALUE"""),"https://techcombank.com/thong-tin/blog/mo-tai-khoan-ngan-hang-bang-so-dien-thoai")</f>
        <v>https://techcombank.com/thong-tin/blog/mo-tai-khoan-ngan-hang-bang-so-dien-thoai</v>
      </c>
      <c r="CP15" s="16" t="str">
        <f>IFERROR(__xludf.DUMMYFUNCTION("""COMPUTED_VALUE"""),"mở tài khoản ngân hàng online")</f>
        <v>mở tài khoản ngân hàng online</v>
      </c>
      <c r="CQ15" s="21" t="str">
        <f>IFERROR(__xludf.DUMMYFUNCTION("""COMPUTED_VALUE"""),"https://techcombank.com/thong-tin/blog/chi-tra-luong-huu")</f>
        <v>https://techcombank.com/thong-tin/blog/chi-tra-luong-huu</v>
      </c>
      <c r="CR15" s="16" t="str">
        <f>IFERROR(__xludf.DUMMYFUNCTION("""COMPUTED_VALUE"""),"cách tạo tài khoản ngân hàng")</f>
        <v>cách tạo tài khoản ngân hàng</v>
      </c>
      <c r="CS15" s="21" t="str">
        <f>IFERROR(__xludf.DUMMYFUNCTION("""COMPUTED_VALUE"""),"https://techcombank.com/thong-tin/blog/ten-dang-nhap-tai-khoan-ngan-hang-la-gi")</f>
        <v>https://techcombank.com/thong-tin/blog/ten-dang-nhap-tai-khoan-ngan-hang-la-gi</v>
      </c>
      <c r="CT15" s="16" t="str">
        <f>IFERROR(__xludf.DUMMYFUNCTION("""COMPUTED_VALUE"""),"mở tài khoản ngân hàng online")</f>
        <v>mở tài khoản ngân hàng online</v>
      </c>
      <c r="CU15" s="21" t="str">
        <f>IFERROR(__xludf.DUMMYFUNCTION("""COMPUTED_VALUE"""),"https://techcombank.com/thong-tin/blog/cach-bao-ve-tai-khoan")</f>
        <v>https://techcombank.com/thong-tin/blog/cach-bao-ve-tai-khoan</v>
      </c>
      <c r="CV15" s="16" t="str">
        <f>IFERROR(__xludf.DUMMYFUNCTION("""COMPUTED_VALUE"""),"cách tạo tài khoản ngân hàng")</f>
        <v>cách tạo tài khoản ngân hàng</v>
      </c>
      <c r="CW15" s="21" t="str">
        <f>IFERROR(__xludf.DUMMYFUNCTION("""COMPUTED_VALUE"""),"https://techcombank.com/thong-tin/blog/cach-sao-ke-tai-khoan-ngan-hang")</f>
        <v>https://techcombank.com/thong-tin/blog/cach-sao-ke-tai-khoan-ngan-hang</v>
      </c>
      <c r="CX15" s="16" t="str">
        <f>IFERROR(__xludf.DUMMYFUNCTION("""COMPUTED_VALUE"""),"mở tài khoản ngân hàng online")</f>
        <v>mở tài khoản ngân hàng online</v>
      </c>
      <c r="CY15" s="21" t="str">
        <f>IFERROR(__xludf.DUMMYFUNCTION("""COMPUTED_VALUE"""),"https://techcombank.com/thong-tin/blog/cach-kiem-tra-tai-khoan-ngan-hang")</f>
        <v>https://techcombank.com/thong-tin/blog/cach-kiem-tra-tai-khoan-ngan-hang</v>
      </c>
      <c r="CZ15" s="16" t="str">
        <f>IFERROR(__xludf.DUMMYFUNCTION("""COMPUTED_VALUE"""),"cách tạo tài khoản ngân hàng")</f>
        <v>cách tạo tài khoản ngân hàng</v>
      </c>
      <c r="DA15" s="21" t="str">
        <f>IFERROR(__xludf.DUMMYFUNCTION("""COMPUTED_VALUE"""),"https://techcombank.com/thong-tin/blog/thanh-toan-tra-sau-viettel-bang-tai-khoan-ngan-hang")</f>
        <v>https://techcombank.com/thong-tin/blog/thanh-toan-tra-sau-viettel-bang-tai-khoan-ngan-hang</v>
      </c>
      <c r="DB15" s="16" t="str">
        <f>IFERROR(__xludf.DUMMYFUNCTION("""COMPUTED_VALUE"""),"mở tài khoản ngân hàng online")</f>
        <v>mở tài khoản ngân hàng online</v>
      </c>
      <c r="DC15" s="21" t="str">
        <f>IFERROR(__xludf.DUMMYFUNCTION("""COMPUTED_VALUE"""),"https://techcombank.com/thong-tin/blog/bao-nhieu-tuoi-duoc-mo-tai-khoan-ngan-hang")</f>
        <v>https://techcombank.com/thong-tin/blog/bao-nhieu-tuoi-duoc-mo-tai-khoan-ngan-hang</v>
      </c>
      <c r="DD15" s="16" t="str">
        <f>IFERROR(__xludf.DUMMYFUNCTION("""COMPUTED_VALUE"""),"cách tạo tài khoản ngân hàng")</f>
        <v>cách tạo tài khoản ngân hàng</v>
      </c>
      <c r="DE15" s="21" t="str">
        <f>IFERROR(__xludf.DUMMYFUNCTION("""COMPUTED_VALUE"""),"https://techcombank.com/thong-tin/blog/tai-khoan-tiet-kiem")</f>
        <v>https://techcombank.com/thong-tin/blog/tai-khoan-tiet-kiem</v>
      </c>
      <c r="DF15" s="16" t="str">
        <f>IFERROR(__xludf.DUMMYFUNCTION("""COMPUTED_VALUE"""),"mở tài khoản ngân hàng online")</f>
        <v>mở tài khoản ngân hàng online</v>
      </c>
      <c r="DG15" s="21" t="str">
        <f>IFERROR(__xludf.DUMMYFUNCTION("""COMPUTED_VALUE"""),"https://techcombank.com/thong-tin/blog/so-tai-khoan-ngan-hang")</f>
        <v>https://techcombank.com/thong-tin/blog/so-tai-khoan-ngan-hang</v>
      </c>
      <c r="DH15" s="16" t="str">
        <f>IFERROR(__xludf.DUMMYFUNCTION("""COMPUTED_VALUE"""),"cách tạo tài khoản ngân hàng")</f>
        <v>cách tạo tài khoản ngân hàng</v>
      </c>
      <c r="DI15" s="21" t="str">
        <f>IFERROR(__xludf.DUMMYFUNCTION("""COMPUTED_VALUE"""),"https://techcombank.com/thong-tin/blog/vip-ngan-hang")</f>
        <v>https://techcombank.com/thong-tin/blog/vip-ngan-hang</v>
      </c>
      <c r="DJ15" s="16" t="str">
        <f>IFERROR(__xludf.DUMMYFUNCTION("""COMPUTED_VALUE"""),"mở tài khoản ngân hàng online")</f>
        <v>mở tài khoản ngân hàng online</v>
      </c>
      <c r="DK15" s="21" t="str">
        <f>IFERROR(__xludf.DUMMYFUNCTION("""COMPUTED_VALUE"""),"https://techcombank.com/thong-tin/blog/chi-phi-mo-tai-khoan-ngan-hang-cho-cong-ty")</f>
        <v>https://techcombank.com/thong-tin/blog/chi-phi-mo-tai-khoan-ngan-hang-cho-cong-ty</v>
      </c>
      <c r="DL15" s="16" t="str">
        <f>IFERROR(__xludf.DUMMYFUNCTION("""COMPUTED_VALUE"""),"cách tạo tài khoản ngân hàng")</f>
        <v>cách tạo tài khoản ngân hàng</v>
      </c>
      <c r="DM15" s="21" t="str">
        <f>IFERROR(__xludf.DUMMYFUNCTION("""COMPUTED_VALUE"""),"https://techcombank.com/thong-tin/blog/viet-kieu-co-mo-duoc-tai-khoan-ngan-hang-khong")</f>
        <v>https://techcombank.com/thong-tin/blog/viet-kieu-co-mo-duoc-tai-khoan-ngan-hang-khong</v>
      </c>
      <c r="DN15" s="16"/>
      <c r="DO15" s="16"/>
      <c r="DP15" s="16"/>
      <c r="DQ15" s="16"/>
      <c r="DR15" s="16"/>
      <c r="DS15" s="16"/>
      <c r="DT15" s="16"/>
      <c r="DU15" s="16"/>
      <c r="DV15" s="16"/>
      <c r="DW15" s="16"/>
      <c r="DX15" s="16"/>
      <c r="DY15" s="16"/>
      <c r="DZ15" s="16"/>
      <c r="EA15" s="16"/>
      <c r="EB15" s="16"/>
      <c r="EC15" s="16"/>
      <c r="ED15" s="16"/>
      <c r="EE15" s="16"/>
      <c r="EF15" s="16"/>
      <c r="EG15" s="16"/>
      <c r="EH15" s="16"/>
      <c r="EI15" s="16"/>
      <c r="EJ15" s="16"/>
      <c r="EK15" s="16"/>
      <c r="EL15" s="16"/>
      <c r="EM15" s="16"/>
      <c r="EN15" s="16"/>
      <c r="EO15" s="16"/>
      <c r="EP15" s="16"/>
      <c r="EQ15" s="16"/>
      <c r="ER15" s="16"/>
      <c r="ES15" s="16"/>
      <c r="ET15" s="16"/>
      <c r="EU15" s="16"/>
      <c r="EV15" s="16"/>
      <c r="EW15" s="16"/>
      <c r="EX15" s="16"/>
      <c r="EY15" s="16"/>
      <c r="EZ15" s="16"/>
      <c r="FA15" s="16"/>
      <c r="FB15" s="16"/>
      <c r="FC15" s="16"/>
      <c r="FD15" s="16"/>
      <c r="FE15" s="16"/>
      <c r="FF15" s="16"/>
      <c r="FG15" s="16"/>
      <c r="FH15" s="16"/>
      <c r="FI15" s="16"/>
      <c r="FJ15" s="16"/>
      <c r="FK15" s="16"/>
      <c r="FL15" s="16"/>
      <c r="FM15" s="16"/>
      <c r="FN15" s="16"/>
      <c r="FO15" s="16"/>
      <c r="FP15" s="16"/>
      <c r="FQ15" s="16"/>
      <c r="FR15" s="16"/>
      <c r="FS15" s="16"/>
      <c r="FT15" s="16"/>
      <c r="FU15" s="16"/>
      <c r="FV15" s="16"/>
      <c r="FW15" s="16"/>
      <c r="FX15" s="16"/>
      <c r="FY15" s="16"/>
      <c r="FZ15" s="16"/>
      <c r="GA15" s="16"/>
      <c r="GB15" s="16"/>
      <c r="GC15" s="16"/>
      <c r="GD15" s="16"/>
      <c r="GE15" s="16"/>
      <c r="GF15" s="16"/>
      <c r="GG15" s="16"/>
      <c r="GH15" s="16"/>
      <c r="GI15" s="16"/>
      <c r="GJ15" s="16"/>
      <c r="GK15" s="16"/>
      <c r="GL15" s="16"/>
      <c r="GM15" s="16"/>
      <c r="GN15" s="16"/>
      <c r="GO15" s="16"/>
    </row>
    <row r="16" ht="18.0" customHeight="1">
      <c r="A16" s="15">
        <v>15.0</v>
      </c>
      <c r="B16" s="16" t="s">
        <v>557</v>
      </c>
      <c r="C16" s="17" t="s">
        <v>669</v>
      </c>
      <c r="D16" s="16" t="s">
        <v>250</v>
      </c>
      <c r="E16" s="15">
        <f>COUNTIF('Tổng hợp 75 trang đích'!$B$2:$B$2505,$D16)</f>
        <v>30</v>
      </c>
      <c r="F16" s="15">
        <f>COUNTIFS('Tổng hợp 75 trang đích'!$B$2:$B$2505,$D16,'Tổng hợp 75 trang đích'!$K$2:$K$2505,"PHÙ HỢP CAO")</f>
        <v>2</v>
      </c>
      <c r="G16" s="15">
        <f>COUNTIFS('Tổng hợp 75 trang đích'!$B$2:$B$2505,$D16,'Tổng hợp 75 trang đích'!$K$2:$K$2505,"CÓ THỂ ĐI")</f>
        <v>3</v>
      </c>
      <c r="H16" s="15">
        <f>COUNTIFS('Tổng hợp 75 trang đích'!$B$2:$B$2505,$D16,'Tổng hợp 75 trang đích'!$K$2:$K$2505,"CẦN SOÁT")</f>
        <v>25</v>
      </c>
      <c r="I16" s="19" t="s">
        <v>256</v>
      </c>
      <c r="J16" s="19" t="b">
        <v>0</v>
      </c>
      <c r="K16" s="20" t="s">
        <v>258</v>
      </c>
      <c r="L16" s="16" t="str">
        <f>IFERROR(__xludf.DUMMYFUNCTION("IFERROR(TOROW(CHOOSECOLS(SORT(FILTER({'Tổng hợp 75 trang đích'!$J$2:$J$2505,'Tổng hợp 75 trang đích'!$I$2:$I$2505,MATCH('Tổng hợp 75 trang đích'!$K$2:$K$2505,{""PHÙ HỢP CAO"",""CÓ THỂ ĐI"",""CẦN SOÁT""},0)},'Tổng hợp 75 trang đích'!$B$2:$B$2505=$D16),3,TR"&amp;"UE),1,2)),"""")"),"ngân hàng uy tín")</f>
        <v>ngân hàng uy tín</v>
      </c>
      <c r="M16" s="21" t="str">
        <f>IFERROR(__xludf.DUMMYFUNCTION("""COMPUTED_VALUE"""),"https://techcombank.com/thong-tin/blog/app-ngan-hang-uy-tin")</f>
        <v>https://techcombank.com/thong-tin/blog/app-ngan-hang-uy-tin</v>
      </c>
      <c r="N16" s="16" t="str">
        <f>IFERROR(__xludf.DUMMYFUNCTION("""COMPUTED_VALUE"""),"chọn ngân hàng uy tín")</f>
        <v>chọn ngân hàng uy tín</v>
      </c>
      <c r="O16" s="21" t="str">
        <f>IFERROR(__xludf.DUMMYFUNCTION("""COMPUTED_VALUE"""),"https://techcombank.com/thong-tin/blog/gui-tien-ngan-hang-co-an-toan-khong")</f>
        <v>https://techcombank.com/thong-tin/blog/gui-tien-ngan-hang-co-an-toan-khong</v>
      </c>
      <c r="P16" s="16" t="str">
        <f>IFERROR(__xludf.DUMMYFUNCTION("""COMPUTED_VALUE"""),"ngân hàng uy tín")</f>
        <v>ngân hàng uy tín</v>
      </c>
      <c r="Q16" s="21" t="str">
        <f>IFERROR(__xludf.DUMMYFUNCTION("""COMPUTED_VALUE"""),"https://techcombank.com/thong-tin/blog/nen-mo-tai-khoan-ngan-hang-nao-cho-doanh-nghiep")</f>
        <v>https://techcombank.com/thong-tin/blog/nen-mo-tai-khoan-ngan-hang-nao-cho-doanh-nghiep</v>
      </c>
      <c r="R16" s="16" t="str">
        <f>IFERROR(__xludf.DUMMYFUNCTION("""COMPUTED_VALUE"""),"chọn ngân hàng uy tín")</f>
        <v>chọn ngân hàng uy tín</v>
      </c>
      <c r="S16" s="21" t="str">
        <f>IFERROR(__xludf.DUMMYFUNCTION("""COMPUTED_VALUE"""),"https://techcombank.com/thong-tin/blog/gio-lam-viec-ngan-hang")</f>
        <v>https://techcombank.com/thong-tin/blog/gio-lam-viec-ngan-hang</v>
      </c>
      <c r="T16" s="16" t="str">
        <f>IFERROR(__xludf.DUMMYFUNCTION("""COMPUTED_VALUE"""),"ngân hàng uy tín")</f>
        <v>ngân hàng uy tín</v>
      </c>
      <c r="U16" s="21" t="str">
        <f>IFERROR(__xludf.DUMMYFUNCTION("""COMPUTED_VALUE"""),"https://techcombank.com/thong-tin/blog/gia-tri-thuong-hieu")</f>
        <v>https://techcombank.com/thong-tin/blog/gia-tri-thuong-hieu</v>
      </c>
      <c r="V16" s="16" t="str">
        <f>IFERROR(__xludf.DUMMYFUNCTION("""COMPUTED_VALUE"""),"chọn ngân hàng uy tín")</f>
        <v>chọn ngân hàng uy tín</v>
      </c>
      <c r="W16" s="21" t="str">
        <f>IFERROR(__xludf.DUMMYFUNCTION("""COMPUTED_VALUE"""),"https://techcombank.com/thong-tin/blog/dieu-kien-vay-von-ngan-hang")</f>
        <v>https://techcombank.com/thong-tin/blog/dieu-kien-vay-von-ngan-hang</v>
      </c>
      <c r="X16" s="16" t="str">
        <f>IFERROR(__xludf.DUMMYFUNCTION("""COMPUTED_VALUE"""),"ngân hàng uy tín")</f>
        <v>ngân hàng uy tín</v>
      </c>
      <c r="Y16" s="21" t="str">
        <f>IFERROR(__xludf.DUMMYFUNCTION("""COMPUTED_VALUE"""),"https://techcombank.com/thong-tin/blog/nen-vay-tin-chap-o-dau")</f>
        <v>https://techcombank.com/thong-tin/blog/nen-vay-tin-chap-o-dau</v>
      </c>
      <c r="Z16" s="16" t="str">
        <f>IFERROR(__xludf.DUMMYFUNCTION("""COMPUTED_VALUE"""),"chọn ngân hàng uy tín")</f>
        <v>chọn ngân hàng uy tín</v>
      </c>
      <c r="AA16" s="21" t="str">
        <f>IFERROR(__xludf.DUMMYFUNCTION("""COMPUTED_VALUE"""),"https://techcombank.com/thong-tin/blog/nen-vay-the-chap-ngan-hang-nao")</f>
        <v>https://techcombank.com/thong-tin/blog/nen-vay-the-chap-ngan-hang-nao</v>
      </c>
      <c r="AB16" s="16" t="str">
        <f>IFERROR(__xludf.DUMMYFUNCTION("""COMPUTED_VALUE"""),"ngân hàng uy tín")</f>
        <v>ngân hàng uy tín</v>
      </c>
      <c r="AC16" s="21" t="str">
        <f>IFERROR(__xludf.DUMMYFUNCTION("""COMPUTED_VALUE"""),"https://techcombank.com/thong-tin/blog/su-hop-tac-cua-ngan-hang-va-fintech-tren-hanh-trinh-chuyen-doi-so")</f>
        <v>https://techcombank.com/thong-tin/blog/su-hop-tac-cua-ngan-hang-va-fintech-tren-hanh-trinh-chuyen-doi-so</v>
      </c>
      <c r="AD16" s="16" t="str">
        <f>IFERROR(__xludf.DUMMYFUNCTION("""COMPUTED_VALUE"""),"chọn ngân hàng uy tín")</f>
        <v>chọn ngân hàng uy tín</v>
      </c>
      <c r="AE16" s="21" t="str">
        <f>IFERROR(__xludf.DUMMYFUNCTION("""COMPUTED_VALUE"""),"https://techcombank.com/thong-tin/blog/vay-mua-xe-tra-gop-ngan-hang-nao-tot-nhat")</f>
        <v>https://techcombank.com/thong-tin/blog/vay-mua-xe-tra-gop-ngan-hang-nao-tot-nhat</v>
      </c>
      <c r="AF16" s="16" t="str">
        <f>IFERROR(__xludf.DUMMYFUNCTION("""COMPUTED_VALUE"""),"ngân hàng uy tín")</f>
        <v>ngân hàng uy tín</v>
      </c>
      <c r="AG16" s="21" t="str">
        <f>IFERROR(__xludf.DUMMYFUNCTION("""COMPUTED_VALUE"""),"https://techcombank.com/thong-tin/blog/lam-the-visa-o-dau")</f>
        <v>https://techcombank.com/thong-tin/blog/lam-the-visa-o-dau</v>
      </c>
      <c r="AH16" s="16" t="str">
        <f>IFERROR(__xludf.DUMMYFUNCTION("""COMPUTED_VALUE"""),"chọn ngân hàng uy tín")</f>
        <v>chọn ngân hàng uy tín</v>
      </c>
      <c r="AI16" s="21" t="str">
        <f>IFERROR(__xludf.DUMMYFUNCTION("""COMPUTED_VALUE"""),"https://techcombank.com/thong-tin/blog/lai-suat-tiet-kiem")</f>
        <v>https://techcombank.com/thong-tin/blog/lai-suat-tiet-kiem</v>
      </c>
      <c r="AJ16" s="16" t="str">
        <f>IFERROR(__xludf.DUMMYFUNCTION("""COMPUTED_VALUE"""),"ngân hàng uy tín")</f>
        <v>ngân hàng uy tín</v>
      </c>
      <c r="AK16" s="21" t="str">
        <f>IFERROR(__xludf.DUMMYFUNCTION("""COMPUTED_VALUE"""),"https://techcombank.com/thong-tin/blog/uu-dai-mo-the-tin-dung")</f>
        <v>https://techcombank.com/thong-tin/blog/uu-dai-mo-the-tin-dung</v>
      </c>
      <c r="AL16" s="16" t="str">
        <f>IFERROR(__xludf.DUMMYFUNCTION("""COMPUTED_VALUE"""),"chọn ngân hàng uy tín")</f>
        <v>chọn ngân hàng uy tín</v>
      </c>
      <c r="AM16" s="21" t="str">
        <f>IFERROR(__xludf.DUMMYFUNCTION("""COMPUTED_VALUE"""),"https://techcombank.com/thong-tin/blog/app-ngan-hang")</f>
        <v>https://techcombank.com/thong-tin/blog/app-ngan-hang</v>
      </c>
      <c r="AN16" s="16" t="str">
        <f>IFERROR(__xludf.DUMMYFUNCTION("""COMPUTED_VALUE"""),"ngân hàng uy tín")</f>
        <v>ngân hàng uy tín</v>
      </c>
      <c r="AO16" s="21" t="str">
        <f>IFERROR(__xludf.DUMMYFUNCTION("""COMPUTED_VALUE"""),"https://techcombank.com/thong-tin/blog/cach-tinh-lai-suat-tien-gui-tiet-kiem")</f>
        <v>https://techcombank.com/thong-tin/blog/cach-tinh-lai-suat-tien-gui-tiet-kiem</v>
      </c>
      <c r="AP16" s="16" t="str">
        <f>IFERROR(__xludf.DUMMYFUNCTION("""COMPUTED_VALUE"""),"chọn ngân hàng uy tín")</f>
        <v>chọn ngân hàng uy tín</v>
      </c>
      <c r="AQ16" s="21" t="str">
        <f>IFERROR(__xludf.DUMMYFUNCTION("""COMPUTED_VALUE"""),"https://techcombank.com/thong-tin/blog/vay-sinh-vien")</f>
        <v>https://techcombank.com/thong-tin/blog/vay-sinh-vien</v>
      </c>
      <c r="AR16" s="16" t="str">
        <f>IFERROR(__xludf.DUMMYFUNCTION("""COMPUTED_VALUE"""),"ngân hàng uy tín")</f>
        <v>ngân hàng uy tín</v>
      </c>
      <c r="AS16" s="21" t="str">
        <f>IFERROR(__xludf.DUMMYFUNCTION("""COMPUTED_VALUE"""),"https://techcombank.com/thong-tin/blog/lai-suat-vay-tieu-dung")</f>
        <v>https://techcombank.com/thong-tin/blog/lai-suat-vay-tieu-dung</v>
      </c>
      <c r="AT16" s="16" t="str">
        <f>IFERROR(__xludf.DUMMYFUNCTION("""COMPUTED_VALUE"""),"chọn ngân hàng uy tín")</f>
        <v>chọn ngân hàng uy tín</v>
      </c>
      <c r="AU16" s="21" t="str">
        <f>IFERROR(__xludf.DUMMYFUNCTION("""COMPUTED_VALUE"""),"https://techcombank.com/thong-tin/blog/hoc-sinh-sinh-vien-nen-lam-the-ngan-hang-nao")</f>
        <v>https://techcombank.com/thong-tin/blog/hoc-sinh-sinh-vien-nen-lam-the-ngan-hang-nao</v>
      </c>
      <c r="AV16" s="16" t="str">
        <f>IFERROR(__xludf.DUMMYFUNCTION("""COMPUTED_VALUE"""),"ngân hàng uy tín")</f>
        <v>ngân hàng uy tín</v>
      </c>
      <c r="AW16" s="21" t="str">
        <f>IFERROR(__xludf.DUMMYFUNCTION("""COMPUTED_VALUE"""),"https://techcombank.com/thong-tin/blog/gui-tiet-kiem-ngoai-te")</f>
        <v>https://techcombank.com/thong-tin/blog/gui-tiet-kiem-ngoai-te</v>
      </c>
      <c r="AX16" s="16" t="str">
        <f>IFERROR(__xludf.DUMMYFUNCTION("""COMPUTED_VALUE"""),"chọn ngân hàng uy tín")</f>
        <v>chọn ngân hàng uy tín</v>
      </c>
      <c r="AY16" s="21" t="str">
        <f>IFERROR(__xludf.DUMMYFUNCTION("""COMPUTED_VALUE"""),"https://techcombank.com/thong-tin/blog/the-tin-dung-mien-lai-55-ngay")</f>
        <v>https://techcombank.com/thong-tin/blog/the-tin-dung-mien-lai-55-ngay</v>
      </c>
      <c r="AZ16" s="16" t="str">
        <f>IFERROR(__xludf.DUMMYFUNCTION("""COMPUTED_VALUE"""),"ngân hàng uy tín")</f>
        <v>ngân hàng uy tín</v>
      </c>
      <c r="BA16" s="21" t="str">
        <f>IFERROR(__xludf.DUMMYFUNCTION("""COMPUTED_VALUE"""),"https://techcombank.com/thong-tin/blog/lai-suat-vay-ngan-hang")</f>
        <v>https://techcombank.com/thong-tin/blog/lai-suat-vay-ngan-hang</v>
      </c>
      <c r="BB16" s="16" t="str">
        <f>IFERROR(__xludf.DUMMYFUNCTION("""COMPUTED_VALUE"""),"chọn ngân hàng uy tín")</f>
        <v>chọn ngân hàng uy tín</v>
      </c>
      <c r="BC16" s="21" t="str">
        <f>IFERROR(__xludf.DUMMYFUNCTION("""COMPUTED_VALUE"""),"https://techcombank.com/thong-tin/blog/mat-the-tin-dung-co-lam-lai-duoc-khong")</f>
        <v>https://techcombank.com/thong-tin/blog/mat-the-tin-dung-co-lam-lai-duoc-khong</v>
      </c>
      <c r="BD16" s="16" t="str">
        <f>IFERROR(__xludf.DUMMYFUNCTION("""COMPUTED_VALUE"""),"ngân hàng uy tín")</f>
        <v>ngân hàng uy tín</v>
      </c>
      <c r="BE16" s="21" t="str">
        <f>IFERROR(__xludf.DUMMYFUNCTION("""COMPUTED_VALUE"""),"https://techcombank.com/thong-tin/blog/lai-suat-chung-chi-tien-gui-cac-ngan-hang")</f>
        <v>https://techcombank.com/thong-tin/blog/lai-suat-chung-chi-tien-gui-cac-ngan-hang</v>
      </c>
      <c r="BF16" s="16" t="str">
        <f>IFERROR(__xludf.DUMMYFUNCTION("""COMPUTED_VALUE"""),"chọn ngân hàng uy tín")</f>
        <v>chọn ngân hàng uy tín</v>
      </c>
      <c r="BG16" s="21" t="str">
        <f>IFERROR(__xludf.DUMMYFUNCTION("""COMPUTED_VALUE"""),"https://techcombank.com/thong-tin/blog/lai-suat-vay-mua-o-to")</f>
        <v>https://techcombank.com/thong-tin/blog/lai-suat-vay-mua-o-to</v>
      </c>
      <c r="BH16" s="16" t="str">
        <f>IFERROR(__xludf.DUMMYFUNCTION("""COMPUTED_VALUE"""),"ngân hàng uy tín")</f>
        <v>ngân hàng uy tín</v>
      </c>
      <c r="BI16" s="21" t="str">
        <f>IFERROR(__xludf.DUMMYFUNCTION("""COMPUTED_VALUE"""),"https://techcombank.com/thong-tin/blog/lai-suat-vay-tin-chap")</f>
        <v>https://techcombank.com/thong-tin/blog/lai-suat-vay-tin-chap</v>
      </c>
      <c r="BJ16" s="16" t="str">
        <f>IFERROR(__xludf.DUMMYFUNCTION("""COMPUTED_VALUE"""),"chọn ngân hàng uy tín")</f>
        <v>chọn ngân hàng uy tín</v>
      </c>
      <c r="BK16" s="21" t="str">
        <f>IFERROR(__xludf.DUMMYFUNCTION("""COMPUTED_VALUE"""),"https://techcombank.com/thong-tin/blog/bao-hiem-vat-chat-xe-o-to")</f>
        <v>https://techcombank.com/thong-tin/blog/bao-hiem-vat-chat-xe-o-to</v>
      </c>
      <c r="BL16" s="16" t="str">
        <f>IFERROR(__xludf.DUMMYFUNCTION("""COMPUTED_VALUE"""),"ngân hàng uy tín")</f>
        <v>ngân hàng uy tín</v>
      </c>
      <c r="BM16" s="21" t="str">
        <f>IFERROR(__xludf.DUMMYFUNCTION("""COMPUTED_VALUE"""),"https://techcombank.com/thong-tin/blog/vip-ngan-hang")</f>
        <v>https://techcombank.com/thong-tin/blog/vip-ngan-hang</v>
      </c>
      <c r="BN16" s="16" t="str">
        <f>IFERROR(__xludf.DUMMYFUNCTION("""COMPUTED_VALUE"""),"chọn ngân hàng uy tín")</f>
        <v>chọn ngân hàng uy tín</v>
      </c>
      <c r="BO16" s="21" t="str">
        <f>IFERROR(__xludf.DUMMYFUNCTION("""COMPUTED_VALUE"""),"https://techcombank.com/thong-tin/blog/viet-kieu-co-mo-duoc-tai-khoan-ngan-hang-khong")</f>
        <v>https://techcombank.com/thong-tin/blog/viet-kieu-co-mo-duoc-tai-khoan-ngan-hang-khong</v>
      </c>
      <c r="BP16" s="16" t="str">
        <f>IFERROR(__xludf.DUMMYFUNCTION("""COMPUTED_VALUE"""),"ngân hàng uy tín")</f>
        <v>ngân hàng uy tín</v>
      </c>
      <c r="BQ16" s="21" t="str">
        <f>IFERROR(__xludf.DUMMYFUNCTION("""COMPUTED_VALUE"""),"https://techcombank.com/thong-tin/blog/ty-gia-cac-ngan-hang")</f>
        <v>https://techcombank.com/thong-tin/blog/ty-gia-cac-ngan-hang</v>
      </c>
      <c r="BR16" s="16" t="str">
        <f>IFERROR(__xludf.DUMMYFUNCTION("""COMPUTED_VALUE"""),"chọn ngân hàng uy tín")</f>
        <v>chọn ngân hàng uy tín</v>
      </c>
      <c r="BS16" s="21" t="str">
        <f>IFERROR(__xludf.DUMMYFUNCTION("""COMPUTED_VALUE"""),"https://techcombank.com/thong-tin/blog/ty-gia-la-gi")</f>
        <v>https://techcombank.com/thong-tin/blog/ty-gia-la-gi</v>
      </c>
      <c r="BT16" s="16"/>
      <c r="BU16" s="16"/>
      <c r="BV16" s="16"/>
      <c r="BW16" s="16"/>
      <c r="BX16" s="16"/>
      <c r="BY16" s="16"/>
      <c r="BZ16" s="16"/>
      <c r="CA16" s="16"/>
      <c r="CB16" s="16"/>
      <c r="CC16" s="16"/>
      <c r="CD16" s="16"/>
      <c r="CE16" s="16"/>
      <c r="CF16" s="16"/>
      <c r="CG16" s="16"/>
      <c r="CH16" s="16"/>
      <c r="CI16" s="16"/>
      <c r="CJ16" s="16"/>
      <c r="CK16" s="16"/>
      <c r="CL16" s="16"/>
      <c r="CM16" s="16"/>
      <c r="CN16" s="16"/>
      <c r="CO16" s="16"/>
      <c r="CP16" s="16"/>
      <c r="CQ16" s="16"/>
      <c r="CR16" s="16"/>
      <c r="CS16" s="16"/>
      <c r="CT16" s="16"/>
      <c r="CU16" s="16"/>
      <c r="CV16" s="16"/>
      <c r="CW16" s="16"/>
      <c r="CX16" s="16"/>
      <c r="CY16" s="16"/>
      <c r="CZ16" s="16"/>
      <c r="DA16" s="16"/>
      <c r="DB16" s="16"/>
      <c r="DC16" s="16"/>
      <c r="DD16" s="16"/>
      <c r="DE16" s="16"/>
      <c r="DF16" s="16"/>
      <c r="DG16" s="16"/>
      <c r="DH16" s="16"/>
      <c r="DI16" s="16"/>
      <c r="DJ16" s="16"/>
      <c r="DK16" s="16"/>
      <c r="DL16" s="16"/>
      <c r="DM16" s="16"/>
      <c r="DN16" s="16"/>
      <c r="DO16" s="16"/>
      <c r="DP16" s="16"/>
      <c r="DQ16" s="16"/>
      <c r="DR16" s="16"/>
      <c r="DS16" s="16"/>
      <c r="DT16" s="16"/>
      <c r="DU16" s="16"/>
      <c r="DV16" s="16"/>
      <c r="DW16" s="16"/>
      <c r="DX16" s="16"/>
      <c r="DY16" s="16"/>
      <c r="DZ16" s="16"/>
      <c r="EA16" s="16"/>
      <c r="EB16" s="16"/>
      <c r="EC16" s="16"/>
      <c r="ED16" s="16"/>
      <c r="EE16" s="16"/>
      <c r="EF16" s="16"/>
      <c r="EG16" s="16"/>
      <c r="EH16" s="16"/>
      <c r="EI16" s="16"/>
      <c r="EJ16" s="16"/>
      <c r="EK16" s="16"/>
      <c r="EL16" s="16"/>
      <c r="EM16" s="16"/>
      <c r="EN16" s="16"/>
      <c r="EO16" s="16"/>
      <c r="EP16" s="16"/>
      <c r="EQ16" s="16"/>
      <c r="ER16" s="16"/>
      <c r="ES16" s="16"/>
      <c r="ET16" s="16"/>
      <c r="EU16" s="16"/>
      <c r="EV16" s="16"/>
      <c r="EW16" s="16"/>
      <c r="EX16" s="16"/>
      <c r="EY16" s="16"/>
      <c r="EZ16" s="16"/>
      <c r="FA16" s="16"/>
      <c r="FB16" s="16"/>
      <c r="FC16" s="16"/>
      <c r="FD16" s="16"/>
      <c r="FE16" s="16"/>
      <c r="FF16" s="16"/>
      <c r="FG16" s="16"/>
      <c r="FH16" s="16"/>
      <c r="FI16" s="16"/>
      <c r="FJ16" s="16"/>
      <c r="FK16" s="16"/>
      <c r="FL16" s="16"/>
      <c r="FM16" s="16"/>
      <c r="FN16" s="16"/>
      <c r="FO16" s="16"/>
      <c r="FP16" s="16"/>
      <c r="FQ16" s="16"/>
      <c r="FR16" s="16"/>
      <c r="FS16" s="16"/>
      <c r="FT16" s="16"/>
      <c r="FU16" s="16"/>
      <c r="FV16" s="16"/>
      <c r="FW16" s="16"/>
      <c r="FX16" s="16"/>
      <c r="FY16" s="16"/>
      <c r="FZ16" s="16"/>
      <c r="GA16" s="16"/>
      <c r="GB16" s="16"/>
      <c r="GC16" s="16"/>
      <c r="GD16" s="16"/>
      <c r="GE16" s="16"/>
      <c r="GF16" s="16"/>
      <c r="GG16" s="16"/>
      <c r="GH16" s="16"/>
      <c r="GI16" s="16"/>
      <c r="GJ16" s="16"/>
      <c r="GK16" s="16"/>
      <c r="GL16" s="16"/>
      <c r="GM16" s="16"/>
      <c r="GN16" s="16"/>
      <c r="GO16" s="16"/>
    </row>
    <row r="17" ht="18.0" customHeight="1">
      <c r="A17" s="15">
        <v>16.0</v>
      </c>
      <c r="B17" s="16" t="s">
        <v>557</v>
      </c>
      <c r="C17" s="17" t="s">
        <v>686</v>
      </c>
      <c r="D17" s="16" t="s">
        <v>255</v>
      </c>
      <c r="E17" s="15">
        <f>COUNTIF('Tổng hợp 75 trang đích'!$B$2:$B$2505,$D17)</f>
        <v>46</v>
      </c>
      <c r="F17" s="15">
        <f>COUNTIFS('Tổng hợp 75 trang đích'!$B$2:$B$2505,$D17,'Tổng hợp 75 trang đích'!$K$2:$K$2505,"PHÙ HỢP CAO")</f>
        <v>4</v>
      </c>
      <c r="G17" s="15">
        <f>COUNTIFS('Tổng hợp 75 trang đích'!$B$2:$B$2505,$D17,'Tổng hợp 75 trang đích'!$K$2:$K$2505,"CÓ THỂ ĐI")</f>
        <v>1</v>
      </c>
      <c r="H17" s="15">
        <f>COUNTIFS('Tổng hợp 75 trang đích'!$B$2:$B$2505,$D17,'Tổng hợp 75 trang đích'!$K$2:$K$2505,"CẦN SOÁT")</f>
        <v>41</v>
      </c>
      <c r="I17" s="19" t="s">
        <v>256</v>
      </c>
      <c r="J17" s="19" t="b">
        <v>0</v>
      </c>
      <c r="K17" s="20" t="s">
        <v>258</v>
      </c>
      <c r="L17" s="16" t="str">
        <f>IFERROR(__xludf.DUMMYFUNCTION("IFERROR(TOROW(CHOOSECOLS(SORT(FILTER({'Tổng hợp 75 trang đích'!$J$2:$J$2505,'Tổng hợp 75 trang đích'!$I$2:$I$2505,MATCH('Tổng hợp 75 trang đích'!$K$2:$K$2505,{""PHÙ HỢP CAO"",""CÓ THỂ ĐI"",""CẦN SOÁT""},0)},'Tổng hợp 75 trang đích'!$B$2:$B$2505=$D17),3,TR"&amp;"UE),1,2)),"""")"),"chuyển khoản thành công nhưng không nhận được tiền")</f>
        <v>chuyển khoản thành công nhưng không nhận được tiền</v>
      </c>
      <c r="M17" s="21" t="str">
        <f>IFERROR(__xludf.DUMMYFUNCTION("""COMPUTED_VALUE"""),"https://techcombank.com/thong-tin/blog/cach-chuyen-tien")</f>
        <v>https://techcombank.com/thong-tin/blog/cach-chuyen-tien</v>
      </c>
      <c r="N17" s="16" t="str">
        <f>IFERROR(__xludf.DUMMYFUNCTION("""COMPUTED_VALUE"""),"chuyển tiền thành công nhưng chưa nhận được")</f>
        <v>chuyển tiền thành công nhưng chưa nhận được</v>
      </c>
      <c r="O17" s="21" t="str">
        <f>IFERROR(__xludf.DUMMYFUNCTION("""COMPUTED_VALUE"""),"https://techcombank.com/thong-tin/blog/chuyen-khoan-lien-ngan-hang")</f>
        <v>https://techcombank.com/thong-tin/blog/chuyen-khoan-lien-ngan-hang</v>
      </c>
      <c r="P17" s="16" t="str">
        <f>IFERROR(__xludf.DUMMYFUNCTION("""COMPUTED_VALUE"""),"tiền chuyển khoản bị treo")</f>
        <v>tiền chuyển khoản bị treo</v>
      </c>
      <c r="Q17" s="21" t="str">
        <f>IFERROR(__xludf.DUMMYFUNCTION("""COMPUTED_VALUE"""),"https://techcombank.com/thong-tin/blog/ma-giao-dich-la-gi")</f>
        <v>https://techcombank.com/thong-tin/blog/ma-giao-dich-la-gi</v>
      </c>
      <c r="R17" s="16" t="str">
        <f>IFERROR(__xludf.DUMMYFUNCTION("""COMPUTED_VALUE"""),"chuyển khoản thành công nhưng không nhận được tiền")</f>
        <v>chuyển khoản thành công nhưng không nhận được tiền</v>
      </c>
      <c r="S17" s="21" t="str">
        <f>IFERROR(__xludf.DUMMYFUNCTION("""COMPUTED_VALUE"""),"https://techcombank.com/thong-tin/blog/chuyen-nham-tien-co-lay-lai-duoc-khong")</f>
        <v>https://techcombank.com/thong-tin/blog/chuyen-nham-tien-co-lay-lai-duoc-khong</v>
      </c>
      <c r="T17" s="16" t="str">
        <f>IFERROR(__xludf.DUMMYFUNCTION("""COMPUTED_VALUE"""),"chuyển tiền thành công nhưng chưa nhận được")</f>
        <v>chuyển tiền thành công nhưng chưa nhận được</v>
      </c>
      <c r="U17" s="21" t="str">
        <f>IFERROR(__xludf.DUMMYFUNCTION("""COMPUTED_VALUE"""),"https://techcombank.com/thong-tin/blog/ngan-hang-thu-huong-la-gi")</f>
        <v>https://techcombank.com/thong-tin/blog/ngan-hang-thu-huong-la-gi</v>
      </c>
      <c r="V17" s="16" t="str">
        <f>IFERROR(__xludf.DUMMYFUNCTION("""COMPUTED_VALUE"""),"tiền chuyển khoản bị treo")</f>
        <v>tiền chuyển khoản bị treo</v>
      </c>
      <c r="W17" s="21" t="str">
        <f>IFERROR(__xludf.DUMMYFUNCTION("""COMPUTED_VALUE"""),"https://techcombank.com/thong-tin/blog/loa-thong-bao-chuyen-khoan")</f>
        <v>https://techcombank.com/thong-tin/blog/loa-thong-bao-chuyen-khoan</v>
      </c>
      <c r="X17" s="16" t="str">
        <f>IFERROR(__xludf.DUMMYFUNCTION("""COMPUTED_VALUE"""),"chuyển khoản thành công nhưng không nhận được tiền")</f>
        <v>chuyển khoản thành công nhưng không nhận được tiền</v>
      </c>
      <c r="Y17" s="21" t="str">
        <f>IFERROR(__xludf.DUMMYFUNCTION("""COMPUTED_VALUE"""),"https://techcombank.com/thong-tin/blog/ma-qr-ngan-hang-khong-hop-le")</f>
        <v>https://techcombank.com/thong-tin/blog/ma-qr-ngan-hang-khong-hop-le</v>
      </c>
      <c r="Z17" s="16" t="str">
        <f>IFERROR(__xludf.DUMMYFUNCTION("""COMPUTED_VALUE"""),"chuyển tiền thành công nhưng chưa nhận được")</f>
        <v>chuyển tiền thành công nhưng chưa nhận được</v>
      </c>
      <c r="AA17" s="21" t="str">
        <f>IFERROR(__xludf.DUMMYFUNCTION("""COMPUTED_VALUE"""),"https://techcombank.com/thong-tin/blog/luu-y-khi-chuyen-tien-vao-tai-khoan-cong-ty")</f>
        <v>https://techcombank.com/thong-tin/blog/luu-y-khi-chuyen-tien-vao-tai-khoan-cong-ty</v>
      </c>
      <c r="AB17" s="16" t="str">
        <f>IFERROR(__xludf.DUMMYFUNCTION("""COMPUTED_VALUE"""),"tiền chuyển khoản bị treo")</f>
        <v>tiền chuyển khoản bị treo</v>
      </c>
      <c r="AC17" s="21" t="str">
        <f>IFERROR(__xludf.DUMMYFUNCTION("""COMPUTED_VALUE"""),"https://techcombank.com/thong-tin/blog/remittance-la-gi")</f>
        <v>https://techcombank.com/thong-tin/blog/remittance-la-gi</v>
      </c>
      <c r="AD17" s="16" t="str">
        <f>IFERROR(__xludf.DUMMYFUNCTION("""COMPUTED_VALUE"""),"chuyển khoản thành công nhưng không nhận được tiền")</f>
        <v>chuyển khoản thành công nhưng không nhận được tiền</v>
      </c>
      <c r="AE17" s="21" t="str">
        <f>IFERROR(__xludf.DUMMYFUNCTION("""COMPUTED_VALUE"""),"https://techcombank.com/thong-tin/blog/cdm")</f>
        <v>https://techcombank.com/thong-tin/blog/cdm</v>
      </c>
      <c r="AF17" s="16" t="str">
        <f>IFERROR(__xludf.DUMMYFUNCTION("""COMPUTED_VALUE"""),"chuyển tiền thành công nhưng chưa nhận được")</f>
        <v>chuyển tiền thành công nhưng chưa nhận được</v>
      </c>
      <c r="AG17" s="21" t="str">
        <f>IFERROR(__xludf.DUMMYFUNCTION("""COMPUTED_VALUE"""),"https://techcombank.com/thong-tin/blog/cach-su-dung-tai-khoan-cong-ty")</f>
        <v>https://techcombank.com/thong-tin/blog/cach-su-dung-tai-khoan-cong-ty</v>
      </c>
      <c r="AH17" s="16" t="str">
        <f>IFERROR(__xludf.DUMMYFUNCTION("""COMPUTED_VALUE"""),"tiền chuyển khoản bị treo")</f>
        <v>tiền chuyển khoản bị treo</v>
      </c>
      <c r="AI17" s="21" t="str">
        <f>IFERROR(__xludf.DUMMYFUNCTION("""COMPUTED_VALUE"""),"https://techcombank.com/thong-tin/blog/cach-tao-ma-qr-code-mien-phi")</f>
        <v>https://techcombank.com/thong-tin/blog/cach-tao-ma-qr-code-mien-phi</v>
      </c>
      <c r="AJ17" s="16" t="str">
        <f>IFERROR(__xludf.DUMMYFUNCTION("""COMPUTED_VALUE"""),"chuyển khoản thành công nhưng không nhận được tiền")</f>
        <v>chuyển khoản thành công nhưng không nhận được tiền</v>
      </c>
      <c r="AK17" s="21" t="str">
        <f>IFERROR(__xludf.DUMMYFUNCTION("""COMPUTED_VALUE"""),"https://techcombank.com/thong-tin/blog/loa-ting-ting")</f>
        <v>https://techcombank.com/thong-tin/blog/loa-ting-ting</v>
      </c>
      <c r="AL17" s="16" t="str">
        <f>IFERROR(__xludf.DUMMYFUNCTION("""COMPUTED_VALUE"""),"chuyển tiền thành công nhưng chưa nhận được")</f>
        <v>chuyển tiền thành công nhưng chưa nhận được</v>
      </c>
      <c r="AM17" s="21" t="str">
        <f>IFERROR(__xludf.DUMMYFUNCTION("""COMPUTED_VALUE"""),"https://techcombank.com/thong-tin/blog/cach-lay-lai-tien-da-chuyen-khoan-khi-bi-lua")</f>
        <v>https://techcombank.com/thong-tin/blog/cach-lay-lai-tien-da-chuyen-khoan-khi-bi-lua</v>
      </c>
      <c r="AN17" s="16" t="str">
        <f>IFERROR(__xludf.DUMMYFUNCTION("""COMPUTED_VALUE"""),"tiền chuyển khoản bị treo")</f>
        <v>tiền chuyển khoản bị treo</v>
      </c>
      <c r="AO17" s="21" t="str">
        <f>IFERROR(__xludf.DUMMYFUNCTION("""COMPUTED_VALUE"""),"https://techcombank.com/thong-tin/blog/uu-diem-cua-blockchain")</f>
        <v>https://techcombank.com/thong-tin/blog/uu-diem-cua-blockchain</v>
      </c>
      <c r="AP17" s="16" t="str">
        <f>IFERROR(__xludf.DUMMYFUNCTION("""COMPUTED_VALUE"""),"chuyển khoản thành công nhưng không nhận được tiền")</f>
        <v>chuyển khoản thành công nhưng không nhận được tiền</v>
      </c>
      <c r="AQ17" s="21" t="str">
        <f>IFERROR(__xludf.DUMMYFUNCTION("""COMPUTED_VALUE"""),"https://techcombank.com/thong-tin/blog/the-tin-dung-co-chuyen-khoan-duoc-khong")</f>
        <v>https://techcombank.com/thong-tin/blog/the-tin-dung-co-chuyen-khoan-duoc-khong</v>
      </c>
      <c r="AR17" s="16" t="str">
        <f>IFERROR(__xludf.DUMMYFUNCTION("""COMPUTED_VALUE"""),"chuyển tiền thành công nhưng chưa nhận được")</f>
        <v>chuyển tiền thành công nhưng chưa nhận được</v>
      </c>
      <c r="AS17" s="21" t="str">
        <f>IFERROR(__xludf.DUMMYFUNCTION("""COMPUTED_VALUE"""),"https://techcombank.com/thong-tin/blog/iban-la-gi")</f>
        <v>https://techcombank.com/thong-tin/blog/iban-la-gi</v>
      </c>
      <c r="AT17" s="16" t="str">
        <f>IFERROR(__xludf.DUMMYFUNCTION("""COMPUTED_VALUE"""),"tiền chuyển khoản bị treo")</f>
        <v>tiền chuyển khoản bị treo</v>
      </c>
      <c r="AU17" s="21" t="str">
        <f>IFERROR(__xludf.DUMMYFUNCTION("""COMPUTED_VALUE"""),"https://techcombank.com/thong-tin/blog/nguoi-duoc-bao-hiem-la-gi")</f>
        <v>https://techcombank.com/thong-tin/blog/nguoi-duoc-bao-hiem-la-gi</v>
      </c>
      <c r="AV17" s="16" t="str">
        <f>IFERROR(__xludf.DUMMYFUNCTION("""COMPUTED_VALUE"""),"chuyển khoản thành công nhưng không nhận được tiền")</f>
        <v>chuyển khoản thành công nhưng không nhận được tiền</v>
      </c>
      <c r="AW17" s="21" t="str">
        <f>IFERROR(__xludf.DUMMYFUNCTION("""COMPUTED_VALUE"""),"https://techcombank.com/thong-tin/blog/cach-chuyen-khoan-bang-dien-thoai")</f>
        <v>https://techcombank.com/thong-tin/blog/cach-chuyen-khoan-bang-dien-thoai</v>
      </c>
      <c r="AX17" s="16" t="str">
        <f>IFERROR(__xludf.DUMMYFUNCTION("""COMPUTED_VALUE"""),"chuyển tiền thành công nhưng chưa nhận được")</f>
        <v>chuyển tiền thành công nhưng chưa nhận được</v>
      </c>
      <c r="AY17" s="21" t="str">
        <f>IFERROR(__xludf.DUMMYFUNCTION("""COMPUTED_VALUE"""),"https://techcombank.com/thong-tin/blog/cach-su-dung-the-visa-techcombank")</f>
        <v>https://techcombank.com/thong-tin/blog/cach-su-dung-the-visa-techcombank</v>
      </c>
      <c r="AZ17" s="16" t="str">
        <f>IFERROR(__xludf.DUMMYFUNCTION("""COMPUTED_VALUE"""),"tiền chuyển khoản bị treo")</f>
        <v>tiền chuyển khoản bị treo</v>
      </c>
      <c r="BA17" s="21" t="str">
        <f>IFERROR(__xludf.DUMMYFUNCTION("""COMPUTED_VALUE"""),"https://techcombank.com/thong-tin/blog/ma-swift-ngan-hang")</f>
        <v>https://techcombank.com/thong-tin/blog/ma-swift-ngan-hang</v>
      </c>
      <c r="BB17" s="16" t="str">
        <f>IFERROR(__xludf.DUMMYFUNCTION("""COMPUTED_VALUE"""),"chuyển khoản thành công nhưng không nhận được tiền")</f>
        <v>chuyển khoản thành công nhưng không nhận được tiền</v>
      </c>
      <c r="BC17" s="21" t="str">
        <f>IFERROR(__xludf.DUMMYFUNCTION("""COMPUTED_VALUE"""),"https://techcombank.com/thong-tin/blog/vi-dien-tu-la-gi")</f>
        <v>https://techcombank.com/thong-tin/blog/vi-dien-tu-la-gi</v>
      </c>
      <c r="BD17" s="16" t="str">
        <f>IFERROR(__xludf.DUMMYFUNCTION("""COMPUTED_VALUE"""),"chuyển tiền thành công nhưng chưa nhận được")</f>
        <v>chuyển tiền thành công nhưng chưa nhận được</v>
      </c>
      <c r="BE17" s="21" t="str">
        <f>IFERROR(__xludf.DUMMYFUNCTION("""COMPUTED_VALUE"""),"https://techcombank.com/thong-tin/blog/mo-tai-khoan-ngan-hang-co-mat-phi-khong")</f>
        <v>https://techcombank.com/thong-tin/blog/mo-tai-khoan-ngan-hang-co-mat-phi-khong</v>
      </c>
      <c r="BF17" s="16" t="str">
        <f>IFERROR(__xludf.DUMMYFUNCTION("""COMPUTED_VALUE"""),"tiền chuyển khoản bị treo")</f>
        <v>tiền chuyển khoản bị treo</v>
      </c>
      <c r="BG17" s="21" t="str">
        <f>IFERROR(__xludf.DUMMYFUNCTION("""COMPUTED_VALUE"""),"https://techcombank.com/thong-tin/blog/xac-thuc-sinh-trac-hoc-khi-chuyen-tien")</f>
        <v>https://techcombank.com/thong-tin/blog/xac-thuc-sinh-trac-hoc-khi-chuyen-tien</v>
      </c>
      <c r="BH17" s="16" t="str">
        <f>IFERROR(__xludf.DUMMYFUNCTION("""COMPUTED_VALUE"""),"chuyển khoản thành công nhưng không nhận được tiền")</f>
        <v>chuyển khoản thành công nhưng không nhận được tiền</v>
      </c>
      <c r="BI17" s="21" t="str">
        <f>IFERROR(__xludf.DUMMYFUNCTION("""COMPUTED_VALUE"""),"https://techcombank.com/thong-tin/blog/app-vay-tien-nhanh")</f>
        <v>https://techcombank.com/thong-tin/blog/app-vay-tien-nhanh</v>
      </c>
      <c r="BJ17" s="16" t="str">
        <f>IFERROR(__xludf.DUMMYFUNCTION("""COMPUTED_VALUE"""),"chuyển tiền thành công nhưng chưa nhận được")</f>
        <v>chuyển tiền thành công nhưng chưa nhận được</v>
      </c>
      <c r="BK17" s="21" t="str">
        <f>IFERROR(__xludf.DUMMYFUNCTION("""COMPUTED_VALUE"""),"https://techcombank.com/thong-tin/blog/cach-chuyen-tien-qua-ma-qr-techcombank")</f>
        <v>https://techcombank.com/thong-tin/blog/cach-chuyen-tien-qua-ma-qr-techcombank</v>
      </c>
      <c r="BL17" s="16" t="str">
        <f>IFERROR(__xludf.DUMMYFUNCTION("""COMPUTED_VALUE"""),"tiền chuyển khoản bị treo")</f>
        <v>tiền chuyển khoản bị treo</v>
      </c>
      <c r="BM17" s="21" t="str">
        <f>IFERROR(__xludf.DUMMYFUNCTION("""COMPUTED_VALUE"""),"https://techcombank.com/thong-tin/blog/the-ghi-no-co-chuyen-khoan-duoc-khong")</f>
        <v>https://techcombank.com/thong-tin/blog/the-ghi-no-co-chuyen-khoan-duoc-khong</v>
      </c>
      <c r="BN17" s="16" t="str">
        <f>IFERROR(__xludf.DUMMYFUNCTION("""COMPUTED_VALUE"""),"chuyển khoản thành công nhưng không nhận được tiền")</f>
        <v>chuyển khoản thành công nhưng không nhận được tiền</v>
      </c>
      <c r="BO17" s="21" t="str">
        <f>IFERROR(__xludf.DUMMYFUNCTION("""COMPUTED_VALUE"""),"https://techcombank.com/thong-tin/blog/chuyen-tien-dinh-cu")</f>
        <v>https://techcombank.com/thong-tin/blog/chuyen-tien-dinh-cu</v>
      </c>
      <c r="BP17" s="16" t="str">
        <f>IFERROR(__xludf.DUMMYFUNCTION("""COMPUTED_VALUE"""),"chuyển tiền thành công nhưng chưa nhận được")</f>
        <v>chuyển tiền thành công nhưng chưa nhận được</v>
      </c>
      <c r="BQ17" s="21" t="str">
        <f>IFERROR(__xludf.DUMMYFUNCTION("""COMPUTED_VALUE"""),"https://techcombank.com/thong-tin/blog/dinh-cu-chau-au")</f>
        <v>https://techcombank.com/thong-tin/blog/dinh-cu-chau-au</v>
      </c>
      <c r="BR17" s="16" t="str">
        <f>IFERROR(__xludf.DUMMYFUNCTION("""COMPUTED_VALUE"""),"tiền chuyển khoản bị treo")</f>
        <v>tiền chuyển khoản bị treo</v>
      </c>
      <c r="BS17" s="21" t="str">
        <f>IFERROR(__xludf.DUMMYFUNCTION("""COMPUTED_VALUE"""),"https://techcombank.com/thong-tin/blog/cam-nang-dinh-cu-my")</f>
        <v>https://techcombank.com/thong-tin/blog/cam-nang-dinh-cu-my</v>
      </c>
      <c r="BT17" s="16" t="str">
        <f>IFERROR(__xludf.DUMMYFUNCTION("""COMPUTED_VALUE"""),"chuyển khoản thành công nhưng không nhận được tiền")</f>
        <v>chuyển khoản thành công nhưng không nhận được tiền</v>
      </c>
      <c r="BU17" s="21" t="str">
        <f>IFERROR(__xludf.DUMMYFUNCTION("""COMPUTED_VALUE"""),"https://techcombank.com/thong-tin/blog/tai-khoan-cong-ty-co-chuyen-online-duoc-khong")</f>
        <v>https://techcombank.com/thong-tin/blog/tai-khoan-cong-ty-co-chuyen-online-duoc-khong</v>
      </c>
      <c r="BV17" s="16" t="str">
        <f>IFERROR(__xludf.DUMMYFUNCTION("""COMPUTED_VALUE"""),"chuyển tiền thành công nhưng chưa nhận được")</f>
        <v>chuyển tiền thành công nhưng chưa nhận được</v>
      </c>
      <c r="BW17" s="21" t="str">
        <f>IFERROR(__xludf.DUMMYFUNCTION("""COMPUTED_VALUE"""),"https://techcombank.com/thong-tin/blog/thu-tuc-chuyen-tien-ra-nuoc-ngoai")</f>
        <v>https://techcombank.com/thong-tin/blog/thu-tuc-chuyen-tien-ra-nuoc-ngoai</v>
      </c>
      <c r="BX17" s="16" t="str">
        <f>IFERROR(__xludf.DUMMYFUNCTION("""COMPUTED_VALUE"""),"tiền chuyển khoản bị treo")</f>
        <v>tiền chuyển khoản bị treo</v>
      </c>
      <c r="BY17" s="21" t="str">
        <f>IFERROR(__xludf.DUMMYFUNCTION("""COMPUTED_VALUE"""),"https://techcombank.com/thong-tin/blog/gui-tien-sang-nuoc-ngoai")</f>
        <v>https://techcombank.com/thong-tin/blog/gui-tien-sang-nuoc-ngoai</v>
      </c>
      <c r="BZ17" s="16" t="str">
        <f>IFERROR(__xludf.DUMMYFUNCTION("""COMPUTED_VALUE"""),"chuyển khoản thành công nhưng không nhận được tiền")</f>
        <v>chuyển khoản thành công nhưng không nhận được tiền</v>
      </c>
      <c r="CA17" s="21" t="str">
        <f>IFERROR(__xludf.DUMMYFUNCTION("""COMPUTED_VALUE"""),"https://techcombank.com/thong-tin/blog/chuyen-tien-tu-duc-ve-viet-nam")</f>
        <v>https://techcombank.com/thong-tin/blog/chuyen-tien-tu-duc-ve-viet-nam</v>
      </c>
      <c r="CB17" s="16" t="str">
        <f>IFERROR(__xludf.DUMMYFUNCTION("""COMPUTED_VALUE"""),"chuyển tiền thành công nhưng chưa nhận được")</f>
        <v>chuyển tiền thành công nhưng chưa nhận được</v>
      </c>
      <c r="CC17" s="21" t="str">
        <f>IFERROR(__xludf.DUMMYFUNCTION("""COMPUTED_VALUE"""),"https://techcombank.com/thong-tin/blog/cach-nhan-tien-tu-nuoc-ngoai-ve-viet-nam")</f>
        <v>https://techcombank.com/thong-tin/blog/cach-nhan-tien-tu-nuoc-ngoai-ve-viet-nam</v>
      </c>
      <c r="CD17" s="16" t="str">
        <f>IFERROR(__xludf.DUMMYFUNCTION("""COMPUTED_VALUE"""),"tiền chuyển khoản bị treo")</f>
        <v>tiền chuyển khoản bị treo</v>
      </c>
      <c r="CE17" s="21" t="str">
        <f>IFERROR(__xludf.DUMMYFUNCTION("""COMPUTED_VALUE"""),"https://techcombank.com/thong-tin/blog/chuyen-tien-tro-cap-than-nhan-o-nuoc-ngoai")</f>
        <v>https://techcombank.com/thong-tin/blog/chuyen-tien-tro-cap-than-nhan-o-nuoc-ngoai</v>
      </c>
      <c r="CF17" s="16" t="str">
        <f>IFERROR(__xludf.DUMMYFUNCTION("""COMPUTED_VALUE"""),"chuyển khoản thành công nhưng không nhận được tiền")</f>
        <v>chuyển khoản thành công nhưng không nhận được tiền</v>
      </c>
      <c r="CG17" s="21" t="str">
        <f>IFERROR(__xludf.DUMMYFUNCTION("""COMPUTED_VALUE"""),"https://techcombank.com/thong-tin/blog/chuyen-tien-tu-han-sang-viet-nam")</f>
        <v>https://techcombank.com/thong-tin/blog/chuyen-tien-tu-han-sang-viet-nam</v>
      </c>
      <c r="CH17" s="16" t="str">
        <f>IFERROR(__xludf.DUMMYFUNCTION("""COMPUTED_VALUE"""),"chuyển tiền thành công nhưng chưa nhận được")</f>
        <v>chuyển tiền thành công nhưng chưa nhận được</v>
      </c>
      <c r="CI17" s="21" t="str">
        <f>IFERROR(__xludf.DUMMYFUNCTION("""COMPUTED_VALUE"""),"https://techcombank.com/thong-tin/blog/chuyen-tien-tu-nhat-ve-viet-nam")</f>
        <v>https://techcombank.com/thong-tin/blog/chuyen-tien-tu-nhat-ve-viet-nam</v>
      </c>
      <c r="CJ17" s="16" t="str">
        <f>IFERROR(__xludf.DUMMYFUNCTION("""COMPUTED_VALUE"""),"tiền chuyển khoản bị treo")</f>
        <v>tiền chuyển khoản bị treo</v>
      </c>
      <c r="CK17" s="21" t="str">
        <f>IFERROR(__xludf.DUMMYFUNCTION("""COMPUTED_VALUE"""),"https://techcombank.com/thong-tin/blog/tien-thai-lan")</f>
        <v>https://techcombank.com/thong-tin/blog/tien-thai-lan</v>
      </c>
      <c r="CL17" s="16" t="str">
        <f>IFERROR(__xludf.DUMMYFUNCTION("""COMPUTED_VALUE"""),"chuyển khoản thành công nhưng không nhận được tiền")</f>
        <v>chuyển khoản thành công nhưng không nhận được tiền</v>
      </c>
      <c r="CM17" s="21" t="str">
        <f>IFERROR(__xludf.DUMMYFUNCTION("""COMPUTED_VALUE"""),"https://techcombank.com/thong-tin/blog/tien-nhat")</f>
        <v>https://techcombank.com/thong-tin/blog/tien-nhat</v>
      </c>
      <c r="CN17" s="16" t="str">
        <f>IFERROR(__xludf.DUMMYFUNCTION("""COMPUTED_VALUE"""),"chuyển tiền thành công nhưng chưa nhận được")</f>
        <v>chuyển tiền thành công nhưng chưa nhận được</v>
      </c>
      <c r="CO17" s="21" t="str">
        <f>IFERROR(__xludf.DUMMYFUNCTION("""COMPUTED_VALUE"""),"https://techcombank.com/thong-tin/blog/chuyen-tien-di-uc")</f>
        <v>https://techcombank.com/thong-tin/blog/chuyen-tien-di-uc</v>
      </c>
      <c r="CP17" s="16" t="str">
        <f>IFERROR(__xludf.DUMMYFUNCTION("""COMPUTED_VALUE"""),"tiền chuyển khoản bị treo")</f>
        <v>tiền chuyển khoản bị treo</v>
      </c>
      <c r="CQ17" s="21" t="str">
        <f>IFERROR(__xludf.DUMMYFUNCTION("""COMPUTED_VALUE"""),"https://techcombank.com/thong-tin/blog/tien-lao")</f>
        <v>https://techcombank.com/thong-tin/blog/tien-lao</v>
      </c>
      <c r="CR17" s="16" t="str">
        <f>IFERROR(__xludf.DUMMYFUNCTION("""COMPUTED_VALUE"""),"chuyển khoản thành công nhưng không nhận được tiền")</f>
        <v>chuyển khoản thành công nhưng không nhận được tiền</v>
      </c>
      <c r="CS17" s="21" t="str">
        <f>IFERROR(__xludf.DUMMYFUNCTION("""COMPUTED_VALUE"""),"https://techcombank.com/thong-tin/blog/chuyen-tien-tu-my-ve-viet-nam")</f>
        <v>https://techcombank.com/thong-tin/blog/chuyen-tien-tu-my-ve-viet-nam</v>
      </c>
      <c r="CT17" s="16" t="str">
        <f>IFERROR(__xludf.DUMMYFUNCTION("""COMPUTED_VALUE"""),"chuyển tiền thành công nhưng chưa nhận được")</f>
        <v>chuyển tiền thành công nhưng chưa nhận được</v>
      </c>
      <c r="CU17" s="21" t="str">
        <f>IFERROR(__xludf.DUMMYFUNCTION("""COMPUTED_VALUE"""),"https://techcombank.com/thong-tin/blog/1000-won-bang-bao-nhieu-tien-viet")</f>
        <v>https://techcombank.com/thong-tin/blog/1000-won-bang-bao-nhieu-tien-viet</v>
      </c>
      <c r="CV17" s="16" t="str">
        <f>IFERROR(__xludf.DUMMYFUNCTION("""COMPUTED_VALUE"""),"tiền chuyển khoản bị treo")</f>
        <v>tiền chuyển khoản bị treo</v>
      </c>
      <c r="CW17" s="21" t="str">
        <f>IFERROR(__xludf.DUMMYFUNCTION("""COMPUTED_VALUE"""),"https://techcombank.com/thong-tin/blog/tien-trung-quoc")</f>
        <v>https://techcombank.com/thong-tin/blog/tien-trung-quoc</v>
      </c>
      <c r="CX17" s="16" t="str">
        <f>IFERROR(__xludf.DUMMYFUNCTION("""COMPUTED_VALUE"""),"chuyển khoản thành công nhưng không nhận được tiền")</f>
        <v>chuyển khoản thành công nhưng không nhận được tiền</v>
      </c>
      <c r="CY17" s="21" t="str">
        <f>IFERROR(__xludf.DUMMYFUNCTION("""COMPUTED_VALUE"""),"https://techcombank.com/thong-tin/blog/1000-yen-bang-bao-nhieu-tien-viet")</f>
        <v>https://techcombank.com/thong-tin/blog/1000-yen-bang-bao-nhieu-tien-viet</v>
      </c>
      <c r="CZ17" s="16"/>
      <c r="DA17" s="16"/>
      <c r="DB17" s="16"/>
      <c r="DC17" s="16"/>
      <c r="DD17" s="16"/>
      <c r="DE17" s="16"/>
      <c r="DF17" s="16"/>
      <c r="DG17" s="16"/>
      <c r="DH17" s="16"/>
      <c r="DI17" s="16"/>
      <c r="DJ17" s="16"/>
      <c r="DK17" s="16"/>
      <c r="DL17" s="16"/>
      <c r="DM17" s="16"/>
      <c r="DN17" s="16"/>
      <c r="DO17" s="16"/>
      <c r="DP17" s="16"/>
      <c r="DQ17" s="16"/>
      <c r="DR17" s="16"/>
      <c r="DS17" s="16"/>
      <c r="DT17" s="16"/>
      <c r="DU17" s="16"/>
      <c r="DV17" s="16"/>
      <c r="DW17" s="16"/>
      <c r="DX17" s="16"/>
      <c r="DY17" s="16"/>
      <c r="DZ17" s="16"/>
      <c r="EA17" s="16"/>
      <c r="EB17" s="16"/>
      <c r="EC17" s="16"/>
      <c r="ED17" s="16"/>
      <c r="EE17" s="16"/>
      <c r="EF17" s="16"/>
      <c r="EG17" s="16"/>
      <c r="EH17" s="16"/>
      <c r="EI17" s="16"/>
      <c r="EJ17" s="16"/>
      <c r="EK17" s="16"/>
      <c r="EL17" s="16"/>
      <c r="EM17" s="16"/>
      <c r="EN17" s="16"/>
      <c r="EO17" s="16"/>
      <c r="EP17" s="16"/>
      <c r="EQ17" s="16"/>
      <c r="ER17" s="16"/>
      <c r="ES17" s="16"/>
      <c r="ET17" s="16"/>
      <c r="EU17" s="16"/>
      <c r="EV17" s="16"/>
      <c r="EW17" s="16"/>
      <c r="EX17" s="16"/>
      <c r="EY17" s="16"/>
      <c r="EZ17" s="16"/>
      <c r="FA17" s="16"/>
      <c r="FB17" s="16"/>
      <c r="FC17" s="16"/>
      <c r="FD17" s="16"/>
      <c r="FE17" s="16"/>
      <c r="FF17" s="16"/>
      <c r="FG17" s="16"/>
      <c r="FH17" s="16"/>
      <c r="FI17" s="16"/>
      <c r="FJ17" s="16"/>
      <c r="FK17" s="16"/>
      <c r="FL17" s="16"/>
      <c r="FM17" s="16"/>
      <c r="FN17" s="16"/>
      <c r="FO17" s="16"/>
      <c r="FP17" s="16"/>
      <c r="FQ17" s="16"/>
      <c r="FR17" s="16"/>
      <c r="FS17" s="16"/>
      <c r="FT17" s="16"/>
      <c r="FU17" s="16"/>
      <c r="FV17" s="16"/>
      <c r="FW17" s="16"/>
      <c r="FX17" s="16"/>
      <c r="FY17" s="16"/>
      <c r="FZ17" s="16"/>
      <c r="GA17" s="16"/>
      <c r="GB17" s="16"/>
      <c r="GC17" s="16"/>
      <c r="GD17" s="16"/>
      <c r="GE17" s="16"/>
      <c r="GF17" s="16"/>
      <c r="GG17" s="16"/>
      <c r="GH17" s="16"/>
      <c r="GI17" s="16"/>
      <c r="GJ17" s="16"/>
      <c r="GK17" s="16"/>
      <c r="GL17" s="16"/>
      <c r="GM17" s="16"/>
      <c r="GN17" s="16"/>
      <c r="GO17" s="16"/>
    </row>
    <row r="18" ht="18.0" customHeight="1">
      <c r="A18" s="15">
        <v>17.0</v>
      </c>
      <c r="B18" s="16" t="s">
        <v>557</v>
      </c>
      <c r="C18" s="17" t="s">
        <v>707</v>
      </c>
      <c r="D18" s="16" t="s">
        <v>262</v>
      </c>
      <c r="E18" s="15">
        <f>COUNTIF('Tổng hợp 75 trang đích'!$B$2:$B$2505,$D18)</f>
        <v>28</v>
      </c>
      <c r="F18" s="15">
        <f>COUNTIFS('Tổng hợp 75 trang đích'!$B$2:$B$2505,$D18,'Tổng hợp 75 trang đích'!$K$2:$K$2505,"PHÙ HỢP CAO")</f>
        <v>2</v>
      </c>
      <c r="G18" s="15">
        <f>COUNTIFS('Tổng hợp 75 trang đích'!$B$2:$B$2505,$D18,'Tổng hợp 75 trang đích'!$K$2:$K$2505,"CÓ THỂ ĐI")</f>
        <v>3</v>
      </c>
      <c r="H18" s="15">
        <f>COUNTIFS('Tổng hợp 75 trang đích'!$B$2:$B$2505,$D18,'Tổng hợp 75 trang đích'!$K$2:$K$2505,"CẦN SOÁT")</f>
        <v>23</v>
      </c>
      <c r="I18" s="19" t="s">
        <v>256</v>
      </c>
      <c r="J18" s="19" t="b">
        <v>0</v>
      </c>
      <c r="K18" s="20" t="s">
        <v>258</v>
      </c>
      <c r="L18" s="16" t="str">
        <f>IFERROR(__xludf.DUMMYFUNCTION("IFERROR(TOROW(CHOOSECOLS(SORT(FILTER({'Tổng hợp 75 trang đích'!$J$2:$J$2505,'Tổng hợp 75 trang đích'!$I$2:$I$2505,MATCH('Tổng hợp 75 trang đích'!$K$2:$K$2505,{""PHÙ HỢP CAO"",""CÓ THỂ ĐI"",""CẦN SOÁT""},0)},'Tổng hợp 75 trang đích'!$B$2:$B$2505=$D18),3,TR"&amp;"UE),1,2)),"""")"),"bao nhiêu tuổi được mở tài khoản ngân hàng")</f>
        <v>bao nhiêu tuổi được mở tài khoản ngân hàng</v>
      </c>
      <c r="M18" s="21" t="str">
        <f>IFERROR(__xludf.DUMMYFUNCTION("""COMPUTED_VALUE"""),"https://techcombank.com/thong-tin/blog/mo-tai-khoan-ngan-hang-cho-tre-em")</f>
        <v>https://techcombank.com/thong-tin/blog/mo-tai-khoan-ngan-hang-cho-tre-em</v>
      </c>
      <c r="N18" s="16" t="str">
        <f>IFERROR(__xludf.DUMMYFUNCTION("""COMPUTED_VALUE"""),"độ tuổi mở tài khoản ngân hàng")</f>
        <v>độ tuổi mở tài khoản ngân hàng</v>
      </c>
      <c r="O18" s="21" t="str">
        <f>IFERROR(__xludf.DUMMYFUNCTION("""COMPUTED_VALUE"""),"https://techcombank.com/thong-tin/blog/hoc-sinh-sinh-vien-nen-lam-the-ngan-hang-nao")</f>
        <v>https://techcombank.com/thong-tin/blog/hoc-sinh-sinh-vien-nen-lam-the-ngan-hang-nao</v>
      </c>
      <c r="P18" s="16" t="str">
        <f>IFERROR(__xludf.DUMMYFUNCTION("""COMPUTED_VALUE"""),"bao nhiêu tuổi được mở tài khoản ngân hàng")</f>
        <v>bao nhiêu tuổi được mở tài khoản ngân hàng</v>
      </c>
      <c r="Q18" s="21" t="str">
        <f>IFERROR(__xludf.DUMMYFUNCTION("""COMPUTED_VALUE"""),"https://techcombank.com/thong-tin/blog/cach-lam-the-atm")</f>
        <v>https://techcombank.com/thong-tin/blog/cach-lam-the-atm</v>
      </c>
      <c r="R18" s="16" t="str">
        <f>IFERROR(__xludf.DUMMYFUNCTION("""COMPUTED_VALUE"""),"độ tuổi mở tài khoản ngân hàng")</f>
        <v>độ tuổi mở tài khoản ngân hàng</v>
      </c>
      <c r="S18" s="21" t="str">
        <f>IFERROR(__xludf.DUMMYFUNCTION("""COMPUTED_VALUE"""),"https://techcombank.com/thong-tin/blog/1-nguoi-co-the-lam-duoc-bao-nhieu-the-atm")</f>
        <v>https://techcombank.com/thong-tin/blog/1-nguoi-co-the-lam-duoc-bao-nhieu-the-atm</v>
      </c>
      <c r="T18" s="16" t="str">
        <f>IFERROR(__xludf.DUMMYFUNCTION("""COMPUTED_VALUE"""),"bao nhiêu tuổi được mở tài khoản ngân hàng")</f>
        <v>bao nhiêu tuổi được mở tài khoản ngân hàng</v>
      </c>
      <c r="U18" s="21" t="str">
        <f>IFERROR(__xludf.DUMMYFUNCTION("""COMPUTED_VALUE"""),"https://techcombank.com/thong-tin/blog/lam-the-atm-bao-lau-co")</f>
        <v>https://techcombank.com/thong-tin/blog/lam-the-atm-bao-lau-co</v>
      </c>
      <c r="V18" s="16" t="str">
        <f>IFERROR(__xludf.DUMMYFUNCTION("""COMPUTED_VALUE"""),"độ tuổi mở tài khoản ngân hàng")</f>
        <v>độ tuổi mở tài khoản ngân hàng</v>
      </c>
      <c r="W18" s="21" t="str">
        <f>IFERROR(__xludf.DUMMYFUNCTION("""COMPUTED_VALUE"""),"https://techcombank.com/thong-tin/blog/tap-doan-thanh-quang-khoi-sac-kinh-doanh-nho-nguon-von-vay-tin-dung-techcombank-tren-nen-tang-misa-lending")</f>
        <v>https://techcombank.com/thong-tin/blog/tap-doan-thanh-quang-khoi-sac-kinh-doanh-nho-nguon-von-vay-tin-dung-techcombank-tren-nen-tang-misa-lending</v>
      </c>
      <c r="X18" s="16" t="str">
        <f>IFERROR(__xludf.DUMMYFUNCTION("""COMPUTED_VALUE"""),"bao nhiêu tuổi được mở tài khoản ngân hàng")</f>
        <v>bao nhiêu tuổi được mở tài khoản ngân hàng</v>
      </c>
      <c r="Y18" s="21" t="str">
        <f>IFERROR(__xludf.DUMMYFUNCTION("""COMPUTED_VALUE"""),"https://techcombank.com/thong-tin/blog/the-he-ke-can")</f>
        <v>https://techcombank.com/thong-tin/blog/the-he-ke-can</v>
      </c>
      <c r="Z18" s="16" t="str">
        <f>IFERROR(__xludf.DUMMYFUNCTION("""COMPUTED_VALUE"""),"độ tuổi mở tài khoản ngân hàng")</f>
        <v>độ tuổi mở tài khoản ngân hàng</v>
      </c>
      <c r="AA18" s="21" t="str">
        <f>IFERROR(__xludf.DUMMYFUNCTION("""COMPUTED_VALUE"""),"https://techcombank.com/thong-tin/blog/li-xi-so-dep")</f>
        <v>https://techcombank.com/thong-tin/blog/li-xi-so-dep</v>
      </c>
      <c r="AB18" s="16" t="str">
        <f>IFERROR(__xludf.DUMMYFUNCTION("""COMPUTED_VALUE"""),"bao nhiêu tuổi được mở tài khoản ngân hàng")</f>
        <v>bao nhiêu tuổi được mở tài khoản ngân hàng</v>
      </c>
      <c r="AC18" s="21" t="str">
        <f>IFERROR(__xludf.DUMMYFUNCTION("""COMPUTED_VALUE"""),"https://techcombank.com/thong-tin/blog/lam-the-atm-co-mat-phi-khong")</f>
        <v>https://techcombank.com/thong-tin/blog/lam-the-atm-co-mat-phi-khong</v>
      </c>
      <c r="AD18" s="16" t="str">
        <f>IFERROR(__xludf.DUMMYFUNCTION("""COMPUTED_VALUE"""),"độ tuổi mở tài khoản ngân hàng")</f>
        <v>độ tuổi mở tài khoản ngân hàng</v>
      </c>
      <c r="AE18" s="21" t="str">
        <f>IFERROR(__xludf.DUMMYFUNCTION("""COMPUTED_VALUE"""),"https://techcombank.com/thong-tin/blog/sai-lam-ve-tai-chinh-ca-nhan")</f>
        <v>https://techcombank.com/thong-tin/blog/sai-lam-ve-tai-chinh-ca-nhan</v>
      </c>
      <c r="AF18" s="16" t="str">
        <f>IFERROR(__xludf.DUMMYFUNCTION("""COMPUTED_VALUE"""),"bao nhiêu tuổi được mở tài khoản ngân hàng")</f>
        <v>bao nhiêu tuổi được mở tài khoản ngân hàng</v>
      </c>
      <c r="AG18" s="21" t="str">
        <f>IFERROR(__xludf.DUMMYFUNCTION("""COMPUTED_VALUE"""),"https://techcombank.com/thong-tin/blog/the-visa-de-lam-gi")</f>
        <v>https://techcombank.com/thong-tin/blog/the-visa-de-lam-gi</v>
      </c>
      <c r="AH18" s="16" t="str">
        <f>IFERROR(__xludf.DUMMYFUNCTION("""COMPUTED_VALUE"""),"độ tuổi mở tài khoản ngân hàng")</f>
        <v>độ tuổi mở tài khoản ngân hàng</v>
      </c>
      <c r="AI18" s="21" t="str">
        <f>IFERROR(__xludf.DUMMYFUNCTION("""COMPUTED_VALUE"""),"https://techcombank.com/thong-tin/blog/cach-chon-so-tai-khoan-dep")</f>
        <v>https://techcombank.com/thong-tin/blog/cach-chon-so-tai-khoan-dep</v>
      </c>
      <c r="AJ18" s="16" t="str">
        <f>IFERROR(__xludf.DUMMYFUNCTION("""COMPUTED_VALUE"""),"bao nhiêu tuổi được mở tài khoản ngân hàng")</f>
        <v>bao nhiêu tuổi được mở tài khoản ngân hàng</v>
      </c>
      <c r="AK18" s="21" t="str">
        <f>IFERROR(__xludf.DUMMYFUNCTION("""COMPUTED_VALUE"""),"https://techcombank.com/thong-tin/blog/co-nen-dung-the-tin-dung-khong")</f>
        <v>https://techcombank.com/thong-tin/blog/co-nen-dung-the-tin-dung-khong</v>
      </c>
      <c r="AL18" s="16" t="str">
        <f>IFERROR(__xludf.DUMMYFUNCTION("""COMPUTED_VALUE"""),"độ tuổi mở tài khoản ngân hàng")</f>
        <v>độ tuổi mở tài khoản ngân hàng</v>
      </c>
      <c r="AM18" s="21" t="str">
        <f>IFERROR(__xludf.DUMMYFUNCTION("""COMPUTED_VALUE"""),"https://techcombank.com/thong-tin/blog/lam-the-visa-o-dau")</f>
        <v>https://techcombank.com/thong-tin/blog/lam-the-visa-o-dau</v>
      </c>
      <c r="AN18" s="16" t="str">
        <f>IFERROR(__xludf.DUMMYFUNCTION("""COMPUTED_VALUE"""),"bao nhiêu tuổi được mở tài khoản ngân hàng")</f>
        <v>bao nhiêu tuổi được mở tài khoản ngân hàng</v>
      </c>
      <c r="AO18" s="21" t="str">
        <f>IFERROR(__xludf.DUMMYFUNCTION("""COMPUTED_VALUE"""),"https://techcombank.com/thong-tin/blog/mo-tai-khoan-ngan-hang-duoi-18-tuoi")</f>
        <v>https://techcombank.com/thong-tin/blog/mo-tai-khoan-ngan-hang-duoi-18-tuoi</v>
      </c>
      <c r="AP18" s="16" t="str">
        <f>IFERROR(__xludf.DUMMYFUNCTION("""COMPUTED_VALUE"""),"độ tuổi mở tài khoản ngân hàng")</f>
        <v>độ tuổi mở tài khoản ngân hàng</v>
      </c>
      <c r="AQ18" s="21" t="str">
        <f>IFERROR(__xludf.DUMMYFUNCTION("""COMPUTED_VALUE"""),"https://techcombank.com/thong-tin/blog/no-xau-co-lam-the-visa-duoc-khong")</f>
        <v>https://techcombank.com/thong-tin/blog/no-xau-co-lam-the-visa-duoc-khong</v>
      </c>
      <c r="AR18" s="16" t="str">
        <f>IFERROR(__xludf.DUMMYFUNCTION("""COMPUTED_VALUE"""),"bao nhiêu tuổi được mở tài khoản ngân hàng")</f>
        <v>bao nhiêu tuổi được mở tài khoản ngân hàng</v>
      </c>
      <c r="AS18" s="21" t="str">
        <f>IFERROR(__xludf.DUMMYFUNCTION("""COMPUTED_VALUE"""),"https://techcombank.com/thong-tin/blog/mo-tai-khoan-tiet-kiem-cho-con")</f>
        <v>https://techcombank.com/thong-tin/blog/mo-tai-khoan-tiet-kiem-cho-con</v>
      </c>
      <c r="AT18" s="16" t="str">
        <f>IFERROR(__xludf.DUMMYFUNCTION("""COMPUTED_VALUE"""),"độ tuổi mở tài khoản ngân hàng")</f>
        <v>độ tuổi mở tài khoản ngân hàng</v>
      </c>
      <c r="AU18" s="21" t="str">
        <f>IFERROR(__xludf.DUMMYFUNCTION("""COMPUTED_VALUE"""),"https://techcombank.com/thong-tin/blog/lam-the-visa-mat-bao-lau")</f>
        <v>https://techcombank.com/thong-tin/blog/lam-the-visa-mat-bao-lau</v>
      </c>
      <c r="AV18" s="16" t="str">
        <f>IFERROR(__xludf.DUMMYFUNCTION("""COMPUTED_VALUE"""),"bao nhiêu tuổi được mở tài khoản ngân hàng")</f>
        <v>bao nhiêu tuổi được mở tài khoản ngân hàng</v>
      </c>
      <c r="AW18" s="21" t="str">
        <f>IFERROR(__xludf.DUMMYFUNCTION("""COMPUTED_VALUE"""),"https://techcombank.com/thong-tin/blog/lam-the-tin-dung")</f>
        <v>https://techcombank.com/thong-tin/blog/lam-the-tin-dung</v>
      </c>
      <c r="AX18" s="16" t="str">
        <f>IFERROR(__xludf.DUMMYFUNCTION("""COMPUTED_VALUE"""),"độ tuổi mở tài khoản ngân hàng")</f>
        <v>độ tuổi mở tài khoản ngân hàng</v>
      </c>
      <c r="AY18" s="21" t="str">
        <f>IFERROR(__xludf.DUMMYFUNCTION("""COMPUTED_VALUE"""),"https://techcombank.com/thong-tin/blog/shopeepay-la-gi")</f>
        <v>https://techcombank.com/thong-tin/blog/shopeepay-la-gi</v>
      </c>
      <c r="AZ18" s="16" t="str">
        <f>IFERROR(__xludf.DUMMYFUNCTION("""COMPUTED_VALUE"""),"bao nhiêu tuổi được mở tài khoản ngân hàng")</f>
        <v>bao nhiêu tuổi được mở tài khoản ngân hàng</v>
      </c>
      <c r="BA18" s="21" t="str">
        <f>IFERROR(__xludf.DUMMYFUNCTION("""COMPUTED_VALUE"""),"https://techcombank.com/thong-tin/blog/vay-sinh-vien")</f>
        <v>https://techcombank.com/thong-tin/blog/vay-sinh-vien</v>
      </c>
      <c r="BB18" s="16" t="str">
        <f>IFERROR(__xludf.DUMMYFUNCTION("""COMPUTED_VALUE"""),"độ tuổi mở tài khoản ngân hàng")</f>
        <v>độ tuổi mở tài khoản ngân hàng</v>
      </c>
      <c r="BC18" s="21" t="str">
        <f>IFERROR(__xludf.DUMMYFUNCTION("""COMPUTED_VALUE"""),"https://techcombank.com/thong-tin/blog/the-mastercard-la-gi")</f>
        <v>https://techcombank.com/thong-tin/blog/the-mastercard-la-gi</v>
      </c>
      <c r="BD18" s="16" t="str">
        <f>IFERROR(__xludf.DUMMYFUNCTION("""COMPUTED_VALUE"""),"bao nhiêu tuổi được mở tài khoản ngân hàng")</f>
        <v>bao nhiêu tuổi được mở tài khoản ngân hàng</v>
      </c>
      <c r="BE18" s="21" t="str">
        <f>IFERROR(__xludf.DUMMYFUNCTION("""COMPUTED_VALUE"""),"https://techcombank.com/thong-tin/blog/lam-the-visa-online")</f>
        <v>https://techcombank.com/thong-tin/blog/lam-the-visa-online</v>
      </c>
      <c r="BF18" s="16" t="str">
        <f>IFERROR(__xludf.DUMMYFUNCTION("""COMPUTED_VALUE"""),"độ tuổi mở tài khoản ngân hàng")</f>
        <v>độ tuổi mở tài khoản ngân hàng</v>
      </c>
      <c r="BG18" s="21" t="str">
        <f>IFERROR(__xludf.DUMMYFUNCTION("""COMPUTED_VALUE"""),"https://techcombank.com/thong-tin/blog/lam-the-tin-dung-co-mat-phi-khong")</f>
        <v>https://techcombank.com/thong-tin/blog/lam-the-tin-dung-co-mat-phi-khong</v>
      </c>
      <c r="BH18" s="16" t="str">
        <f>IFERROR(__xludf.DUMMYFUNCTION("""COMPUTED_VALUE"""),"bao nhiêu tuổi được mở tài khoản ngân hàng")</f>
        <v>bao nhiêu tuổi được mở tài khoản ngân hàng</v>
      </c>
      <c r="BI18" s="21" t="str">
        <f>IFERROR(__xludf.DUMMYFUNCTION("""COMPUTED_VALUE"""),"https://techcombank.com/thong-tin/blog/the-debit-cho-con")</f>
        <v>https://techcombank.com/thong-tin/blog/the-debit-cho-con</v>
      </c>
      <c r="BJ18" s="16" t="str">
        <f>IFERROR(__xludf.DUMMYFUNCTION("""COMPUTED_VALUE"""),"độ tuổi mở tài khoản ngân hàng")</f>
        <v>độ tuổi mở tài khoản ngân hàng</v>
      </c>
      <c r="BK18" s="21" t="str">
        <f>IFERROR(__xludf.DUMMYFUNCTION("""COMPUTED_VALUE"""),"https://techcombank.com/thong-tin/blog/lam-the-thanh-toan-quoc-te")</f>
        <v>https://techcombank.com/thong-tin/blog/lam-the-thanh-toan-quoc-te</v>
      </c>
      <c r="BL18" s="16" t="str">
        <f>IFERROR(__xludf.DUMMYFUNCTION("""COMPUTED_VALUE"""),"bao nhiêu tuổi được mở tài khoản ngân hàng")</f>
        <v>bao nhiêu tuổi được mở tài khoản ngân hàng</v>
      </c>
      <c r="BM18" s="21" t="str">
        <f>IFERROR(__xludf.DUMMYFUNCTION("""COMPUTED_VALUE"""),"https://techcombank.com/thong-tin/blog/dieu-kien-vay-the-chap")</f>
        <v>https://techcombank.com/thong-tin/blog/dieu-kien-vay-the-chap</v>
      </c>
      <c r="BN18" s="16" t="str">
        <f>IFERROR(__xludf.DUMMYFUNCTION("""COMPUTED_VALUE"""),"độ tuổi mở tài khoản ngân hàng")</f>
        <v>độ tuổi mở tài khoản ngân hàng</v>
      </c>
      <c r="BO18" s="21" t="str">
        <f>IFERROR(__xludf.DUMMYFUNCTION("""COMPUTED_VALUE"""),"https://techcombank.com/thong-tin/blog/thanh-toan-hoc-phi-online")</f>
        <v>https://techcombank.com/thong-tin/blog/thanh-toan-hoc-phi-online</v>
      </c>
      <c r="BP18" s="16"/>
      <c r="BQ18" s="16"/>
      <c r="BR18" s="16"/>
      <c r="BS18" s="16"/>
      <c r="BT18" s="16"/>
      <c r="BU18" s="16"/>
      <c r="BV18" s="16"/>
      <c r="BW18" s="16"/>
      <c r="BX18" s="16"/>
      <c r="BY18" s="16"/>
      <c r="BZ18" s="16"/>
      <c r="CA18" s="16"/>
      <c r="CB18" s="16"/>
      <c r="CC18" s="16"/>
      <c r="CD18" s="16"/>
      <c r="CE18" s="16"/>
      <c r="CF18" s="16"/>
      <c r="CG18" s="16"/>
      <c r="CH18" s="16"/>
      <c r="CI18" s="16"/>
      <c r="CJ18" s="16"/>
      <c r="CK18" s="16"/>
      <c r="CL18" s="16"/>
      <c r="CM18" s="16"/>
      <c r="CN18" s="16"/>
      <c r="CO18" s="16"/>
      <c r="CP18" s="16"/>
      <c r="CQ18" s="16"/>
      <c r="CR18" s="16"/>
      <c r="CS18" s="16"/>
      <c r="CT18" s="16"/>
      <c r="CU18" s="16"/>
      <c r="CV18" s="16"/>
      <c r="CW18" s="16"/>
      <c r="CX18" s="16"/>
      <c r="CY18" s="16"/>
      <c r="CZ18" s="16"/>
      <c r="DA18" s="16"/>
      <c r="DB18" s="16"/>
      <c r="DC18" s="16"/>
      <c r="DD18" s="16"/>
      <c r="DE18" s="16"/>
      <c r="DF18" s="16"/>
      <c r="DG18" s="16"/>
      <c r="DH18" s="16"/>
      <c r="DI18" s="16"/>
      <c r="DJ18" s="16"/>
      <c r="DK18" s="16"/>
      <c r="DL18" s="16"/>
      <c r="DM18" s="16"/>
      <c r="DN18" s="16"/>
      <c r="DO18" s="16"/>
      <c r="DP18" s="16"/>
      <c r="DQ18" s="16"/>
      <c r="DR18" s="16"/>
      <c r="DS18" s="16"/>
      <c r="DT18" s="16"/>
      <c r="DU18" s="16"/>
      <c r="DV18" s="16"/>
      <c r="DW18" s="16"/>
      <c r="DX18" s="16"/>
      <c r="DY18" s="16"/>
      <c r="DZ18" s="16"/>
      <c r="EA18" s="16"/>
      <c r="EB18" s="16"/>
      <c r="EC18" s="16"/>
      <c r="ED18" s="16"/>
      <c r="EE18" s="16"/>
      <c r="EF18" s="16"/>
      <c r="EG18" s="16"/>
      <c r="EH18" s="16"/>
      <c r="EI18" s="16"/>
      <c r="EJ18" s="16"/>
      <c r="EK18" s="16"/>
      <c r="EL18" s="16"/>
      <c r="EM18" s="16"/>
      <c r="EN18" s="16"/>
      <c r="EO18" s="16"/>
      <c r="EP18" s="16"/>
      <c r="EQ18" s="16"/>
      <c r="ER18" s="16"/>
      <c r="ES18" s="16"/>
      <c r="ET18" s="16"/>
      <c r="EU18" s="16"/>
      <c r="EV18" s="16"/>
      <c r="EW18" s="16"/>
      <c r="EX18" s="16"/>
      <c r="EY18" s="16"/>
      <c r="EZ18" s="16"/>
      <c r="FA18" s="16"/>
      <c r="FB18" s="16"/>
      <c r="FC18" s="16"/>
      <c r="FD18" s="16"/>
      <c r="FE18" s="16"/>
      <c r="FF18" s="16"/>
      <c r="FG18" s="16"/>
      <c r="FH18" s="16"/>
      <c r="FI18" s="16"/>
      <c r="FJ18" s="16"/>
      <c r="FK18" s="16"/>
      <c r="FL18" s="16"/>
      <c r="FM18" s="16"/>
      <c r="FN18" s="16"/>
      <c r="FO18" s="16"/>
      <c r="FP18" s="16"/>
      <c r="FQ18" s="16"/>
      <c r="FR18" s="16"/>
      <c r="FS18" s="16"/>
      <c r="FT18" s="16"/>
      <c r="FU18" s="16"/>
      <c r="FV18" s="16"/>
      <c r="FW18" s="16"/>
      <c r="FX18" s="16"/>
      <c r="FY18" s="16"/>
      <c r="FZ18" s="16"/>
      <c r="GA18" s="16"/>
      <c r="GB18" s="16"/>
      <c r="GC18" s="16"/>
      <c r="GD18" s="16"/>
      <c r="GE18" s="16"/>
      <c r="GF18" s="16"/>
      <c r="GG18" s="16"/>
      <c r="GH18" s="16"/>
      <c r="GI18" s="16"/>
      <c r="GJ18" s="16"/>
      <c r="GK18" s="16"/>
      <c r="GL18" s="16"/>
      <c r="GM18" s="16"/>
      <c r="GN18" s="16"/>
      <c r="GO18" s="16"/>
    </row>
    <row r="19" ht="18.0" customHeight="1">
      <c r="A19" s="15">
        <v>18.0</v>
      </c>
      <c r="B19" s="16" t="s">
        <v>557</v>
      </c>
      <c r="C19" s="17" t="s">
        <v>719</v>
      </c>
      <c r="D19" s="16" t="s">
        <v>267</v>
      </c>
      <c r="E19" s="15">
        <f>COUNTIF('Tổng hợp 75 trang đích'!$B$2:$B$2505,$D19)</f>
        <v>15</v>
      </c>
      <c r="F19" s="15">
        <f>COUNTIFS('Tổng hợp 75 trang đích'!$B$2:$B$2505,$D19,'Tổng hợp 75 trang đích'!$K$2:$K$2505,"PHÙ HỢP CAO")</f>
        <v>2</v>
      </c>
      <c r="G19" s="15">
        <f>COUNTIFS('Tổng hợp 75 trang đích'!$B$2:$B$2505,$D19,'Tổng hợp 75 trang đích'!$K$2:$K$2505,"CÓ THỂ ĐI")</f>
        <v>3</v>
      </c>
      <c r="H19" s="15">
        <f>COUNTIFS('Tổng hợp 75 trang đích'!$B$2:$B$2505,$D19,'Tổng hợp 75 trang đích'!$K$2:$K$2505,"CẦN SOÁT")</f>
        <v>10</v>
      </c>
      <c r="I19" s="19" t="s">
        <v>256</v>
      </c>
      <c r="J19" s="19" t="b">
        <v>0</v>
      </c>
      <c r="K19" s="20" t="s">
        <v>258</v>
      </c>
      <c r="L19" s="16" t="str">
        <f>IFERROR(__xludf.DUMMYFUNCTION("IFERROR(TOROW(CHOOSECOLS(SORT(FILTER({'Tổng hợp 75 trang đích'!$J$2:$J$2505,'Tổng hợp 75 trang đích'!$I$2:$I$2505,MATCH('Tổng hợp 75 trang đích'!$K$2:$K$2505,{""PHÙ HỢP CAO"",""CÓ THỂ ĐI"",""CẦN SOÁT""},0)},'Tổng hợp 75 trang đích'!$B$2:$B$2505=$D19),3,TR"&amp;"UE),1,2)),"""")"),"mở tài khoản ngân hàng dưới 18 tuổi")</f>
        <v>mở tài khoản ngân hàng dưới 18 tuổi</v>
      </c>
      <c r="M19" s="21" t="str">
        <f>IFERROR(__xludf.DUMMYFUNCTION("""COMPUTED_VALUE"""),"https://techcombank.com/thong-tin/blog/the-debit-cho-con")</f>
        <v>https://techcombank.com/thong-tin/blog/the-debit-cho-con</v>
      </c>
      <c r="N19" s="16" t="str">
        <f>IFERROR(__xludf.DUMMYFUNCTION("""COMPUTED_VALUE"""),"mở tài khoản ngân hàng cho học sinh")</f>
        <v>mở tài khoản ngân hàng cho học sinh</v>
      </c>
      <c r="O19" s="21" t="str">
        <f>IFERROR(__xludf.DUMMYFUNCTION("""COMPUTED_VALUE"""),"https://techcombank.com/thong-tin/blog/mo-tai-khoan-tiet-kiem-cho-con")</f>
        <v>https://techcombank.com/thong-tin/blog/mo-tai-khoan-tiet-kiem-cho-con</v>
      </c>
      <c r="P19" s="16" t="str">
        <f>IFERROR(__xludf.DUMMYFUNCTION("""COMPUTED_VALUE"""),"mở tài khoản ngân hàng dưới 18 tuổi")</f>
        <v>mở tài khoản ngân hàng dưới 18 tuổi</v>
      </c>
      <c r="Q19" s="21" t="str">
        <f>IFERROR(__xludf.DUMMYFUNCTION("""COMPUTED_VALUE"""),"https://techcombank.com/thong-tin/blog/mo-tai-khoan-ngan-hang-bang-so-dien-thoai")</f>
        <v>https://techcombank.com/thong-tin/blog/mo-tai-khoan-ngan-hang-bang-so-dien-thoai</v>
      </c>
      <c r="R19" s="16" t="str">
        <f>IFERROR(__xludf.DUMMYFUNCTION("""COMPUTED_VALUE"""),"mở tài khoản ngân hàng cho học sinh")</f>
        <v>mở tài khoản ngân hàng cho học sinh</v>
      </c>
      <c r="S19" s="21" t="str">
        <f>IFERROR(__xludf.DUMMYFUNCTION("""COMPUTED_VALUE"""),"https://techcombank.com/thong-tin/blog/quy-gia-dinh")</f>
        <v>https://techcombank.com/thong-tin/blog/quy-gia-dinh</v>
      </c>
      <c r="T19" s="16" t="str">
        <f>IFERROR(__xludf.DUMMYFUNCTION("""COMPUTED_VALUE"""),"mở tài khoản ngân hàng dưới 18 tuổi")</f>
        <v>mở tài khoản ngân hàng dưới 18 tuổi</v>
      </c>
      <c r="U19" s="21" t="str">
        <f>IFERROR(__xludf.DUMMYFUNCTION("""COMPUTED_VALUE"""),"https://techcombank.com/thong-tin/blog/dao-tao-the-he-ke-can")</f>
        <v>https://techcombank.com/thong-tin/blog/dao-tao-the-he-ke-can</v>
      </c>
      <c r="V19" s="16" t="str">
        <f>IFERROR(__xludf.DUMMYFUNCTION("""COMPUTED_VALUE"""),"mở tài khoản ngân hàng cho học sinh")</f>
        <v>mở tài khoản ngân hàng cho học sinh</v>
      </c>
      <c r="W19" s="21" t="str">
        <f>IFERROR(__xludf.DUMMYFUNCTION("""COMPUTED_VALUE"""),"https://techcombank.com/thong-tin/blog/tap-doan-thanh-quang-khoi-sac-kinh-doanh-nho-nguon-von-vay-tin-dung-techcombank-tren-nen-tang-misa-lending")</f>
        <v>https://techcombank.com/thong-tin/blog/tap-doan-thanh-quang-khoi-sac-kinh-doanh-nho-nguon-von-vay-tin-dung-techcombank-tren-nen-tang-misa-lending</v>
      </c>
      <c r="X19" s="16" t="str">
        <f>IFERROR(__xludf.DUMMYFUNCTION("""COMPUTED_VALUE"""),"mở tài khoản ngân hàng dưới 18 tuổi")</f>
        <v>mở tài khoản ngân hàng dưới 18 tuổi</v>
      </c>
      <c r="Y19" s="21" t="str">
        <f>IFERROR(__xludf.DUMMYFUNCTION("""COMPUTED_VALUE"""),"https://techcombank.com/thong-tin/blog/the-he-ke-can")</f>
        <v>https://techcombank.com/thong-tin/blog/the-he-ke-can</v>
      </c>
      <c r="Z19" s="16" t="str">
        <f>IFERROR(__xludf.DUMMYFUNCTION("""COMPUTED_VALUE"""),"mở tài khoản ngân hàng cho học sinh")</f>
        <v>mở tài khoản ngân hàng cho học sinh</v>
      </c>
      <c r="AA19" s="21" t="str">
        <f>IFERROR(__xludf.DUMMYFUNCTION("""COMPUTED_VALUE"""),"https://techcombank.com/thong-tin/blog/cho-vay-kinh-doanh-ho-gia-dinh")</f>
        <v>https://techcombank.com/thong-tin/blog/cho-vay-kinh-doanh-ho-gia-dinh</v>
      </c>
      <c r="AB19" s="16" t="str">
        <f>IFERROR(__xludf.DUMMYFUNCTION("""COMPUTED_VALUE"""),"mở tài khoản ngân hàng dưới 18 tuổi")</f>
        <v>mở tài khoản ngân hàng dưới 18 tuổi</v>
      </c>
      <c r="AC19" s="21" t="str">
        <f>IFERROR(__xludf.DUMMYFUNCTION("""COMPUTED_VALUE"""),"https://techcombank.com/thong-tin/blog/cach-tiet-kiem-tien-hieu-qua-cho-gia-dinh")</f>
        <v>https://techcombank.com/thong-tin/blog/cach-tiet-kiem-tien-hieu-qua-cho-gia-dinh</v>
      </c>
      <c r="AD19" s="16" t="str">
        <f>IFERROR(__xludf.DUMMYFUNCTION("""COMPUTED_VALUE"""),"mở tài khoản ngân hàng cho học sinh")</f>
        <v>mở tài khoản ngân hàng cho học sinh</v>
      </c>
      <c r="AE19" s="21" t="str">
        <f>IFERROR(__xludf.DUMMYFUNCTION("""COMPUTED_VALUE"""),"https://techcombank.com/thong-tin/blog/bao-hiem-suc-khoe-la-gi")</f>
        <v>https://techcombank.com/thong-tin/blog/bao-hiem-suc-khoe-la-gi</v>
      </c>
      <c r="AF19" s="16" t="str">
        <f>IFERROR(__xludf.DUMMYFUNCTION("""COMPUTED_VALUE"""),"mở tài khoản ngân hàng dưới 18 tuổi")</f>
        <v>mở tài khoản ngân hàng dưới 18 tuổi</v>
      </c>
      <c r="AG19" s="21" t="str">
        <f>IFERROR(__xludf.DUMMYFUNCTION("""COMPUTED_VALUE"""),"https://techcombank.com/thong-tin/blog/mo-tai-khoan-ngan-hang-cho-tre-em")</f>
        <v>https://techcombank.com/thong-tin/blog/mo-tai-khoan-ngan-hang-cho-tre-em</v>
      </c>
      <c r="AH19" s="16" t="str">
        <f>IFERROR(__xludf.DUMMYFUNCTION("""COMPUTED_VALUE"""),"mở tài khoản ngân hàng cho học sinh")</f>
        <v>mở tài khoản ngân hàng cho học sinh</v>
      </c>
      <c r="AI19" s="21" t="str">
        <f>IFERROR(__xludf.DUMMYFUNCTION("""COMPUTED_VALUE"""),"https://techcombank.com/thong-tin/blog/bao-hiem-nhan-tho-la-gi")</f>
        <v>https://techcombank.com/thong-tin/blog/bao-hiem-nhan-tho-la-gi</v>
      </c>
      <c r="AJ19" s="16" t="str">
        <f>IFERROR(__xludf.DUMMYFUNCTION("""COMPUTED_VALUE"""),"mở tài khoản ngân hàng dưới 18 tuổi")</f>
        <v>mở tài khoản ngân hàng dưới 18 tuổi</v>
      </c>
      <c r="AK19" s="21" t="str">
        <f>IFERROR(__xludf.DUMMYFUNCTION("""COMPUTED_VALUE"""),"https://techcombank.com/thong-tin/blog/hoc-sinh-sinh-vien-nen-lam-the-ngan-hang-nao")</f>
        <v>https://techcombank.com/thong-tin/blog/hoc-sinh-sinh-vien-nen-lam-the-ngan-hang-nao</v>
      </c>
      <c r="AL19" s="16" t="str">
        <f>IFERROR(__xludf.DUMMYFUNCTION("""COMPUTED_VALUE"""),"mở tài khoản ngân hàng cho học sinh")</f>
        <v>mở tài khoản ngân hàng cho học sinh</v>
      </c>
      <c r="AM19" s="21" t="str">
        <f>IFERROR(__xludf.DUMMYFUNCTION("""COMPUTED_VALUE"""),"https://techcombank.com/thong-tin/blog/cac-loai-hinh-bao-hiem-nhan-tho")</f>
        <v>https://techcombank.com/thong-tin/blog/cac-loai-hinh-bao-hiem-nhan-tho</v>
      </c>
      <c r="AN19" s="16" t="str">
        <f>IFERROR(__xludf.DUMMYFUNCTION("""COMPUTED_VALUE"""),"mở tài khoản ngân hàng dưới 18 tuổi")</f>
        <v>mở tài khoản ngân hàng dưới 18 tuổi</v>
      </c>
      <c r="AO19" s="21" t="str">
        <f>IFERROR(__xludf.DUMMYFUNCTION("""COMPUTED_VALUE"""),"https://techcombank.com/thong-tin/blog/thanh-toan-hoc-phi-online")</f>
        <v>https://techcombank.com/thong-tin/blog/thanh-toan-hoc-phi-online</v>
      </c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  <c r="BM19" s="16"/>
      <c r="BN19" s="16"/>
      <c r="BO19" s="16"/>
      <c r="BP19" s="16"/>
      <c r="BQ19" s="16"/>
      <c r="BR19" s="16"/>
      <c r="BS19" s="16"/>
      <c r="BT19" s="16"/>
      <c r="BU19" s="16"/>
      <c r="BV19" s="16"/>
      <c r="BW19" s="16"/>
      <c r="BX19" s="16"/>
      <c r="BY19" s="16"/>
      <c r="BZ19" s="16"/>
      <c r="CA19" s="16"/>
      <c r="CB19" s="16"/>
      <c r="CC19" s="16"/>
      <c r="CD19" s="16"/>
      <c r="CE19" s="16"/>
      <c r="CF19" s="16"/>
      <c r="CG19" s="16"/>
      <c r="CH19" s="16"/>
      <c r="CI19" s="16"/>
      <c r="CJ19" s="16"/>
      <c r="CK19" s="16"/>
      <c r="CL19" s="16"/>
      <c r="CM19" s="16"/>
      <c r="CN19" s="16"/>
      <c r="CO19" s="16"/>
      <c r="CP19" s="16"/>
      <c r="CQ19" s="16"/>
      <c r="CR19" s="16"/>
      <c r="CS19" s="16"/>
      <c r="CT19" s="16"/>
      <c r="CU19" s="16"/>
      <c r="CV19" s="16"/>
      <c r="CW19" s="16"/>
      <c r="CX19" s="16"/>
      <c r="CY19" s="16"/>
      <c r="CZ19" s="16"/>
      <c r="DA19" s="16"/>
      <c r="DB19" s="16"/>
      <c r="DC19" s="16"/>
      <c r="DD19" s="16"/>
      <c r="DE19" s="16"/>
      <c r="DF19" s="16"/>
      <c r="DG19" s="16"/>
      <c r="DH19" s="16"/>
      <c r="DI19" s="16"/>
      <c r="DJ19" s="16"/>
      <c r="DK19" s="16"/>
      <c r="DL19" s="16"/>
      <c r="DM19" s="16"/>
      <c r="DN19" s="16"/>
      <c r="DO19" s="16"/>
      <c r="DP19" s="16"/>
      <c r="DQ19" s="16"/>
      <c r="DR19" s="16"/>
      <c r="DS19" s="16"/>
      <c r="DT19" s="16"/>
      <c r="DU19" s="16"/>
      <c r="DV19" s="16"/>
      <c r="DW19" s="16"/>
      <c r="DX19" s="16"/>
      <c r="DY19" s="16"/>
      <c r="DZ19" s="16"/>
      <c r="EA19" s="16"/>
      <c r="EB19" s="16"/>
      <c r="EC19" s="16"/>
      <c r="ED19" s="16"/>
      <c r="EE19" s="16"/>
      <c r="EF19" s="16"/>
      <c r="EG19" s="16"/>
      <c r="EH19" s="16"/>
      <c r="EI19" s="16"/>
      <c r="EJ19" s="16"/>
      <c r="EK19" s="16"/>
      <c r="EL19" s="16"/>
      <c r="EM19" s="16"/>
      <c r="EN19" s="16"/>
      <c r="EO19" s="16"/>
      <c r="EP19" s="16"/>
      <c r="EQ19" s="16"/>
      <c r="ER19" s="16"/>
      <c r="ES19" s="16"/>
      <c r="ET19" s="16"/>
      <c r="EU19" s="16"/>
      <c r="EV19" s="16"/>
      <c r="EW19" s="16"/>
      <c r="EX19" s="16"/>
      <c r="EY19" s="16"/>
      <c r="EZ19" s="16"/>
      <c r="FA19" s="16"/>
      <c r="FB19" s="16"/>
      <c r="FC19" s="16"/>
      <c r="FD19" s="16"/>
      <c r="FE19" s="16"/>
      <c r="FF19" s="16"/>
      <c r="FG19" s="16"/>
      <c r="FH19" s="16"/>
      <c r="FI19" s="16"/>
      <c r="FJ19" s="16"/>
      <c r="FK19" s="16"/>
      <c r="FL19" s="16"/>
      <c r="FM19" s="16"/>
      <c r="FN19" s="16"/>
      <c r="FO19" s="16"/>
      <c r="FP19" s="16"/>
      <c r="FQ19" s="16"/>
      <c r="FR19" s="16"/>
      <c r="FS19" s="16"/>
      <c r="FT19" s="16"/>
      <c r="FU19" s="16"/>
      <c r="FV19" s="16"/>
      <c r="FW19" s="16"/>
      <c r="FX19" s="16"/>
      <c r="FY19" s="16"/>
      <c r="FZ19" s="16"/>
      <c r="GA19" s="16"/>
      <c r="GB19" s="16"/>
      <c r="GC19" s="16"/>
      <c r="GD19" s="16"/>
      <c r="GE19" s="16"/>
      <c r="GF19" s="16"/>
      <c r="GG19" s="16"/>
      <c r="GH19" s="16"/>
      <c r="GI19" s="16"/>
      <c r="GJ19" s="16"/>
      <c r="GK19" s="16"/>
      <c r="GL19" s="16"/>
      <c r="GM19" s="16"/>
      <c r="GN19" s="16"/>
      <c r="GO19" s="16"/>
    </row>
    <row r="20" ht="18.0" customHeight="1">
      <c r="A20" s="15">
        <v>19.0</v>
      </c>
      <c r="B20" s="16" t="s">
        <v>557</v>
      </c>
      <c r="C20" s="17" t="s">
        <v>732</v>
      </c>
      <c r="D20" s="16" t="s">
        <v>271</v>
      </c>
      <c r="E20" s="15">
        <f>COUNTIF('Tổng hợp 75 trang đích'!$B$2:$B$2505,$D20)</f>
        <v>32</v>
      </c>
      <c r="F20" s="15">
        <f>COUNTIFS('Tổng hợp 75 trang đích'!$B$2:$B$2505,$D20,'Tổng hợp 75 trang đích'!$K$2:$K$2505,"PHÙ HỢP CAO")</f>
        <v>2</v>
      </c>
      <c r="G20" s="15">
        <f>COUNTIFS('Tổng hợp 75 trang đích'!$B$2:$B$2505,$D20,'Tổng hợp 75 trang đích'!$K$2:$K$2505,"CÓ THỂ ĐI")</f>
        <v>3</v>
      </c>
      <c r="H20" s="15">
        <f>COUNTIFS('Tổng hợp 75 trang đích'!$B$2:$B$2505,$D20,'Tổng hợp 75 trang đích'!$K$2:$K$2505,"CẦN SOÁT")</f>
        <v>27</v>
      </c>
      <c r="I20" s="19" t="s">
        <v>256</v>
      </c>
      <c r="J20" s="19" t="b">
        <v>0</v>
      </c>
      <c r="K20" s="20" t="s">
        <v>258</v>
      </c>
      <c r="L20" s="16" t="str">
        <f>IFERROR(__xludf.DUMMYFUNCTION("IFERROR(TOROW(CHOOSECOLS(SORT(FILTER({'Tổng hợp 75 trang đích'!$J$2:$J$2505,'Tổng hợp 75 trang đích'!$I$2:$I$2505,MATCH('Tổng hợp 75 trang đích'!$K$2:$K$2505,{""PHÙ HỢP CAO"",""CÓ THỂ ĐI"",""CẦN SOÁT""},0)},'Tổng hợp 75 trang đích'!$B$2:$B$2505=$D20),3,TR"&amp;"UE),1,2)),"""")"),"nạp tiền vào tài khoản ngân hàng")</f>
        <v>nạp tiền vào tài khoản ngân hàng</v>
      </c>
      <c r="M20" s="21" t="str">
        <f>IFERROR(__xludf.DUMMYFUNCTION("""COMPUTED_VALUE"""),"https://techcombank.com/thong-tin/blog/cdm")</f>
        <v>https://techcombank.com/thong-tin/blog/cdm</v>
      </c>
      <c r="N20" s="16" t="str">
        <f>IFERROR(__xludf.DUMMYFUNCTION("""COMPUTED_VALUE"""),"nộp tiền vào tài khoản")</f>
        <v>nộp tiền vào tài khoản</v>
      </c>
      <c r="O20" s="21" t="str">
        <f>IFERROR(__xludf.DUMMYFUNCTION("""COMPUTED_VALUE"""),"https://techcombank.com/thong-tin/blog/cach-nap-tien-vao-the-ghi-no")</f>
        <v>https://techcombank.com/thong-tin/blog/cach-nap-tien-vao-the-ghi-no</v>
      </c>
      <c r="P20" s="16" t="str">
        <f>IFERROR(__xludf.DUMMYFUNCTION("""COMPUTED_VALUE"""),"nạp tiền vào tài khoản ngân hàng")</f>
        <v>nạp tiền vào tài khoản ngân hàng</v>
      </c>
      <c r="Q20" s="21" t="str">
        <f>IFERROR(__xludf.DUMMYFUNCTION("""COMPUTED_VALUE"""),"https://techcombank.com/thong-tin/blog/tai-khoan-ngan-hang-con-0-dong-co-sao-khong")</f>
        <v>https://techcombank.com/thong-tin/blog/tai-khoan-ngan-hang-con-0-dong-co-sao-khong</v>
      </c>
      <c r="R20" s="16" t="str">
        <f>IFERROR(__xludf.DUMMYFUNCTION("""COMPUTED_VALUE"""),"nộp tiền vào tài khoản")</f>
        <v>nộp tiền vào tài khoản</v>
      </c>
      <c r="S20" s="21" t="str">
        <f>IFERROR(__xludf.DUMMYFUNCTION("""COMPUTED_VALUE"""),"https://techcombank.com/thong-tin/blog/nop-tien-mat-vao-tai-khoan-cong-ty")</f>
        <v>https://techcombank.com/thong-tin/blog/nop-tien-mat-vao-tai-khoan-cong-ty</v>
      </c>
      <c r="T20" s="16" t="str">
        <f>IFERROR(__xludf.DUMMYFUNCTION("""COMPUTED_VALUE"""),"nạp tiền vào tài khoản ngân hàng")</f>
        <v>nạp tiền vào tài khoản ngân hàng</v>
      </c>
      <c r="U20" s="21" t="str">
        <f>IFERROR(__xludf.DUMMYFUNCTION("""COMPUTED_VALUE"""),"https://techcombank.com/thong-tin/blog/cay-atm-gan-day")</f>
        <v>https://techcombank.com/thong-tin/blog/cay-atm-gan-day</v>
      </c>
      <c r="V20" s="16" t="str">
        <f>IFERROR(__xludf.DUMMYFUNCTION("""COMPUTED_VALUE"""),"nộp tiền vào tài khoản")</f>
        <v>nộp tiền vào tài khoản</v>
      </c>
      <c r="W20" s="21" t="str">
        <f>IFERROR(__xludf.DUMMYFUNCTION("""COMPUTED_VALUE"""),"https://techcombank.com/thong-tin/blog/mm-yy-la-gi")</f>
        <v>https://techcombank.com/thong-tin/blog/mm-yy-la-gi</v>
      </c>
      <c r="X20" s="16" t="str">
        <f>IFERROR(__xludf.DUMMYFUNCTION("""COMPUTED_VALUE"""),"nạp tiền vào tài khoản ngân hàng")</f>
        <v>nạp tiền vào tài khoản ngân hàng</v>
      </c>
      <c r="Y20" s="21" t="str">
        <f>IFERROR(__xludf.DUMMYFUNCTION("""COMPUTED_VALUE"""),"https://techcombank.com/thong-tin/blog/cach-su-dung-tai-khoan-cong-ty")</f>
        <v>https://techcombank.com/thong-tin/blog/cach-su-dung-tai-khoan-cong-ty</v>
      </c>
      <c r="Z20" s="16" t="str">
        <f>IFERROR(__xludf.DUMMYFUNCTION("""COMPUTED_VALUE"""),"nộp tiền vào tài khoản")</f>
        <v>nộp tiền vào tài khoản</v>
      </c>
      <c r="AA20" s="21" t="str">
        <f>IFERROR(__xludf.DUMMYFUNCTION("""COMPUTED_VALUE"""),"https://techcombank.com/thong-tin/blog/lam-the-atm-co-mat-phi-khong")</f>
        <v>https://techcombank.com/thong-tin/blog/lam-the-atm-co-mat-phi-khong</v>
      </c>
      <c r="AB20" s="16" t="str">
        <f>IFERROR(__xludf.DUMMYFUNCTION("""COMPUTED_VALUE"""),"nạp tiền vào tài khoản ngân hàng")</f>
        <v>nạp tiền vào tài khoản ngân hàng</v>
      </c>
      <c r="AC20" s="21" t="str">
        <f>IFERROR(__xludf.DUMMYFUNCTION("""COMPUTED_VALUE"""),"https://techcombank.com/thong-tin/blog/rut-tien-bang-ma-qr-khac-ngan-hang-duoc-khong")</f>
        <v>https://techcombank.com/thong-tin/blog/rut-tien-bang-ma-qr-khac-ngan-hang-duoc-khong</v>
      </c>
      <c r="AD20" s="16" t="str">
        <f>IFERROR(__xludf.DUMMYFUNCTION("""COMPUTED_VALUE"""),"nộp tiền vào tài khoản")</f>
        <v>nộp tiền vào tài khoản</v>
      </c>
      <c r="AE20" s="21" t="str">
        <f>IFERROR(__xludf.DUMMYFUNCTION("""COMPUTED_VALUE"""),"https://techcombank.com/thong-tin/blog/cach-lam-the-atm")</f>
        <v>https://techcombank.com/thong-tin/blog/cach-lam-the-atm</v>
      </c>
      <c r="AF20" s="16" t="str">
        <f>IFERROR(__xludf.DUMMYFUNCTION("""COMPUTED_VALUE"""),"nạp tiền vào tài khoản ngân hàng")</f>
        <v>nạp tiền vào tài khoản ngân hàng</v>
      </c>
      <c r="AG20" s="21" t="str">
        <f>IFERROR(__xludf.DUMMYFUNCTION("""COMPUTED_VALUE"""),"https://techcombank.com/thong-tin/blog/tra-cuu-han-muc-the-tin-dung")</f>
        <v>https://techcombank.com/thong-tin/blog/tra-cuu-han-muc-the-tin-dung</v>
      </c>
      <c r="AH20" s="16" t="str">
        <f>IFERROR(__xludf.DUMMYFUNCTION("""COMPUTED_VALUE"""),"nộp tiền vào tài khoản")</f>
        <v>nộp tiền vào tài khoản</v>
      </c>
      <c r="AI20" s="21" t="str">
        <f>IFERROR(__xludf.DUMMYFUNCTION("""COMPUTED_VALUE"""),"https://techcombank.com/thong-tin/blog/the-visa-de-lam-gi")</f>
        <v>https://techcombank.com/thong-tin/blog/the-visa-de-lam-gi</v>
      </c>
      <c r="AJ20" s="16" t="str">
        <f>IFERROR(__xludf.DUMMYFUNCTION("""COMPUTED_VALUE"""),"nạp tiền vào tài khoản ngân hàng")</f>
        <v>nạp tiền vào tài khoản ngân hàng</v>
      </c>
      <c r="AK20" s="21" t="str">
        <f>IFERROR(__xludf.DUMMYFUNCTION("""COMPUTED_VALUE"""),"https://techcombank.com/thong-tin/blog/the-atm-khong-rut-duoc-tien")</f>
        <v>https://techcombank.com/thong-tin/blog/the-atm-khong-rut-duoc-tien</v>
      </c>
      <c r="AL20" s="16" t="str">
        <f>IFERROR(__xludf.DUMMYFUNCTION("""COMPUTED_VALUE"""),"nộp tiền vào tài khoản")</f>
        <v>nộp tiền vào tài khoản</v>
      </c>
      <c r="AM20" s="21" t="str">
        <f>IFERROR(__xludf.DUMMYFUNCTION("""COMPUTED_VALUE"""),"https://techcombank.com/thong-tin/blog/lam-the-atm-bao-lau-co")</f>
        <v>https://techcombank.com/thong-tin/blog/lam-the-atm-bao-lau-co</v>
      </c>
      <c r="AN20" s="16" t="str">
        <f>IFERROR(__xludf.DUMMYFUNCTION("""COMPUTED_VALUE"""),"nạp tiền vào tài khoản ngân hàng")</f>
        <v>nạp tiền vào tài khoản ngân hàng</v>
      </c>
      <c r="AO20" s="21" t="str">
        <f>IFERROR(__xludf.DUMMYFUNCTION("""COMPUTED_VALUE"""),"https://techcombank.com/thong-tin/blog/cach-nap-the")</f>
        <v>https://techcombank.com/thong-tin/blog/cach-nap-the</v>
      </c>
      <c r="AP20" s="16" t="str">
        <f>IFERROR(__xludf.DUMMYFUNCTION("""COMPUTED_VALUE"""),"nộp tiền vào tài khoản")</f>
        <v>nộp tiền vào tài khoản</v>
      </c>
      <c r="AQ20" s="21" t="str">
        <f>IFERROR(__xludf.DUMMYFUNCTION("""COMPUTED_VALUE"""),"https://techcombank.com/thong-tin/blog/cach-thanh-toan-the-tin-dung")</f>
        <v>https://techcombank.com/thong-tin/blog/cach-thanh-toan-the-tin-dung</v>
      </c>
      <c r="AR20" s="16" t="str">
        <f>IFERROR(__xludf.DUMMYFUNCTION("""COMPUTED_VALUE"""),"nạp tiền vào tài khoản ngân hàng")</f>
        <v>nạp tiền vào tài khoản ngân hàng</v>
      </c>
      <c r="AS20" s="21" t="str">
        <f>IFERROR(__xludf.DUMMYFUNCTION("""COMPUTED_VALUE"""),"https://techcombank.com/thong-tin/blog/nap-tien-dien-thoai-online")</f>
        <v>https://techcombank.com/thong-tin/blog/nap-tien-dien-thoai-online</v>
      </c>
      <c r="AT20" s="16" t="str">
        <f>IFERROR(__xludf.DUMMYFUNCTION("""COMPUTED_VALUE"""),"nộp tiền vào tài khoản")</f>
        <v>nộp tiền vào tài khoản</v>
      </c>
      <c r="AU20" s="21" t="str">
        <f>IFERROR(__xludf.DUMMYFUNCTION("""COMPUTED_VALUE"""),"https://techcombank.com/thong-tin/blog/the-atm-gan-chip")</f>
        <v>https://techcombank.com/thong-tin/blog/the-atm-gan-chip</v>
      </c>
      <c r="AV20" s="16" t="str">
        <f>IFERROR(__xludf.DUMMYFUNCTION("""COMPUTED_VALUE"""),"nạp tiền vào tài khoản ngân hàng")</f>
        <v>nạp tiền vào tài khoản ngân hàng</v>
      </c>
      <c r="AW20" s="21" t="str">
        <f>IFERROR(__xludf.DUMMYFUNCTION("""COMPUTED_VALUE"""),"https://techcombank.com/thong-tin/blog/rut-tien-bang-ma-qr-la-gi-cach-thuc-hien-nhu-the-nao")</f>
        <v>https://techcombank.com/thong-tin/blog/rut-tien-bang-ma-qr-la-gi-cach-thuc-hien-nhu-the-nao</v>
      </c>
      <c r="AX20" s="16" t="str">
        <f>IFERROR(__xludf.DUMMYFUNCTION("""COMPUTED_VALUE"""),"nộp tiền vào tài khoản")</f>
        <v>nộp tiền vào tài khoản</v>
      </c>
      <c r="AY20" s="21" t="str">
        <f>IFERROR(__xludf.DUMMYFUNCTION("""COMPUTED_VALUE"""),"https://techcombank.com/thong-tin/blog/bi-nuot-the-atm-phai-lam-sao")</f>
        <v>https://techcombank.com/thong-tin/blog/bi-nuot-the-atm-phai-lam-sao</v>
      </c>
      <c r="AZ20" s="16" t="str">
        <f>IFERROR(__xludf.DUMMYFUNCTION("""COMPUTED_VALUE"""),"nạp tiền vào tài khoản ngân hàng")</f>
        <v>nạp tiền vào tài khoản ngân hàng</v>
      </c>
      <c r="BA20" s="21" t="str">
        <f>IFERROR(__xludf.DUMMYFUNCTION("""COMPUTED_VALUE"""),"https://techcombank.com/thong-tin/blog/ma-pin-the-atm")</f>
        <v>https://techcombank.com/thong-tin/blog/ma-pin-the-atm</v>
      </c>
      <c r="BB20" s="16" t="str">
        <f>IFERROR(__xludf.DUMMYFUNCTION("""COMPUTED_VALUE"""),"nộp tiền vào tài khoản")</f>
        <v>nộp tiền vào tài khoản</v>
      </c>
      <c r="BC20" s="21" t="str">
        <f>IFERROR(__xludf.DUMMYFUNCTION("""COMPUTED_VALUE"""),"https://techcombank.com/thong-tin/blog/1-nguoi-co-the-lam-duoc-bao-nhieu-the-atm")</f>
        <v>https://techcombank.com/thong-tin/blog/1-nguoi-co-the-lam-duoc-bao-nhieu-the-atm</v>
      </c>
      <c r="BD20" s="16" t="str">
        <f>IFERROR(__xludf.DUMMYFUNCTION("""COMPUTED_VALUE"""),"nạp tiền vào tài khoản ngân hàng")</f>
        <v>nạp tiền vào tài khoản ngân hàng</v>
      </c>
      <c r="BE20" s="21" t="str">
        <f>IFERROR(__xludf.DUMMYFUNCTION("""COMPUTED_VALUE"""),"https://techcombank.com/thong-tin/blog/cach-rut-tien-atm")</f>
        <v>https://techcombank.com/thong-tin/blog/cach-rut-tien-atm</v>
      </c>
      <c r="BF20" s="16" t="str">
        <f>IFERROR(__xludf.DUMMYFUNCTION("""COMPUTED_VALUE"""),"nộp tiền vào tài khoản")</f>
        <v>nộp tiền vào tài khoản</v>
      </c>
      <c r="BG20" s="21" t="str">
        <f>IFERROR(__xludf.DUMMYFUNCTION("""COMPUTED_VALUE"""),"https://techcombank.com/thong-tin/blog/cach-kich-hoat-the-atm")</f>
        <v>https://techcombank.com/thong-tin/blog/cach-kich-hoat-the-atm</v>
      </c>
      <c r="BH20" s="16" t="str">
        <f>IFERROR(__xludf.DUMMYFUNCTION("""COMPUTED_VALUE"""),"nạp tiền vào tài khoản ngân hàng")</f>
        <v>nạp tiền vào tài khoản ngân hàng</v>
      </c>
      <c r="BI20" s="21" t="str">
        <f>IFERROR(__xludf.DUMMYFUNCTION("""COMPUTED_VALUE"""),"https://techcombank.com/thong-tin/blog/atm-la-gi")</f>
        <v>https://techcombank.com/thong-tin/blog/atm-la-gi</v>
      </c>
      <c r="BJ20" s="16" t="str">
        <f>IFERROR(__xludf.DUMMYFUNCTION("""COMPUTED_VALUE"""),"nộp tiền vào tài khoản")</f>
        <v>nộp tiền vào tài khoản</v>
      </c>
      <c r="BK20" s="21" t="str">
        <f>IFERROR(__xludf.DUMMYFUNCTION("""COMPUTED_VALUE"""),"https://techcombank.com/thong-tin/blog/1-cmnd-dang-ky-duoc-may-tai-khoan-ngan-hang")</f>
        <v>https://techcombank.com/thong-tin/blog/1-cmnd-dang-ky-duoc-may-tai-khoan-ngan-hang</v>
      </c>
      <c r="BL20" s="16" t="str">
        <f>IFERROR(__xludf.DUMMYFUNCTION("""COMPUTED_VALUE"""),"nạp tiền vào tài khoản ngân hàng")</f>
        <v>nạp tiền vào tài khoản ngân hàng</v>
      </c>
      <c r="BM20" s="21" t="str">
        <f>IFERROR(__xludf.DUMMYFUNCTION("""COMPUTED_VALUE"""),"https://techcombank.com/thong-tin/blog/chuyen-doi-the-atm")</f>
        <v>https://techcombank.com/thong-tin/blog/chuyen-doi-the-atm</v>
      </c>
      <c r="BN20" s="16" t="str">
        <f>IFERROR(__xludf.DUMMYFUNCTION("""COMPUTED_VALUE"""),"nộp tiền vào tài khoản")</f>
        <v>nộp tiền vào tài khoản</v>
      </c>
      <c r="BO20" s="21" t="str">
        <f>IFERROR(__xludf.DUMMYFUNCTION("""COMPUTED_VALUE"""),"https://techcombank.com/thong-tin/blog/so-du-tien-gui-la-gi")</f>
        <v>https://techcombank.com/thong-tin/blog/so-du-tien-gui-la-gi</v>
      </c>
      <c r="BP20" s="16" t="str">
        <f>IFERROR(__xludf.DUMMYFUNCTION("""COMPUTED_VALUE"""),"nạp tiền vào tài khoản ngân hàng")</f>
        <v>nạp tiền vào tài khoản ngân hàng</v>
      </c>
      <c r="BQ20" s="21" t="str">
        <f>IFERROR(__xludf.DUMMYFUNCTION("""COMPUTED_VALUE"""),"https://techcombank.com/thong-tin/blog/the-visa-ao-la-gi")</f>
        <v>https://techcombank.com/thong-tin/blog/the-visa-ao-la-gi</v>
      </c>
      <c r="BR20" s="16" t="str">
        <f>IFERROR(__xludf.DUMMYFUNCTION("""COMPUTED_VALUE"""),"nộp tiền vào tài khoản")</f>
        <v>nộp tiền vào tài khoản</v>
      </c>
      <c r="BS20" s="21" t="str">
        <f>IFERROR(__xludf.DUMMYFUNCTION("""COMPUTED_VALUE"""),"https://techcombank.com/thong-tin/blog/the-atm-tu")</f>
        <v>https://techcombank.com/thong-tin/blog/the-atm-tu</v>
      </c>
      <c r="BT20" s="16" t="str">
        <f>IFERROR(__xludf.DUMMYFUNCTION("""COMPUTED_VALUE"""),"nạp tiền vào tài khoản ngân hàng")</f>
        <v>nạp tiền vào tài khoản ngân hàng</v>
      </c>
      <c r="BU20" s="21" t="str">
        <f>IFERROR(__xludf.DUMMYFUNCTION("""COMPUTED_VALUE"""),"https://techcombank.com/thong-tin/blog/cach-chuyen-tien")</f>
        <v>https://techcombank.com/thong-tin/blog/cach-chuyen-tien</v>
      </c>
      <c r="BV20" s="16" t="str">
        <f>IFERROR(__xludf.DUMMYFUNCTION("""COMPUTED_VALUE"""),"nộp tiền vào tài khoản")</f>
        <v>nộp tiền vào tài khoản</v>
      </c>
      <c r="BW20" s="21" t="str">
        <f>IFERROR(__xludf.DUMMYFUNCTION("""COMPUTED_VALUE"""),"https://techcombank.com/thong-tin/blog/the-visa-co-rut-tien-duoc-khong")</f>
        <v>https://techcombank.com/thong-tin/blog/the-visa-co-rut-tien-duoc-khong</v>
      </c>
      <c r="BX20" s="16"/>
      <c r="BY20" s="16"/>
      <c r="BZ20" s="16"/>
      <c r="CA20" s="16"/>
      <c r="CB20" s="16"/>
      <c r="CC20" s="16"/>
      <c r="CD20" s="16"/>
      <c r="CE20" s="16"/>
      <c r="CF20" s="16"/>
      <c r="CG20" s="16"/>
      <c r="CH20" s="16"/>
      <c r="CI20" s="16"/>
      <c r="CJ20" s="16"/>
      <c r="CK20" s="16"/>
      <c r="CL20" s="16"/>
      <c r="CM20" s="16"/>
      <c r="CN20" s="16"/>
      <c r="CO20" s="16"/>
      <c r="CP20" s="16"/>
      <c r="CQ20" s="16"/>
      <c r="CR20" s="16"/>
      <c r="CS20" s="16"/>
      <c r="CT20" s="16"/>
      <c r="CU20" s="16"/>
      <c r="CV20" s="16"/>
      <c r="CW20" s="16"/>
      <c r="CX20" s="16"/>
      <c r="CY20" s="16"/>
      <c r="CZ20" s="16"/>
      <c r="DA20" s="16"/>
      <c r="DB20" s="16"/>
      <c r="DC20" s="16"/>
      <c r="DD20" s="16"/>
      <c r="DE20" s="16"/>
      <c r="DF20" s="16"/>
      <c r="DG20" s="16"/>
      <c r="DH20" s="16"/>
      <c r="DI20" s="16"/>
      <c r="DJ20" s="16"/>
      <c r="DK20" s="16"/>
      <c r="DL20" s="16"/>
      <c r="DM20" s="16"/>
      <c r="DN20" s="16"/>
      <c r="DO20" s="16"/>
      <c r="DP20" s="16"/>
      <c r="DQ20" s="16"/>
      <c r="DR20" s="16"/>
      <c r="DS20" s="16"/>
      <c r="DT20" s="16"/>
      <c r="DU20" s="16"/>
      <c r="DV20" s="16"/>
      <c r="DW20" s="16"/>
      <c r="DX20" s="16"/>
      <c r="DY20" s="16"/>
      <c r="DZ20" s="16"/>
      <c r="EA20" s="16"/>
      <c r="EB20" s="16"/>
      <c r="EC20" s="16"/>
      <c r="ED20" s="16"/>
      <c r="EE20" s="16"/>
      <c r="EF20" s="16"/>
      <c r="EG20" s="16"/>
      <c r="EH20" s="16"/>
      <c r="EI20" s="16"/>
      <c r="EJ20" s="16"/>
      <c r="EK20" s="16"/>
      <c r="EL20" s="16"/>
      <c r="EM20" s="16"/>
      <c r="EN20" s="16"/>
      <c r="EO20" s="16"/>
      <c r="EP20" s="16"/>
      <c r="EQ20" s="16"/>
      <c r="ER20" s="16"/>
      <c r="ES20" s="16"/>
      <c r="ET20" s="16"/>
      <c r="EU20" s="16"/>
      <c r="EV20" s="16"/>
      <c r="EW20" s="16"/>
      <c r="EX20" s="16"/>
      <c r="EY20" s="16"/>
      <c r="EZ20" s="16"/>
      <c r="FA20" s="16"/>
      <c r="FB20" s="16"/>
      <c r="FC20" s="16"/>
      <c r="FD20" s="16"/>
      <c r="FE20" s="16"/>
      <c r="FF20" s="16"/>
      <c r="FG20" s="16"/>
      <c r="FH20" s="16"/>
      <c r="FI20" s="16"/>
      <c r="FJ20" s="16"/>
      <c r="FK20" s="16"/>
      <c r="FL20" s="16"/>
      <c r="FM20" s="16"/>
      <c r="FN20" s="16"/>
      <c r="FO20" s="16"/>
      <c r="FP20" s="16"/>
      <c r="FQ20" s="16"/>
      <c r="FR20" s="16"/>
      <c r="FS20" s="16"/>
      <c r="FT20" s="16"/>
      <c r="FU20" s="16"/>
      <c r="FV20" s="16"/>
      <c r="FW20" s="16"/>
      <c r="FX20" s="16"/>
      <c r="FY20" s="16"/>
      <c r="FZ20" s="16"/>
      <c r="GA20" s="16"/>
      <c r="GB20" s="16"/>
      <c r="GC20" s="16"/>
      <c r="GD20" s="16"/>
      <c r="GE20" s="16"/>
      <c r="GF20" s="16"/>
      <c r="GG20" s="16"/>
      <c r="GH20" s="16"/>
      <c r="GI20" s="16"/>
      <c r="GJ20" s="16"/>
      <c r="GK20" s="16"/>
      <c r="GL20" s="16"/>
      <c r="GM20" s="16"/>
      <c r="GN20" s="16"/>
      <c r="GO20" s="16"/>
    </row>
    <row r="21" ht="18.0" customHeight="1">
      <c r="A21" s="15">
        <v>20.0</v>
      </c>
      <c r="B21" s="16" t="s">
        <v>557</v>
      </c>
      <c r="C21" s="17" t="s">
        <v>750</v>
      </c>
      <c r="D21" s="16" t="s">
        <v>275</v>
      </c>
      <c r="E21" s="15">
        <f>COUNTIF('Tổng hợp 75 trang đích'!$B$2:$B$2505,$D21)</f>
        <v>43</v>
      </c>
      <c r="F21" s="15">
        <f>COUNTIFS('Tổng hợp 75 trang đích'!$B$2:$B$2505,$D21,'Tổng hợp 75 trang đích'!$K$2:$K$2505,"PHÙ HỢP CAO")</f>
        <v>1</v>
      </c>
      <c r="G21" s="15">
        <f>COUNTIFS('Tổng hợp 75 trang đích'!$B$2:$B$2505,$D21,'Tổng hợp 75 trang đích'!$K$2:$K$2505,"CÓ THỂ ĐI")</f>
        <v>4</v>
      </c>
      <c r="H21" s="15">
        <f>COUNTIFS('Tổng hợp 75 trang đích'!$B$2:$B$2505,$D21,'Tổng hợp 75 trang đích'!$K$2:$K$2505,"CẦN SOÁT")</f>
        <v>38</v>
      </c>
      <c r="I21" s="19" t="s">
        <v>256</v>
      </c>
      <c r="J21" s="19" t="b">
        <v>0</v>
      </c>
      <c r="K21" s="20" t="s">
        <v>258</v>
      </c>
      <c r="L21" s="16" t="str">
        <f>IFERROR(__xludf.DUMMYFUNCTION("IFERROR(TOROW(CHOOSECOLS(SORT(FILTER({'Tổng hợp 75 trang đích'!$J$2:$J$2505,'Tổng hợp 75 trang đích'!$I$2:$I$2505,MATCH('Tổng hợp 75 trang đích'!$K$2:$K$2505,{""PHÙ HỢP CAO"",""CÓ THỂ ĐI"",""CẦN SOÁT""},0)},'Tổng hợp 75 trang đích'!$B$2:$B$2505=$D21),3,TR"&amp;"UE),1,2)),"""")"),"cách sao kê tài khoản ngân hàng")</f>
        <v>cách sao kê tài khoản ngân hàng</v>
      </c>
      <c r="M21" s="21" t="str">
        <f>IFERROR(__xludf.DUMMYFUNCTION("""COMPUTED_VALUE"""),"https://techcombank.com/thong-tin/blog/sao-ke-luong")</f>
        <v>https://techcombank.com/thong-tin/blog/sao-ke-luong</v>
      </c>
      <c r="N21" s="16" t="str">
        <f>IFERROR(__xludf.DUMMYFUNCTION("""COMPUTED_VALUE"""),"sao kê tài khoản ngân hàng")</f>
        <v>sao kê tài khoản ngân hàng</v>
      </c>
      <c r="O21" s="21" t="str">
        <f>IFERROR(__xludf.DUMMYFUNCTION("""COMPUTED_VALUE"""),"https://techcombank.com/thong-tin/blog/sao-ke-tai-khoan-doanh-nghiep")</f>
        <v>https://techcombank.com/thong-tin/blog/sao-ke-tai-khoan-doanh-nghiep</v>
      </c>
      <c r="P21" s="16" t="str">
        <f>IFERROR(__xludf.DUMMYFUNCTION("""COMPUTED_VALUE"""),"cách sao kê tài khoản ngân hàng")</f>
        <v>cách sao kê tài khoản ngân hàng</v>
      </c>
      <c r="Q21" s="21" t="str">
        <f>IFERROR(__xludf.DUMMYFUNCTION("""COMPUTED_VALUE"""),"https://techcombank.com/thong-tin/blog/vay-the-chap-qua-luong")</f>
        <v>https://techcombank.com/thong-tin/blog/vay-the-chap-qua-luong</v>
      </c>
      <c r="R21" s="16" t="str">
        <f>IFERROR(__xludf.DUMMYFUNCTION("""COMPUTED_VALUE"""),"sao kê tài khoản ngân hàng")</f>
        <v>sao kê tài khoản ngân hàng</v>
      </c>
      <c r="S21" s="21" t="str">
        <f>IFERROR(__xludf.DUMMYFUNCTION("""COMPUTED_VALUE"""),"https://techcombank.com/thong-tin/blog/tien-chuyen-vao-tai-khoan-co-bi-tinh-thue-khong")</f>
        <v>https://techcombank.com/thong-tin/blog/tien-chuyen-vao-tai-khoan-co-bi-tinh-thue-khong</v>
      </c>
      <c r="T21" s="16" t="str">
        <f>IFERROR(__xludf.DUMMYFUNCTION("""COMPUTED_VALUE"""),"cách sao kê tài khoản ngân hàng")</f>
        <v>cách sao kê tài khoản ngân hàng</v>
      </c>
      <c r="U21" s="21" t="str">
        <f>IFERROR(__xludf.DUMMYFUNCTION("""COMPUTED_VALUE"""),"https://techcombank.com/thong-tin/blog/ghi-chep-chi-tieu")</f>
        <v>https://techcombank.com/thong-tin/blog/ghi-chep-chi-tieu</v>
      </c>
      <c r="V21" s="16" t="str">
        <f>IFERROR(__xludf.DUMMYFUNCTION("""COMPUTED_VALUE"""),"sao kê tài khoản ngân hàng")</f>
        <v>sao kê tài khoản ngân hàng</v>
      </c>
      <c r="W21" s="21" t="str">
        <f>IFERROR(__xludf.DUMMYFUNCTION("""COMPUTED_VALUE"""),"https://techcombank.com/thong-tin/blog/ma-mcc")</f>
        <v>https://techcombank.com/thong-tin/blog/ma-mcc</v>
      </c>
      <c r="X21" s="16" t="str">
        <f>IFERROR(__xludf.DUMMYFUNCTION("""COMPUTED_VALUE"""),"cách sao kê tài khoản ngân hàng")</f>
        <v>cách sao kê tài khoản ngân hàng</v>
      </c>
      <c r="Y21" s="21" t="str">
        <f>IFERROR(__xludf.DUMMYFUNCTION("""COMPUTED_VALUE"""),"https://techcombank.com/thong-tin/blog/vi-tra-sau")</f>
        <v>https://techcombank.com/thong-tin/blog/vi-tra-sau</v>
      </c>
      <c r="Z21" s="16" t="str">
        <f>IFERROR(__xludf.DUMMYFUNCTION("""COMPUTED_VALUE"""),"sao kê tài khoản ngân hàng")</f>
        <v>sao kê tài khoản ngân hàng</v>
      </c>
      <c r="AA21" s="21" t="str">
        <f>IFERROR(__xludf.DUMMYFUNCTION("""COMPUTED_VALUE"""),"https://techcombank.com/thong-tin/blog/uu-dai-the-tin-dung-techcombank-signature")</f>
        <v>https://techcombank.com/thong-tin/blog/uu-dai-the-tin-dung-techcombank-signature</v>
      </c>
      <c r="AB21" s="16" t="str">
        <f>IFERROR(__xludf.DUMMYFUNCTION("""COMPUTED_VALUE"""),"cách sao kê tài khoản ngân hàng")</f>
        <v>cách sao kê tài khoản ngân hàng</v>
      </c>
      <c r="AC21" s="21" t="str">
        <f>IFERROR(__xludf.DUMMYFUNCTION("""COMPUTED_VALUE"""),"https://techcombank.com/thong-tin/blog/loi-ich-cua-viec-tiet-kiem-tien")</f>
        <v>https://techcombank.com/thong-tin/blog/loi-ich-cua-viec-tiet-kiem-tien</v>
      </c>
      <c r="AD21" s="16" t="str">
        <f>IFERROR(__xludf.DUMMYFUNCTION("""COMPUTED_VALUE"""),"sao kê tài khoản ngân hàng")</f>
        <v>sao kê tài khoản ngân hàng</v>
      </c>
      <c r="AE21" s="21" t="str">
        <f>IFERROR(__xludf.DUMMYFUNCTION("""COMPUTED_VALUE"""),"https://techcombank.com/thong-tin/blog/cach-tiet-kiem-tien-hieu-qua-cho-gia-dinh")</f>
        <v>https://techcombank.com/thong-tin/blog/cach-tiet-kiem-tien-hieu-qua-cho-gia-dinh</v>
      </c>
      <c r="AF21" s="16" t="str">
        <f>IFERROR(__xludf.DUMMYFUNCTION("""COMPUTED_VALUE"""),"cách sao kê tài khoản ngân hàng")</f>
        <v>cách sao kê tài khoản ngân hàng</v>
      </c>
      <c r="AG21" s="21" t="str">
        <f>IFERROR(__xludf.DUMMYFUNCTION("""COMPUTED_VALUE"""),"https://techcombank.com/thong-tin/blog/dau-chan-carbon")</f>
        <v>https://techcombank.com/thong-tin/blog/dau-chan-carbon</v>
      </c>
      <c r="AH21" s="16" t="str">
        <f>IFERROR(__xludf.DUMMYFUNCTION("""COMPUTED_VALUE"""),"sao kê tài khoản ngân hàng")</f>
        <v>sao kê tài khoản ngân hàng</v>
      </c>
      <c r="AI21" s="21" t="str">
        <f>IFERROR(__xludf.DUMMYFUNCTION("""COMPUTED_VALUE"""),"https://techcombank.com/thong-tin/blog/app-mua-truoc-tra-sau")</f>
        <v>https://techcombank.com/thong-tin/blog/app-mua-truoc-tra-sau</v>
      </c>
      <c r="AJ21" s="16" t="str">
        <f>IFERROR(__xludf.DUMMYFUNCTION("""COMPUTED_VALUE"""),"cách sao kê tài khoản ngân hàng")</f>
        <v>cách sao kê tài khoản ngân hàng</v>
      </c>
      <c r="AK21" s="21" t="str">
        <f>IFERROR(__xludf.DUMMYFUNCTION("""COMPUTED_VALUE"""),"https://techcombank.com/thong-tin/blog/tiet-kiem-khi-di-du-lich")</f>
        <v>https://techcombank.com/thong-tin/blog/tiet-kiem-khi-di-du-lich</v>
      </c>
      <c r="AL21" s="16" t="str">
        <f>IFERROR(__xludf.DUMMYFUNCTION("""COMPUTED_VALUE"""),"sao kê tài khoản ngân hàng")</f>
        <v>sao kê tài khoản ngân hàng</v>
      </c>
      <c r="AM21" s="21" t="str">
        <f>IFERROR(__xludf.DUMMYFUNCTION("""COMPUTED_VALUE"""),"https://techcombank.com/thong-tin/blog/cho-vay-tieu-dung-la-gi")</f>
        <v>https://techcombank.com/thong-tin/blog/cho-vay-tieu-dung-la-gi</v>
      </c>
      <c r="AN21" s="16" t="str">
        <f>IFERROR(__xludf.DUMMYFUNCTION("""COMPUTED_VALUE"""),"cách sao kê tài khoản ngân hàng")</f>
        <v>cách sao kê tài khoản ngân hàng</v>
      </c>
      <c r="AO21" s="21" t="str">
        <f>IFERROR(__xludf.DUMMYFUNCTION("""COMPUTED_VALUE"""),"https://techcombank.com/thong-tin/blog/phan-mem-lap-ke-hoach-tai-chinh-ca-nhan")</f>
        <v>https://techcombank.com/thong-tin/blog/phan-mem-lap-ke-hoach-tai-chinh-ca-nhan</v>
      </c>
      <c r="AP21" s="16" t="str">
        <f>IFERROR(__xludf.DUMMYFUNCTION("""COMPUTED_VALUE"""),"sao kê tài khoản ngân hàng")</f>
        <v>sao kê tài khoản ngân hàng</v>
      </c>
      <c r="AQ21" s="21" t="str">
        <f>IFERROR(__xludf.DUMMYFUNCTION("""COMPUTED_VALUE"""),"https://techcombank.com/thong-tin/blog/mo-the-tin-dung-han-muc-cao")</f>
        <v>https://techcombank.com/thong-tin/blog/mo-the-tin-dung-han-muc-cao</v>
      </c>
      <c r="AR21" s="16" t="str">
        <f>IFERROR(__xludf.DUMMYFUNCTION("""COMPUTED_VALUE"""),"cách sao kê tài khoản ngân hàng")</f>
        <v>cách sao kê tài khoản ngân hàng</v>
      </c>
      <c r="AS21" s="21" t="str">
        <f>IFERROR(__xludf.DUMMYFUNCTION("""COMPUTED_VALUE"""),"https://techcombank.com/thong-tin/blog/uu-dai-the-tin-dung")</f>
        <v>https://techcombank.com/thong-tin/blog/uu-dai-the-tin-dung</v>
      </c>
      <c r="AT21" s="16" t="str">
        <f>IFERROR(__xludf.DUMMYFUNCTION("""COMPUTED_VALUE"""),"sao kê tài khoản ngân hàng")</f>
        <v>sao kê tài khoản ngân hàng</v>
      </c>
      <c r="AU21" s="21" t="str">
        <f>IFERROR(__xludf.DUMMYFUNCTION("""COMPUTED_VALUE"""),"https://techcombank.com/thong-tin/blog/app-quan-ly-chi-tieu")</f>
        <v>https://techcombank.com/thong-tin/blog/app-quan-ly-chi-tieu</v>
      </c>
      <c r="AV21" s="16" t="str">
        <f>IFERROR(__xludf.DUMMYFUNCTION("""COMPUTED_VALUE"""),"cách sao kê tài khoản ngân hàng")</f>
        <v>cách sao kê tài khoản ngân hàng</v>
      </c>
      <c r="AW21" s="21" t="str">
        <f>IFERROR(__xludf.DUMMYFUNCTION("""COMPUTED_VALUE"""),"https://techcombank.com/thong-tin/blog/sao-ke-the-tin-dung-la-gi")</f>
        <v>https://techcombank.com/thong-tin/blog/sao-ke-the-tin-dung-la-gi</v>
      </c>
      <c r="AX21" s="16" t="str">
        <f>IFERROR(__xludf.DUMMYFUNCTION("""COMPUTED_VALUE"""),"sao kê tài khoản ngân hàng")</f>
        <v>sao kê tài khoản ngân hàng</v>
      </c>
      <c r="AY21" s="21" t="str">
        <f>IFERROR(__xludf.DUMMYFUNCTION("""COMPUTED_VALUE"""),"https://techcombank.com/thong-tin/blog/cashback-the-thanh-toan")</f>
        <v>https://techcombank.com/thong-tin/blog/cashback-the-thanh-toan</v>
      </c>
      <c r="AZ21" s="16" t="str">
        <f>IFERROR(__xludf.DUMMYFUNCTION("""COMPUTED_VALUE"""),"cách sao kê tài khoản ngân hàng")</f>
        <v>cách sao kê tài khoản ngân hàng</v>
      </c>
      <c r="BA21" s="21" t="str">
        <f>IFERROR(__xludf.DUMMYFUNCTION("""COMPUTED_VALUE"""),"https://techcombank.com/thong-tin/blog/nang-han-muc-tin-dung")</f>
        <v>https://techcombank.com/thong-tin/blog/nang-han-muc-tin-dung</v>
      </c>
      <c r="BB21" s="16" t="str">
        <f>IFERROR(__xludf.DUMMYFUNCTION("""COMPUTED_VALUE"""),"sao kê tài khoản ngân hàng")</f>
        <v>sao kê tài khoản ngân hàng</v>
      </c>
      <c r="BC21" s="21" t="str">
        <f>IFERROR(__xludf.DUMMYFUNCTION("""COMPUTED_VALUE"""),"https://techcombank.com/thong-tin/blog/cach-tiet-kiem-tien")</f>
        <v>https://techcombank.com/thong-tin/blog/cach-tiet-kiem-tien</v>
      </c>
      <c r="BD21" s="16" t="str">
        <f>IFERROR(__xludf.DUMMYFUNCTION("""COMPUTED_VALUE"""),"cách sao kê tài khoản ngân hàng")</f>
        <v>cách sao kê tài khoản ngân hàng</v>
      </c>
      <c r="BE21" s="21" t="str">
        <f>IFERROR(__xludf.DUMMYFUNCTION("""COMPUTED_VALUE"""),"https://techcombank.com/thong-tin/blog/mo-the-tin-dung-chi-can-cccd")</f>
        <v>https://techcombank.com/thong-tin/blog/mo-the-tin-dung-chi-can-cccd</v>
      </c>
      <c r="BF21" s="16" t="str">
        <f>IFERROR(__xludf.DUMMYFUNCTION("""COMPUTED_VALUE"""),"sao kê tài khoản ngân hàng")</f>
        <v>sao kê tài khoản ngân hàng</v>
      </c>
      <c r="BG21" s="21" t="str">
        <f>IFERROR(__xludf.DUMMYFUNCTION("""COMPUTED_VALUE"""),"https://techcombank.com/thong-tin/blog/the-debit-cho-con")</f>
        <v>https://techcombank.com/thong-tin/blog/the-debit-cho-con</v>
      </c>
      <c r="BH21" s="16" t="str">
        <f>IFERROR(__xludf.DUMMYFUNCTION("""COMPUTED_VALUE"""),"cách sao kê tài khoản ngân hàng")</f>
        <v>cách sao kê tài khoản ngân hàng</v>
      </c>
      <c r="BI21" s="21" t="str">
        <f>IFERROR(__xludf.DUMMYFUNCTION("""COMPUTED_VALUE"""),"https://techcombank.com/thong-tin/blog/thoi-gian-hoan-tien-the-tin-dung")</f>
        <v>https://techcombank.com/thong-tin/blog/thoi-gian-hoan-tien-the-tin-dung</v>
      </c>
      <c r="BJ21" s="16" t="str">
        <f>IFERROR(__xludf.DUMMYFUNCTION("""COMPUTED_VALUE"""),"sao kê tài khoản ngân hàng")</f>
        <v>sao kê tài khoản ngân hàng</v>
      </c>
      <c r="BK21" s="21" t="str">
        <f>IFERROR(__xludf.DUMMYFUNCTION("""COMPUTED_VALUE"""),"https://techcombank.com/thong-tin/blog/ung-dung-cong-nghe")</f>
        <v>https://techcombank.com/thong-tin/blog/ung-dung-cong-nghe</v>
      </c>
      <c r="BL21" s="16" t="str">
        <f>IFERROR(__xludf.DUMMYFUNCTION("""COMPUTED_VALUE"""),"cách sao kê tài khoản ngân hàng")</f>
        <v>cách sao kê tài khoản ngân hàng</v>
      </c>
      <c r="BM21" s="21" t="str">
        <f>IFERROR(__xludf.DUMMYFUNCTION("""COMPUTED_VALUE"""),"https://techcombank.com/thong-tin/blog/vay-tien-online")</f>
        <v>https://techcombank.com/thong-tin/blog/vay-tien-online</v>
      </c>
      <c r="BN21" s="16" t="str">
        <f>IFERROR(__xludf.DUMMYFUNCTION("""COMPUTED_VALUE"""),"sao kê tài khoản ngân hàng")</f>
        <v>sao kê tài khoản ngân hàng</v>
      </c>
      <c r="BO21" s="21" t="str">
        <f>IFERROR(__xludf.DUMMYFUNCTION("""COMPUTED_VALUE"""),"https://techcombank.com/thong-tin/blog/the-visa-co-may-loai")</f>
        <v>https://techcombank.com/thong-tin/blog/the-visa-co-may-loai</v>
      </c>
      <c r="BP21" s="16" t="str">
        <f>IFERROR(__xludf.DUMMYFUNCTION("""COMPUTED_VALUE"""),"cách sao kê tài khoản ngân hàng")</f>
        <v>cách sao kê tài khoản ngân hàng</v>
      </c>
      <c r="BQ21" s="21" t="str">
        <f>IFERROR(__xludf.DUMMYFUNCTION("""COMPUTED_VALUE"""),"https://techcombank.com/thong-tin/blog/mo-the-tin-dung-khong-can-chung-minh-thu-nhap")</f>
        <v>https://techcombank.com/thong-tin/blog/mo-the-tin-dung-khong-can-chung-minh-thu-nhap</v>
      </c>
      <c r="BR21" s="16" t="str">
        <f>IFERROR(__xludf.DUMMYFUNCTION("""COMPUTED_VALUE"""),"sao kê tài khoản ngân hàng")</f>
        <v>sao kê tài khoản ngân hàng</v>
      </c>
      <c r="BS21" s="21" t="str">
        <f>IFERROR(__xludf.DUMMYFUNCTION("""COMPUTED_VALUE"""),"https://techcombank.com/thong-tin/blog/6-chiec-lo-tai-chinh-ca-nhan")</f>
        <v>https://techcombank.com/thong-tin/blog/6-chiec-lo-tai-chinh-ca-nhan</v>
      </c>
      <c r="BT21" s="16" t="str">
        <f>IFERROR(__xludf.DUMMYFUNCTION("""COMPUTED_VALUE"""),"cách sao kê tài khoản ngân hàng")</f>
        <v>cách sao kê tài khoản ngân hàng</v>
      </c>
      <c r="BU21" s="21" t="str">
        <f>IFERROR(__xludf.DUMMYFUNCTION("""COMPUTED_VALUE"""),"https://techcombank.com/thong-tin/blog/hu-chi-tieu")</f>
        <v>https://techcombank.com/thong-tin/blog/hu-chi-tieu</v>
      </c>
      <c r="BV21" s="16" t="str">
        <f>IFERROR(__xludf.DUMMYFUNCTION("""COMPUTED_VALUE"""),"sao kê tài khoản ngân hàng")</f>
        <v>sao kê tài khoản ngân hàng</v>
      </c>
      <c r="BW21" s="21" t="str">
        <f>IFERROR(__xludf.DUMMYFUNCTION("""COMPUTED_VALUE"""),"https://techcombank.com/thong-tin/blog/ngan-hang-so")</f>
        <v>https://techcombank.com/thong-tin/blog/ngan-hang-so</v>
      </c>
      <c r="BX21" s="16" t="str">
        <f>IFERROR(__xludf.DUMMYFUNCTION("""COMPUTED_VALUE"""),"cách sao kê tài khoản ngân hàng")</f>
        <v>cách sao kê tài khoản ngân hàng</v>
      </c>
      <c r="BY21" s="21" t="str">
        <f>IFERROR(__xludf.DUMMYFUNCTION("""COMPUTED_VALUE"""),"https://techcombank.com/thong-tin/blog/the-tin-dung-phu-la-gi")</f>
        <v>https://techcombank.com/thong-tin/blog/the-tin-dung-phu-la-gi</v>
      </c>
      <c r="BZ21" s="16" t="str">
        <f>IFERROR(__xludf.DUMMYFUNCTION("""COMPUTED_VALUE"""),"sao kê tài khoản ngân hàng")</f>
        <v>sao kê tài khoản ngân hàng</v>
      </c>
      <c r="CA21" s="21" t="str">
        <f>IFERROR(__xludf.DUMMYFUNCTION("""COMPUTED_VALUE"""),"https://techcombank.com/thong-tin/blog/hoc-cach-tiet-kiem-tien-luong")</f>
        <v>https://techcombank.com/thong-tin/blog/hoc-cach-tiet-kiem-tien-luong</v>
      </c>
      <c r="CB21" s="16" t="str">
        <f>IFERROR(__xludf.DUMMYFUNCTION("""COMPUTED_VALUE"""),"cách sao kê tài khoản ngân hàng")</f>
        <v>cách sao kê tài khoản ngân hàng</v>
      </c>
      <c r="CC21" s="21" t="str">
        <f>IFERROR(__xludf.DUMMYFUNCTION("""COMPUTED_VALUE"""),"https://techcombank.com/thong-tin/blog/cach-kiem-tra-tai-khoan-ngan-hang")</f>
        <v>https://techcombank.com/thong-tin/blog/cach-kiem-tra-tai-khoan-ngan-hang</v>
      </c>
      <c r="CD21" s="16" t="str">
        <f>IFERROR(__xludf.DUMMYFUNCTION("""COMPUTED_VALUE"""),"sao kê tài khoản ngân hàng")</f>
        <v>sao kê tài khoản ngân hàng</v>
      </c>
      <c r="CE21" s="21" t="str">
        <f>IFERROR(__xludf.DUMMYFUNCTION("""COMPUTED_VALUE"""),"https://techcombank.com/thong-tin/blog/vay-the-chap-khong-chung-minh-thu-nhap")</f>
        <v>https://techcombank.com/thong-tin/blog/vay-the-chap-khong-chung-minh-thu-nhap</v>
      </c>
      <c r="CF21" s="16" t="str">
        <f>IFERROR(__xludf.DUMMYFUNCTION("""COMPUTED_VALUE"""),"cách sao kê tài khoản ngân hàng")</f>
        <v>cách sao kê tài khoản ngân hàng</v>
      </c>
      <c r="CG21" s="21" t="str">
        <f>IFERROR(__xludf.DUMMYFUNCTION("""COMPUTED_VALUE"""),"https://techcombank.com/thong-tin/blog/han-muc-tra-gop-the-tin-dung")</f>
        <v>https://techcombank.com/thong-tin/blog/han-muc-tra-gop-the-tin-dung</v>
      </c>
      <c r="CH21" s="16" t="str">
        <f>IFERROR(__xludf.DUMMYFUNCTION("""COMPUTED_VALUE"""),"sao kê tài khoản ngân hàng")</f>
        <v>sao kê tài khoản ngân hàng</v>
      </c>
      <c r="CI21" s="21" t="str">
        <f>IFERROR(__xludf.DUMMYFUNCTION("""COMPUTED_VALUE"""),"https://techcombank.com/thong-tin/blog/the-debit")</f>
        <v>https://techcombank.com/thong-tin/blog/the-debit</v>
      </c>
      <c r="CJ21" s="16" t="str">
        <f>IFERROR(__xludf.DUMMYFUNCTION("""COMPUTED_VALUE"""),"cách sao kê tài khoản ngân hàng")</f>
        <v>cách sao kê tài khoản ngân hàng</v>
      </c>
      <c r="CK21" s="21" t="str">
        <f>IFERROR(__xludf.DUMMYFUNCTION("""COMPUTED_VALUE"""),"https://techcombank.com/thong-tin/blog/thanh-toan-bang-the-quoc-te")</f>
        <v>https://techcombank.com/thong-tin/blog/thanh-toan-bang-the-quoc-te</v>
      </c>
      <c r="CL21" s="16" t="str">
        <f>IFERROR(__xludf.DUMMYFUNCTION("""COMPUTED_VALUE"""),"sao kê tài khoản ngân hàng")</f>
        <v>sao kê tài khoản ngân hàng</v>
      </c>
      <c r="CM21" s="21" t="str">
        <f>IFERROR(__xludf.DUMMYFUNCTION("""COMPUTED_VALUE"""),"https://techcombank.com/thong-tin/blog/thanh-toan-khi-du-lich-han-quoc")</f>
        <v>https://techcombank.com/thong-tin/blog/thanh-toan-khi-du-lich-han-quoc</v>
      </c>
      <c r="CN21" s="16" t="str">
        <f>IFERROR(__xludf.DUMMYFUNCTION("""COMPUTED_VALUE"""),"cách sao kê tài khoản ngân hàng")</f>
        <v>cách sao kê tài khoản ngân hàng</v>
      </c>
      <c r="CO21" s="21" t="str">
        <f>IFERROR(__xludf.DUMMYFUNCTION("""COMPUTED_VALUE"""),"https://techcombank.com/thong-tin/blog/thanh-toan-khi-du-lich-hong-kong")</f>
        <v>https://techcombank.com/thong-tin/blog/thanh-toan-khi-du-lich-hong-kong</v>
      </c>
      <c r="CP21" s="16" t="str">
        <f>IFERROR(__xludf.DUMMYFUNCTION("""COMPUTED_VALUE"""),"sao kê tài khoản ngân hàng")</f>
        <v>sao kê tài khoản ngân hàng</v>
      </c>
      <c r="CQ21" s="21" t="str">
        <f>IFERROR(__xludf.DUMMYFUNCTION("""COMPUTED_VALUE"""),"https://techcombank.com/thong-tin/blog/thanh-toan-khi-du-lich-singapore")</f>
        <v>https://techcombank.com/thong-tin/blog/thanh-toan-khi-du-lich-singapore</v>
      </c>
      <c r="CR21" s="16" t="str">
        <f>IFERROR(__xludf.DUMMYFUNCTION("""COMPUTED_VALUE"""),"cách sao kê tài khoản ngân hàng")</f>
        <v>cách sao kê tài khoản ngân hàng</v>
      </c>
      <c r="CS21" s="21" t="str">
        <f>IFERROR(__xludf.DUMMYFUNCTION("""COMPUTED_VALUE"""),"https://techcombank.com/thong-tin/blog/vnd-to-myr")</f>
        <v>https://techcombank.com/thong-tin/blog/vnd-to-myr</v>
      </c>
      <c r="CT21" s="16"/>
      <c r="CU21" s="16"/>
      <c r="CV21" s="16"/>
      <c r="CW21" s="16"/>
      <c r="CX21" s="16"/>
      <c r="CY21" s="16"/>
      <c r="CZ21" s="16"/>
      <c r="DA21" s="16"/>
      <c r="DB21" s="16"/>
      <c r="DC21" s="16"/>
      <c r="DD21" s="16"/>
      <c r="DE21" s="16"/>
      <c r="DF21" s="16"/>
      <c r="DG21" s="16"/>
      <c r="DH21" s="16"/>
      <c r="DI21" s="16"/>
      <c r="DJ21" s="16"/>
      <c r="DK21" s="16"/>
      <c r="DL21" s="16"/>
      <c r="DM21" s="16"/>
      <c r="DN21" s="16"/>
      <c r="DO21" s="16"/>
      <c r="DP21" s="16"/>
      <c r="DQ21" s="16"/>
      <c r="DR21" s="16"/>
      <c r="DS21" s="16"/>
      <c r="DT21" s="16"/>
      <c r="DU21" s="16"/>
      <c r="DV21" s="16"/>
      <c r="DW21" s="16"/>
      <c r="DX21" s="16"/>
      <c r="DY21" s="16"/>
      <c r="DZ21" s="16"/>
      <c r="EA21" s="16"/>
      <c r="EB21" s="16"/>
      <c r="EC21" s="16"/>
      <c r="ED21" s="16"/>
      <c r="EE21" s="16"/>
      <c r="EF21" s="16"/>
      <c r="EG21" s="16"/>
      <c r="EH21" s="16"/>
      <c r="EI21" s="16"/>
      <c r="EJ21" s="16"/>
      <c r="EK21" s="16"/>
      <c r="EL21" s="16"/>
      <c r="EM21" s="16"/>
      <c r="EN21" s="16"/>
      <c r="EO21" s="16"/>
      <c r="EP21" s="16"/>
      <c r="EQ21" s="16"/>
      <c r="ER21" s="16"/>
      <c r="ES21" s="16"/>
      <c r="ET21" s="16"/>
      <c r="EU21" s="16"/>
      <c r="EV21" s="16"/>
      <c r="EW21" s="16"/>
      <c r="EX21" s="16"/>
      <c r="EY21" s="16"/>
      <c r="EZ21" s="16"/>
      <c r="FA21" s="16"/>
      <c r="FB21" s="16"/>
      <c r="FC21" s="16"/>
      <c r="FD21" s="16"/>
      <c r="FE21" s="16"/>
      <c r="FF21" s="16"/>
      <c r="FG21" s="16"/>
      <c r="FH21" s="16"/>
      <c r="FI21" s="16"/>
      <c r="FJ21" s="16"/>
      <c r="FK21" s="16"/>
      <c r="FL21" s="16"/>
      <c r="FM21" s="16"/>
      <c r="FN21" s="16"/>
      <c r="FO21" s="16"/>
      <c r="FP21" s="16"/>
      <c r="FQ21" s="16"/>
      <c r="FR21" s="16"/>
      <c r="FS21" s="16"/>
      <c r="FT21" s="16"/>
      <c r="FU21" s="16"/>
      <c r="FV21" s="16"/>
      <c r="FW21" s="16"/>
      <c r="FX21" s="16"/>
      <c r="FY21" s="16"/>
      <c r="FZ21" s="16"/>
      <c r="GA21" s="16"/>
      <c r="GB21" s="16"/>
      <c r="GC21" s="16"/>
      <c r="GD21" s="16"/>
      <c r="GE21" s="16"/>
      <c r="GF21" s="16"/>
      <c r="GG21" s="16"/>
      <c r="GH21" s="16"/>
      <c r="GI21" s="16"/>
      <c r="GJ21" s="16"/>
      <c r="GK21" s="16"/>
      <c r="GL21" s="16"/>
      <c r="GM21" s="16"/>
      <c r="GN21" s="16"/>
      <c r="GO21" s="16"/>
    </row>
    <row r="22" ht="18.0" customHeight="1">
      <c r="A22" s="15">
        <v>21.0</v>
      </c>
      <c r="B22" s="16" t="s">
        <v>557</v>
      </c>
      <c r="C22" s="17" t="s">
        <v>756</v>
      </c>
      <c r="D22" s="16" t="s">
        <v>279</v>
      </c>
      <c r="E22" s="15">
        <f>COUNTIF('Tổng hợp 75 trang đích'!$B$2:$B$2505,$D22)</f>
        <v>12</v>
      </c>
      <c r="F22" s="15">
        <f>COUNTIFS('Tổng hợp 75 trang đích'!$B$2:$B$2505,$D22,'Tổng hợp 75 trang đích'!$K$2:$K$2505,"PHÙ HỢP CAO")</f>
        <v>4</v>
      </c>
      <c r="G22" s="15">
        <f>COUNTIFS('Tổng hợp 75 trang đích'!$B$2:$B$2505,$D22,'Tổng hợp 75 trang đích'!$K$2:$K$2505,"CÓ THỂ ĐI")</f>
        <v>1</v>
      </c>
      <c r="H22" s="15">
        <f>COUNTIFS('Tổng hợp 75 trang đích'!$B$2:$B$2505,$D22,'Tổng hợp 75 trang đích'!$K$2:$K$2505,"CẦN SOÁT")</f>
        <v>7</v>
      </c>
      <c r="I22" s="19" t="s">
        <v>256</v>
      </c>
      <c r="J22" s="19" t="b">
        <v>0</v>
      </c>
      <c r="K22" s="20" t="s">
        <v>258</v>
      </c>
      <c r="L22" s="16" t="str">
        <f>IFERROR(__xludf.DUMMYFUNCTION("IFERROR(TOROW(CHOOSECOLS(SORT(FILTER({'Tổng hợp 75 trang đích'!$J$2:$J$2505,'Tổng hợp 75 trang đích'!$I$2:$I$2505,MATCH('Tổng hợp 75 trang đích'!$K$2:$K$2505,{""PHÙ HỢP CAO"",""CÓ THỂ ĐI"",""CẦN SOÁT""},0)},'Tổng hợp 75 trang đích'!$B$2:$B$2505=$D22),3,TR"&amp;"UE),1,2)),"""")"),"dãy số phát tài phát lộc")</f>
        <v>dãy số phát tài phát lộc</v>
      </c>
      <c r="M22" s="21" t="str">
        <f>IFERROR(__xludf.DUMMYFUNCTION("""COMPUTED_VALUE"""),"https://techcombank.com/thong-tin/blog/88-la-gi")</f>
        <v>https://techcombank.com/thong-tin/blog/88-la-gi</v>
      </c>
      <c r="N22" s="16" t="str">
        <f>IFERROR(__xludf.DUMMYFUNCTION("""COMPUTED_VALUE"""),"số tài khoản phát tài phát lộc")</f>
        <v>số tài khoản phát tài phát lộc</v>
      </c>
      <c r="O22" s="21" t="str">
        <f>IFERROR(__xludf.DUMMYFUNCTION("""COMPUTED_VALUE"""),"https://techcombank.com/thong-tin/blog/so-6868")</f>
        <v>https://techcombank.com/thong-tin/blog/so-6868</v>
      </c>
      <c r="P22" s="16" t="str">
        <f>IFERROR(__xludf.DUMMYFUNCTION("""COMPUTED_VALUE"""),"dãy số phát tài phát lộc")</f>
        <v>dãy số phát tài phát lộc</v>
      </c>
      <c r="Q22" s="21" t="str">
        <f>IFERROR(__xludf.DUMMYFUNCTION("""COMPUTED_VALUE"""),"https://techcombank.com/thong-tin/blog/so-tai-khoan-dep")</f>
        <v>https://techcombank.com/thong-tin/blog/so-tai-khoan-dep</v>
      </c>
      <c r="R22" s="16" t="str">
        <f>IFERROR(__xludf.DUMMYFUNCTION("""COMPUTED_VALUE"""),"số tài khoản phát tài phát lộc")</f>
        <v>số tài khoản phát tài phát lộc</v>
      </c>
      <c r="S22" s="21" t="str">
        <f>IFERROR(__xludf.DUMMYFUNCTION("""COMPUTED_VALUE"""),"https://techcombank.com/thong-tin/blog/cach-chon-so-tai-khoan-dep")</f>
        <v>https://techcombank.com/thong-tin/blog/cach-chon-so-tai-khoan-dep</v>
      </c>
      <c r="T22" s="16" t="str">
        <f>IFERROR(__xludf.DUMMYFUNCTION("""COMPUTED_VALUE"""),"dãy số phát tài phát lộc")</f>
        <v>dãy số phát tài phát lộc</v>
      </c>
      <c r="U22" s="21" t="str">
        <f>IFERROR(__xludf.DUMMYFUNCTION("""COMPUTED_VALUE"""),"https://techcombank.com/thong-tin/blog/li-xi-so-dep")</f>
        <v>https://techcombank.com/thong-tin/blog/li-xi-so-dep</v>
      </c>
      <c r="V22" s="16" t="str">
        <f>IFERROR(__xludf.DUMMYFUNCTION("""COMPUTED_VALUE"""),"số tài khoản phát tài phát lộc")</f>
        <v>số tài khoản phát tài phát lộc</v>
      </c>
      <c r="W22" s="21" t="str">
        <f>IFERROR(__xludf.DUMMYFUNCTION("""COMPUTED_VALUE"""),"https://techcombank.com/thong-tin/blog/co-nen-mua-so-tai-khoan-ngan-hang-dep")</f>
        <v>https://techcombank.com/thong-tin/blog/co-nen-mua-so-tai-khoan-ngan-hang-dep</v>
      </c>
      <c r="X22" s="16" t="str">
        <f>IFERROR(__xludf.DUMMYFUNCTION("""COMPUTED_VALUE"""),"dãy số phát tài phát lộc")</f>
        <v>dãy số phát tài phát lộc</v>
      </c>
      <c r="Y22" s="21" t="str">
        <f>IFERROR(__xludf.DUMMYFUNCTION("""COMPUTED_VALUE"""),"https://techcombank.com/thong-tin/blog/li-xi-tet")</f>
        <v>https://techcombank.com/thong-tin/blog/li-xi-tet</v>
      </c>
      <c r="Z22" s="16" t="str">
        <f>IFERROR(__xludf.DUMMYFUNCTION("""COMPUTED_VALUE"""),"số tài khoản phát tài phát lộc")</f>
        <v>số tài khoản phát tài phát lộc</v>
      </c>
      <c r="AA22" s="21" t="str">
        <f>IFERROR(__xludf.DUMMYFUNCTION("""COMPUTED_VALUE"""),"https://techcombank.com/thong-tin/blog/sinh-loi-rinh-loc")</f>
        <v>https://techcombank.com/thong-tin/blog/sinh-loi-rinh-loc</v>
      </c>
      <c r="AB22" s="16" t="str">
        <f>IFERROR(__xludf.DUMMYFUNCTION("""COMPUTED_VALUE"""),"dãy số phát tài phát lộc")</f>
        <v>dãy số phát tài phát lộc</v>
      </c>
      <c r="AC22" s="21" t="str">
        <f>IFERROR(__xludf.DUMMYFUNCTION("""COMPUTED_VALUE"""),"https://techcombank.com/thong-tin/blog/8868")</f>
        <v>https://techcombank.com/thong-tin/blog/8868</v>
      </c>
      <c r="AD22" s="16" t="str">
        <f>IFERROR(__xludf.DUMMYFUNCTION("""COMPUTED_VALUE"""),"số tài khoản phát tài phát lộc")</f>
        <v>số tài khoản phát tài phát lộc</v>
      </c>
      <c r="AE22" s="21" t="str">
        <f>IFERROR(__xludf.DUMMYFUNCTION("""COMPUTED_VALUE"""),"https://techcombank.com/thong-tin/blog/66666-co-y-nghia-gi")</f>
        <v>https://techcombank.com/thong-tin/blog/66666-co-y-nghia-gi</v>
      </c>
      <c r="AF22" s="16" t="str">
        <f>IFERROR(__xludf.DUMMYFUNCTION("""COMPUTED_VALUE"""),"dãy số phát tài phát lộc")</f>
        <v>dãy số phát tài phát lộc</v>
      </c>
      <c r="AG22" s="21" t="str">
        <f>IFERROR(__xludf.DUMMYFUNCTION("""COMPUTED_VALUE"""),"https://techcombank.com/thong-tin/blog/so-8386")</f>
        <v>https://techcombank.com/thong-tin/blog/so-8386</v>
      </c>
      <c r="AH22" s="16" t="str">
        <f>IFERROR(__xludf.DUMMYFUNCTION("""COMPUTED_VALUE"""),"số tài khoản phát tài phát lộc")</f>
        <v>số tài khoản phát tài phát lộc</v>
      </c>
      <c r="AI22" s="21" t="str">
        <f>IFERROR(__xludf.DUMMYFUNCTION("""COMPUTED_VALUE"""),"https://techcombank.com/thong-tin/blog/y-nghia-so-68")</f>
        <v>https://techcombank.com/thong-tin/blog/y-nghia-so-68</v>
      </c>
      <c r="AJ22" s="16"/>
      <c r="AK22" s="16"/>
      <c r="AL22" s="16"/>
      <c r="AM22" s="16"/>
      <c r="AN22" s="16"/>
      <c r="AO22" s="16"/>
      <c r="AP22" s="16"/>
      <c r="AQ22" s="16"/>
      <c r="AR22" s="16"/>
      <c r="AS22" s="16"/>
      <c r="AT22" s="16"/>
      <c r="AU22" s="16"/>
      <c r="AV22" s="16"/>
      <c r="AW22" s="16"/>
      <c r="AX22" s="16"/>
      <c r="AY22" s="16"/>
      <c r="AZ22" s="16"/>
      <c r="BA22" s="16"/>
      <c r="BB22" s="16"/>
      <c r="BC22" s="16"/>
      <c r="BD22" s="16"/>
      <c r="BE22" s="16"/>
      <c r="BF22" s="16"/>
      <c r="BG22" s="16"/>
      <c r="BH22" s="16"/>
      <c r="BI22" s="16"/>
      <c r="BJ22" s="16"/>
      <c r="BK22" s="16"/>
      <c r="BL22" s="16"/>
      <c r="BM22" s="16"/>
      <c r="BN22" s="16"/>
      <c r="BO22" s="16"/>
      <c r="BP22" s="16"/>
      <c r="BQ22" s="16"/>
      <c r="BR22" s="16"/>
      <c r="BS22" s="16"/>
      <c r="BT22" s="16"/>
      <c r="BU22" s="16"/>
      <c r="BV22" s="16"/>
      <c r="BW22" s="16"/>
      <c r="BX22" s="16"/>
      <c r="BY22" s="16"/>
      <c r="BZ22" s="16"/>
      <c r="CA22" s="16"/>
      <c r="CB22" s="16"/>
      <c r="CC22" s="16"/>
      <c r="CD22" s="16"/>
      <c r="CE22" s="16"/>
      <c r="CF22" s="16"/>
      <c r="CG22" s="16"/>
      <c r="CH22" s="16"/>
      <c r="CI22" s="16"/>
      <c r="CJ22" s="16"/>
      <c r="CK22" s="16"/>
      <c r="CL22" s="16"/>
      <c r="CM22" s="16"/>
      <c r="CN22" s="16"/>
      <c r="CO22" s="16"/>
      <c r="CP22" s="16"/>
      <c r="CQ22" s="16"/>
      <c r="CR22" s="16"/>
      <c r="CS22" s="16"/>
      <c r="CT22" s="16"/>
      <c r="CU22" s="16"/>
      <c r="CV22" s="16"/>
      <c r="CW22" s="16"/>
      <c r="CX22" s="16"/>
      <c r="CY22" s="16"/>
      <c r="CZ22" s="16"/>
      <c r="DA22" s="16"/>
      <c r="DB22" s="16"/>
      <c r="DC22" s="16"/>
      <c r="DD22" s="16"/>
      <c r="DE22" s="16"/>
      <c r="DF22" s="16"/>
      <c r="DG22" s="16"/>
      <c r="DH22" s="16"/>
      <c r="DI22" s="16"/>
      <c r="DJ22" s="16"/>
      <c r="DK22" s="16"/>
      <c r="DL22" s="16"/>
      <c r="DM22" s="16"/>
      <c r="DN22" s="16"/>
      <c r="DO22" s="16"/>
      <c r="DP22" s="16"/>
      <c r="DQ22" s="16"/>
      <c r="DR22" s="16"/>
      <c r="DS22" s="16"/>
      <c r="DT22" s="16"/>
      <c r="DU22" s="16"/>
      <c r="DV22" s="16"/>
      <c r="DW22" s="16"/>
      <c r="DX22" s="16"/>
      <c r="DY22" s="16"/>
      <c r="DZ22" s="16"/>
      <c r="EA22" s="16"/>
      <c r="EB22" s="16"/>
      <c r="EC22" s="16"/>
      <c r="ED22" s="16"/>
      <c r="EE22" s="16"/>
      <c r="EF22" s="16"/>
      <c r="EG22" s="16"/>
      <c r="EH22" s="16"/>
      <c r="EI22" s="16"/>
      <c r="EJ22" s="16"/>
      <c r="EK22" s="16"/>
      <c r="EL22" s="16"/>
      <c r="EM22" s="16"/>
      <c r="EN22" s="16"/>
      <c r="EO22" s="16"/>
      <c r="EP22" s="16"/>
      <c r="EQ22" s="16"/>
      <c r="ER22" s="16"/>
      <c r="ES22" s="16"/>
      <c r="ET22" s="16"/>
      <c r="EU22" s="16"/>
      <c r="EV22" s="16"/>
      <c r="EW22" s="16"/>
      <c r="EX22" s="16"/>
      <c r="EY22" s="16"/>
      <c r="EZ22" s="16"/>
      <c r="FA22" s="16"/>
      <c r="FB22" s="16"/>
      <c r="FC22" s="16"/>
      <c r="FD22" s="16"/>
      <c r="FE22" s="16"/>
      <c r="FF22" s="16"/>
      <c r="FG22" s="16"/>
      <c r="FH22" s="16"/>
      <c r="FI22" s="16"/>
      <c r="FJ22" s="16"/>
      <c r="FK22" s="16"/>
      <c r="FL22" s="16"/>
      <c r="FM22" s="16"/>
      <c r="FN22" s="16"/>
      <c r="FO22" s="16"/>
      <c r="FP22" s="16"/>
      <c r="FQ22" s="16"/>
      <c r="FR22" s="16"/>
      <c r="FS22" s="16"/>
      <c r="FT22" s="16"/>
      <c r="FU22" s="16"/>
      <c r="FV22" s="16"/>
      <c r="FW22" s="16"/>
      <c r="FX22" s="16"/>
      <c r="FY22" s="16"/>
      <c r="FZ22" s="16"/>
      <c r="GA22" s="16"/>
      <c r="GB22" s="16"/>
      <c r="GC22" s="16"/>
      <c r="GD22" s="16"/>
      <c r="GE22" s="16"/>
      <c r="GF22" s="16"/>
      <c r="GG22" s="16"/>
      <c r="GH22" s="16"/>
      <c r="GI22" s="16"/>
      <c r="GJ22" s="16"/>
      <c r="GK22" s="16"/>
      <c r="GL22" s="16"/>
      <c r="GM22" s="16"/>
      <c r="GN22" s="16"/>
      <c r="GO22" s="16"/>
    </row>
    <row r="23" ht="18.0" customHeight="1">
      <c r="A23" s="15">
        <v>22.0</v>
      </c>
      <c r="B23" s="16" t="s">
        <v>557</v>
      </c>
      <c r="C23" s="17" t="s">
        <v>768</v>
      </c>
      <c r="D23" s="16" t="s">
        <v>281</v>
      </c>
      <c r="E23" s="15">
        <f>COUNTIF('Tổng hợp 75 trang đích'!$B$2:$B$2505,$D23)</f>
        <v>18</v>
      </c>
      <c r="F23" s="15">
        <f>COUNTIFS('Tổng hợp 75 trang đích'!$B$2:$B$2505,$D23,'Tổng hợp 75 trang đích'!$K$2:$K$2505,"PHÙ HỢP CAO")</f>
        <v>2</v>
      </c>
      <c r="G23" s="15">
        <f>COUNTIFS('Tổng hợp 75 trang đích'!$B$2:$B$2505,$D23,'Tổng hợp 75 trang đích'!$K$2:$K$2505,"CÓ THỂ ĐI")</f>
        <v>3</v>
      </c>
      <c r="H23" s="15">
        <f>COUNTIFS('Tổng hợp 75 trang đích'!$B$2:$B$2505,$D23,'Tổng hợp 75 trang đích'!$K$2:$K$2505,"CẦN SOÁT")</f>
        <v>13</v>
      </c>
      <c r="I23" s="19" t="s">
        <v>256</v>
      </c>
      <c r="J23" s="19" t="b">
        <v>0</v>
      </c>
      <c r="K23" s="20" t="s">
        <v>258</v>
      </c>
      <c r="L23" s="16" t="str">
        <f>IFERROR(__xludf.DUMMYFUNCTION("IFERROR(TOROW(CHOOSECOLS(SORT(FILTER({'Tổng hợp 75 trang đích'!$J$2:$J$2505,'Tổng hợp 75 trang đích'!$I$2:$I$2505,MATCH('Tổng hợp 75 trang đích'!$K$2:$K$2505,{""PHÙ HỢP CAO"",""CÓ THỂ ĐI"",""CẦN SOÁT""},0)},'Tổng hợp 75 trang đích'!$B$2:$B$2505=$D23),3,TR"&amp;"UE),1,2)),"""")"),"kiểm tra thuế thu nhập cá nhân")</f>
        <v>kiểm tra thuế thu nhập cá nhân</v>
      </c>
      <c r="M23" s="21" t="str">
        <f>IFERROR(__xludf.DUMMYFUNCTION("""COMPUTED_VALUE"""),"https://techcombank.com/thong-tin/blog/tra-cuu-no-thue-ca-nhan")</f>
        <v>https://techcombank.com/thong-tin/blog/tra-cuu-no-thue-ca-nhan</v>
      </c>
      <c r="N23" s="16" t="str">
        <f>IFERROR(__xludf.DUMMYFUNCTION("""COMPUTED_VALUE"""),"kiểm tra thuế TNCN online")</f>
        <v>kiểm tra thuế TNCN online</v>
      </c>
      <c r="O23" s="21" t="str">
        <f>IFERROR(__xludf.DUMMYFUNCTION("""COMPUTED_VALUE"""),"https://techcombank.com/thong-tin/blog/dang-ky-ma-so-thue-ca-nhan")</f>
        <v>https://techcombank.com/thong-tin/blog/dang-ky-ma-so-thue-ca-nhan</v>
      </c>
      <c r="P23" s="16" t="str">
        <f>IFERROR(__xludf.DUMMYFUNCTION("""COMPUTED_VALUE"""),"tra cứu thuế TNCN")</f>
        <v>tra cứu thuế TNCN</v>
      </c>
      <c r="Q23" s="21" t="str">
        <f>IFERROR(__xludf.DUMMYFUNCTION("""COMPUTED_VALUE"""),"https://techcombank.com/thong-tin/blog/lien-ket-tai-khoan-ngan-hang-voi-etax-mobile")</f>
        <v>https://techcombank.com/thong-tin/blog/lien-ket-tai-khoan-ngan-hang-voi-etax-mobile</v>
      </c>
      <c r="R23" s="16" t="str">
        <f>IFERROR(__xludf.DUMMYFUNCTION("""COMPUTED_VALUE"""),"kiểm tra thuế thu nhập cá nhân")</f>
        <v>kiểm tra thuế thu nhập cá nhân</v>
      </c>
      <c r="S23" s="21" t="str">
        <f>IFERROR(__xludf.DUMMYFUNCTION("""COMPUTED_VALUE"""),"https://techcombank.com/thong-tin/blog/hoan-thue-thu-nhap-ca-nhan")</f>
        <v>https://techcombank.com/thong-tin/blog/hoan-thue-thu-nhap-ca-nhan</v>
      </c>
      <c r="T23" s="16" t="str">
        <f>IFERROR(__xludf.DUMMYFUNCTION("""COMPUTED_VALUE"""),"kiểm tra thuế TNCN online")</f>
        <v>kiểm tra thuế TNCN online</v>
      </c>
      <c r="U23" s="21" t="str">
        <f>IFERROR(__xludf.DUMMYFUNCTION("""COMPUTED_VALUE"""),"https://techcombank.com/thong-tin/blog/quyet-toan-thue-thu-nhap-ca-nhan")</f>
        <v>https://techcombank.com/thong-tin/blog/quyet-toan-thue-thu-nhap-ca-nhan</v>
      </c>
      <c r="V23" s="16" t="str">
        <f>IFERROR(__xludf.DUMMYFUNCTION("""COMPUTED_VALUE"""),"tra cứu thuế TNCN")</f>
        <v>tra cứu thuế TNCN</v>
      </c>
      <c r="W23" s="21" t="str">
        <f>IFERROR(__xludf.DUMMYFUNCTION("""COMPUTED_VALUE"""),"https://techcombank.com/thong-tin/blog/cach-tinh-thue-ho-kinh-doanh-nho-le")</f>
        <v>https://techcombank.com/thong-tin/blog/cach-tinh-thue-ho-kinh-doanh-nho-le</v>
      </c>
      <c r="X23" s="16" t="str">
        <f>IFERROR(__xludf.DUMMYFUNCTION("""COMPUTED_VALUE"""),"kiểm tra thuế thu nhập cá nhân")</f>
        <v>kiểm tra thuế thu nhập cá nhân</v>
      </c>
      <c r="Y23" s="21" t="str">
        <f>IFERROR(__xludf.DUMMYFUNCTION("""COMPUTED_VALUE"""),"https://techcombank.com/thong-tin/blog/tra-cuu-no-thue-hai-quan")</f>
        <v>https://techcombank.com/thong-tin/blog/tra-cuu-no-thue-hai-quan</v>
      </c>
      <c r="Z23" s="16" t="str">
        <f>IFERROR(__xludf.DUMMYFUNCTION("""COMPUTED_VALUE"""),"kiểm tra thuế TNCN online")</f>
        <v>kiểm tra thuế TNCN online</v>
      </c>
      <c r="AA23" s="21" t="str">
        <f>IFERROR(__xludf.DUMMYFUNCTION("""COMPUTED_VALUE"""),"https://techcombank.com/thong-tin/blog/tra-cuu-no-thue-ho-kinh-doanh")</f>
        <v>https://techcombank.com/thong-tin/blog/tra-cuu-no-thue-ho-kinh-doanh</v>
      </c>
      <c r="AB23" s="16" t="str">
        <f>IFERROR(__xludf.DUMMYFUNCTION("""COMPUTED_VALUE"""),"tra cứu thuế TNCN")</f>
        <v>tra cứu thuế TNCN</v>
      </c>
      <c r="AC23" s="21" t="str">
        <f>IFERROR(__xludf.DUMMYFUNCTION("""COMPUTED_VALUE"""),"https://techcombank.com/thong-tin/blog/kiem-tra-thue-ho-kinh-doanh")</f>
        <v>https://techcombank.com/thong-tin/blog/kiem-tra-thue-ho-kinh-doanh</v>
      </c>
      <c r="AD23" s="16" t="str">
        <f>IFERROR(__xludf.DUMMYFUNCTION("""COMPUTED_VALUE"""),"kiểm tra thuế thu nhập cá nhân")</f>
        <v>kiểm tra thuế thu nhập cá nhân</v>
      </c>
      <c r="AE23" s="21" t="str">
        <f>IFERROR(__xludf.DUMMYFUNCTION("""COMPUTED_VALUE"""),"https://techcombank.com/thong-tin/blog/nhung-ho-kinh-doanh-duoc-mien-thue")</f>
        <v>https://techcombank.com/thong-tin/blog/nhung-ho-kinh-doanh-duoc-mien-thue</v>
      </c>
      <c r="AF23" s="16" t="str">
        <f>IFERROR(__xludf.DUMMYFUNCTION("""COMPUTED_VALUE"""),"kiểm tra thuế TNCN online")</f>
        <v>kiểm tra thuế TNCN online</v>
      </c>
      <c r="AG23" s="21" t="str">
        <f>IFERROR(__xludf.DUMMYFUNCTION("""COMPUTED_VALUE"""),"https://techcombank.com/thong-tin/blog/ke-khai-thue-ho-kinh-doanh-ca-the-online")</f>
        <v>https://techcombank.com/thong-tin/blog/ke-khai-thue-ho-kinh-doanh-ca-the-online</v>
      </c>
      <c r="AH23" s="16" t="str">
        <f>IFERROR(__xludf.DUMMYFUNCTION("""COMPUTED_VALUE"""),"tra cứu thuế TNCN")</f>
        <v>tra cứu thuế TNCN</v>
      </c>
      <c r="AI23" s="21" t="str">
        <f>IFERROR(__xludf.DUMMYFUNCTION("""COMPUTED_VALUE"""),"https://techcombank.com/thong-tin/blog/ho-kinh-doanh-dong-thue-nhu-nao")</f>
        <v>https://techcombank.com/thong-tin/blog/ho-kinh-doanh-dong-thue-nhu-nao</v>
      </c>
      <c r="AJ23" s="16" t="str">
        <f>IFERROR(__xludf.DUMMYFUNCTION("""COMPUTED_VALUE"""),"kiểm tra thuế thu nhập cá nhân")</f>
        <v>kiểm tra thuế thu nhập cá nhân</v>
      </c>
      <c r="AK23" s="21" t="str">
        <f>IFERROR(__xludf.DUMMYFUNCTION("""COMPUTED_VALUE"""),"https://techcombank.com/thong-tin/blog/tra-cuu-no-thue-doanh-nghiep")</f>
        <v>https://techcombank.com/thong-tin/blog/tra-cuu-no-thue-doanh-nghiep</v>
      </c>
      <c r="AL23" s="16" t="str">
        <f>IFERROR(__xludf.DUMMYFUNCTION("""COMPUTED_VALUE"""),"kiểm tra thuế TNCN online")</f>
        <v>kiểm tra thuế TNCN online</v>
      </c>
      <c r="AM23" s="21" t="str">
        <f>IFERROR(__xludf.DUMMYFUNCTION("""COMPUTED_VALUE"""),"https://techcombank.com/thong-tin/blog/tien-chuyen-vao-tai-khoan-co-bi-tinh-thue-khong")</f>
        <v>https://techcombank.com/thong-tin/blog/tien-chuyen-vao-tai-khoan-co-bi-tinh-thue-khong</v>
      </c>
      <c r="AN23" s="16" t="str">
        <f>IFERROR(__xludf.DUMMYFUNCTION("""COMPUTED_VALUE"""),"tra cứu thuế TNCN")</f>
        <v>tra cứu thuế TNCN</v>
      </c>
      <c r="AO23" s="21" t="str">
        <f>IFERROR(__xludf.DUMMYFUNCTION("""COMPUTED_VALUE"""),"https://techcombank.com/thong-tin/blog/cach-tinh-thue-thu-nhap-ca-nhan-2025")</f>
        <v>https://techcombank.com/thong-tin/blog/cach-tinh-thue-thu-nhap-ca-nhan-2025</v>
      </c>
      <c r="AP23" s="16" t="str">
        <f>IFERROR(__xludf.DUMMYFUNCTION("""COMPUTED_VALUE"""),"kiểm tra thuế thu nhập cá nhân")</f>
        <v>kiểm tra thuế thu nhập cá nhân</v>
      </c>
      <c r="AQ23" s="21" t="str">
        <f>IFERROR(__xludf.DUMMYFUNCTION("""COMPUTED_VALUE"""),"https://techcombank.com/thong-tin/blog/thue-thu-nhap-ca-nhan")</f>
        <v>https://techcombank.com/thong-tin/blog/thue-thu-nhap-ca-nhan</v>
      </c>
      <c r="AR23" s="16" t="str">
        <f>IFERROR(__xludf.DUMMYFUNCTION("""COMPUTED_VALUE"""),"kiểm tra thuế TNCN online")</f>
        <v>kiểm tra thuế TNCN online</v>
      </c>
      <c r="AS23" s="21" t="str">
        <f>IFERROR(__xludf.DUMMYFUNCTION("""COMPUTED_VALUE"""),"https://techcombank.com/thong-tin/blog/nop-thue-dat-qua-ngan-hang")</f>
        <v>https://techcombank.com/thong-tin/blog/nop-thue-dat-qua-ngan-hang</v>
      </c>
      <c r="AT23" s="16" t="str">
        <f>IFERROR(__xludf.DUMMYFUNCTION("""COMPUTED_VALUE"""),"tra cứu thuế TNCN")</f>
        <v>tra cứu thuế TNCN</v>
      </c>
      <c r="AU23" s="21" t="str">
        <f>IFERROR(__xludf.DUMMYFUNCTION("""COMPUTED_VALUE"""),"https://techcombank.com/thong-tin/blog/cach-nop-thue-dien-tu")</f>
        <v>https://techcombank.com/thong-tin/blog/cach-nop-thue-dien-tu</v>
      </c>
      <c r="AV23" s="16"/>
      <c r="AW23" s="16"/>
      <c r="AX23" s="16"/>
      <c r="AY23" s="16"/>
      <c r="AZ23" s="16"/>
      <c r="BA23" s="16"/>
      <c r="BB23" s="16"/>
      <c r="BC23" s="16"/>
      <c r="BD23" s="16"/>
      <c r="BE23" s="16"/>
      <c r="BF23" s="16"/>
      <c r="BG23" s="16"/>
      <c r="BH23" s="16"/>
      <c r="BI23" s="16"/>
      <c r="BJ23" s="16"/>
      <c r="BK23" s="16"/>
      <c r="BL23" s="16"/>
      <c r="BM23" s="16"/>
      <c r="BN23" s="16"/>
      <c r="BO23" s="16"/>
      <c r="BP23" s="16"/>
      <c r="BQ23" s="16"/>
      <c r="BR23" s="16"/>
      <c r="BS23" s="16"/>
      <c r="BT23" s="16"/>
      <c r="BU23" s="16"/>
      <c r="BV23" s="16"/>
      <c r="BW23" s="16"/>
      <c r="BX23" s="16"/>
      <c r="BY23" s="16"/>
      <c r="BZ23" s="16"/>
      <c r="CA23" s="16"/>
      <c r="CB23" s="16"/>
      <c r="CC23" s="16"/>
      <c r="CD23" s="16"/>
      <c r="CE23" s="16"/>
      <c r="CF23" s="16"/>
      <c r="CG23" s="16"/>
      <c r="CH23" s="16"/>
      <c r="CI23" s="16"/>
      <c r="CJ23" s="16"/>
      <c r="CK23" s="16"/>
      <c r="CL23" s="16"/>
      <c r="CM23" s="16"/>
      <c r="CN23" s="16"/>
      <c r="CO23" s="16"/>
      <c r="CP23" s="16"/>
      <c r="CQ23" s="16"/>
      <c r="CR23" s="16"/>
      <c r="CS23" s="16"/>
      <c r="CT23" s="16"/>
      <c r="CU23" s="16"/>
      <c r="CV23" s="16"/>
      <c r="CW23" s="16"/>
      <c r="CX23" s="16"/>
      <c r="CY23" s="16"/>
      <c r="CZ23" s="16"/>
      <c r="DA23" s="16"/>
      <c r="DB23" s="16"/>
      <c r="DC23" s="16"/>
      <c r="DD23" s="16"/>
      <c r="DE23" s="16"/>
      <c r="DF23" s="16"/>
      <c r="DG23" s="16"/>
      <c r="DH23" s="16"/>
      <c r="DI23" s="16"/>
      <c r="DJ23" s="16"/>
      <c r="DK23" s="16"/>
      <c r="DL23" s="16"/>
      <c r="DM23" s="16"/>
      <c r="DN23" s="16"/>
      <c r="DO23" s="16"/>
      <c r="DP23" s="16"/>
      <c r="DQ23" s="16"/>
      <c r="DR23" s="16"/>
      <c r="DS23" s="16"/>
      <c r="DT23" s="16"/>
      <c r="DU23" s="16"/>
      <c r="DV23" s="16"/>
      <c r="DW23" s="16"/>
      <c r="DX23" s="16"/>
      <c r="DY23" s="16"/>
      <c r="DZ23" s="16"/>
      <c r="EA23" s="16"/>
      <c r="EB23" s="16"/>
      <c r="EC23" s="16"/>
      <c r="ED23" s="16"/>
      <c r="EE23" s="16"/>
      <c r="EF23" s="16"/>
      <c r="EG23" s="16"/>
      <c r="EH23" s="16"/>
      <c r="EI23" s="16"/>
      <c r="EJ23" s="16"/>
      <c r="EK23" s="16"/>
      <c r="EL23" s="16"/>
      <c r="EM23" s="16"/>
      <c r="EN23" s="16"/>
      <c r="EO23" s="16"/>
      <c r="EP23" s="16"/>
      <c r="EQ23" s="16"/>
      <c r="ER23" s="16"/>
      <c r="ES23" s="16"/>
      <c r="ET23" s="16"/>
      <c r="EU23" s="16"/>
      <c r="EV23" s="16"/>
      <c r="EW23" s="16"/>
      <c r="EX23" s="16"/>
      <c r="EY23" s="16"/>
      <c r="EZ23" s="16"/>
      <c r="FA23" s="16"/>
      <c r="FB23" s="16"/>
      <c r="FC23" s="16"/>
      <c r="FD23" s="16"/>
      <c r="FE23" s="16"/>
      <c r="FF23" s="16"/>
      <c r="FG23" s="16"/>
      <c r="FH23" s="16"/>
      <c r="FI23" s="16"/>
      <c r="FJ23" s="16"/>
      <c r="FK23" s="16"/>
      <c r="FL23" s="16"/>
      <c r="FM23" s="16"/>
      <c r="FN23" s="16"/>
      <c r="FO23" s="16"/>
      <c r="FP23" s="16"/>
      <c r="FQ23" s="16"/>
      <c r="FR23" s="16"/>
      <c r="FS23" s="16"/>
      <c r="FT23" s="16"/>
      <c r="FU23" s="16"/>
      <c r="FV23" s="16"/>
      <c r="FW23" s="16"/>
      <c r="FX23" s="16"/>
      <c r="FY23" s="16"/>
      <c r="FZ23" s="16"/>
      <c r="GA23" s="16"/>
      <c r="GB23" s="16"/>
      <c r="GC23" s="16"/>
      <c r="GD23" s="16"/>
      <c r="GE23" s="16"/>
      <c r="GF23" s="16"/>
      <c r="GG23" s="16"/>
      <c r="GH23" s="16"/>
      <c r="GI23" s="16"/>
      <c r="GJ23" s="16"/>
      <c r="GK23" s="16"/>
      <c r="GL23" s="16"/>
      <c r="GM23" s="16"/>
      <c r="GN23" s="16"/>
      <c r="GO23" s="16"/>
    </row>
    <row r="24" ht="18.0" customHeight="1">
      <c r="A24" s="15">
        <v>23.0</v>
      </c>
      <c r="B24" s="16" t="s">
        <v>557</v>
      </c>
      <c r="C24" s="17" t="s">
        <v>777</v>
      </c>
      <c r="D24" s="16" t="s">
        <v>282</v>
      </c>
      <c r="E24" s="15">
        <f>COUNTIF('Tổng hợp 75 trang đích'!$B$2:$B$2505,$D24)</f>
        <v>33</v>
      </c>
      <c r="F24" s="15">
        <f>COUNTIFS('Tổng hợp 75 trang đích'!$B$2:$B$2505,$D24,'Tổng hợp 75 trang đích'!$K$2:$K$2505,"PHÙ HỢP CAO")</f>
        <v>3</v>
      </c>
      <c r="G24" s="15">
        <f>COUNTIFS('Tổng hợp 75 trang đích'!$B$2:$B$2505,$D24,'Tổng hợp 75 trang đích'!$K$2:$K$2505,"CÓ THỂ ĐI")</f>
        <v>2</v>
      </c>
      <c r="H24" s="15">
        <f>COUNTIFS('Tổng hợp 75 trang đích'!$B$2:$B$2505,$D24,'Tổng hợp 75 trang đích'!$K$2:$K$2505,"CẦN SOÁT")</f>
        <v>28</v>
      </c>
      <c r="I24" s="19" t="s">
        <v>256</v>
      </c>
      <c r="J24" s="19" t="b">
        <v>0</v>
      </c>
      <c r="K24" s="20" t="s">
        <v>258</v>
      </c>
      <c r="L24" s="16" t="str">
        <f>IFERROR(__xludf.DUMMYFUNCTION("IFERROR(TOROW(CHOOSECOLS(SORT(FILTER({'Tổng hợp 75 trang đích'!$J$2:$J$2505,'Tổng hợp 75 trang đích'!$I$2:$I$2505,MATCH('Tổng hợp 75 trang đích'!$K$2:$K$2505,{""PHÙ HỢP CAO"",""CÓ THỂ ĐI"",""CẦN SOÁT""},0)},'Tổng hợp 75 trang đích'!$B$2:$B$2505=$D24),3,TR"&amp;"UE),1,2)),"""")"),"tên đăng nhập tài khoản ngân hàng")</f>
        <v>tên đăng nhập tài khoản ngân hàng</v>
      </c>
      <c r="M24" s="21" t="str">
        <f>IFERROR(__xludf.DUMMYFUNCTION("""COMPUTED_VALUE"""),"https://techcombank.com/thong-tin/blog/cach-doi-mat-khau-tai-khoan-ngan-hang")</f>
        <v>https://techcombank.com/thong-tin/blog/cach-doi-mat-khau-tai-khoan-ngan-hang</v>
      </c>
      <c r="N24" s="16" t="str">
        <f>IFERROR(__xludf.DUMMYFUNCTION("""COMPUTED_VALUE"""),"tên đăng nhập")</f>
        <v>tên đăng nhập</v>
      </c>
      <c r="O24" s="21" t="str">
        <f>IFERROR(__xludf.DUMMYFUNCTION("""COMPUTED_VALUE"""),"https://techcombank.com/thong-tin/blog/internet-banking")</f>
        <v>https://techcombank.com/thong-tin/blog/internet-banking</v>
      </c>
      <c r="P24" s="16" t="str">
        <f>IFERROR(__xludf.DUMMYFUNCTION("""COMPUTED_VALUE"""),"tên đăng nhập tài khoản ngân hàng")</f>
        <v>tên đăng nhập tài khoản ngân hàng</v>
      </c>
      <c r="Q24" s="21" t="str">
        <f>IFERROR(__xludf.DUMMYFUNCTION("""COMPUTED_VALUE"""),"https://techcombank.com/thong-tin/blog/cach-bao-ve-tai-khoan")</f>
        <v>https://techcombank.com/thong-tin/blog/cach-bao-ve-tai-khoan</v>
      </c>
      <c r="R24" s="16" t="str">
        <f>IFERROR(__xludf.DUMMYFUNCTION("""COMPUTED_VALUE"""),"tên đăng nhập")</f>
        <v>tên đăng nhập</v>
      </c>
      <c r="S24" s="21" t="str">
        <f>IFERROR(__xludf.DUMMYFUNCTION("""COMPUTED_VALUE"""),"https://techcombank.com/thong-tin/blog/smart-otp-la-gi")</f>
        <v>https://techcombank.com/thong-tin/blog/smart-otp-la-gi</v>
      </c>
      <c r="T24" s="16" t="str">
        <f>IFERROR(__xludf.DUMMYFUNCTION("""COMPUTED_VALUE"""),"tên đăng nhập tài khoản ngân hàng")</f>
        <v>tên đăng nhập tài khoản ngân hàng</v>
      </c>
      <c r="U24" s="21" t="str">
        <f>IFERROR(__xludf.DUMMYFUNCTION("""COMPUTED_VALUE"""),"https://techcombank.com/thong-tin/blog/mat-so-dien-thoai-dang-ky-tai-khoan-ngan-hang")</f>
        <v>https://techcombank.com/thong-tin/blog/mat-so-dien-thoai-dang-ky-tai-khoan-ngan-hang</v>
      </c>
      <c r="V24" s="16" t="str">
        <f>IFERROR(__xludf.DUMMYFUNCTION("""COMPUTED_VALUE"""),"tên đăng nhập")</f>
        <v>tên đăng nhập</v>
      </c>
      <c r="W24" s="21" t="str">
        <f>IFERROR(__xludf.DUMMYFUNCTION("""COMPUTED_VALUE"""),"https://techcombank.com/thong-tin/blog/gui-ma-qr-ngan-hang")</f>
        <v>https://techcombank.com/thong-tin/blog/gui-ma-qr-ngan-hang</v>
      </c>
      <c r="X24" s="16" t="str">
        <f>IFERROR(__xludf.DUMMYFUNCTION("""COMPUTED_VALUE"""),"tên đăng nhập tài khoản ngân hàng")</f>
        <v>tên đăng nhập tài khoản ngân hàng</v>
      </c>
      <c r="Y24" s="21" t="str">
        <f>IFERROR(__xludf.DUMMYFUNCTION("""COMPUTED_VALUE"""),"https://techcombank.com/thong-tin/blog/so-du-kha-dung")</f>
        <v>https://techcombank.com/thong-tin/blog/so-du-kha-dung</v>
      </c>
      <c r="Z24" s="16" t="str">
        <f>IFERROR(__xludf.DUMMYFUNCTION("""COMPUTED_VALUE"""),"tên đăng nhập")</f>
        <v>tên đăng nhập</v>
      </c>
      <c r="AA24" s="21" t="str">
        <f>IFERROR(__xludf.DUMMYFUNCTION("""COMPUTED_VALUE"""),"https://techcombank.com/thong-tin/blog/cach-kiem-tra-tai-khoan-ngan-hang-cua-cong-ty")</f>
        <v>https://techcombank.com/thong-tin/blog/cach-kiem-tra-tai-khoan-ngan-hang-cua-cong-ty</v>
      </c>
      <c r="AB24" s="16" t="str">
        <f>IFERROR(__xludf.DUMMYFUNCTION("""COMPUTED_VALUE"""),"tên đăng nhập tài khoản ngân hàng")</f>
        <v>tên đăng nhập tài khoản ngân hàng</v>
      </c>
      <c r="AC24" s="21" t="str">
        <f>IFERROR(__xludf.DUMMYFUNCTION("""COMPUTED_VALUE"""),"https://techcombank.com/thong-tin/blog/thanh-toan-ve-may-bay-online")</f>
        <v>https://techcombank.com/thong-tin/blog/thanh-toan-ve-may-bay-online</v>
      </c>
      <c r="AD24" s="16" t="str">
        <f>IFERROR(__xludf.DUMMYFUNCTION("""COMPUTED_VALUE"""),"tên đăng nhập")</f>
        <v>tên đăng nhập</v>
      </c>
      <c r="AE24" s="21" t="str">
        <f>IFERROR(__xludf.DUMMYFUNCTION("""COMPUTED_VALUE"""),"https://techcombank.com/thong-tin/blog/cach-lam-the-atm")</f>
        <v>https://techcombank.com/thong-tin/blog/cach-lam-the-atm</v>
      </c>
      <c r="AF24" s="16" t="str">
        <f>IFERROR(__xludf.DUMMYFUNCTION("""COMPUTED_VALUE"""),"tên đăng nhập tài khoản ngân hàng")</f>
        <v>tên đăng nhập tài khoản ngân hàng</v>
      </c>
      <c r="AG24" s="21" t="str">
        <f>IFERROR(__xludf.DUMMYFUNCTION("""COMPUTED_VALUE"""),"https://techcombank.com/thong-tin/blog/the-visa-co-can-mat-khau-khong")</f>
        <v>https://techcombank.com/thong-tin/blog/the-visa-co-can-mat-khau-khong</v>
      </c>
      <c r="AH24" s="16" t="str">
        <f>IFERROR(__xludf.DUMMYFUNCTION("""COMPUTED_VALUE"""),"tên đăng nhập")</f>
        <v>tên đăng nhập</v>
      </c>
      <c r="AI24" s="21" t="str">
        <f>IFERROR(__xludf.DUMMYFUNCTION("""COMPUTED_VALUE"""),"https://techcombank.com/thong-tin/blog/lo-so-tai-khoan-ngan-hang-co-sao-khong")</f>
        <v>https://techcombank.com/thong-tin/blog/lo-so-tai-khoan-ngan-hang-co-sao-khong</v>
      </c>
      <c r="AJ24" s="16" t="str">
        <f>IFERROR(__xludf.DUMMYFUNCTION("""COMPUTED_VALUE"""),"tên đăng nhập tài khoản ngân hàng")</f>
        <v>tên đăng nhập tài khoản ngân hàng</v>
      </c>
      <c r="AK24" s="21" t="str">
        <f>IFERROR(__xludf.DUMMYFUNCTION("""COMPUTED_VALUE"""),"https://techcombank.com/thong-tin/blog/lo-ma-qr-ngan-hang-co-sao-khong")</f>
        <v>https://techcombank.com/thong-tin/blog/lo-ma-qr-ngan-hang-co-sao-khong</v>
      </c>
      <c r="AL24" s="16" t="str">
        <f>IFERROR(__xludf.DUMMYFUNCTION("""COMPUTED_VALUE"""),"tên đăng nhập")</f>
        <v>tên đăng nhập</v>
      </c>
      <c r="AM24" s="21" t="str">
        <f>IFERROR(__xludf.DUMMYFUNCTION("""COMPUTED_VALUE"""),"https://techcombank.com/thong-tin/blog/ma-otp-la-gi")</f>
        <v>https://techcombank.com/thong-tin/blog/ma-otp-la-gi</v>
      </c>
      <c r="AN24" s="16" t="str">
        <f>IFERROR(__xludf.DUMMYFUNCTION("""COMPUTED_VALUE"""),"tên đăng nhập tài khoản ngân hàng")</f>
        <v>tên đăng nhập tài khoản ngân hàng</v>
      </c>
      <c r="AO24" s="21" t="str">
        <f>IFERROR(__xludf.DUMMYFUNCTION("""COMPUTED_VALUE"""),"https://techcombank.com/thong-tin/blog/ngan-hang-thu-huong-la-gi")</f>
        <v>https://techcombank.com/thong-tin/blog/ngan-hang-thu-huong-la-gi</v>
      </c>
      <c r="AP24" s="16" t="str">
        <f>IFERROR(__xludf.DUMMYFUNCTION("""COMPUTED_VALUE"""),"tên đăng nhập")</f>
        <v>tên đăng nhập</v>
      </c>
      <c r="AQ24" s="21" t="str">
        <f>IFERROR(__xludf.DUMMYFUNCTION("""COMPUTED_VALUE"""),"https://techcombank.com/thong-tin/blog/vay-ngan-hang-1-ty-moi-thang-tra-bao-nhieu")</f>
        <v>https://techcombank.com/thong-tin/blog/vay-ngan-hang-1-ty-moi-thang-tra-bao-nhieu</v>
      </c>
      <c r="AR24" s="16" t="str">
        <f>IFERROR(__xludf.DUMMYFUNCTION("""COMPUTED_VALUE"""),"tên đăng nhập tài khoản ngân hàng")</f>
        <v>tên đăng nhập tài khoản ngân hàng</v>
      </c>
      <c r="AS24" s="21" t="str">
        <f>IFERROR(__xludf.DUMMYFUNCTION("""COMPUTED_VALUE"""),"https://techcombank.com/thong-tin/blog/cach-thanh-toan-the-tin-dung")</f>
        <v>https://techcombank.com/thong-tin/blog/cach-thanh-toan-the-tin-dung</v>
      </c>
      <c r="AT24" s="16" t="str">
        <f>IFERROR(__xludf.DUMMYFUNCTION("""COMPUTED_VALUE"""),"tên đăng nhập")</f>
        <v>tên đăng nhập</v>
      </c>
      <c r="AU24" s="21" t="str">
        <f>IFERROR(__xludf.DUMMYFUNCTION("""COMPUTED_VALUE"""),"https://techcombank.com/thong-tin/blog/cach-gui-tiet-kiem-online")</f>
        <v>https://techcombank.com/thong-tin/blog/cach-gui-tiet-kiem-online</v>
      </c>
      <c r="AV24" s="16" t="str">
        <f>IFERROR(__xludf.DUMMYFUNCTION("""COMPUTED_VALUE"""),"tên đăng nhập tài khoản ngân hàng")</f>
        <v>tên đăng nhập tài khoản ngân hàng</v>
      </c>
      <c r="AW24" s="21" t="str">
        <f>IFERROR(__xludf.DUMMYFUNCTION("""COMPUTED_VALUE"""),"https://techcombank.com/thong-tin/blog/cach-nap-tien-vao-the-ghi-no")</f>
        <v>https://techcombank.com/thong-tin/blog/cach-nap-tien-vao-the-ghi-no</v>
      </c>
      <c r="AX24" s="16" t="str">
        <f>IFERROR(__xludf.DUMMYFUNCTION("""COMPUTED_VALUE"""),"tên đăng nhập")</f>
        <v>tên đăng nhập</v>
      </c>
      <c r="AY24" s="21" t="str">
        <f>IFERROR(__xludf.DUMMYFUNCTION("""COMPUTED_VALUE"""),"https://techcombank.com/thong-tin/blog/cach-khoa-the-ngan-hang")</f>
        <v>https://techcombank.com/thong-tin/blog/cach-khoa-the-ngan-hang</v>
      </c>
      <c r="AZ24" s="16" t="str">
        <f>IFERROR(__xludf.DUMMYFUNCTION("""COMPUTED_VALUE"""),"tên đăng nhập tài khoản ngân hàng")</f>
        <v>tên đăng nhập tài khoản ngân hàng</v>
      </c>
      <c r="BA24" s="21" t="str">
        <f>IFERROR(__xludf.DUMMYFUNCTION("""COMPUTED_VALUE"""),"https://techcombank.com/thong-tin/blog/thanh-toan-tien-dien-bang-the-tin-dung")</f>
        <v>https://techcombank.com/thong-tin/blog/thanh-toan-tien-dien-bang-the-tin-dung</v>
      </c>
      <c r="BB24" s="16" t="str">
        <f>IFERROR(__xludf.DUMMYFUNCTION("""COMPUTED_VALUE"""),"tên đăng nhập")</f>
        <v>tên đăng nhập</v>
      </c>
      <c r="BC24" s="21" t="str">
        <f>IFERROR(__xludf.DUMMYFUNCTION("""COMPUTED_VALUE"""),"https://techcombank.com/thong-tin/blog/thanh-toan-tra-gop-qua-the-tin-dung")</f>
        <v>https://techcombank.com/thong-tin/blog/thanh-toan-tra-gop-qua-the-tin-dung</v>
      </c>
      <c r="BD24" s="16" t="str">
        <f>IFERROR(__xludf.DUMMYFUNCTION("""COMPUTED_VALUE"""),"tên đăng nhập tài khoản ngân hàng")</f>
        <v>tên đăng nhập tài khoản ngân hàng</v>
      </c>
      <c r="BE24" s="21" t="str">
        <f>IFERROR(__xludf.DUMMYFUNCTION("""COMPUTED_VALUE"""),"https://techcombank.com/thong-tin/blog/tai-khoan-ngan-hang-bi-khoa")</f>
        <v>https://techcombank.com/thong-tin/blog/tai-khoan-ngan-hang-bi-khoa</v>
      </c>
      <c r="BF24" s="16" t="str">
        <f>IFERROR(__xludf.DUMMYFUNCTION("""COMPUTED_VALUE"""),"tên đăng nhập")</f>
        <v>tên đăng nhập</v>
      </c>
      <c r="BG24" s="21" t="str">
        <f>IFERROR(__xludf.DUMMYFUNCTION("""COMPUTED_VALUE"""),"https://techcombank.com/thong-tin/blog/cic-la-gi")</f>
        <v>https://techcombank.com/thong-tin/blog/cic-la-gi</v>
      </c>
      <c r="BH24" s="16" t="str">
        <f>IFERROR(__xludf.DUMMYFUNCTION("""COMPUTED_VALUE"""),"tên đăng nhập tài khoản ngân hàng")</f>
        <v>tên đăng nhập tài khoản ngân hàng</v>
      </c>
      <c r="BI24" s="21" t="str">
        <f>IFERROR(__xludf.DUMMYFUNCTION("""COMPUTED_VALUE"""),"https://techcombank.com/thong-tin/blog/thanh-toan-tien-nuoc-online")</f>
        <v>https://techcombank.com/thong-tin/blog/thanh-toan-tien-nuoc-online</v>
      </c>
      <c r="BJ24" s="16" t="str">
        <f>IFERROR(__xludf.DUMMYFUNCTION("""COMPUTED_VALUE"""),"tên đăng nhập")</f>
        <v>tên đăng nhập</v>
      </c>
      <c r="BK24" s="21" t="str">
        <f>IFERROR(__xludf.DUMMYFUNCTION("""COMPUTED_VALUE"""),"https://techcombank.com/thong-tin/blog/mobile-banking-la-gi")</f>
        <v>https://techcombank.com/thong-tin/blog/mobile-banking-la-gi</v>
      </c>
      <c r="BL24" s="16" t="str">
        <f>IFERROR(__xludf.DUMMYFUNCTION("""COMPUTED_VALUE"""),"tên đăng nhập tài khoản ngân hàng")</f>
        <v>tên đăng nhập tài khoản ngân hàng</v>
      </c>
      <c r="BM24" s="21" t="str">
        <f>IFERROR(__xludf.DUMMYFUNCTION("""COMPUTED_VALUE"""),"https://techcombank.com/thong-tin/blog/rui-ro-khi-gui-tiet-kiem-ngan-hang")</f>
        <v>https://techcombank.com/thong-tin/blog/rui-ro-khi-gui-tiet-kiem-ngan-hang</v>
      </c>
      <c r="BN24" s="16" t="str">
        <f>IFERROR(__xludf.DUMMYFUNCTION("""COMPUTED_VALUE"""),"tên đăng nhập")</f>
        <v>tên đăng nhập</v>
      </c>
      <c r="BO24" s="21" t="str">
        <f>IFERROR(__xludf.DUMMYFUNCTION("""COMPUTED_VALUE"""),"https://techcombank.com/thong-tin/blog/cach-kich-hoat-the-atm")</f>
        <v>https://techcombank.com/thong-tin/blog/cach-kich-hoat-the-atm</v>
      </c>
      <c r="BP24" s="16" t="str">
        <f>IFERROR(__xludf.DUMMYFUNCTION("""COMPUTED_VALUE"""),"tên đăng nhập tài khoản ngân hàng")</f>
        <v>tên đăng nhập tài khoản ngân hàng</v>
      </c>
      <c r="BQ24" s="21" t="str">
        <f>IFERROR(__xludf.DUMMYFUNCTION("""COMPUTED_VALUE"""),"https://techcombank.com/thong-tin/blog/thanh-toan-tra-sau-viettel-bang-tai-khoan-ngan-hang")</f>
        <v>https://techcombank.com/thong-tin/blog/thanh-toan-tra-sau-viettel-bang-tai-khoan-ngan-hang</v>
      </c>
      <c r="BR24" s="16" t="str">
        <f>IFERROR(__xludf.DUMMYFUNCTION("""COMPUTED_VALUE"""),"tên đăng nhập")</f>
        <v>tên đăng nhập</v>
      </c>
      <c r="BS24" s="21" t="str">
        <f>IFERROR(__xludf.DUMMYFUNCTION("""COMPUTED_VALUE"""),"https://techcombank.com/thong-tin/blog/thanh-toan-hoa-don-tieu-dung")</f>
        <v>https://techcombank.com/thong-tin/blog/thanh-toan-hoa-don-tieu-dung</v>
      </c>
      <c r="BT24" s="16" t="str">
        <f>IFERROR(__xludf.DUMMYFUNCTION("""COMPUTED_VALUE"""),"tên đăng nhập tài khoản ngân hàng")</f>
        <v>tên đăng nhập tài khoản ngân hàng</v>
      </c>
      <c r="BU24" s="21" t="str">
        <f>IFERROR(__xludf.DUMMYFUNCTION("""COMPUTED_VALUE"""),"https://techcombank.com/thong-tin/blog/cach-huy-thanh-toan-tien-dien")</f>
        <v>https://techcombank.com/thong-tin/blog/cach-huy-thanh-toan-tien-dien</v>
      </c>
      <c r="BV24" s="16" t="str">
        <f>IFERROR(__xludf.DUMMYFUNCTION("""COMPUTED_VALUE"""),"tên đăng nhập")</f>
        <v>tên đăng nhập</v>
      </c>
      <c r="BW24" s="21" t="str">
        <f>IFERROR(__xludf.DUMMYFUNCTION("""COMPUTED_VALUE"""),"https://techcombank.com/thong-tin/blog/the-ghi-no-co-chuyen-khoan-duoc-khong")</f>
        <v>https://techcombank.com/thong-tin/blog/the-ghi-no-co-chuyen-khoan-duoc-khong</v>
      </c>
      <c r="BX24" s="16" t="str">
        <f>IFERROR(__xludf.DUMMYFUNCTION("""COMPUTED_VALUE"""),"tên đăng nhập tài khoản ngân hàng")</f>
        <v>tên đăng nhập tài khoản ngân hàng</v>
      </c>
      <c r="BY24" s="21" t="str">
        <f>IFERROR(__xludf.DUMMYFUNCTION("""COMPUTED_VALUE"""),"https://techcombank.com/thong-tin/blog/sms-banking")</f>
        <v>https://techcombank.com/thong-tin/blog/sms-banking</v>
      </c>
      <c r="BZ24" s="16"/>
      <c r="CA24" s="16"/>
      <c r="CB24" s="16"/>
      <c r="CC24" s="16"/>
      <c r="CD24" s="16"/>
      <c r="CE24" s="16"/>
      <c r="CF24" s="16"/>
      <c r="CG24" s="16"/>
      <c r="CH24" s="16"/>
      <c r="CI24" s="16"/>
      <c r="CJ24" s="16"/>
      <c r="CK24" s="16"/>
      <c r="CL24" s="16"/>
      <c r="CM24" s="16"/>
      <c r="CN24" s="16"/>
      <c r="CO24" s="16"/>
      <c r="CP24" s="16"/>
      <c r="CQ24" s="16"/>
      <c r="CR24" s="16"/>
      <c r="CS24" s="16"/>
      <c r="CT24" s="16"/>
      <c r="CU24" s="16"/>
      <c r="CV24" s="16"/>
      <c r="CW24" s="16"/>
      <c r="CX24" s="16"/>
      <c r="CY24" s="16"/>
      <c r="CZ24" s="16"/>
      <c r="DA24" s="16"/>
      <c r="DB24" s="16"/>
      <c r="DC24" s="16"/>
      <c r="DD24" s="16"/>
      <c r="DE24" s="16"/>
      <c r="DF24" s="16"/>
      <c r="DG24" s="16"/>
      <c r="DH24" s="16"/>
      <c r="DI24" s="16"/>
      <c r="DJ24" s="16"/>
      <c r="DK24" s="16"/>
      <c r="DL24" s="16"/>
      <c r="DM24" s="16"/>
      <c r="DN24" s="16"/>
      <c r="DO24" s="16"/>
      <c r="DP24" s="16"/>
      <c r="DQ24" s="16"/>
      <c r="DR24" s="16"/>
      <c r="DS24" s="16"/>
      <c r="DT24" s="16"/>
      <c r="DU24" s="16"/>
      <c r="DV24" s="16"/>
      <c r="DW24" s="16"/>
      <c r="DX24" s="16"/>
      <c r="DY24" s="16"/>
      <c r="DZ24" s="16"/>
      <c r="EA24" s="16"/>
      <c r="EB24" s="16"/>
      <c r="EC24" s="16"/>
      <c r="ED24" s="16"/>
      <c r="EE24" s="16"/>
      <c r="EF24" s="16"/>
      <c r="EG24" s="16"/>
      <c r="EH24" s="16"/>
      <c r="EI24" s="16"/>
      <c r="EJ24" s="16"/>
      <c r="EK24" s="16"/>
      <c r="EL24" s="16"/>
      <c r="EM24" s="16"/>
      <c r="EN24" s="16"/>
      <c r="EO24" s="16"/>
      <c r="EP24" s="16"/>
      <c r="EQ24" s="16"/>
      <c r="ER24" s="16"/>
      <c r="ES24" s="16"/>
      <c r="ET24" s="16"/>
      <c r="EU24" s="16"/>
      <c r="EV24" s="16"/>
      <c r="EW24" s="16"/>
      <c r="EX24" s="16"/>
      <c r="EY24" s="16"/>
      <c r="EZ24" s="16"/>
      <c r="FA24" s="16"/>
      <c r="FB24" s="16"/>
      <c r="FC24" s="16"/>
      <c r="FD24" s="16"/>
      <c r="FE24" s="16"/>
      <c r="FF24" s="16"/>
      <c r="FG24" s="16"/>
      <c r="FH24" s="16"/>
      <c r="FI24" s="16"/>
      <c r="FJ24" s="16"/>
      <c r="FK24" s="16"/>
      <c r="FL24" s="16"/>
      <c r="FM24" s="16"/>
      <c r="FN24" s="16"/>
      <c r="FO24" s="16"/>
      <c r="FP24" s="16"/>
      <c r="FQ24" s="16"/>
      <c r="FR24" s="16"/>
      <c r="FS24" s="16"/>
      <c r="FT24" s="16"/>
      <c r="FU24" s="16"/>
      <c r="FV24" s="16"/>
      <c r="FW24" s="16"/>
      <c r="FX24" s="16"/>
      <c r="FY24" s="16"/>
      <c r="FZ24" s="16"/>
      <c r="GA24" s="16"/>
      <c r="GB24" s="16"/>
      <c r="GC24" s="16"/>
      <c r="GD24" s="16"/>
      <c r="GE24" s="16"/>
      <c r="GF24" s="16"/>
      <c r="GG24" s="16"/>
      <c r="GH24" s="16"/>
      <c r="GI24" s="16"/>
      <c r="GJ24" s="16"/>
      <c r="GK24" s="16"/>
      <c r="GL24" s="16"/>
      <c r="GM24" s="16"/>
      <c r="GN24" s="16"/>
      <c r="GO24" s="16"/>
    </row>
    <row r="25" ht="18.0" customHeight="1">
      <c r="A25" s="15">
        <v>24.0</v>
      </c>
      <c r="B25" s="16" t="s">
        <v>557</v>
      </c>
      <c r="C25" s="17" t="s">
        <v>616</v>
      </c>
      <c r="D25" s="16" t="s">
        <v>283</v>
      </c>
      <c r="E25" s="15">
        <f>COUNTIF('Tổng hợp 75 trang đích'!$B$2:$B$2505,$D25)</f>
        <v>17</v>
      </c>
      <c r="F25" s="15">
        <f>COUNTIFS('Tổng hợp 75 trang đích'!$B$2:$B$2505,$D25,'Tổng hợp 75 trang đích'!$K$2:$K$2505,"PHÙ HỢP CAO")</f>
        <v>1</v>
      </c>
      <c r="G25" s="15">
        <f>COUNTIFS('Tổng hợp 75 trang đích'!$B$2:$B$2505,$D25,'Tổng hợp 75 trang đích'!$K$2:$K$2505,"CÓ THỂ ĐI")</f>
        <v>3</v>
      </c>
      <c r="H25" s="15">
        <f>COUNTIFS('Tổng hợp 75 trang đích'!$B$2:$B$2505,$D25,'Tổng hợp 75 trang đích'!$K$2:$K$2505,"CẦN SOÁT")</f>
        <v>13</v>
      </c>
      <c r="I25" s="19" t="s">
        <v>256</v>
      </c>
      <c r="J25" s="19" t="b">
        <v>0</v>
      </c>
      <c r="K25" s="20" t="s">
        <v>258</v>
      </c>
      <c r="L25" s="16" t="str">
        <f>IFERROR(__xludf.DUMMYFUNCTION("IFERROR(TOROW(CHOOSECOLS(SORT(FILTER({'Tổng hợp 75 trang đích'!$J$2:$J$2505,'Tổng hợp 75 trang đích'!$I$2:$I$2505,MATCH('Tổng hợp 75 trang đích'!$K$2:$K$2505,{""PHÙ HỢP CAO"",""CÓ THỂ ĐI"",""CẦN SOÁT""},0)},'Tổng hợp 75 trang đích'!$B$2:$B$2505=$D25),3,TR"&amp;"UE),1,2)),"""")"),"thuế thu nhập cá nhân")</f>
        <v>thuế thu nhập cá nhân</v>
      </c>
      <c r="M25" s="21" t="str">
        <f>IFERROR(__xludf.DUMMYFUNCTION("""COMPUTED_VALUE"""),"https://techcombank.com/thong-tin/blog/tien-chuyen-vao-tai-khoan-co-bi-tinh-thue-khong")</f>
        <v>https://techcombank.com/thong-tin/blog/tien-chuyen-vao-tai-khoan-co-bi-tinh-thue-khong</v>
      </c>
      <c r="N25" s="16" t="str">
        <f>IFERROR(__xludf.DUMMYFUNCTION("""COMPUTED_VALUE"""),"thuế TNCN")</f>
        <v>thuế TNCN</v>
      </c>
      <c r="O25" s="21" t="str">
        <f>IFERROR(__xludf.DUMMYFUNCTION("""COMPUTED_VALUE"""),"https://techcombank.com/thong-tin/blog/tra-cuu-no-thue-ca-nhan")</f>
        <v>https://techcombank.com/thong-tin/blog/tra-cuu-no-thue-ca-nhan</v>
      </c>
      <c r="P25" s="16" t="str">
        <f>IFERROR(__xludf.DUMMYFUNCTION("""COMPUTED_VALUE"""),"mức đóng thuế thu nhập cá nhân")</f>
        <v>mức đóng thuế thu nhập cá nhân</v>
      </c>
      <c r="Q25" s="21" t="str">
        <f>IFERROR(__xludf.DUMMYFUNCTION("""COMPUTED_VALUE"""),"https://techcombank.com/thong-tin/blog/luong-huu")</f>
        <v>https://techcombank.com/thong-tin/blog/luong-huu</v>
      </c>
      <c r="R25" s="16" t="str">
        <f>IFERROR(__xludf.DUMMYFUNCTION("""COMPUTED_VALUE"""),"thuế thu nhập cá nhân")</f>
        <v>thuế thu nhập cá nhân</v>
      </c>
      <c r="S25" s="21" t="str">
        <f>IFERROR(__xludf.DUMMYFUNCTION("""COMPUTED_VALUE"""),"https://techcombank.com/thong-tin/blog/sao-ke-luong")</f>
        <v>https://techcombank.com/thong-tin/blog/sao-ke-luong</v>
      </c>
      <c r="T25" s="16" t="str">
        <f>IFERROR(__xludf.DUMMYFUNCTION("""COMPUTED_VALUE"""),"thuế TNCN")</f>
        <v>thuế TNCN</v>
      </c>
      <c r="U25" s="21" t="str">
        <f>IFERROR(__xludf.DUMMYFUNCTION("""COMPUTED_VALUE"""),"https://techcombank.com/thong-tin/blog/cach-tinh-thue-ho-kinh-doanh-nho-le")</f>
        <v>https://techcombank.com/thong-tin/blog/cach-tinh-thue-ho-kinh-doanh-nho-le</v>
      </c>
      <c r="V25" s="16" t="str">
        <f>IFERROR(__xludf.DUMMYFUNCTION("""COMPUTED_VALUE"""),"mức đóng thuế thu nhập cá nhân")</f>
        <v>mức đóng thuế thu nhập cá nhân</v>
      </c>
      <c r="W25" s="21" t="str">
        <f>IFERROR(__xludf.DUMMYFUNCTION("""COMPUTED_VALUE"""),"https://techcombank.com/thong-tin/blog/quyet-toan-thue-thu-nhap-ca-nhan")</f>
        <v>https://techcombank.com/thong-tin/blog/quyet-toan-thue-thu-nhap-ca-nhan</v>
      </c>
      <c r="X25" s="16" t="str">
        <f>IFERROR(__xludf.DUMMYFUNCTION("""COMPUTED_VALUE"""),"thuế thu nhập cá nhân")</f>
        <v>thuế thu nhập cá nhân</v>
      </c>
      <c r="Y25" s="21" t="str">
        <f>IFERROR(__xludf.DUMMYFUNCTION("""COMPUTED_VALUE"""),"https://techcombank.com/thong-tin/blog/hoan-thue-thu-nhap-ca-nhan")</f>
        <v>https://techcombank.com/thong-tin/blog/hoan-thue-thu-nhap-ca-nhan</v>
      </c>
      <c r="Z25" s="16" t="str">
        <f>IFERROR(__xludf.DUMMYFUNCTION("""COMPUTED_VALUE"""),"thuế TNCN")</f>
        <v>thuế TNCN</v>
      </c>
      <c r="AA25" s="21" t="str">
        <f>IFERROR(__xludf.DUMMYFUNCTION("""COMPUTED_VALUE"""),"https://techcombank.com/thong-tin/blog/nhung-ho-kinh-doanh-duoc-mien-thue")</f>
        <v>https://techcombank.com/thong-tin/blog/nhung-ho-kinh-doanh-duoc-mien-thue</v>
      </c>
      <c r="AB25" s="16" t="str">
        <f>IFERROR(__xludf.DUMMYFUNCTION("""COMPUTED_VALUE"""),"mức đóng thuế thu nhập cá nhân")</f>
        <v>mức đóng thuế thu nhập cá nhân</v>
      </c>
      <c r="AC25" s="21" t="str">
        <f>IFERROR(__xludf.DUMMYFUNCTION("""COMPUTED_VALUE"""),"https://techcombank.com/thong-tin/blog/app-tra-luong")</f>
        <v>https://techcombank.com/thong-tin/blog/app-tra-luong</v>
      </c>
      <c r="AD25" s="16" t="str">
        <f>IFERROR(__xludf.DUMMYFUNCTION("""COMPUTED_VALUE"""),"thuế thu nhập cá nhân")</f>
        <v>thuế thu nhập cá nhân</v>
      </c>
      <c r="AE25" s="21" t="str">
        <f>IFERROR(__xludf.DUMMYFUNCTION("""COMPUTED_VALUE"""),"https://techcombank.com/thong-tin/blog/ho-kinh-doanh-dong-thue-nhu-nao")</f>
        <v>https://techcombank.com/thong-tin/blog/ho-kinh-doanh-dong-thue-nhu-nao</v>
      </c>
      <c r="AF25" s="16" t="str">
        <f>IFERROR(__xludf.DUMMYFUNCTION("""COMPUTED_VALUE"""),"thuế TNCN")</f>
        <v>thuế TNCN</v>
      </c>
      <c r="AG25" s="21" t="str">
        <f>IFERROR(__xludf.DUMMYFUNCTION("""COMPUTED_VALUE"""),"https://techcombank.com/thong-tin/blog/chinh-sach-tang-luong-huu")</f>
        <v>https://techcombank.com/thong-tin/blog/chinh-sach-tang-luong-huu</v>
      </c>
      <c r="AH25" s="16" t="str">
        <f>IFERROR(__xludf.DUMMYFUNCTION("""COMPUTED_VALUE"""),"mức đóng thuế thu nhập cá nhân")</f>
        <v>mức đóng thuế thu nhập cá nhân</v>
      </c>
      <c r="AI25" s="21" t="str">
        <f>IFERROR(__xludf.DUMMYFUNCTION("""COMPUTED_VALUE"""),"https://techcombank.com/thong-tin/blog/dang-ky-ma-so-thue-ca-nhan")</f>
        <v>https://techcombank.com/thong-tin/blog/dang-ky-ma-so-thue-ca-nhan</v>
      </c>
      <c r="AJ25" s="16" t="str">
        <f>IFERROR(__xludf.DUMMYFUNCTION("""COMPUTED_VALUE"""),"thuế thu nhập cá nhân")</f>
        <v>thuế thu nhập cá nhân</v>
      </c>
      <c r="AK25" s="21" t="str">
        <f>IFERROR(__xludf.DUMMYFUNCTION("""COMPUTED_VALUE"""),"https://techcombank.com/thong-tin/blog/cach-tinh-thue-thu-nhap-ca-nhan-2025")</f>
        <v>https://techcombank.com/thong-tin/blog/cach-tinh-thue-thu-nhap-ca-nhan-2025</v>
      </c>
      <c r="AL25" s="16" t="str">
        <f>IFERROR(__xludf.DUMMYFUNCTION("""COMPUTED_VALUE"""),"thuế TNCN")</f>
        <v>thuế TNCN</v>
      </c>
      <c r="AM25" s="21" t="str">
        <f>IFERROR(__xludf.DUMMYFUNCTION("""COMPUTED_VALUE"""),"https://techcombank.com/thong-tin/blog/vay-the-chap-qua-luong")</f>
        <v>https://techcombank.com/thong-tin/blog/vay-the-chap-qua-luong</v>
      </c>
      <c r="AN25" s="16" t="str">
        <f>IFERROR(__xludf.DUMMYFUNCTION("""COMPUTED_VALUE"""),"mức đóng thuế thu nhập cá nhân")</f>
        <v>mức đóng thuế thu nhập cá nhân</v>
      </c>
      <c r="AO25" s="21" t="str">
        <f>IFERROR(__xludf.DUMMYFUNCTION("""COMPUTED_VALUE"""),"https://techcombank.com/thong-tin/blog/kiem-tra-thue-thu-nhap-ca-nhan")</f>
        <v>https://techcombank.com/thong-tin/blog/kiem-tra-thue-thu-nhap-ca-nhan</v>
      </c>
      <c r="AP25" s="16" t="str">
        <f>IFERROR(__xludf.DUMMYFUNCTION("""COMPUTED_VALUE"""),"thuế thu nhập cá nhân")</f>
        <v>thuế thu nhập cá nhân</v>
      </c>
      <c r="AQ25" s="21" t="str">
        <f>IFERROR(__xludf.DUMMYFUNCTION("""COMPUTED_VALUE"""),"https://techcombank.com/thong-tin/blog/chi-tra-luong-huu")</f>
        <v>https://techcombank.com/thong-tin/blog/chi-tra-luong-huu</v>
      </c>
      <c r="AR25" s="16" t="str">
        <f>IFERROR(__xludf.DUMMYFUNCTION("""COMPUTED_VALUE"""),"thuế TNCN")</f>
        <v>thuế TNCN</v>
      </c>
      <c r="AS25" s="21" t="str">
        <f>IFERROR(__xludf.DUMMYFUNCTION("""COMPUTED_VALUE"""),"https://techcombank.com/thong-tin/blog/hoc-cach-tiet-kiem-tien-luong")</f>
        <v>https://techcombank.com/thong-tin/blog/hoc-cach-tiet-kiem-tien-luong</v>
      </c>
      <c r="AT25" s="16"/>
      <c r="AU25" s="16"/>
      <c r="AV25" s="16"/>
      <c r="AW25" s="16"/>
      <c r="AX25" s="16"/>
      <c r="AY25" s="16"/>
      <c r="AZ25" s="16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16"/>
      <c r="BM25" s="16"/>
      <c r="BN25" s="16"/>
      <c r="BO25" s="16"/>
      <c r="BP25" s="16"/>
      <c r="BQ25" s="16"/>
      <c r="BR25" s="16"/>
      <c r="BS25" s="16"/>
      <c r="BT25" s="16"/>
      <c r="BU25" s="16"/>
      <c r="BV25" s="16"/>
      <c r="BW25" s="16"/>
      <c r="BX25" s="16"/>
      <c r="BY25" s="16"/>
      <c r="BZ25" s="16"/>
      <c r="CA25" s="16"/>
      <c r="CB25" s="16"/>
      <c r="CC25" s="16"/>
      <c r="CD25" s="16"/>
      <c r="CE25" s="16"/>
      <c r="CF25" s="16"/>
      <c r="CG25" s="16"/>
      <c r="CH25" s="16"/>
      <c r="CI25" s="16"/>
      <c r="CJ25" s="16"/>
      <c r="CK25" s="16"/>
      <c r="CL25" s="16"/>
      <c r="CM25" s="16"/>
      <c r="CN25" s="16"/>
      <c r="CO25" s="16"/>
      <c r="CP25" s="16"/>
      <c r="CQ25" s="16"/>
      <c r="CR25" s="16"/>
      <c r="CS25" s="16"/>
      <c r="CT25" s="16"/>
      <c r="CU25" s="16"/>
      <c r="CV25" s="16"/>
      <c r="CW25" s="16"/>
      <c r="CX25" s="16"/>
      <c r="CY25" s="16"/>
      <c r="CZ25" s="16"/>
      <c r="DA25" s="16"/>
      <c r="DB25" s="16"/>
      <c r="DC25" s="16"/>
      <c r="DD25" s="16"/>
      <c r="DE25" s="16"/>
      <c r="DF25" s="16"/>
      <c r="DG25" s="16"/>
      <c r="DH25" s="16"/>
      <c r="DI25" s="16"/>
      <c r="DJ25" s="16"/>
      <c r="DK25" s="16"/>
      <c r="DL25" s="16"/>
      <c r="DM25" s="16"/>
      <c r="DN25" s="16"/>
      <c r="DO25" s="16"/>
      <c r="DP25" s="16"/>
      <c r="DQ25" s="16"/>
      <c r="DR25" s="16"/>
      <c r="DS25" s="16"/>
      <c r="DT25" s="16"/>
      <c r="DU25" s="16"/>
      <c r="DV25" s="16"/>
      <c r="DW25" s="16"/>
      <c r="DX25" s="16"/>
      <c r="DY25" s="16"/>
      <c r="DZ25" s="16"/>
      <c r="EA25" s="16"/>
      <c r="EB25" s="16"/>
      <c r="EC25" s="16"/>
      <c r="ED25" s="16"/>
      <c r="EE25" s="16"/>
      <c r="EF25" s="16"/>
      <c r="EG25" s="16"/>
      <c r="EH25" s="16"/>
      <c r="EI25" s="16"/>
      <c r="EJ25" s="16"/>
      <c r="EK25" s="16"/>
      <c r="EL25" s="16"/>
      <c r="EM25" s="16"/>
      <c r="EN25" s="16"/>
      <c r="EO25" s="16"/>
      <c r="EP25" s="16"/>
      <c r="EQ25" s="16"/>
      <c r="ER25" s="16"/>
      <c r="ES25" s="16"/>
      <c r="ET25" s="16"/>
      <c r="EU25" s="16"/>
      <c r="EV25" s="16"/>
      <c r="EW25" s="16"/>
      <c r="EX25" s="16"/>
      <c r="EY25" s="16"/>
      <c r="EZ25" s="16"/>
      <c r="FA25" s="16"/>
      <c r="FB25" s="16"/>
      <c r="FC25" s="16"/>
      <c r="FD25" s="16"/>
      <c r="FE25" s="16"/>
      <c r="FF25" s="16"/>
      <c r="FG25" s="16"/>
      <c r="FH25" s="16"/>
      <c r="FI25" s="16"/>
      <c r="FJ25" s="16"/>
      <c r="FK25" s="16"/>
      <c r="FL25" s="16"/>
      <c r="FM25" s="16"/>
      <c r="FN25" s="16"/>
      <c r="FO25" s="16"/>
      <c r="FP25" s="16"/>
      <c r="FQ25" s="16"/>
      <c r="FR25" s="16"/>
      <c r="FS25" s="16"/>
      <c r="FT25" s="16"/>
      <c r="FU25" s="16"/>
      <c r="FV25" s="16"/>
      <c r="FW25" s="16"/>
      <c r="FX25" s="16"/>
      <c r="FY25" s="16"/>
      <c r="FZ25" s="16"/>
      <c r="GA25" s="16"/>
      <c r="GB25" s="16"/>
      <c r="GC25" s="16"/>
      <c r="GD25" s="16"/>
      <c r="GE25" s="16"/>
      <c r="GF25" s="16"/>
      <c r="GG25" s="16"/>
      <c r="GH25" s="16"/>
      <c r="GI25" s="16"/>
      <c r="GJ25" s="16"/>
      <c r="GK25" s="16"/>
      <c r="GL25" s="16"/>
      <c r="GM25" s="16"/>
      <c r="GN25" s="16"/>
      <c r="GO25" s="16"/>
    </row>
    <row r="26" ht="18.0" customHeight="1">
      <c r="A26" s="15">
        <v>25.0</v>
      </c>
      <c r="B26" s="16" t="s">
        <v>557</v>
      </c>
      <c r="C26" s="17" t="s">
        <v>791</v>
      </c>
      <c r="D26" s="16" t="s">
        <v>284</v>
      </c>
      <c r="E26" s="15">
        <f>COUNTIF('Tổng hợp 75 trang đích'!$B$2:$B$2505,$D26)</f>
        <v>58</v>
      </c>
      <c r="F26" s="15">
        <f>COUNTIFS('Tổng hợp 75 trang đích'!$B$2:$B$2505,$D26,'Tổng hợp 75 trang đích'!$K$2:$K$2505,"PHÙ HỢP CAO")</f>
        <v>3</v>
      </c>
      <c r="G26" s="15">
        <f>COUNTIFS('Tổng hợp 75 trang đích'!$B$2:$B$2505,$D26,'Tổng hợp 75 trang đích'!$K$2:$K$2505,"CÓ THỂ ĐI")</f>
        <v>2</v>
      </c>
      <c r="H26" s="15">
        <f>COUNTIFS('Tổng hợp 75 trang đích'!$B$2:$B$2505,$D26,'Tổng hợp 75 trang đích'!$K$2:$K$2505,"CẦN SOÁT")</f>
        <v>53</v>
      </c>
      <c r="I26" s="19" t="s">
        <v>256</v>
      </c>
      <c r="J26" s="19" t="b">
        <v>0</v>
      </c>
      <c r="K26" s="20" t="s">
        <v>258</v>
      </c>
      <c r="L26" s="16" t="str">
        <f>IFERROR(__xludf.DUMMYFUNCTION("IFERROR(TOROW(CHOOSECOLS(SORT(FILTER({'Tổng hợp 75 trang đích'!$J$2:$J$2505,'Tổng hợp 75 trang đích'!$I$2:$I$2505,MATCH('Tổng hợp 75 trang đích'!$K$2:$K$2505,{""PHÙ HỢP CAO"",""CÓ THỂ ĐI"",""CẦN SOÁT""},0)},'Tổng hợp 75 trang đích'!$B$2:$B$2505=$D26),3,TR"&amp;"UE),1,2)),"""")"),"rút tiền bằng mã QR")</f>
        <v>rút tiền bằng mã QR</v>
      </c>
      <c r="M26" s="21" t="str">
        <f>IFERROR(__xludf.DUMMYFUNCTION("""COMPUTED_VALUE"""),"https://techcombank.com/thong-tin/blog/rut-tien-bang-ma-qr-khac-ngan-hang-duoc-khong")</f>
        <v>https://techcombank.com/thong-tin/blog/rut-tien-bang-ma-qr-khac-ngan-hang-duoc-khong</v>
      </c>
      <c r="N26" s="16" t="str">
        <f>IFERROR(__xludf.DUMMYFUNCTION("""COMPUTED_VALUE"""),"cách rút tiền bằng mã QR")</f>
        <v>cách rút tiền bằng mã QR</v>
      </c>
      <c r="O26" s="21" t="str">
        <f>IFERROR(__xludf.DUMMYFUNCTION("""COMPUTED_VALUE"""),"https://techcombank.com/thong-tin/blog/cach-rut-tien-atm")</f>
        <v>https://techcombank.com/thong-tin/blog/cach-rut-tien-atm</v>
      </c>
      <c r="P26" s="16" t="str">
        <f>IFERROR(__xludf.DUMMYFUNCTION("""COMPUTED_VALUE"""),"rút tiền không cần thẻ")</f>
        <v>rút tiền không cần thẻ</v>
      </c>
      <c r="Q26" s="21" t="str">
        <f>IFERROR(__xludf.DUMMYFUNCTION("""COMPUTED_VALUE"""),"https://techcombank.com/thong-tin/blog/the-atm-khong-rut-duoc-tien")</f>
        <v>https://techcombank.com/thong-tin/blog/the-atm-khong-rut-duoc-tien</v>
      </c>
      <c r="R26" s="16" t="str">
        <f>IFERROR(__xludf.DUMMYFUNCTION("""COMPUTED_VALUE"""),"rút tiền bằng mã QR")</f>
        <v>rút tiền bằng mã QR</v>
      </c>
      <c r="S26" s="21" t="str">
        <f>IFERROR(__xludf.DUMMYFUNCTION("""COMPUTED_VALUE"""),"https://techcombank.com/thong-tin/blog/bi-nuot-the-atm-phai-lam-sao")</f>
        <v>https://techcombank.com/thong-tin/blog/bi-nuot-the-atm-phai-lam-sao</v>
      </c>
      <c r="T26" s="16" t="str">
        <f>IFERROR(__xludf.DUMMYFUNCTION("""COMPUTED_VALUE"""),"cách rút tiền bằng mã QR")</f>
        <v>cách rút tiền bằng mã QR</v>
      </c>
      <c r="U26" s="21" t="str">
        <f>IFERROR(__xludf.DUMMYFUNCTION("""COMPUTED_VALUE"""),"https://techcombank.com/thong-tin/blog/cay-atm-gan-day")</f>
        <v>https://techcombank.com/thong-tin/blog/cay-atm-gan-day</v>
      </c>
      <c r="V26" s="16" t="str">
        <f>IFERROR(__xludf.DUMMYFUNCTION("""COMPUTED_VALUE"""),"rút tiền không cần thẻ")</f>
        <v>rút tiền không cần thẻ</v>
      </c>
      <c r="W26" s="21" t="str">
        <f>IFERROR(__xludf.DUMMYFUNCTION("""COMPUTED_VALUE"""),"https://techcombank.com/thong-tin/blog/quet-ma-qr-techcombank")</f>
        <v>https://techcombank.com/thong-tin/blog/quet-ma-qr-techcombank</v>
      </c>
      <c r="X26" s="16" t="str">
        <f>IFERROR(__xludf.DUMMYFUNCTION("""COMPUTED_VALUE"""),"rút tiền bằng mã QR")</f>
        <v>rút tiền bằng mã QR</v>
      </c>
      <c r="Y26" s="21" t="str">
        <f>IFERROR(__xludf.DUMMYFUNCTION("""COMPUTED_VALUE"""),"https://techcombank.com/thong-tin/blog/gui-ma-qr-ngan-hang")</f>
        <v>https://techcombank.com/thong-tin/blog/gui-ma-qr-ngan-hang</v>
      </c>
      <c r="Z26" s="16" t="str">
        <f>IFERROR(__xludf.DUMMYFUNCTION("""COMPUTED_VALUE"""),"cách rút tiền bằng mã QR")</f>
        <v>cách rút tiền bằng mã QR</v>
      </c>
      <c r="AA26" s="21" t="str">
        <f>IFERROR(__xludf.DUMMYFUNCTION("""COMPUTED_VALUE"""),"https://techcombank.com/thong-tin/blog/cach-tao-ma-qr")</f>
        <v>https://techcombank.com/thong-tin/blog/cach-tao-ma-qr</v>
      </c>
      <c r="AB26" s="16" t="str">
        <f>IFERROR(__xludf.DUMMYFUNCTION("""COMPUTED_VALUE"""),"rút tiền không cần thẻ")</f>
        <v>rút tiền không cần thẻ</v>
      </c>
      <c r="AC26" s="21" t="str">
        <f>IFERROR(__xludf.DUMMYFUNCTION("""COMPUTED_VALUE"""),"https://techcombank.com/thong-tin/blog/tao-ma-qr-thanh-toan-cho-cua-hang")</f>
        <v>https://techcombank.com/thong-tin/blog/tao-ma-qr-thanh-toan-cho-cua-hang</v>
      </c>
      <c r="AD26" s="16" t="str">
        <f>IFERROR(__xludf.DUMMYFUNCTION("""COMPUTED_VALUE"""),"rút tiền bằng mã QR")</f>
        <v>rút tiền bằng mã QR</v>
      </c>
      <c r="AE26" s="21" t="str">
        <f>IFERROR(__xludf.DUMMYFUNCTION("""COMPUTED_VALUE"""),"https://techcombank.com/thong-tin/blog/pos")</f>
        <v>https://techcombank.com/thong-tin/blog/pos</v>
      </c>
      <c r="AF26" s="16" t="str">
        <f>IFERROR(__xludf.DUMMYFUNCTION("""COMPUTED_VALUE"""),"cách rút tiền bằng mã QR")</f>
        <v>cách rút tiền bằng mã QR</v>
      </c>
      <c r="AG26" s="21" t="str">
        <f>IFERROR(__xludf.DUMMYFUNCTION("""COMPUTED_VALUE"""),"https://techcombank.com/thong-tin/blog/softpos")</f>
        <v>https://techcombank.com/thong-tin/blog/softpos</v>
      </c>
      <c r="AH26" s="16" t="str">
        <f>IFERROR(__xludf.DUMMYFUNCTION("""COMPUTED_VALUE"""),"rút tiền không cần thẻ")</f>
        <v>rút tiền không cần thẻ</v>
      </c>
      <c r="AI26" s="21" t="str">
        <f>IFERROR(__xludf.DUMMYFUNCTION("""COMPUTED_VALUE"""),"https://techcombank.com/thong-tin/blog/ma-qr-ngan-hang-khong-hop-le")</f>
        <v>https://techcombank.com/thong-tin/blog/ma-qr-ngan-hang-khong-hop-le</v>
      </c>
      <c r="AJ26" s="16" t="str">
        <f>IFERROR(__xludf.DUMMYFUNCTION("""COMPUTED_VALUE"""),"rút tiền bằng mã QR")</f>
        <v>rút tiền bằng mã QR</v>
      </c>
      <c r="AK26" s="21" t="str">
        <f>IFERROR(__xludf.DUMMYFUNCTION("""COMPUTED_VALUE"""),"https://techcombank.com/thong-tin/blog/rut-tien-mat-tu-tai-khoan-doanh-nghiep")</f>
        <v>https://techcombank.com/thong-tin/blog/rut-tien-mat-tu-tai-khoan-doanh-nghiep</v>
      </c>
      <c r="AL26" s="16" t="str">
        <f>IFERROR(__xludf.DUMMYFUNCTION("""COMPUTED_VALUE"""),"cách rút tiền bằng mã QR")</f>
        <v>cách rút tiền bằng mã QR</v>
      </c>
      <c r="AM26" s="21" t="str">
        <f>IFERROR(__xludf.DUMMYFUNCTION("""COMPUTED_VALUE"""),"https://techcombank.com/thong-tin/blog/in-ma-qr-ngan-hang")</f>
        <v>https://techcombank.com/thong-tin/blog/in-ma-qr-ngan-hang</v>
      </c>
      <c r="AN26" s="16" t="str">
        <f>IFERROR(__xludf.DUMMYFUNCTION("""COMPUTED_VALUE"""),"rút tiền không cần thẻ")</f>
        <v>rút tiền không cần thẻ</v>
      </c>
      <c r="AO26" s="21" t="str">
        <f>IFERROR(__xludf.DUMMYFUNCTION("""COMPUTED_VALUE"""),"https://techcombank.com/thong-tin/blog/mm-yy-la-gi")</f>
        <v>https://techcombank.com/thong-tin/blog/mm-yy-la-gi</v>
      </c>
      <c r="AP26" s="16" t="str">
        <f>IFERROR(__xludf.DUMMYFUNCTION("""COMPUTED_VALUE"""),"rút tiền bằng mã QR")</f>
        <v>rút tiền bằng mã QR</v>
      </c>
      <c r="AQ26" s="21" t="str">
        <f>IFERROR(__xludf.DUMMYFUNCTION("""COMPUTED_VALUE"""),"https://techcombank.com/thong-tin/blog/cdm")</f>
        <v>https://techcombank.com/thong-tin/blog/cdm</v>
      </c>
      <c r="AR26" s="16" t="str">
        <f>IFERROR(__xludf.DUMMYFUNCTION("""COMPUTED_VALUE"""),"cách rút tiền bằng mã QR")</f>
        <v>cách rút tiền bằng mã QR</v>
      </c>
      <c r="AS26" s="21" t="str">
        <f>IFERROR(__xludf.DUMMYFUNCTION("""COMPUTED_VALUE"""),"https://techcombank.com/thong-tin/blog/ma-qr-lam-gia-duoc-khong")</f>
        <v>https://techcombank.com/thong-tin/blog/ma-qr-lam-gia-duoc-khong</v>
      </c>
      <c r="AT26" s="16" t="str">
        <f>IFERROR(__xludf.DUMMYFUNCTION("""COMPUTED_VALUE"""),"rút tiền không cần thẻ")</f>
        <v>rút tiền không cần thẻ</v>
      </c>
      <c r="AU26" s="21" t="str">
        <f>IFERROR(__xludf.DUMMYFUNCTION("""COMPUTED_VALUE"""),"https://techcombank.com/thong-tin/blog/ma-qr-techcombank")</f>
        <v>https://techcombank.com/thong-tin/blog/ma-qr-techcombank</v>
      </c>
      <c r="AV26" s="16" t="str">
        <f>IFERROR(__xludf.DUMMYFUNCTION("""COMPUTED_VALUE"""),"rút tiền bằng mã QR")</f>
        <v>rút tiền bằng mã QR</v>
      </c>
      <c r="AW26" s="21" t="str">
        <f>IFERROR(__xludf.DUMMYFUNCTION("""COMPUTED_VALUE"""),"https://techcombank.com/thong-tin/blog/so-sanh-ma-qr-va-ma-vach")</f>
        <v>https://techcombank.com/thong-tin/blog/so-sanh-ma-qr-va-ma-vach</v>
      </c>
      <c r="AX26" s="16" t="str">
        <f>IFERROR(__xludf.DUMMYFUNCTION("""COMPUTED_VALUE"""),"cách rút tiền bằng mã QR")</f>
        <v>cách rút tiền bằng mã QR</v>
      </c>
      <c r="AY26" s="21" t="str">
        <f>IFERROR(__xludf.DUMMYFUNCTION("""COMPUTED_VALUE"""),"https://techcombank.com/thong-tin/blog/cach-su-dung-tai-khoan-cong-ty")</f>
        <v>https://techcombank.com/thong-tin/blog/cach-su-dung-tai-khoan-cong-ty</v>
      </c>
      <c r="AZ26" s="16" t="str">
        <f>IFERROR(__xludf.DUMMYFUNCTION("""COMPUTED_VALUE"""),"rút tiền không cần thẻ")</f>
        <v>rút tiền không cần thẻ</v>
      </c>
      <c r="BA26" s="21" t="str">
        <f>IFERROR(__xludf.DUMMYFUNCTION("""COMPUTED_VALUE"""),"https://techcombank.com/thong-tin/blog/qr-code-doanh-nghiep")</f>
        <v>https://techcombank.com/thong-tin/blog/qr-code-doanh-nghiep</v>
      </c>
      <c r="BB26" s="16" t="str">
        <f>IFERROR(__xludf.DUMMYFUNCTION("""COMPUTED_VALUE"""),"rút tiền bằng mã QR")</f>
        <v>rút tiền bằng mã QR</v>
      </c>
      <c r="BC26" s="21" t="str">
        <f>IFERROR(__xludf.DUMMYFUNCTION("""COMPUTED_VALUE"""),"https://techcombank.com/thong-tin/blog/thanh-toan-bang-ma-qr")</f>
        <v>https://techcombank.com/thong-tin/blog/thanh-toan-bang-ma-qr</v>
      </c>
      <c r="BD26" s="16" t="str">
        <f>IFERROR(__xludf.DUMMYFUNCTION("""COMPUTED_VALUE"""),"cách rút tiền bằng mã QR")</f>
        <v>cách rút tiền bằng mã QR</v>
      </c>
      <c r="BE26" s="21" t="str">
        <f>IFERROR(__xludf.DUMMYFUNCTION("""COMPUTED_VALUE"""),"https://techcombank.com/thong-tin/blog/lam-ma-qr-ngan-hang-co-mat-phi-khong")</f>
        <v>https://techcombank.com/thong-tin/blog/lam-ma-qr-ngan-hang-co-mat-phi-khong</v>
      </c>
      <c r="BF26" s="16" t="str">
        <f>IFERROR(__xludf.DUMMYFUNCTION("""COMPUTED_VALUE"""),"rút tiền không cần thẻ")</f>
        <v>rút tiền không cần thẻ</v>
      </c>
      <c r="BG26" s="21" t="str">
        <f>IFERROR(__xludf.DUMMYFUNCTION("""COMPUTED_VALUE"""),"https://techcombank.com/thong-tin/blog/cach-tao-ma-qr-code-mien-phi")</f>
        <v>https://techcombank.com/thong-tin/blog/cach-tao-ma-qr-code-mien-phi</v>
      </c>
      <c r="BH26" s="16" t="str">
        <f>IFERROR(__xludf.DUMMYFUNCTION("""COMPUTED_VALUE"""),"rút tiền bằng mã QR")</f>
        <v>rút tiền bằng mã QR</v>
      </c>
      <c r="BI26" s="21" t="str">
        <f>IFERROR(__xludf.DUMMYFUNCTION("""COMPUTED_VALUE"""),"https://techcombank.com/thong-tin/blog/qr-dong")</f>
        <v>https://techcombank.com/thong-tin/blog/qr-dong</v>
      </c>
      <c r="BJ26" s="16" t="str">
        <f>IFERROR(__xludf.DUMMYFUNCTION("""COMPUTED_VALUE"""),"cách rút tiền bằng mã QR")</f>
        <v>cách rút tiền bằng mã QR</v>
      </c>
      <c r="BK26" s="21" t="str">
        <f>IFERROR(__xludf.DUMMYFUNCTION("""COMPUTED_VALUE"""),"https://techcombank.com/thong-tin/blog/lam-the-atm-co-mat-phi-khong")</f>
        <v>https://techcombank.com/thong-tin/blog/lam-the-atm-co-mat-phi-khong</v>
      </c>
      <c r="BL26" s="16" t="str">
        <f>IFERROR(__xludf.DUMMYFUNCTION("""COMPUTED_VALUE"""),"rút tiền không cần thẻ")</f>
        <v>rút tiền không cần thẻ</v>
      </c>
      <c r="BM26" s="21" t="str">
        <f>IFERROR(__xludf.DUMMYFUNCTION("""COMPUTED_VALUE"""),"https://techcombank.com/thong-tin/blog/nap-tien-vao-tai-khoan-ngan-hang")</f>
        <v>https://techcombank.com/thong-tin/blog/nap-tien-vao-tai-khoan-ngan-hang</v>
      </c>
      <c r="BN26" s="16" t="str">
        <f>IFERROR(__xludf.DUMMYFUNCTION("""COMPUTED_VALUE"""),"rút tiền bằng mã QR")</f>
        <v>rút tiền bằng mã QR</v>
      </c>
      <c r="BO26" s="21" t="str">
        <f>IFERROR(__xludf.DUMMYFUNCTION("""COMPUTED_VALUE"""),"https://techcombank.com/thong-tin/blog/thanh-toan-ma-qr-tro-thanh-phuong-thuc-duoc-ua-chuong-va-trien-khai-manh-me")</f>
        <v>https://techcombank.com/thong-tin/blog/thanh-toan-ma-qr-tro-thanh-phuong-thuc-duoc-ua-chuong-va-trien-khai-manh-me</v>
      </c>
      <c r="BP26" s="16" t="str">
        <f>IFERROR(__xludf.DUMMYFUNCTION("""COMPUTED_VALUE"""),"cách rút tiền bằng mã QR")</f>
        <v>cách rút tiền bằng mã QR</v>
      </c>
      <c r="BQ26" s="21" t="str">
        <f>IFERROR(__xludf.DUMMYFUNCTION("""COMPUTED_VALUE"""),"https://techcombank.com/thong-tin/blog/cach-lam-the-atm")</f>
        <v>https://techcombank.com/thong-tin/blog/cach-lam-the-atm</v>
      </c>
      <c r="BR26" s="16" t="str">
        <f>IFERROR(__xludf.DUMMYFUNCTION("""COMPUTED_VALUE"""),"rút tiền không cần thẻ")</f>
        <v>rút tiền không cần thẻ</v>
      </c>
      <c r="BS26" s="21" t="str">
        <f>IFERROR(__xludf.DUMMYFUNCTION("""COMPUTED_VALUE"""),"https://techcombank.com/thong-tin/blog/tra-cuu-han-muc-the-tin-dung")</f>
        <v>https://techcombank.com/thong-tin/blog/tra-cuu-han-muc-the-tin-dung</v>
      </c>
      <c r="BT26" s="16" t="str">
        <f>IFERROR(__xludf.DUMMYFUNCTION("""COMPUTED_VALUE"""),"rút tiền bằng mã QR")</f>
        <v>rút tiền bằng mã QR</v>
      </c>
      <c r="BU26" s="21" t="str">
        <f>IFERROR(__xludf.DUMMYFUNCTION("""COMPUTED_VALUE"""),"https://techcombank.com/thong-tin/blog/the-visa-de-lam-gi")</f>
        <v>https://techcombank.com/thong-tin/blog/the-visa-de-lam-gi</v>
      </c>
      <c r="BV26" s="16" t="str">
        <f>IFERROR(__xludf.DUMMYFUNCTION("""COMPUTED_VALUE"""),"cách rút tiền bằng mã QR")</f>
        <v>cách rút tiền bằng mã QR</v>
      </c>
      <c r="BW26" s="21" t="str">
        <f>IFERROR(__xludf.DUMMYFUNCTION("""COMPUTED_VALUE"""),"https://techcombank.com/thong-tin/blog/lo-ma-qr-ngan-hang-co-sao-khong")</f>
        <v>https://techcombank.com/thong-tin/blog/lo-ma-qr-ngan-hang-co-sao-khong</v>
      </c>
      <c r="BX26" s="16" t="str">
        <f>IFERROR(__xludf.DUMMYFUNCTION("""COMPUTED_VALUE"""),"rút tiền không cần thẻ")</f>
        <v>rút tiền không cần thẻ</v>
      </c>
      <c r="BY26" s="21" t="str">
        <f>IFERROR(__xludf.DUMMYFUNCTION("""COMPUTED_VALUE"""),"https://techcombank.com/thong-tin/blog/lam-the-atm-bao-lau-co")</f>
        <v>https://techcombank.com/thong-tin/blog/lam-the-atm-bao-lau-co</v>
      </c>
      <c r="BZ26" s="16" t="str">
        <f>IFERROR(__xludf.DUMMYFUNCTION("""COMPUTED_VALUE"""),"rút tiền bằng mã QR")</f>
        <v>rút tiền bằng mã QR</v>
      </c>
      <c r="CA26" s="21" t="str">
        <f>IFERROR(__xludf.DUMMYFUNCTION("""COMPUTED_VALUE"""),"https://techcombank.com/thong-tin/blog/phi-rut-tien-mat-the-tin-dung")</f>
        <v>https://techcombank.com/thong-tin/blog/phi-rut-tien-mat-the-tin-dung</v>
      </c>
      <c r="CB26" s="16" t="str">
        <f>IFERROR(__xludf.DUMMYFUNCTION("""COMPUTED_VALUE"""),"cách rút tiền bằng mã QR")</f>
        <v>cách rút tiền bằng mã QR</v>
      </c>
      <c r="CC26" s="21" t="str">
        <f>IFERROR(__xludf.DUMMYFUNCTION("""COMPUTED_VALUE"""),"https://techcombank.com/thong-tin/blog/rut-tien-tiet-kiem-truoc-thoi-han")</f>
        <v>https://techcombank.com/thong-tin/blog/rut-tien-tiet-kiem-truoc-thoi-han</v>
      </c>
      <c r="CD26" s="16" t="str">
        <f>IFERROR(__xludf.DUMMYFUNCTION("""COMPUTED_VALUE"""),"rút tiền không cần thẻ")</f>
        <v>rút tiền không cần thẻ</v>
      </c>
      <c r="CE26" s="21" t="str">
        <f>IFERROR(__xludf.DUMMYFUNCTION("""COMPUTED_VALUE"""),"https://techcombank.com/thong-tin/blog/cach-thanh-toan-the-tin-dung")</f>
        <v>https://techcombank.com/thong-tin/blog/cach-thanh-toan-the-tin-dung</v>
      </c>
      <c r="CF26" s="16" t="str">
        <f>IFERROR(__xludf.DUMMYFUNCTION("""COMPUTED_VALUE"""),"rút tiền bằng mã QR")</f>
        <v>rút tiền bằng mã QR</v>
      </c>
      <c r="CG26" s="21" t="str">
        <f>IFERROR(__xludf.DUMMYFUNCTION("""COMPUTED_VALUE"""),"https://techcombank.com/thong-tin/blog/qr-code-phuong-thuc-thanh-toan-toi-uu-trong-ky-nguyen-so")</f>
        <v>https://techcombank.com/thong-tin/blog/qr-code-phuong-thuc-thanh-toan-toi-uu-trong-ky-nguyen-so</v>
      </c>
      <c r="CH26" s="16" t="str">
        <f>IFERROR(__xludf.DUMMYFUNCTION("""COMPUTED_VALUE"""),"cách rút tiền bằng mã QR")</f>
        <v>cách rút tiền bằng mã QR</v>
      </c>
      <c r="CI26" s="21" t="str">
        <f>IFERROR(__xludf.DUMMYFUNCTION("""COMPUTED_VALUE"""),"https://techcombank.com/thong-tin/blog/the-atm-gan-chip")</f>
        <v>https://techcombank.com/thong-tin/blog/the-atm-gan-chip</v>
      </c>
      <c r="CJ26" s="16" t="str">
        <f>IFERROR(__xludf.DUMMYFUNCTION("""COMPUTED_VALUE"""),"rút tiền không cần thẻ")</f>
        <v>rút tiền không cần thẻ</v>
      </c>
      <c r="CK26" s="21" t="str">
        <f>IFERROR(__xludf.DUMMYFUNCTION("""COMPUTED_VALUE"""),"https://techcombank.com/thong-tin/blog/cach-chuyen-khoan-bang-dien-thoai")</f>
        <v>https://techcombank.com/thong-tin/blog/cach-chuyen-khoan-bang-dien-thoai</v>
      </c>
      <c r="CL26" s="16" t="str">
        <f>IFERROR(__xludf.DUMMYFUNCTION("""COMPUTED_VALUE"""),"rút tiền bằng mã QR")</f>
        <v>rút tiền bằng mã QR</v>
      </c>
      <c r="CM26" s="21" t="str">
        <f>IFERROR(__xludf.DUMMYFUNCTION("""COMPUTED_VALUE"""),"https://techcombank.com/thong-tin/blog/ma-pin-the-atm")</f>
        <v>https://techcombank.com/thong-tin/blog/ma-pin-the-atm</v>
      </c>
      <c r="CN26" s="16" t="str">
        <f>IFERROR(__xludf.DUMMYFUNCTION("""COMPUTED_VALUE"""),"cách rút tiền bằng mã QR")</f>
        <v>cách rút tiền bằng mã QR</v>
      </c>
      <c r="CO26" s="21" t="str">
        <f>IFERROR(__xludf.DUMMYFUNCTION("""COMPUTED_VALUE"""),"https://techcombank.com/thong-tin/blog/the-tin-dung-la-gi")</f>
        <v>https://techcombank.com/thong-tin/blog/the-tin-dung-la-gi</v>
      </c>
      <c r="CP26" s="16" t="str">
        <f>IFERROR(__xludf.DUMMYFUNCTION("""COMPUTED_VALUE"""),"rút tiền không cần thẻ")</f>
        <v>rút tiền không cần thẻ</v>
      </c>
      <c r="CQ26" s="21" t="str">
        <f>IFERROR(__xludf.DUMMYFUNCTION("""COMPUTED_VALUE"""),"https://techcombank.com/thong-tin/blog/cach-su-dung-the-tin-dung")</f>
        <v>https://techcombank.com/thong-tin/blog/cach-su-dung-the-tin-dung</v>
      </c>
      <c r="CR26" s="16" t="str">
        <f>IFERROR(__xludf.DUMMYFUNCTION("""COMPUTED_VALUE"""),"rút tiền bằng mã QR")</f>
        <v>rút tiền bằng mã QR</v>
      </c>
      <c r="CS26" s="21" t="str">
        <f>IFERROR(__xludf.DUMMYFUNCTION("""COMPUTED_VALUE"""),"https://techcombank.com/thong-tin/blog/1-nguoi-co-the-lam-duoc-bao-nhieu-the-atm")</f>
        <v>https://techcombank.com/thong-tin/blog/1-nguoi-co-the-lam-duoc-bao-nhieu-the-atm</v>
      </c>
      <c r="CT26" s="16" t="str">
        <f>IFERROR(__xludf.DUMMYFUNCTION("""COMPUTED_VALUE"""),"cách rút tiền bằng mã QR")</f>
        <v>cách rút tiền bằng mã QR</v>
      </c>
      <c r="CU26" s="21" t="str">
        <f>IFERROR(__xludf.DUMMYFUNCTION("""COMPUTED_VALUE"""),"https://techcombank.com/thong-tin/blog/cach-kich-hoat-the-atm")</f>
        <v>https://techcombank.com/thong-tin/blog/cach-kich-hoat-the-atm</v>
      </c>
      <c r="CV26" s="16" t="str">
        <f>IFERROR(__xludf.DUMMYFUNCTION("""COMPUTED_VALUE"""),"rút tiền không cần thẻ")</f>
        <v>rút tiền không cần thẻ</v>
      </c>
      <c r="CW26" s="21" t="str">
        <f>IFERROR(__xludf.DUMMYFUNCTION("""COMPUTED_VALUE"""),"https://techcombank.com/thong-tin/blog/rut-tien-bao-hiem-nhan-tho-khi-het-han")</f>
        <v>https://techcombank.com/thong-tin/blog/rut-tien-bao-hiem-nhan-tho-khi-het-han</v>
      </c>
      <c r="CX26" s="16" t="str">
        <f>IFERROR(__xludf.DUMMYFUNCTION("""COMPUTED_VALUE"""),"rút tiền bằng mã QR")</f>
        <v>rút tiền bằng mã QR</v>
      </c>
      <c r="CY26" s="21" t="str">
        <f>IFERROR(__xludf.DUMMYFUNCTION("""COMPUTED_VALUE"""),"https://techcombank.com/thong-tin/blog/cach-su-dung-the-visa-techcombank")</f>
        <v>https://techcombank.com/thong-tin/blog/cach-su-dung-the-visa-techcombank</v>
      </c>
      <c r="CZ26" s="16" t="str">
        <f>IFERROR(__xludf.DUMMYFUNCTION("""COMPUTED_VALUE"""),"cách rút tiền bằng mã QR")</f>
        <v>cách rút tiền bằng mã QR</v>
      </c>
      <c r="DA26" s="21" t="str">
        <f>IFERROR(__xludf.DUMMYFUNCTION("""COMPUTED_VALUE"""),"https://techcombank.com/thong-tin/blog/atm-la-gi")</f>
        <v>https://techcombank.com/thong-tin/blog/atm-la-gi</v>
      </c>
      <c r="DB26" s="16" t="str">
        <f>IFERROR(__xludf.DUMMYFUNCTION("""COMPUTED_VALUE"""),"rút tiền không cần thẻ")</f>
        <v>rút tiền không cần thẻ</v>
      </c>
      <c r="DC26" s="21" t="str">
        <f>IFERROR(__xludf.DUMMYFUNCTION("""COMPUTED_VALUE"""),"https://techcombank.com/thong-tin/blog/1-cmnd-dang-ky-duoc-may-tai-khoan-ngan-hang")</f>
        <v>https://techcombank.com/thong-tin/blog/1-cmnd-dang-ky-duoc-may-tai-khoan-ngan-hang</v>
      </c>
      <c r="DD26" s="16" t="str">
        <f>IFERROR(__xludf.DUMMYFUNCTION("""COMPUTED_VALUE"""),"rút tiền bằng mã QR")</f>
        <v>rút tiền bằng mã QR</v>
      </c>
      <c r="DE26" s="21" t="str">
        <f>IFERROR(__xludf.DUMMYFUNCTION("""COMPUTED_VALUE"""),"https://techcombank.com/thong-tin/blog/chuyen-doi-the-atm")</f>
        <v>https://techcombank.com/thong-tin/blog/chuyen-doi-the-atm</v>
      </c>
      <c r="DF26" s="16" t="str">
        <f>IFERROR(__xludf.DUMMYFUNCTION("""COMPUTED_VALUE"""),"cách rút tiền bằng mã QR")</f>
        <v>cách rút tiền bằng mã QR</v>
      </c>
      <c r="DG26" s="21" t="str">
        <f>IFERROR(__xludf.DUMMYFUNCTION("""COMPUTED_VALUE"""),"https://techcombank.com/thong-tin/blog/so-du-tien-gui-la-gi")</f>
        <v>https://techcombank.com/thong-tin/blog/so-du-tien-gui-la-gi</v>
      </c>
      <c r="DH26" s="16" t="str">
        <f>IFERROR(__xludf.DUMMYFUNCTION("""COMPUTED_VALUE"""),"rút tiền không cần thẻ")</f>
        <v>rút tiền không cần thẻ</v>
      </c>
      <c r="DI26" s="21" t="str">
        <f>IFERROR(__xludf.DUMMYFUNCTION("""COMPUTED_VALUE"""),"https://techcombank.com/thong-tin/blog/rut-tien-mat-tu-the-tin-dung")</f>
        <v>https://techcombank.com/thong-tin/blog/rut-tien-mat-tu-the-tin-dung</v>
      </c>
      <c r="DJ26" s="16" t="str">
        <f>IFERROR(__xludf.DUMMYFUNCTION("""COMPUTED_VALUE"""),"rút tiền bằng mã QR")</f>
        <v>rút tiền bằng mã QR</v>
      </c>
      <c r="DK26" s="21" t="str">
        <f>IFERROR(__xludf.DUMMYFUNCTION("""COMPUTED_VALUE"""),"https://techcombank.com/thong-tin/blog/the-atm-tu")</f>
        <v>https://techcombank.com/thong-tin/blog/the-atm-tu</v>
      </c>
      <c r="DL26" s="16" t="str">
        <f>IFERROR(__xludf.DUMMYFUNCTION("""COMPUTED_VALUE"""),"cách rút tiền bằng mã QR")</f>
        <v>cách rút tiền bằng mã QR</v>
      </c>
      <c r="DM26" s="21" t="str">
        <f>IFERROR(__xludf.DUMMYFUNCTION("""COMPUTED_VALUE"""),"https://techcombank.com/thong-tin/blog/cach-chuyen-tien")</f>
        <v>https://techcombank.com/thong-tin/blog/cach-chuyen-tien</v>
      </c>
      <c r="DN26" s="16" t="str">
        <f>IFERROR(__xludf.DUMMYFUNCTION("""COMPUTED_VALUE"""),"rút tiền không cần thẻ")</f>
        <v>rút tiền không cần thẻ</v>
      </c>
      <c r="DO26" s="21" t="str">
        <f>IFERROR(__xludf.DUMMYFUNCTION("""COMPUTED_VALUE"""),"https://techcombank.com/thong-tin/blog/the-visa-co-rut-tien-duoc-khong")</f>
        <v>https://techcombank.com/thong-tin/blog/the-visa-co-rut-tien-duoc-khong</v>
      </c>
      <c r="DP26" s="16" t="str">
        <f>IFERROR(__xludf.DUMMYFUNCTION("""COMPUTED_VALUE"""),"rút tiền bằng mã QR")</f>
        <v>rút tiền bằng mã QR</v>
      </c>
      <c r="DQ26" s="21" t="str">
        <f>IFERROR(__xludf.DUMMYFUNCTION("""COMPUTED_VALUE"""),"https://techcombank.com/thong-tin/blog/cach-su-dung-the-ghi-no")</f>
        <v>https://techcombank.com/thong-tin/blog/cach-su-dung-the-ghi-no</v>
      </c>
      <c r="DR26" s="16" t="str">
        <f>IFERROR(__xludf.DUMMYFUNCTION("""COMPUTED_VALUE"""),"cách rút tiền bằng mã QR")</f>
        <v>cách rút tiền bằng mã QR</v>
      </c>
      <c r="DS26" s="21" t="str">
        <f>IFERROR(__xludf.DUMMYFUNCTION("""COMPUTED_VALUE"""),"https://techcombank.com/thong-tin/blog/cach-chuyen-tien-qua-ma-qr-techcombank")</f>
        <v>https://techcombank.com/thong-tin/blog/cach-chuyen-tien-qua-ma-qr-techcombank</v>
      </c>
      <c r="DT26" s="16" t="str">
        <f>IFERROR(__xludf.DUMMYFUNCTION("""COMPUTED_VALUE"""),"rút tiền không cần thẻ")</f>
        <v>rút tiền không cần thẻ</v>
      </c>
      <c r="DU26" s="21" t="str">
        <f>IFERROR(__xludf.DUMMYFUNCTION("""COMPUTED_VALUE"""),"https://techcombank.com/thong-tin/blog/the-ghi-no-co-rut-tien-duoc-khong")</f>
        <v>https://techcombank.com/thong-tin/blog/the-ghi-no-co-rut-tien-duoc-khong</v>
      </c>
      <c r="DV26" s="16" t="str">
        <f>IFERROR(__xludf.DUMMYFUNCTION("""COMPUTED_VALUE"""),"rút tiền bằng mã QR")</f>
        <v>rút tiền bằng mã QR</v>
      </c>
      <c r="DW26" s="21" t="str">
        <f>IFERROR(__xludf.DUMMYFUNCTION("""COMPUTED_VALUE"""),"https://techcombank.com/thong-tin/blog/tien-gui-co-ky-han")</f>
        <v>https://techcombank.com/thong-tin/blog/tien-gui-co-ky-han</v>
      </c>
      <c r="DX26" s="16"/>
      <c r="DY26" s="16"/>
      <c r="DZ26" s="16"/>
      <c r="EA26" s="16"/>
      <c r="EB26" s="16"/>
      <c r="EC26" s="16"/>
      <c r="ED26" s="16"/>
      <c r="EE26" s="16"/>
      <c r="EF26" s="16"/>
      <c r="EG26" s="16"/>
      <c r="EH26" s="16"/>
      <c r="EI26" s="16"/>
      <c r="EJ26" s="16"/>
      <c r="EK26" s="16"/>
      <c r="EL26" s="16"/>
      <c r="EM26" s="16"/>
      <c r="EN26" s="16"/>
      <c r="EO26" s="16"/>
      <c r="EP26" s="16"/>
      <c r="EQ26" s="16"/>
      <c r="ER26" s="16"/>
      <c r="ES26" s="16"/>
      <c r="ET26" s="16"/>
      <c r="EU26" s="16"/>
      <c r="EV26" s="16"/>
      <c r="EW26" s="16"/>
      <c r="EX26" s="16"/>
      <c r="EY26" s="16"/>
      <c r="EZ26" s="16"/>
      <c r="FA26" s="16"/>
      <c r="FB26" s="16"/>
      <c r="FC26" s="16"/>
      <c r="FD26" s="16"/>
      <c r="FE26" s="16"/>
      <c r="FF26" s="16"/>
      <c r="FG26" s="16"/>
      <c r="FH26" s="16"/>
      <c r="FI26" s="16"/>
      <c r="FJ26" s="16"/>
      <c r="FK26" s="16"/>
      <c r="FL26" s="16"/>
      <c r="FM26" s="16"/>
      <c r="FN26" s="16"/>
      <c r="FO26" s="16"/>
      <c r="FP26" s="16"/>
      <c r="FQ26" s="16"/>
      <c r="FR26" s="16"/>
      <c r="FS26" s="16"/>
      <c r="FT26" s="16"/>
      <c r="FU26" s="16"/>
      <c r="FV26" s="16"/>
      <c r="FW26" s="16"/>
      <c r="FX26" s="16"/>
      <c r="FY26" s="16"/>
      <c r="FZ26" s="16"/>
      <c r="GA26" s="16"/>
      <c r="GB26" s="16"/>
      <c r="GC26" s="16"/>
      <c r="GD26" s="16"/>
      <c r="GE26" s="16"/>
      <c r="GF26" s="16"/>
      <c r="GG26" s="16"/>
      <c r="GH26" s="16"/>
      <c r="GI26" s="16"/>
      <c r="GJ26" s="16"/>
      <c r="GK26" s="16"/>
      <c r="GL26" s="16"/>
      <c r="GM26" s="16"/>
      <c r="GN26" s="16"/>
      <c r="GO26" s="16"/>
    </row>
    <row r="27" ht="18.0" customHeight="1">
      <c r="A27" s="15">
        <v>26.0</v>
      </c>
      <c r="B27" s="16" t="s">
        <v>557</v>
      </c>
      <c r="C27" s="17" t="s">
        <v>806</v>
      </c>
      <c r="D27" s="16" t="s">
        <v>286</v>
      </c>
      <c r="E27" s="15">
        <f>COUNTIF('Tổng hợp 75 trang đích'!$B$2:$B$2505,$D27)</f>
        <v>14</v>
      </c>
      <c r="F27" s="15">
        <f>COUNTIFS('Tổng hợp 75 trang đích'!$B$2:$B$2505,$D27,'Tổng hợp 75 trang đích'!$K$2:$K$2505,"PHÙ HỢP CAO")</f>
        <v>4</v>
      </c>
      <c r="G27" s="15">
        <f>COUNTIFS('Tổng hợp 75 trang đích'!$B$2:$B$2505,$D27,'Tổng hợp 75 trang đích'!$K$2:$K$2505,"CÓ THỂ ĐI")</f>
        <v>1</v>
      </c>
      <c r="H27" s="15">
        <f>COUNTIFS('Tổng hợp 75 trang đích'!$B$2:$B$2505,$D27,'Tổng hợp 75 trang đích'!$K$2:$K$2505,"CẦN SOÁT")</f>
        <v>9</v>
      </c>
      <c r="I27" s="19" t="s">
        <v>256</v>
      </c>
      <c r="J27" s="19" t="b">
        <v>0</v>
      </c>
      <c r="K27" s="20" t="s">
        <v>258</v>
      </c>
      <c r="L27" s="16" t="str">
        <f>IFERROR(__xludf.DUMMYFUNCTION("IFERROR(TOROW(CHOOSECOLS(SORT(FILTER({'Tổng hợp 75 trang đích'!$J$2:$J$2505,'Tổng hợp 75 trang đích'!$I$2:$I$2505,MATCH('Tổng hợp 75 trang đích'!$K$2:$K$2505,{""PHÙ HỢP CAO"",""CÓ THỂ ĐI"",""CẦN SOÁT""},0)},'Tổng hợp 75 trang đích'!$B$2:$B$2505=$D27),3,TR"&amp;"UE),1,2)),"""")"),"quét NFC CCCD trên iPhone")</f>
        <v>quét NFC CCCD trên iPhone</v>
      </c>
      <c r="M27" s="21" t="str">
        <f>IFERROR(__xludf.DUMMYFUNCTION("""COMPUTED_VALUE"""),"https://techcombank.com/thong-tin/blog/xac-thuc-sinh-trac-hoc-khi-chuyen-tien")</f>
        <v>https://techcombank.com/thong-tin/blog/xac-thuc-sinh-trac-hoc-khi-chuyen-tien</v>
      </c>
      <c r="N27" s="16" t="str">
        <f>IFERROR(__xludf.DUMMYFUNCTION("""COMPUTED_VALUE"""),"quét NFC CCCD")</f>
        <v>quét NFC CCCD</v>
      </c>
      <c r="O27" s="21" t="str">
        <f>IFERROR(__xludf.DUMMYFUNCTION("""COMPUTED_VALUE"""),"https://techcombank.com/thong-tin/blog/cach-lien-ket-tai-khoan-ngan-hang-voi-vneid")</f>
        <v>https://techcombank.com/thong-tin/blog/cach-lien-ket-tai-khoan-ngan-hang-voi-vneid</v>
      </c>
      <c r="P27" s="16" t="str">
        <f>IFERROR(__xludf.DUMMYFUNCTION("""COMPUTED_VALUE"""),"cách quét NFC căn cước")</f>
        <v>cách quét NFC căn cước</v>
      </c>
      <c r="Q27" s="21" t="str">
        <f>IFERROR(__xludf.DUMMYFUNCTION("""COMPUTED_VALUE"""),"https://techcombank.com/thong-tin/blog/ekyc-la-gi")</f>
        <v>https://techcombank.com/thong-tin/blog/ekyc-la-gi</v>
      </c>
      <c r="R27" s="16" t="str">
        <f>IFERROR(__xludf.DUMMYFUNCTION("""COMPUTED_VALUE"""),"quét NFC CCCD trên iPhone")</f>
        <v>quét NFC CCCD trên iPhone</v>
      </c>
      <c r="S27" s="21" t="str">
        <f>IFERROR(__xludf.DUMMYFUNCTION("""COMPUTED_VALUE"""),"https://techcombank.com/thong-tin/blog/cach-dang-ky-dinh-danh-muc-2")</f>
        <v>https://techcombank.com/thong-tin/blog/cach-dang-ky-dinh-danh-muc-2</v>
      </c>
      <c r="T27" s="16" t="str">
        <f>IFERROR(__xludf.DUMMYFUNCTION("""COMPUTED_VALUE"""),"quét NFC CCCD")</f>
        <v>quét NFC CCCD</v>
      </c>
      <c r="U27" s="21" t="str">
        <f>IFERROR(__xludf.DUMMYFUNCTION("""COMPUTED_VALUE"""),"https://techcombank.com/thong-tin/blog/mo-tai-khoan-ngan-hang-bang-so-dien-thoai")</f>
        <v>https://techcombank.com/thong-tin/blog/mo-tai-khoan-ngan-hang-bang-so-dien-thoai</v>
      </c>
      <c r="V27" s="16" t="str">
        <f>IFERROR(__xludf.DUMMYFUNCTION("""COMPUTED_VALUE"""),"cách quét NFC căn cước")</f>
        <v>cách quét NFC căn cước</v>
      </c>
      <c r="W27" s="21" t="str">
        <f>IFERROR(__xludf.DUMMYFUNCTION("""COMPUTED_VALUE"""),"https://techcombank.com/thong-tin/blog/tra-cuu-ma-so-thue-ho-kinh-doanh")</f>
        <v>https://techcombank.com/thong-tin/blog/tra-cuu-ma-so-thue-ho-kinh-doanh</v>
      </c>
      <c r="X27" s="16" t="str">
        <f>IFERROR(__xludf.DUMMYFUNCTION("""COMPUTED_VALUE"""),"quét NFC CCCD trên iPhone")</f>
        <v>quét NFC CCCD trên iPhone</v>
      </c>
      <c r="Y27" s="21" t="str">
        <f>IFERROR(__xludf.DUMMYFUNCTION("""COMPUTED_VALUE"""),"https://techcombank.com/thong-tin/blog/dang-ky-ma-so-thue-ca-nhan")</f>
        <v>https://techcombank.com/thong-tin/blog/dang-ky-ma-so-thue-ca-nhan</v>
      </c>
      <c r="Z27" s="16" t="str">
        <f>IFERROR(__xludf.DUMMYFUNCTION("""COMPUTED_VALUE"""),"quét NFC CCCD")</f>
        <v>quét NFC CCCD</v>
      </c>
      <c r="AA27" s="21" t="str">
        <f>IFERROR(__xludf.DUMMYFUNCTION("""COMPUTED_VALUE"""),"https://techcombank.com/thong-tin/blog/kiem-tra-no-xau")</f>
        <v>https://techcombank.com/thong-tin/blog/kiem-tra-no-xau</v>
      </c>
      <c r="AB27" s="16" t="str">
        <f>IFERROR(__xludf.DUMMYFUNCTION("""COMPUTED_VALUE"""),"cách quét NFC căn cước")</f>
        <v>cách quét NFC căn cước</v>
      </c>
      <c r="AC27" s="21" t="str">
        <f>IFERROR(__xludf.DUMMYFUNCTION("""COMPUTED_VALUE"""),"https://techcombank.com/thong-tin/blog/no-xau-la-gi")</f>
        <v>https://techcombank.com/thong-tin/blog/no-xau-la-gi</v>
      </c>
      <c r="AD27" s="16" t="str">
        <f>IFERROR(__xludf.DUMMYFUNCTION("""COMPUTED_VALUE"""),"quét NFC CCCD trên iPhone")</f>
        <v>quét NFC CCCD trên iPhone</v>
      </c>
      <c r="AE27" s="21" t="str">
        <f>IFERROR(__xludf.DUMMYFUNCTION("""COMPUTED_VALUE"""),"https://techcombank.com/thong-tin/blog/vay-ngan-hang-chi-can-cccd")</f>
        <v>https://techcombank.com/thong-tin/blog/vay-ngan-hang-chi-can-cccd</v>
      </c>
      <c r="AF27" s="16" t="str">
        <f>IFERROR(__xludf.DUMMYFUNCTION("""COMPUTED_VALUE"""),"quét NFC CCCD")</f>
        <v>quét NFC CCCD</v>
      </c>
      <c r="AG27" s="21" t="str">
        <f>IFERROR(__xludf.DUMMYFUNCTION("""COMPUTED_VALUE"""),"https://techcombank.com/thong-tin/blog/mo-the-tin-dung-chi-can-cccd")</f>
        <v>https://techcombank.com/thong-tin/blog/mo-the-tin-dung-chi-can-cccd</v>
      </c>
      <c r="AH27" s="16" t="str">
        <f>IFERROR(__xludf.DUMMYFUNCTION("""COMPUTED_VALUE"""),"cách quét NFC căn cước")</f>
        <v>cách quét NFC căn cước</v>
      </c>
      <c r="AI27" s="21" t="str">
        <f>IFERROR(__xludf.DUMMYFUNCTION("""COMPUTED_VALUE"""),"https://techcombank.com/thong-tin/blog/vay-50-trieu")</f>
        <v>https://techcombank.com/thong-tin/blog/vay-50-trieu</v>
      </c>
      <c r="AJ27" s="16" t="str">
        <f>IFERROR(__xludf.DUMMYFUNCTION("""COMPUTED_VALUE"""),"quét NFC CCCD trên iPhone")</f>
        <v>quét NFC CCCD trên iPhone</v>
      </c>
      <c r="AK27" s="21" t="str">
        <f>IFERROR(__xludf.DUMMYFUNCTION("""COMPUTED_VALUE"""),"https://techcombank.com/thong-tin/blog/1-cmnd-dang-ky-duoc-may-tai-khoan-ngan-hang")</f>
        <v>https://techcombank.com/thong-tin/blog/1-cmnd-dang-ky-duoc-may-tai-khoan-ngan-hang</v>
      </c>
      <c r="AL27" s="16" t="str">
        <f>IFERROR(__xludf.DUMMYFUNCTION("""COMPUTED_VALUE"""),"quét NFC CCCD")</f>
        <v>quét NFC CCCD</v>
      </c>
      <c r="AM27" s="21" t="str">
        <f>IFERROR(__xludf.DUMMYFUNCTION("""COMPUTED_VALUE"""),"https://techcombank.com/thong-tin/blog/app-vay-tien-nhanh")</f>
        <v>https://techcombank.com/thong-tin/blog/app-vay-tien-nhanh</v>
      </c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/>
      <c r="BF27" s="16"/>
      <c r="BG27" s="16"/>
      <c r="BH27" s="16"/>
      <c r="BI27" s="16"/>
      <c r="BJ27" s="16"/>
      <c r="BK27" s="16"/>
      <c r="BL27" s="16"/>
      <c r="BM27" s="16"/>
      <c r="BN27" s="16"/>
      <c r="BO27" s="16"/>
      <c r="BP27" s="16"/>
      <c r="BQ27" s="16"/>
      <c r="BR27" s="16"/>
      <c r="BS27" s="16"/>
      <c r="BT27" s="16"/>
      <c r="BU27" s="16"/>
      <c r="BV27" s="16"/>
      <c r="BW27" s="16"/>
      <c r="BX27" s="16"/>
      <c r="BY27" s="16"/>
      <c r="BZ27" s="16"/>
      <c r="CA27" s="16"/>
      <c r="CB27" s="16"/>
      <c r="CC27" s="16"/>
      <c r="CD27" s="16"/>
      <c r="CE27" s="16"/>
      <c r="CF27" s="16"/>
      <c r="CG27" s="16"/>
      <c r="CH27" s="16"/>
      <c r="CI27" s="16"/>
      <c r="CJ27" s="16"/>
      <c r="CK27" s="16"/>
      <c r="CL27" s="16"/>
      <c r="CM27" s="16"/>
      <c r="CN27" s="16"/>
      <c r="CO27" s="16"/>
      <c r="CP27" s="16"/>
      <c r="CQ27" s="16"/>
      <c r="CR27" s="16"/>
      <c r="CS27" s="16"/>
      <c r="CT27" s="16"/>
      <c r="CU27" s="16"/>
      <c r="CV27" s="16"/>
      <c r="CW27" s="16"/>
      <c r="CX27" s="16"/>
      <c r="CY27" s="16"/>
      <c r="CZ27" s="16"/>
      <c r="DA27" s="16"/>
      <c r="DB27" s="16"/>
      <c r="DC27" s="16"/>
      <c r="DD27" s="16"/>
      <c r="DE27" s="16"/>
      <c r="DF27" s="16"/>
      <c r="DG27" s="16"/>
      <c r="DH27" s="16"/>
      <c r="DI27" s="16"/>
      <c r="DJ27" s="16"/>
      <c r="DK27" s="16"/>
      <c r="DL27" s="16"/>
      <c r="DM27" s="16"/>
      <c r="DN27" s="16"/>
      <c r="DO27" s="16"/>
      <c r="DP27" s="16"/>
      <c r="DQ27" s="16"/>
      <c r="DR27" s="16"/>
      <c r="DS27" s="16"/>
      <c r="DT27" s="16"/>
      <c r="DU27" s="16"/>
      <c r="DV27" s="16"/>
      <c r="DW27" s="16"/>
      <c r="DX27" s="16"/>
      <c r="DY27" s="16"/>
      <c r="DZ27" s="16"/>
      <c r="EA27" s="16"/>
      <c r="EB27" s="16"/>
      <c r="EC27" s="16"/>
      <c r="ED27" s="16"/>
      <c r="EE27" s="16"/>
      <c r="EF27" s="16"/>
      <c r="EG27" s="16"/>
      <c r="EH27" s="16"/>
      <c r="EI27" s="16"/>
      <c r="EJ27" s="16"/>
      <c r="EK27" s="16"/>
      <c r="EL27" s="16"/>
      <c r="EM27" s="16"/>
      <c r="EN27" s="16"/>
      <c r="EO27" s="16"/>
      <c r="EP27" s="16"/>
      <c r="EQ27" s="16"/>
      <c r="ER27" s="16"/>
      <c r="ES27" s="16"/>
      <c r="ET27" s="16"/>
      <c r="EU27" s="16"/>
      <c r="EV27" s="16"/>
      <c r="EW27" s="16"/>
      <c r="EX27" s="16"/>
      <c r="EY27" s="16"/>
      <c r="EZ27" s="16"/>
      <c r="FA27" s="16"/>
      <c r="FB27" s="16"/>
      <c r="FC27" s="16"/>
      <c r="FD27" s="16"/>
      <c r="FE27" s="16"/>
      <c r="FF27" s="16"/>
      <c r="FG27" s="16"/>
      <c r="FH27" s="16"/>
      <c r="FI27" s="16"/>
      <c r="FJ27" s="16"/>
      <c r="FK27" s="16"/>
      <c r="FL27" s="16"/>
      <c r="FM27" s="16"/>
      <c r="FN27" s="16"/>
      <c r="FO27" s="16"/>
      <c r="FP27" s="16"/>
      <c r="FQ27" s="16"/>
      <c r="FR27" s="16"/>
      <c r="FS27" s="16"/>
      <c r="FT27" s="16"/>
      <c r="FU27" s="16"/>
      <c r="FV27" s="16"/>
      <c r="FW27" s="16"/>
      <c r="FX27" s="16"/>
      <c r="FY27" s="16"/>
      <c r="FZ27" s="16"/>
      <c r="GA27" s="16"/>
      <c r="GB27" s="16"/>
      <c r="GC27" s="16"/>
      <c r="GD27" s="16"/>
      <c r="GE27" s="16"/>
      <c r="GF27" s="16"/>
      <c r="GG27" s="16"/>
      <c r="GH27" s="16"/>
      <c r="GI27" s="16"/>
      <c r="GJ27" s="16"/>
      <c r="GK27" s="16"/>
      <c r="GL27" s="16"/>
      <c r="GM27" s="16"/>
      <c r="GN27" s="16"/>
      <c r="GO27" s="16"/>
    </row>
    <row r="28" ht="18.0" customHeight="1">
      <c r="A28" s="15">
        <v>27.0</v>
      </c>
      <c r="B28" s="16" t="s">
        <v>557</v>
      </c>
      <c r="C28" s="17" t="s">
        <v>817</v>
      </c>
      <c r="D28" s="16" t="s">
        <v>289</v>
      </c>
      <c r="E28" s="15">
        <f>COUNTIF('Tổng hợp 75 trang đích'!$B$2:$B$2505,$D28)</f>
        <v>45</v>
      </c>
      <c r="F28" s="15">
        <f>COUNTIFS('Tổng hợp 75 trang đích'!$B$2:$B$2505,$D28,'Tổng hợp 75 trang đích'!$K$2:$K$2505,"PHÙ HỢP CAO")</f>
        <v>3</v>
      </c>
      <c r="G28" s="15">
        <f>COUNTIFS('Tổng hợp 75 trang đích'!$B$2:$B$2505,$D28,'Tổng hợp 75 trang đích'!$K$2:$K$2505,"CÓ THỂ ĐI")</f>
        <v>2</v>
      </c>
      <c r="H28" s="15">
        <f>COUNTIFS('Tổng hợp 75 trang đích'!$B$2:$B$2505,$D28,'Tổng hợp 75 trang đích'!$K$2:$K$2505,"CẦN SOÁT")</f>
        <v>40</v>
      </c>
      <c r="I28" s="19" t="s">
        <v>256</v>
      </c>
      <c r="J28" s="19" t="b">
        <v>0</v>
      </c>
      <c r="K28" s="20" t="s">
        <v>258</v>
      </c>
      <c r="L28" s="16" t="str">
        <f>IFERROR(__xludf.DUMMYFUNCTION("IFERROR(TOROW(CHOOSECOLS(SORT(FILTER({'Tổng hợp 75 trang đích'!$J$2:$J$2505,'Tổng hợp 75 trang đích'!$I$2:$I$2505,MATCH('Tổng hợp 75 trang đích'!$K$2:$K$2505,{""PHÙ HỢP CAO"",""CÓ THỂ ĐI"",""CẦN SOÁT""},0)},'Tổng hợp 75 trang đích'!$B$2:$B$2505=$D28),3,TR"&amp;"UE),1,2)),"""")"),"eco card")</f>
        <v>eco card</v>
      </c>
      <c r="M28" s="21" t="str">
        <f>IFERROR(__xludf.DUMMYFUNCTION("""COMPUTED_VALUE"""),"https://techcombank.com/thong-tin/blog/dau-chan-carbon")</f>
        <v>https://techcombank.com/thong-tin/blog/dau-chan-carbon</v>
      </c>
      <c r="N28" s="16" t="str">
        <f>IFERROR(__xludf.DUMMYFUNCTION("""COMPUTED_VALUE"""),"thẻ Eco")</f>
        <v>thẻ Eco</v>
      </c>
      <c r="O28" s="21" t="str">
        <f>IFERROR(__xludf.DUMMYFUNCTION("""COMPUTED_VALUE"""),"https://techcombank.com/thong-tin/blog/san-pham-xanh")</f>
        <v>https://techcombank.com/thong-tin/blog/san-pham-xanh</v>
      </c>
      <c r="P28" s="16" t="str">
        <f>IFERROR(__xludf.DUMMYFUNCTION("""COMPUTED_VALUE"""),"Techcombank Eco")</f>
        <v>Techcombank Eco</v>
      </c>
      <c r="Q28" s="21" t="str">
        <f>IFERROR(__xludf.DUMMYFUNCTION("""COMPUTED_VALUE"""),"https://techcombank.com/thong-tin/blog/xu-huong-song-xanh")</f>
        <v>https://techcombank.com/thong-tin/blog/xu-huong-song-xanh</v>
      </c>
      <c r="R28" s="16" t="str">
        <f>IFERROR(__xludf.DUMMYFUNCTION("""COMPUTED_VALUE"""),"eco card")</f>
        <v>eco card</v>
      </c>
      <c r="S28" s="21" t="str">
        <f>IFERROR(__xludf.DUMMYFUNCTION("""COMPUTED_VALUE"""),"https://techcombank.com/thong-tin/blog/the-ghi-no-visa-la-gi")</f>
        <v>https://techcombank.com/thong-tin/blog/the-ghi-no-visa-la-gi</v>
      </c>
      <c r="T28" s="16" t="str">
        <f>IFERROR(__xludf.DUMMYFUNCTION("""COMPUTED_VALUE"""),"thẻ Eco")</f>
        <v>thẻ Eco</v>
      </c>
      <c r="U28" s="21" t="str">
        <f>IFERROR(__xludf.DUMMYFUNCTION("""COMPUTED_VALUE"""),"https://techcombank.com/thong-tin/blog/tieu-dung-xanh")</f>
        <v>https://techcombank.com/thong-tin/blog/tieu-dung-xanh</v>
      </c>
      <c r="V28" s="16" t="str">
        <f>IFERROR(__xludf.DUMMYFUNCTION("""COMPUTED_VALUE"""),"Techcombank Eco")</f>
        <v>Techcombank Eco</v>
      </c>
      <c r="W28" s="21" t="str">
        <f>IFERROR(__xludf.DUMMYFUNCTION("""COMPUTED_VALUE"""),"https://techcombank.com/thong-tin/blog/tap-doan-thanh-quang-khoi-sac-kinh-doanh-nho-nguon-von-vay-tin-dung-techcombank-tren-nen-tang-misa-lending")</f>
        <v>https://techcombank.com/thong-tin/blog/tap-doan-thanh-quang-khoi-sac-kinh-doanh-nho-nguon-von-vay-tin-dung-techcombank-tren-nen-tang-misa-lending</v>
      </c>
      <c r="X28" s="16" t="str">
        <f>IFERROR(__xludf.DUMMYFUNCTION("""COMPUTED_VALUE"""),"eco card")</f>
        <v>eco card</v>
      </c>
      <c r="Y28" s="21" t="str">
        <f>IFERROR(__xludf.DUMMYFUNCTION("""COMPUTED_VALUE"""),"https://techcombank.com/thong-tin/blog/tai-khoan-doanh-nghiep-co-the-khong")</f>
        <v>https://techcombank.com/thong-tin/blog/tai-khoan-doanh-nghiep-co-the-khong</v>
      </c>
      <c r="Z28" s="16" t="str">
        <f>IFERROR(__xludf.DUMMYFUNCTION("""COMPUTED_VALUE"""),"thẻ Eco")</f>
        <v>thẻ Eco</v>
      </c>
      <c r="AA28" s="21" t="str">
        <f>IFERROR(__xludf.DUMMYFUNCTION("""COMPUTED_VALUE"""),"https://techcombank.com/thong-tin/blog/loi-nhuan-rong")</f>
        <v>https://techcombank.com/thong-tin/blog/loi-nhuan-rong</v>
      </c>
      <c r="AB28" s="16" t="str">
        <f>IFERROR(__xludf.DUMMYFUNCTION("""COMPUTED_VALUE"""),"Techcombank Eco")</f>
        <v>Techcombank Eco</v>
      </c>
      <c r="AC28" s="21" t="str">
        <f>IFERROR(__xludf.DUMMYFUNCTION("""COMPUTED_VALUE"""),"https://techcombank.com/thong-tin/blog/luu-y-khi-chuyen-doi-tu-ho-kinh-doanh-len-doanh-nghiep")</f>
        <v>https://techcombank.com/thong-tin/blog/luu-y-khi-chuyen-doi-tu-ho-kinh-doanh-len-doanh-nghiep</v>
      </c>
      <c r="AD28" s="16" t="str">
        <f>IFERROR(__xludf.DUMMYFUNCTION("""COMPUTED_VALUE"""),"eco card")</f>
        <v>eco card</v>
      </c>
      <c r="AE28" s="21" t="str">
        <f>IFERROR(__xludf.DUMMYFUNCTION("""COMPUTED_VALUE"""),"https://techcombank.com/thong-tin/blog/cach-quan-ly-tai-san")</f>
        <v>https://techcombank.com/thong-tin/blog/cach-quan-ly-tai-san</v>
      </c>
      <c r="AF28" s="16" t="str">
        <f>IFERROR(__xludf.DUMMYFUNCTION("""COMPUTED_VALUE"""),"thẻ Eco")</f>
        <v>thẻ Eco</v>
      </c>
      <c r="AG28" s="21" t="str">
        <f>IFERROR(__xludf.DUMMYFUNCTION("""COMPUTED_VALUE"""),"https://techcombank.com/thong-tin/blog/chinh-sach-thue-moi")</f>
        <v>https://techcombank.com/thong-tin/blog/chinh-sach-thue-moi</v>
      </c>
      <c r="AH28" s="16" t="str">
        <f>IFERROR(__xludf.DUMMYFUNCTION("""COMPUTED_VALUE"""),"Techcombank Eco")</f>
        <v>Techcombank Eco</v>
      </c>
      <c r="AI28" s="21" t="str">
        <f>IFERROR(__xludf.DUMMYFUNCTION("""COMPUTED_VALUE"""),"https://techcombank.com/thong-tin/blog/mr-eco")</f>
        <v>https://techcombank.com/thong-tin/blog/mr-eco</v>
      </c>
      <c r="AJ28" s="16" t="str">
        <f>IFERROR(__xludf.DUMMYFUNCTION("""COMPUTED_VALUE"""),"eco card")</f>
        <v>eco card</v>
      </c>
      <c r="AK28" s="21" t="str">
        <f>IFERROR(__xludf.DUMMYFUNCTION("""COMPUTED_VALUE"""),"https://techcombank.com/thong-tin/blog/dat-xe-xanh-sm")</f>
        <v>https://techcombank.com/thong-tin/blog/dat-xe-xanh-sm</v>
      </c>
      <c r="AL28" s="16" t="str">
        <f>IFERROR(__xludf.DUMMYFUNCTION("""COMPUTED_VALUE"""),"thẻ Eco")</f>
        <v>thẻ Eco</v>
      </c>
      <c r="AM28" s="21" t="str">
        <f>IFERROR(__xludf.DUMMYFUNCTION("""COMPUTED_VALUE"""),"https://techcombank.com/thong-tin/blog/thuc-day-thi-truong-the-noi-dia-va-xu-huong-thanh-toan-tuong-lai")</f>
        <v>https://techcombank.com/thong-tin/blog/thuc-day-thi-truong-the-noi-dia-va-xu-huong-thanh-toan-tuong-lai</v>
      </c>
      <c r="AN28" s="16" t="str">
        <f>IFERROR(__xludf.DUMMYFUNCTION("""COMPUTED_VALUE"""),"Techcombank Eco")</f>
        <v>Techcombank Eco</v>
      </c>
      <c r="AO28" s="21" t="str">
        <f>IFERROR(__xludf.DUMMYFUNCTION("""COMPUTED_VALUE"""),"https://techcombank.com/thong-tin/blog/ngan-hang-so-cho-doanh-nghiep")</f>
        <v>https://techcombank.com/thong-tin/blog/ngan-hang-so-cho-doanh-nghiep</v>
      </c>
      <c r="AP28" s="16" t="str">
        <f>IFERROR(__xludf.DUMMYFUNCTION("""COMPUTED_VALUE"""),"eco card")</f>
        <v>eco card</v>
      </c>
      <c r="AQ28" s="21" t="str">
        <f>IFERROR(__xludf.DUMMYFUNCTION("""COMPUTED_VALUE"""),"https://techcombank.com/thong-tin/blog/voucher-xanh-sm")</f>
        <v>https://techcombank.com/thong-tin/blog/voucher-xanh-sm</v>
      </c>
      <c r="AR28" s="16" t="str">
        <f>IFERROR(__xludf.DUMMYFUNCTION("""COMPUTED_VALUE"""),"thẻ Eco")</f>
        <v>thẻ Eco</v>
      </c>
      <c r="AS28" s="21" t="str">
        <f>IFERROR(__xludf.DUMMYFUNCTION("""COMPUTED_VALUE"""),"https://techcombank.com/thong-tin/blog/bao-hiem-pin-xe-dien")</f>
        <v>https://techcombank.com/thong-tin/blog/bao-hiem-pin-xe-dien</v>
      </c>
      <c r="AT28" s="16" t="str">
        <f>IFERROR(__xludf.DUMMYFUNCTION("""COMPUTED_VALUE"""),"Techcombank Eco")</f>
        <v>Techcombank Eco</v>
      </c>
      <c r="AU28" s="21" t="str">
        <f>IFERROR(__xludf.DUMMYFUNCTION("""COMPUTED_VALUE"""),"https://techcombank.com/thong-tin/blog/phan-bo-tai-san")</f>
        <v>https://techcombank.com/thong-tin/blog/phan-bo-tai-san</v>
      </c>
      <c r="AV28" s="16" t="str">
        <f>IFERROR(__xludf.DUMMYFUNCTION("""COMPUTED_VALUE"""),"eco card")</f>
        <v>eco card</v>
      </c>
      <c r="AW28" s="21" t="str">
        <f>IFERROR(__xludf.DUMMYFUNCTION("""COMPUTED_VALUE"""),"https://techcombank.com/thong-tin/blog/xu-huong-tieu-dung")</f>
        <v>https://techcombank.com/thong-tin/blog/xu-huong-tieu-dung</v>
      </c>
      <c r="AX28" s="16" t="str">
        <f>IFERROR(__xludf.DUMMYFUNCTION("""COMPUTED_VALUE"""),"thẻ Eco")</f>
        <v>thẻ Eco</v>
      </c>
      <c r="AY28" s="21" t="str">
        <f>IFERROR(__xludf.DUMMYFUNCTION("""COMPUTED_VALUE"""),"https://techcombank.com/thong-tin/blog/cach-lam-the-ngan-hang-chay-quang-cao-facebook")</f>
        <v>https://techcombank.com/thong-tin/blog/cach-lam-the-ngan-hang-chay-quang-cao-facebook</v>
      </c>
      <c r="AZ28" s="16" t="str">
        <f>IFERROR(__xludf.DUMMYFUNCTION("""COMPUTED_VALUE"""),"Techcombank Eco")</f>
        <v>Techcombank Eco</v>
      </c>
      <c r="BA28" s="21" t="str">
        <f>IFERROR(__xludf.DUMMYFUNCTION("""COMPUTED_VALUE"""),"https://techcombank.com/thong-tin/blog/cach-tiet-kiem-tien-hieu-qua-cho-gia-dinh")</f>
        <v>https://techcombank.com/thong-tin/blog/cach-tiet-kiem-tien-hieu-qua-cho-gia-dinh</v>
      </c>
      <c r="BB28" s="16" t="str">
        <f>IFERROR(__xludf.DUMMYFUNCTION("""COMPUTED_VALUE"""),"eco card")</f>
        <v>eco card</v>
      </c>
      <c r="BC28" s="21" t="str">
        <f>IFERROR(__xludf.DUMMYFUNCTION("""COMPUTED_VALUE"""),"https://techcombank.com/thong-tin/blog/the-ghi-no-va-the-tin-dung")</f>
        <v>https://techcombank.com/thong-tin/blog/the-ghi-no-va-the-tin-dung</v>
      </c>
      <c r="BD28" s="16" t="str">
        <f>IFERROR(__xludf.DUMMYFUNCTION("""COMPUTED_VALUE"""),"thẻ Eco")</f>
        <v>thẻ Eco</v>
      </c>
      <c r="BE28" s="21" t="str">
        <f>IFERROR(__xludf.DUMMYFUNCTION("""COMPUTED_VALUE"""),"https://techcombank.com/thong-tin/blog/khau-vi-nha-dau-tu-tpdn-thay-doi-the-nao-sau-nhung-bien-dong-vua-qua")</f>
        <v>https://techcombank.com/thong-tin/blog/khau-vi-nha-dau-tu-tpdn-thay-doi-the-nao-sau-nhung-bien-dong-vua-qua</v>
      </c>
      <c r="BF28" s="16" t="str">
        <f>IFERROR(__xludf.DUMMYFUNCTION("""COMPUTED_VALUE"""),"Techcombank Eco")</f>
        <v>Techcombank Eco</v>
      </c>
      <c r="BG28" s="21" t="str">
        <f>IFERROR(__xludf.DUMMYFUNCTION("""COMPUTED_VALUE"""),"https://techcombank.com/thong-tin/blog/gia-tri-tai-san-rong")</f>
        <v>https://techcombank.com/thong-tin/blog/gia-tri-tai-san-rong</v>
      </c>
      <c r="BH28" s="16" t="str">
        <f>IFERROR(__xludf.DUMMYFUNCTION("""COMPUTED_VALUE"""),"eco card")</f>
        <v>eco card</v>
      </c>
      <c r="BI28" s="21" t="str">
        <f>IFERROR(__xludf.DUMMYFUNCTION("""COMPUTED_VALUE"""),"https://techcombank.com/thong-tin/blog/the-ghi-no-la-gi")</f>
        <v>https://techcombank.com/thong-tin/blog/the-ghi-no-la-gi</v>
      </c>
      <c r="BJ28" s="16" t="str">
        <f>IFERROR(__xludf.DUMMYFUNCTION("""COMPUTED_VALUE"""),"thẻ Eco")</f>
        <v>thẻ Eco</v>
      </c>
      <c r="BK28" s="21" t="str">
        <f>IFERROR(__xludf.DUMMYFUNCTION("""COMPUTED_VALUE"""),"https://techcombank.com/thong-tin/blog/mo-the-ghi-no")</f>
        <v>https://techcombank.com/thong-tin/blog/mo-the-ghi-no</v>
      </c>
      <c r="BL28" s="16" t="str">
        <f>IFERROR(__xludf.DUMMYFUNCTION("""COMPUTED_VALUE"""),"Techcombank Eco")</f>
        <v>Techcombank Eco</v>
      </c>
      <c r="BM28" s="21" t="str">
        <f>IFERROR(__xludf.DUMMYFUNCTION("""COMPUTED_VALUE"""),"https://techcombank.com/thong-tin/blog/the-tin-dung-techcombank-visa-eco")</f>
        <v>https://techcombank.com/thong-tin/blog/the-tin-dung-techcombank-visa-eco</v>
      </c>
      <c r="BN28" s="16" t="str">
        <f>IFERROR(__xludf.DUMMYFUNCTION("""COMPUTED_VALUE"""),"eco card")</f>
        <v>eco card</v>
      </c>
      <c r="BO28" s="21" t="str">
        <f>IFERROR(__xludf.DUMMYFUNCTION("""COMPUTED_VALUE"""),"https://techcombank.com/thong-tin/blog/the-ghi-no-noi-dia")</f>
        <v>https://techcombank.com/thong-tin/blog/the-ghi-no-noi-dia</v>
      </c>
      <c r="BP28" s="16" t="str">
        <f>IFERROR(__xludf.DUMMYFUNCTION("""COMPUTED_VALUE"""),"thẻ Eco")</f>
        <v>thẻ Eco</v>
      </c>
      <c r="BQ28" s="21" t="str">
        <f>IFERROR(__xludf.DUMMYFUNCTION("""COMPUTED_VALUE"""),"https://techcombank.com/thong-tin/blog/cach-nap-tien-vao-the-ghi-no")</f>
        <v>https://techcombank.com/thong-tin/blog/cach-nap-tien-vao-the-ghi-no</v>
      </c>
      <c r="BR28" s="16" t="str">
        <f>IFERROR(__xludf.DUMMYFUNCTION("""COMPUTED_VALUE"""),"Techcombank Eco")</f>
        <v>Techcombank Eco</v>
      </c>
      <c r="BS28" s="21" t="str">
        <f>IFERROR(__xludf.DUMMYFUNCTION("""COMPUTED_VALUE"""),"https://techcombank.com/thong-tin/blog/giao-thong-xanh")</f>
        <v>https://techcombank.com/thong-tin/blog/giao-thong-xanh</v>
      </c>
      <c r="BT28" s="16" t="str">
        <f>IFERROR(__xludf.DUMMYFUNCTION("""COMPUTED_VALUE"""),"eco card")</f>
        <v>eco card</v>
      </c>
      <c r="BU28" s="21" t="str">
        <f>IFERROR(__xludf.DUMMYFUNCTION("""COMPUTED_VALUE"""),"https://techcombank.com/thong-tin/blog/tich-luy-tai-san")</f>
        <v>https://techcombank.com/thong-tin/blog/tich-luy-tai-san</v>
      </c>
      <c r="BV28" s="16" t="str">
        <f>IFERROR(__xludf.DUMMYFUNCTION("""COMPUTED_VALUE"""),"thẻ Eco")</f>
        <v>thẻ Eco</v>
      </c>
      <c r="BW28" s="21" t="str">
        <f>IFERROR(__xludf.DUMMYFUNCTION("""COMPUTED_VALUE"""),"https://techcombank.com/thong-tin/blog/ke-hoach-huu-tri")</f>
        <v>https://techcombank.com/thong-tin/blog/ke-hoach-huu-tri</v>
      </c>
      <c r="BX28" s="16" t="str">
        <f>IFERROR(__xludf.DUMMYFUNCTION("""COMPUTED_VALUE"""),"Techcombank Eco")</f>
        <v>Techcombank Eco</v>
      </c>
      <c r="BY28" s="21" t="str">
        <f>IFERROR(__xludf.DUMMYFUNCTION("""COMPUTED_VALUE"""),"https://techcombank.com/thong-tin/blog/tieu-dung-ben-vung")</f>
        <v>https://techcombank.com/thong-tin/blog/tieu-dung-ben-vung</v>
      </c>
      <c r="BZ28" s="16" t="str">
        <f>IFERROR(__xludf.DUMMYFUNCTION("""COMPUTED_VALUE"""),"eco card")</f>
        <v>eco card</v>
      </c>
      <c r="CA28" s="21" t="str">
        <f>IFERROR(__xludf.DUMMYFUNCTION("""COMPUTED_VALUE"""),"https://techcombank.com/thong-tin/blog/ngan-hang-xanh")</f>
        <v>https://techcombank.com/thong-tin/blog/ngan-hang-xanh</v>
      </c>
      <c r="CB28" s="16" t="str">
        <f>IFERROR(__xludf.DUMMYFUNCTION("""COMPUTED_VALUE"""),"thẻ Eco")</f>
        <v>thẻ Eco</v>
      </c>
      <c r="CC28" s="21" t="str">
        <f>IFERROR(__xludf.DUMMYFUNCTION("""COMPUTED_VALUE"""),"https://techcombank.com/thong-tin/blog/esg")</f>
        <v>https://techcombank.com/thong-tin/blog/esg</v>
      </c>
      <c r="CD28" s="16" t="str">
        <f>IFERROR(__xludf.DUMMYFUNCTION("""COMPUTED_VALUE"""),"Techcombank Eco")</f>
        <v>Techcombank Eco</v>
      </c>
      <c r="CE28" s="21" t="str">
        <f>IFERROR(__xludf.DUMMYFUNCTION("""COMPUTED_VALUE"""),"https://techcombank.com/thong-tin/blog/6-chiec-lo-tai-chinh-ca-nhan")</f>
        <v>https://techcombank.com/thong-tin/blog/6-chiec-lo-tai-chinh-ca-nhan</v>
      </c>
      <c r="CF28" s="16" t="str">
        <f>IFERROR(__xludf.DUMMYFUNCTION("""COMPUTED_VALUE"""),"eco card")</f>
        <v>eco card</v>
      </c>
      <c r="CG28" s="21" t="str">
        <f>IFERROR(__xludf.DUMMYFUNCTION("""COMPUTED_VALUE"""),"https://techcombank.com/thong-tin/blog/dau-tu-dai-han")</f>
        <v>https://techcombank.com/thong-tin/blog/dau-tu-dai-han</v>
      </c>
      <c r="CH28" s="16" t="str">
        <f>IFERROR(__xludf.DUMMYFUNCTION("""COMPUTED_VALUE"""),"thẻ Eco")</f>
        <v>thẻ Eco</v>
      </c>
      <c r="CI28" s="21" t="str">
        <f>IFERROR(__xludf.DUMMYFUNCTION("""COMPUTED_VALUE"""),"https://techcombank.com/thong-tin/blog/hoc-cach-tiet-kiem-tien-luong")</f>
        <v>https://techcombank.com/thong-tin/blog/hoc-cach-tiet-kiem-tien-luong</v>
      </c>
      <c r="CJ28" s="16" t="str">
        <f>IFERROR(__xludf.DUMMYFUNCTION("""COMPUTED_VALUE"""),"Techcombank Eco")</f>
        <v>Techcombank Eco</v>
      </c>
      <c r="CK28" s="21" t="str">
        <f>IFERROR(__xludf.DUMMYFUNCTION("""COMPUTED_VALUE"""),"https://techcombank.com/thong-tin/blog/chuyen-doi-xanh")</f>
        <v>https://techcombank.com/thong-tin/blog/chuyen-doi-xanh</v>
      </c>
      <c r="CL28" s="16" t="str">
        <f>IFERROR(__xludf.DUMMYFUNCTION("""COMPUTED_VALUE"""),"eco card")</f>
        <v>eco card</v>
      </c>
      <c r="CM28" s="21" t="str">
        <f>IFERROR(__xludf.DUMMYFUNCTION("""COMPUTED_VALUE"""),"https://techcombank.com/thong-tin/blog/cach-su-dung-the-ghi-no")</f>
        <v>https://techcombank.com/thong-tin/blog/cach-su-dung-the-ghi-no</v>
      </c>
      <c r="CN28" s="16" t="str">
        <f>IFERROR(__xludf.DUMMYFUNCTION("""COMPUTED_VALUE"""),"thẻ Eco")</f>
        <v>thẻ Eco</v>
      </c>
      <c r="CO28" s="21" t="str">
        <f>IFERROR(__xludf.DUMMYFUNCTION("""COMPUTED_VALUE"""),"https://techcombank.com/thong-tin/blog/lap-ke-hoach-chi-tieu-ca-nhan")</f>
        <v>https://techcombank.com/thong-tin/blog/lap-ke-hoach-chi-tieu-ca-nhan</v>
      </c>
      <c r="CP28" s="16" t="str">
        <f>IFERROR(__xludf.DUMMYFUNCTION("""COMPUTED_VALUE"""),"Techcombank Eco")</f>
        <v>Techcombank Eco</v>
      </c>
      <c r="CQ28" s="21" t="str">
        <f>IFERROR(__xludf.DUMMYFUNCTION("""COMPUTED_VALUE"""),"https://techcombank.com/thong-tin/blog/the-ghi-no-co-chuyen-khoan-duoc-khong")</f>
        <v>https://techcombank.com/thong-tin/blog/the-ghi-no-co-chuyen-khoan-duoc-khong</v>
      </c>
      <c r="CR28" s="16" t="str">
        <f>IFERROR(__xludf.DUMMYFUNCTION("""COMPUTED_VALUE"""),"eco card")</f>
        <v>eco card</v>
      </c>
      <c r="CS28" s="21" t="str">
        <f>IFERROR(__xludf.DUMMYFUNCTION("""COMPUTED_VALUE"""),"https://techcombank.com/thong-tin/blog/the-nao-la-tiet-kiem")</f>
        <v>https://techcombank.com/thong-tin/blog/the-nao-la-tiet-kiem</v>
      </c>
      <c r="CT28" s="16" t="str">
        <f>IFERROR(__xludf.DUMMYFUNCTION("""COMPUTED_VALUE"""),"thẻ Eco")</f>
        <v>thẻ Eco</v>
      </c>
      <c r="CU28" s="21" t="str">
        <f>IFERROR(__xludf.DUMMYFUNCTION("""COMPUTED_VALUE"""),"https://techcombank.com/thong-tin/blog/the-ghi-no-co-rut-tien-duoc-khong")</f>
        <v>https://techcombank.com/thong-tin/blog/the-ghi-no-co-rut-tien-duoc-khong</v>
      </c>
      <c r="CV28" s="16" t="str">
        <f>IFERROR(__xludf.DUMMYFUNCTION("""COMPUTED_VALUE"""),"Techcombank Eco")</f>
        <v>Techcombank Eco</v>
      </c>
      <c r="CW28" s="21" t="str">
        <f>IFERROR(__xludf.DUMMYFUNCTION("""COMPUTED_VALUE"""),"https://techcombank.com/thong-tin/blog/toi-uu-hoa-chi-phi-trong-doanh-nghiep")</f>
        <v>https://techcombank.com/thong-tin/blog/toi-uu-hoa-chi-phi-trong-doanh-nghiep</v>
      </c>
      <c r="CX28" s="16"/>
      <c r="CY28" s="16"/>
      <c r="CZ28" s="16"/>
      <c r="DA28" s="16"/>
      <c r="DB28" s="16"/>
      <c r="DC28" s="16"/>
      <c r="DD28" s="16"/>
      <c r="DE28" s="16"/>
      <c r="DF28" s="16"/>
      <c r="DG28" s="16"/>
      <c r="DH28" s="16"/>
      <c r="DI28" s="16"/>
      <c r="DJ28" s="16"/>
      <c r="DK28" s="16"/>
      <c r="DL28" s="16"/>
      <c r="DM28" s="16"/>
      <c r="DN28" s="16"/>
      <c r="DO28" s="16"/>
      <c r="DP28" s="16"/>
      <c r="DQ28" s="16"/>
      <c r="DR28" s="16"/>
      <c r="DS28" s="16"/>
      <c r="DT28" s="16"/>
      <c r="DU28" s="16"/>
      <c r="DV28" s="16"/>
      <c r="DW28" s="16"/>
      <c r="DX28" s="16"/>
      <c r="DY28" s="16"/>
      <c r="DZ28" s="16"/>
      <c r="EA28" s="16"/>
      <c r="EB28" s="16"/>
      <c r="EC28" s="16"/>
      <c r="ED28" s="16"/>
      <c r="EE28" s="16"/>
      <c r="EF28" s="16"/>
      <c r="EG28" s="16"/>
      <c r="EH28" s="16"/>
      <c r="EI28" s="16"/>
      <c r="EJ28" s="16"/>
      <c r="EK28" s="16"/>
      <c r="EL28" s="16"/>
      <c r="EM28" s="16"/>
      <c r="EN28" s="16"/>
      <c r="EO28" s="16"/>
      <c r="EP28" s="16"/>
      <c r="EQ28" s="16"/>
      <c r="ER28" s="16"/>
      <c r="ES28" s="16"/>
      <c r="ET28" s="16"/>
      <c r="EU28" s="16"/>
      <c r="EV28" s="16"/>
      <c r="EW28" s="16"/>
      <c r="EX28" s="16"/>
      <c r="EY28" s="16"/>
      <c r="EZ28" s="16"/>
      <c r="FA28" s="16"/>
      <c r="FB28" s="16"/>
      <c r="FC28" s="16"/>
      <c r="FD28" s="16"/>
      <c r="FE28" s="16"/>
      <c r="FF28" s="16"/>
      <c r="FG28" s="16"/>
      <c r="FH28" s="16"/>
      <c r="FI28" s="16"/>
      <c r="FJ28" s="16"/>
      <c r="FK28" s="16"/>
      <c r="FL28" s="16"/>
      <c r="FM28" s="16"/>
      <c r="FN28" s="16"/>
      <c r="FO28" s="16"/>
      <c r="FP28" s="16"/>
      <c r="FQ28" s="16"/>
      <c r="FR28" s="16"/>
      <c r="FS28" s="16"/>
      <c r="FT28" s="16"/>
      <c r="FU28" s="16"/>
      <c r="FV28" s="16"/>
      <c r="FW28" s="16"/>
      <c r="FX28" s="16"/>
      <c r="FY28" s="16"/>
      <c r="FZ28" s="16"/>
      <c r="GA28" s="16"/>
      <c r="GB28" s="16"/>
      <c r="GC28" s="16"/>
      <c r="GD28" s="16"/>
      <c r="GE28" s="16"/>
      <c r="GF28" s="16"/>
      <c r="GG28" s="16"/>
      <c r="GH28" s="16"/>
      <c r="GI28" s="16"/>
      <c r="GJ28" s="16"/>
      <c r="GK28" s="16"/>
      <c r="GL28" s="16"/>
      <c r="GM28" s="16"/>
      <c r="GN28" s="16"/>
      <c r="GO28" s="16"/>
    </row>
    <row r="29" ht="18.0" customHeight="1">
      <c r="A29" s="15">
        <v>28.0</v>
      </c>
      <c r="B29" s="16" t="s">
        <v>827</v>
      </c>
      <c r="C29" s="17" t="s">
        <v>831</v>
      </c>
      <c r="D29" s="16" t="s">
        <v>291</v>
      </c>
      <c r="E29" s="15">
        <f>COUNTIF('Tổng hợp 75 trang đích'!$B$2:$B$2505,$D29)</f>
        <v>22</v>
      </c>
      <c r="F29" s="15">
        <f>COUNTIFS('Tổng hợp 75 trang đích'!$B$2:$B$2505,$D29,'Tổng hợp 75 trang đích'!$K$2:$K$2505,"PHÙ HỢP CAO")</f>
        <v>3</v>
      </c>
      <c r="G29" s="15">
        <f>COUNTIFS('Tổng hợp 75 trang đích'!$B$2:$B$2505,$D29,'Tổng hợp 75 trang đích'!$K$2:$K$2505,"CÓ THỂ ĐI")</f>
        <v>2</v>
      </c>
      <c r="H29" s="15">
        <f>COUNTIFS('Tổng hợp 75 trang đích'!$B$2:$B$2505,$D29,'Tổng hợp 75 trang đích'!$K$2:$K$2505,"CẦN SOÁT")</f>
        <v>17</v>
      </c>
      <c r="I29" s="19" t="s">
        <v>256</v>
      </c>
      <c r="J29" s="19" t="b">
        <v>0</v>
      </c>
      <c r="K29" s="20" t="s">
        <v>258</v>
      </c>
      <c r="L29" s="16" t="str">
        <f>IFERROR(__xludf.DUMMYFUNCTION("IFERROR(TOROW(CHOOSECOLS(SORT(FILTER({'Tổng hợp 75 trang đích'!$J$2:$J$2505,'Tổng hợp 75 trang đích'!$I$2:$I$2505,MATCH('Tổng hợp 75 trang đích'!$K$2:$K$2505,{""PHÙ HỢP CAO"",""CÓ THỂ ĐI"",""CẦN SOÁT""},0)},'Tổng hợp 75 trang đích'!$B$2:$B$2505=$D29),3,TR"&amp;"UE),1,2)),"""")"),"tra cứu cic miễn phí")</f>
        <v>tra cứu cic miễn phí</v>
      </c>
      <c r="M29" s="21" t="str">
        <f>IFERROR(__xludf.DUMMYFUNCTION("""COMPUTED_VALUE"""),"https://techcombank.com/thong-tin/blog/diem-tin-dung")</f>
        <v>https://techcombank.com/thong-tin/blog/diem-tin-dung</v>
      </c>
      <c r="N29" s="16" t="str">
        <f>IFERROR(__xludf.DUMMYFUNCTION("""COMPUTED_VALUE"""),"tra cứu cic")</f>
        <v>tra cứu cic</v>
      </c>
      <c r="O29" s="21" t="str">
        <f>IFERROR(__xludf.DUMMYFUNCTION("""COMPUTED_VALUE"""),"https://techcombank.com/thong-tin/blog/lich-su-tin-dung")</f>
        <v>https://techcombank.com/thong-tin/blog/lich-su-tin-dung</v>
      </c>
      <c r="P29" s="16" t="str">
        <f>IFERROR(__xludf.DUMMYFUNCTION("""COMPUTED_VALUE"""),"kiểm tra cic")</f>
        <v>kiểm tra cic</v>
      </c>
      <c r="Q29" s="21" t="str">
        <f>IFERROR(__xludf.DUMMYFUNCTION("""COMPUTED_VALUE"""),"https://techcombank.com/thong-tin/blog/no-nhom-3")</f>
        <v>https://techcombank.com/thong-tin/blog/no-nhom-3</v>
      </c>
      <c r="R29" s="16" t="str">
        <f>IFERROR(__xludf.DUMMYFUNCTION("""COMPUTED_VALUE"""),"cic là gì")</f>
        <v>cic là gì</v>
      </c>
      <c r="S29" s="21" t="str">
        <f>IFERROR(__xludf.DUMMYFUNCTION("""COMPUTED_VALUE"""),"https://techcombank.com/thong-tin/blog/no-chu-y-la-gi")</f>
        <v>https://techcombank.com/thong-tin/blog/no-chu-y-la-gi</v>
      </c>
      <c r="T29" s="16" t="str">
        <f>IFERROR(__xludf.DUMMYFUNCTION("""COMPUTED_VALUE"""),"tra cứu cic miễn phí")</f>
        <v>tra cứu cic miễn phí</v>
      </c>
      <c r="U29" s="21" t="str">
        <f>IFERROR(__xludf.DUMMYFUNCTION("""COMPUTED_VALUE"""),"https://techcombank.com/thong-tin/blog/no-xau-nhom-2")</f>
        <v>https://techcombank.com/thong-tin/blog/no-xau-nhom-2</v>
      </c>
      <c r="V29" s="16" t="str">
        <f>IFERROR(__xludf.DUMMYFUNCTION("""COMPUTED_VALUE"""),"tra cứu cic")</f>
        <v>tra cứu cic</v>
      </c>
      <c r="W29" s="21" t="str">
        <f>IFERROR(__xludf.DUMMYFUNCTION("""COMPUTED_VALUE"""),"https://techcombank.com/thong-tin/blog/vay-the-chap-khong-tra-duoc")</f>
        <v>https://techcombank.com/thong-tin/blog/vay-the-chap-khong-tra-duoc</v>
      </c>
      <c r="X29" s="16" t="str">
        <f>IFERROR(__xludf.DUMMYFUNCTION("""COMPUTED_VALUE"""),"kiểm tra cic")</f>
        <v>kiểm tra cic</v>
      </c>
      <c r="Y29" s="21" t="str">
        <f>IFERROR(__xludf.DUMMYFUNCTION("""COMPUTED_VALUE"""),"https://techcombank.com/thong-tin/blog/kiem-tra-no-xau")</f>
        <v>https://techcombank.com/thong-tin/blog/kiem-tra-no-xau</v>
      </c>
      <c r="Z29" s="16" t="str">
        <f>IFERROR(__xludf.DUMMYFUNCTION("""COMPUTED_VALUE"""),"cic là gì")</f>
        <v>cic là gì</v>
      </c>
      <c r="AA29" s="21" t="str">
        <f>IFERROR(__xludf.DUMMYFUNCTION("""COMPUTED_VALUE"""),"https://techcombank.com/thong-tin/blog/no-xau")</f>
        <v>https://techcombank.com/thong-tin/blog/no-xau</v>
      </c>
      <c r="AB29" s="16" t="str">
        <f>IFERROR(__xludf.DUMMYFUNCTION("""COMPUTED_VALUE"""),"tra cứu cic miễn phí")</f>
        <v>tra cứu cic miễn phí</v>
      </c>
      <c r="AC29" s="21" t="str">
        <f>IFERROR(__xludf.DUMMYFUNCTION("""COMPUTED_VALUE"""),"https://techcombank.com/thong-tin/blog/no-xau-la-gi")</f>
        <v>https://techcombank.com/thong-tin/blog/no-xau-la-gi</v>
      </c>
      <c r="AD29" s="16" t="str">
        <f>IFERROR(__xludf.DUMMYFUNCTION("""COMPUTED_VALUE"""),"tra cứu cic")</f>
        <v>tra cứu cic</v>
      </c>
      <c r="AE29" s="21" t="str">
        <f>IFERROR(__xludf.DUMMYFUNCTION("""COMPUTED_VALUE"""),"https://techcombank.com/thong-tin/blog/han-muc-thau-chi-la-gi")</f>
        <v>https://techcombank.com/thong-tin/blog/han-muc-thau-chi-la-gi</v>
      </c>
      <c r="AF29" s="16" t="str">
        <f>IFERROR(__xludf.DUMMYFUNCTION("""COMPUTED_VALUE"""),"kiểm tra cic")</f>
        <v>kiểm tra cic</v>
      </c>
      <c r="AG29" s="21" t="str">
        <f>IFERROR(__xludf.DUMMYFUNCTION("""COMPUTED_VALUE"""),"https://techcombank.com/thong-tin/blog/qua-han-thanh-toan-the-tin-dung-1-ngay")</f>
        <v>https://techcombank.com/thong-tin/blog/qua-han-thanh-toan-the-tin-dung-1-ngay</v>
      </c>
      <c r="AH29" s="16" t="str">
        <f>IFERROR(__xludf.DUMMYFUNCTION("""COMPUTED_VALUE"""),"cic là gì")</f>
        <v>cic là gì</v>
      </c>
      <c r="AI29" s="21" t="str">
        <f>IFERROR(__xludf.DUMMYFUNCTION("""COMPUTED_VALUE"""),"https://techcombank.com/thong-tin/blog/no-xau-co-lam-the-visa-duoc-khong")</f>
        <v>https://techcombank.com/thong-tin/blog/no-xau-co-lam-the-visa-duoc-khong</v>
      </c>
      <c r="AJ29" s="16" t="str">
        <f>IFERROR(__xludf.DUMMYFUNCTION("""COMPUTED_VALUE"""),"tra cứu cic miễn phí")</f>
        <v>tra cứu cic miễn phí</v>
      </c>
      <c r="AK29" s="21" t="str">
        <f>IFERROR(__xludf.DUMMYFUNCTION("""COMPUTED_VALUE"""),"https://techcombank.com/thong-tin/blog/thanh-toan-toi-thieu-the-tin-dung")</f>
        <v>https://techcombank.com/thong-tin/blog/thanh-toan-toi-thieu-the-tin-dung</v>
      </c>
      <c r="AL29" s="16" t="str">
        <f>IFERROR(__xludf.DUMMYFUNCTION("""COMPUTED_VALUE"""),"tra cứu cic")</f>
        <v>tra cứu cic</v>
      </c>
      <c r="AM29" s="21" t="str">
        <f>IFERROR(__xludf.DUMMYFUNCTION("""COMPUTED_VALUE"""),"https://techcombank.com/thong-tin/blog/spaylater")</f>
        <v>https://techcombank.com/thong-tin/blog/spaylater</v>
      </c>
      <c r="AN29" s="16" t="str">
        <f>IFERROR(__xludf.DUMMYFUNCTION("""COMPUTED_VALUE"""),"kiểm tra cic")</f>
        <v>kiểm tra cic</v>
      </c>
      <c r="AO29" s="21" t="str">
        <f>IFERROR(__xludf.DUMMYFUNCTION("""COMPUTED_VALUE"""),"https://techcombank.com/thong-tin/blog/the-tin-dung-bi-khoa")</f>
        <v>https://techcombank.com/thong-tin/blog/the-tin-dung-bi-khoa</v>
      </c>
      <c r="AP29" s="16" t="str">
        <f>IFERROR(__xludf.DUMMYFUNCTION("""COMPUTED_VALUE"""),"cic là gì")</f>
        <v>cic là gì</v>
      </c>
      <c r="AQ29" s="21" t="str">
        <f>IFERROR(__xludf.DUMMYFUNCTION("""COMPUTED_VALUE"""),"https://techcombank.com/thong-tin/blog/no-xau-mo-the-tin-dung-duoc-khong")</f>
        <v>https://techcombank.com/thong-tin/blog/no-xau-mo-the-tin-dung-duoc-khong</v>
      </c>
      <c r="AR29" s="16" t="str">
        <f>IFERROR(__xludf.DUMMYFUNCTION("""COMPUTED_VALUE"""),"tra cứu cic miễn phí")</f>
        <v>tra cứu cic miễn phí</v>
      </c>
      <c r="AS29" s="21" t="str">
        <f>IFERROR(__xludf.DUMMYFUNCTION("""COMPUTED_VALUE"""),"https://techcombank.com/thong-tin/blog/no-the-tin-dung-qua-han")</f>
        <v>https://techcombank.com/thong-tin/blog/no-the-tin-dung-qua-han</v>
      </c>
      <c r="AT29" s="16" t="str">
        <f>IFERROR(__xludf.DUMMYFUNCTION("""COMPUTED_VALUE"""),"tra cứu cic")</f>
        <v>tra cứu cic</v>
      </c>
      <c r="AU29" s="21" t="str">
        <f>IFERROR(__xludf.DUMMYFUNCTION("""COMPUTED_VALUE"""),"https://techcombank.com/thong-tin/blog/luu-y-khi-su-dung-the-tin-dung")</f>
        <v>https://techcombank.com/thong-tin/blog/luu-y-khi-su-dung-the-tin-dung</v>
      </c>
      <c r="AV29" s="16" t="str">
        <f>IFERROR(__xludf.DUMMYFUNCTION("""COMPUTED_VALUE"""),"kiểm tra cic")</f>
        <v>kiểm tra cic</v>
      </c>
      <c r="AW29" s="21" t="str">
        <f>IFERROR(__xludf.DUMMYFUNCTION("""COMPUTED_VALUE"""),"https://techcombank.com/thong-tin/blog/no-xau-co-vay-the-chap-duoc-khong")</f>
        <v>https://techcombank.com/thong-tin/blog/no-xau-co-vay-the-chap-duoc-khong</v>
      </c>
      <c r="AX29" s="16" t="str">
        <f>IFERROR(__xludf.DUMMYFUNCTION("""COMPUTED_VALUE"""),"cic là gì")</f>
        <v>cic là gì</v>
      </c>
      <c r="AY29" s="21" t="str">
        <f>IFERROR(__xludf.DUMMYFUNCTION("""COMPUTED_VALUE"""),"https://techcombank.com/thong-tin/blog/han-muc-vay-the-chap-so-do")</f>
        <v>https://techcombank.com/thong-tin/blog/han-muc-vay-the-chap-so-do</v>
      </c>
      <c r="AZ29" s="16" t="str">
        <f>IFERROR(__xludf.DUMMYFUNCTION("""COMPUTED_VALUE"""),"tra cứu cic miễn phí")</f>
        <v>tra cứu cic miễn phí</v>
      </c>
      <c r="BA29" s="21" t="str">
        <f>IFERROR(__xludf.DUMMYFUNCTION("""COMPUTED_VALUE"""),"https://techcombank.com/thong-tin/blog/vay-tin-chap-no-xau")</f>
        <v>https://techcombank.com/thong-tin/blog/vay-tin-chap-no-xau</v>
      </c>
      <c r="BB29" s="16" t="str">
        <f>IFERROR(__xludf.DUMMYFUNCTION("""COMPUTED_VALUE"""),"tra cứu cic")</f>
        <v>tra cứu cic</v>
      </c>
      <c r="BC29" s="21" t="str">
        <f>IFERROR(__xludf.DUMMYFUNCTION("""COMPUTED_VALUE"""),"https://techcombank.com/thong-tin/blog/dieu-kien-vay-the-chap")</f>
        <v>https://techcombank.com/thong-tin/blog/dieu-kien-vay-the-chap</v>
      </c>
      <c r="BD29" s="16"/>
      <c r="BE29" s="16"/>
      <c r="BF29" s="16"/>
      <c r="BG29" s="16"/>
      <c r="BH29" s="16"/>
      <c r="BI29" s="16"/>
      <c r="BJ29" s="16"/>
      <c r="BK29" s="16"/>
      <c r="BL29" s="16"/>
      <c r="BM29" s="16"/>
      <c r="BN29" s="16"/>
      <c r="BO29" s="16"/>
      <c r="BP29" s="16"/>
      <c r="BQ29" s="16"/>
      <c r="BR29" s="16"/>
      <c r="BS29" s="16"/>
      <c r="BT29" s="16"/>
      <c r="BU29" s="16"/>
      <c r="BV29" s="16"/>
      <c r="BW29" s="16"/>
      <c r="BX29" s="16"/>
      <c r="BY29" s="16"/>
      <c r="BZ29" s="16"/>
      <c r="CA29" s="16"/>
      <c r="CB29" s="16"/>
      <c r="CC29" s="16"/>
      <c r="CD29" s="16"/>
      <c r="CE29" s="16"/>
      <c r="CF29" s="16"/>
      <c r="CG29" s="16"/>
      <c r="CH29" s="16"/>
      <c r="CI29" s="16"/>
      <c r="CJ29" s="16"/>
      <c r="CK29" s="16"/>
      <c r="CL29" s="16"/>
      <c r="CM29" s="16"/>
      <c r="CN29" s="16"/>
      <c r="CO29" s="16"/>
      <c r="CP29" s="16"/>
      <c r="CQ29" s="16"/>
      <c r="CR29" s="16"/>
      <c r="CS29" s="16"/>
      <c r="CT29" s="16"/>
      <c r="CU29" s="16"/>
      <c r="CV29" s="16"/>
      <c r="CW29" s="16"/>
      <c r="CX29" s="16"/>
      <c r="CY29" s="16"/>
      <c r="CZ29" s="16"/>
      <c r="DA29" s="16"/>
      <c r="DB29" s="16"/>
      <c r="DC29" s="16"/>
      <c r="DD29" s="16"/>
      <c r="DE29" s="16"/>
      <c r="DF29" s="16"/>
      <c r="DG29" s="16"/>
      <c r="DH29" s="16"/>
      <c r="DI29" s="16"/>
      <c r="DJ29" s="16"/>
      <c r="DK29" s="16"/>
      <c r="DL29" s="16"/>
      <c r="DM29" s="16"/>
      <c r="DN29" s="16"/>
      <c r="DO29" s="16"/>
      <c r="DP29" s="16"/>
      <c r="DQ29" s="16"/>
      <c r="DR29" s="16"/>
      <c r="DS29" s="16"/>
      <c r="DT29" s="16"/>
      <c r="DU29" s="16"/>
      <c r="DV29" s="16"/>
      <c r="DW29" s="16"/>
      <c r="DX29" s="16"/>
      <c r="DY29" s="16"/>
      <c r="DZ29" s="16"/>
      <c r="EA29" s="16"/>
      <c r="EB29" s="16"/>
      <c r="EC29" s="16"/>
      <c r="ED29" s="16"/>
      <c r="EE29" s="16"/>
      <c r="EF29" s="16"/>
      <c r="EG29" s="16"/>
      <c r="EH29" s="16"/>
      <c r="EI29" s="16"/>
      <c r="EJ29" s="16"/>
      <c r="EK29" s="16"/>
      <c r="EL29" s="16"/>
      <c r="EM29" s="16"/>
      <c r="EN29" s="16"/>
      <c r="EO29" s="16"/>
      <c r="EP29" s="16"/>
      <c r="EQ29" s="16"/>
      <c r="ER29" s="16"/>
      <c r="ES29" s="16"/>
      <c r="ET29" s="16"/>
      <c r="EU29" s="16"/>
      <c r="EV29" s="16"/>
      <c r="EW29" s="16"/>
      <c r="EX29" s="16"/>
      <c r="EY29" s="16"/>
      <c r="EZ29" s="16"/>
      <c r="FA29" s="16"/>
      <c r="FB29" s="16"/>
      <c r="FC29" s="16"/>
      <c r="FD29" s="16"/>
      <c r="FE29" s="16"/>
      <c r="FF29" s="16"/>
      <c r="FG29" s="16"/>
      <c r="FH29" s="16"/>
      <c r="FI29" s="16"/>
      <c r="FJ29" s="16"/>
      <c r="FK29" s="16"/>
      <c r="FL29" s="16"/>
      <c r="FM29" s="16"/>
      <c r="FN29" s="16"/>
      <c r="FO29" s="16"/>
      <c r="FP29" s="16"/>
      <c r="FQ29" s="16"/>
      <c r="FR29" s="16"/>
      <c r="FS29" s="16"/>
      <c r="FT29" s="16"/>
      <c r="FU29" s="16"/>
      <c r="FV29" s="16"/>
      <c r="FW29" s="16"/>
      <c r="FX29" s="16"/>
      <c r="FY29" s="16"/>
      <c r="FZ29" s="16"/>
      <c r="GA29" s="16"/>
      <c r="GB29" s="16"/>
      <c r="GC29" s="16"/>
      <c r="GD29" s="16"/>
      <c r="GE29" s="16"/>
      <c r="GF29" s="16"/>
      <c r="GG29" s="16"/>
      <c r="GH29" s="16"/>
      <c r="GI29" s="16"/>
      <c r="GJ29" s="16"/>
      <c r="GK29" s="16"/>
      <c r="GL29" s="16"/>
      <c r="GM29" s="16"/>
      <c r="GN29" s="16"/>
      <c r="GO29" s="16"/>
    </row>
    <row r="30" ht="18.0" customHeight="1">
      <c r="A30" s="15">
        <v>29.0</v>
      </c>
      <c r="B30" s="16" t="s">
        <v>827</v>
      </c>
      <c r="C30" s="17" t="s">
        <v>853</v>
      </c>
      <c r="D30" s="16" t="s">
        <v>295</v>
      </c>
      <c r="E30" s="15">
        <f>COUNTIF('Tổng hợp 75 trang đích'!$B$2:$B$2505,$D30)</f>
        <v>36</v>
      </c>
      <c r="F30" s="15">
        <f>COUNTIFS('Tổng hợp 75 trang đích'!$B$2:$B$2505,$D30,'Tổng hợp 75 trang đích'!$K$2:$K$2505,"PHÙ HỢP CAO")</f>
        <v>3</v>
      </c>
      <c r="G30" s="15">
        <f>COUNTIFS('Tổng hợp 75 trang đích'!$B$2:$B$2505,$D30,'Tổng hợp 75 trang đích'!$K$2:$K$2505,"CÓ THỂ ĐI")</f>
        <v>2</v>
      </c>
      <c r="H30" s="15">
        <f>COUNTIFS('Tổng hợp 75 trang đích'!$B$2:$B$2505,$D30,'Tổng hợp 75 trang đích'!$K$2:$K$2505,"CẦN SOÁT")</f>
        <v>31</v>
      </c>
      <c r="I30" s="19" t="s">
        <v>256</v>
      </c>
      <c r="J30" s="19" t="b">
        <v>0</v>
      </c>
      <c r="K30" s="20" t="s">
        <v>258</v>
      </c>
      <c r="L30" s="16" t="str">
        <f>IFERROR(__xludf.DUMMYFUNCTION("IFERROR(TOROW(CHOOSECOLS(SORT(FILTER({'Tổng hợp 75 trang đích'!$J$2:$J$2505,'Tổng hợp 75 trang đích'!$I$2:$I$2505,MATCH('Tổng hợp 75 trang đích'!$K$2:$K$2505,{""PHÙ HỢP CAO"",""CÓ THỂ ĐI"",""CẦN SOÁT""},0)},'Tổng hợp 75 trang đích'!$B$2:$B$2505=$D30),3,TR"&amp;"UE),1,2)),"""")"),"rút tiền thẻ tín dụng")</f>
        <v>rút tiền thẻ tín dụng</v>
      </c>
      <c r="M30" s="21" t="str">
        <f>IFERROR(__xludf.DUMMYFUNCTION("""COMPUTED_VALUE"""),"https://techcombank.com/thong-tin/blog/phi-rut-tien-mat-the-tin-dung")</f>
        <v>https://techcombank.com/thong-tin/blog/phi-rut-tien-mat-the-tin-dung</v>
      </c>
      <c r="N30" s="16" t="str">
        <f>IFERROR(__xludf.DUMMYFUNCTION("""COMPUTED_VALUE"""),"quẹt thẻ tín dụng lấy tiền mặt")</f>
        <v>quẹt thẻ tín dụng lấy tiền mặt</v>
      </c>
      <c r="O30" s="21" t="str">
        <f>IFERROR(__xludf.DUMMYFUNCTION("""COMPUTED_VALUE"""),"https://techcombank.com/thong-tin/blog/the-visa-co-rut-tien-duoc-khong")</f>
        <v>https://techcombank.com/thong-tin/blog/the-visa-co-rut-tien-duoc-khong</v>
      </c>
      <c r="P30" s="16" t="str">
        <f>IFERROR(__xludf.DUMMYFUNCTION("""COMPUTED_VALUE"""),"rút tiền thẻ tín dụng")</f>
        <v>rút tiền thẻ tín dụng</v>
      </c>
      <c r="Q30" s="21" t="str">
        <f>IFERROR(__xludf.DUMMYFUNCTION("""COMPUTED_VALUE"""),"https://techcombank.com/thong-tin/blog/the-tin-dung-co-chuyen-khoan-duoc-khong")</f>
        <v>https://techcombank.com/thong-tin/blog/the-tin-dung-co-chuyen-khoan-duoc-khong</v>
      </c>
      <c r="R30" s="16" t="str">
        <f>IFERROR(__xludf.DUMMYFUNCTION("""COMPUTED_VALUE"""),"quẹt thẻ tín dụng lấy tiền mặt")</f>
        <v>quẹt thẻ tín dụng lấy tiền mặt</v>
      </c>
      <c r="S30" s="21" t="str">
        <f>IFERROR(__xludf.DUMMYFUNCTION("""COMPUTED_VALUE"""),"https://techcombank.com/thong-tin/blog/han-muc-the-tin-dung")</f>
        <v>https://techcombank.com/thong-tin/blog/han-muc-the-tin-dung</v>
      </c>
      <c r="T30" s="16" t="str">
        <f>IFERROR(__xludf.DUMMYFUNCTION("""COMPUTED_VALUE"""),"rút tiền thẻ tín dụng")</f>
        <v>rút tiền thẻ tín dụng</v>
      </c>
      <c r="U30" s="21" t="str">
        <f>IFERROR(__xludf.DUMMYFUNCTION("""COMPUTED_VALUE"""),"https://techcombank.com/thong-tin/blog/lai-suat-the-tin-dung")</f>
        <v>https://techcombank.com/thong-tin/blog/lai-suat-the-tin-dung</v>
      </c>
      <c r="V30" s="16" t="str">
        <f>IFERROR(__xludf.DUMMYFUNCTION("""COMPUTED_VALUE"""),"quẹt thẻ tín dụng lấy tiền mặt")</f>
        <v>quẹt thẻ tín dụng lấy tiền mặt</v>
      </c>
      <c r="W30" s="21" t="str">
        <f>IFERROR(__xludf.DUMMYFUNCTION("""COMPUTED_VALUE"""),"https://techcombank.com/thong-tin/blog/nop-tien-mat-vao-tai-khoan-cong-ty")</f>
        <v>https://techcombank.com/thong-tin/blog/nop-tien-mat-vao-tai-khoan-cong-ty</v>
      </c>
      <c r="X30" s="16" t="str">
        <f>IFERROR(__xludf.DUMMYFUNCTION("""COMPUTED_VALUE"""),"rút tiền thẻ tín dụng")</f>
        <v>rút tiền thẻ tín dụng</v>
      </c>
      <c r="Y30" s="21" t="str">
        <f>IFERROR(__xludf.DUMMYFUNCTION("""COMPUTED_VALUE"""),"https://techcombank.com/thong-tin/blog/vi-dien-tu")</f>
        <v>https://techcombank.com/thong-tin/blog/vi-dien-tu</v>
      </c>
      <c r="Z30" s="16" t="str">
        <f>IFERROR(__xludf.DUMMYFUNCTION("""COMPUTED_VALUE"""),"quẹt thẻ tín dụng lấy tiền mặt")</f>
        <v>quẹt thẻ tín dụng lấy tiền mặt</v>
      </c>
      <c r="AA30" s="21" t="str">
        <f>IFERROR(__xludf.DUMMYFUNCTION("""COMPUTED_VALUE"""),"https://techcombank.com/thong-tin/blog/tra-luong-tien-mat")</f>
        <v>https://techcombank.com/thong-tin/blog/tra-luong-tien-mat</v>
      </c>
      <c r="AB30" s="16" t="str">
        <f>IFERROR(__xludf.DUMMYFUNCTION("""COMPUTED_VALUE"""),"rút tiền thẻ tín dụng")</f>
        <v>rút tiền thẻ tín dụng</v>
      </c>
      <c r="AC30" s="21" t="str">
        <f>IFERROR(__xludf.DUMMYFUNCTION("""COMPUTED_VALUE"""),"https://techcombank.com/thong-tin/blog/thanh-toan-khong-dung-tien-mat")</f>
        <v>https://techcombank.com/thong-tin/blog/thanh-toan-khong-dung-tien-mat</v>
      </c>
      <c r="AD30" s="16" t="str">
        <f>IFERROR(__xludf.DUMMYFUNCTION("""COMPUTED_VALUE"""),"quẹt thẻ tín dụng lấy tiền mặt")</f>
        <v>quẹt thẻ tín dụng lấy tiền mặt</v>
      </c>
      <c r="AE30" s="21" t="str">
        <f>IFERROR(__xludf.DUMMYFUNCTION("""COMPUTED_VALUE"""),"https://techcombank.com/thong-tin/blog/rut-tien-mat-tu-tai-khoan-doanh-nghiep")</f>
        <v>https://techcombank.com/thong-tin/blog/rut-tien-mat-tu-tai-khoan-doanh-nghiep</v>
      </c>
      <c r="AF30" s="16" t="str">
        <f>IFERROR(__xludf.DUMMYFUNCTION("""COMPUTED_VALUE"""),"rút tiền thẻ tín dụng")</f>
        <v>rút tiền thẻ tín dụng</v>
      </c>
      <c r="AG30" s="21" t="str">
        <f>IFERROR(__xludf.DUMMYFUNCTION("""COMPUTED_VALUE"""),"https://techcombank.com/thong-tin/blog/cdm")</f>
        <v>https://techcombank.com/thong-tin/blog/cdm</v>
      </c>
      <c r="AH30" s="16" t="str">
        <f>IFERROR(__xludf.DUMMYFUNCTION("""COMPUTED_VALUE"""),"quẹt thẻ tín dụng lấy tiền mặt")</f>
        <v>quẹt thẻ tín dụng lấy tiền mặt</v>
      </c>
      <c r="AI30" s="21" t="str">
        <f>IFERROR(__xludf.DUMMYFUNCTION("""COMPUTED_VALUE"""),"https://techcombank.com/thong-tin/blog/cach-su-dung-tai-khoan-cong-ty")</f>
        <v>https://techcombank.com/thong-tin/blog/cach-su-dung-tai-khoan-cong-ty</v>
      </c>
      <c r="AJ30" s="16" t="str">
        <f>IFERROR(__xludf.DUMMYFUNCTION("""COMPUTED_VALUE"""),"rút tiền thẻ tín dụng")</f>
        <v>rút tiền thẻ tín dụng</v>
      </c>
      <c r="AK30" s="21" t="str">
        <f>IFERROR(__xludf.DUMMYFUNCTION("""COMPUTED_VALUE"""),"https://techcombank.com/thong-tin/blog/rut-tien-bang-ma-qr-khac-ngan-hang-duoc-khong")</f>
        <v>https://techcombank.com/thong-tin/blog/rut-tien-bang-ma-qr-khac-ngan-hang-duoc-khong</v>
      </c>
      <c r="AL30" s="16" t="str">
        <f>IFERROR(__xludf.DUMMYFUNCTION("""COMPUTED_VALUE"""),"quẹt thẻ tín dụng lấy tiền mặt")</f>
        <v>quẹt thẻ tín dụng lấy tiền mặt</v>
      </c>
      <c r="AM30" s="21" t="str">
        <f>IFERROR(__xludf.DUMMYFUNCTION("""COMPUTED_VALUE"""),"https://techcombank.com/thong-tin/blog/tra-cuu-han-muc-the-tin-dung")</f>
        <v>https://techcombank.com/thong-tin/blog/tra-cuu-han-muc-the-tin-dung</v>
      </c>
      <c r="AN30" s="16" t="str">
        <f>IFERROR(__xludf.DUMMYFUNCTION("""COMPUTED_VALUE"""),"rút tiền thẻ tín dụng")</f>
        <v>rút tiền thẻ tín dụng</v>
      </c>
      <c r="AO30" s="21" t="str">
        <f>IFERROR(__xludf.DUMMYFUNCTION("""COMPUTED_VALUE"""),"https://techcombank.com/thong-tin/blog/the-visa-de-lam-gi")</f>
        <v>https://techcombank.com/thong-tin/blog/the-visa-de-lam-gi</v>
      </c>
      <c r="AP30" s="16" t="str">
        <f>IFERROR(__xludf.DUMMYFUNCTION("""COMPUTED_VALUE"""),"quẹt thẻ tín dụng lấy tiền mặt")</f>
        <v>quẹt thẻ tín dụng lấy tiền mặt</v>
      </c>
      <c r="AQ30" s="21" t="str">
        <f>IFERROR(__xludf.DUMMYFUNCTION("""COMPUTED_VALUE"""),"https://techcombank.com/thong-tin/blog/the-atm-khong-rut-duoc-tien")</f>
        <v>https://techcombank.com/thong-tin/blog/the-atm-khong-rut-duoc-tien</v>
      </c>
      <c r="AR30" s="16" t="str">
        <f>IFERROR(__xludf.DUMMYFUNCTION("""COMPUTED_VALUE"""),"rút tiền thẻ tín dụng")</f>
        <v>rút tiền thẻ tín dụng</v>
      </c>
      <c r="AS30" s="21" t="str">
        <f>IFERROR(__xludf.DUMMYFUNCTION("""COMPUTED_VALUE"""),"https://techcombank.com/thong-tin/blog/rut-tien-tiet-kiem-truoc-thoi-han")</f>
        <v>https://techcombank.com/thong-tin/blog/rut-tien-tiet-kiem-truoc-thoi-han</v>
      </c>
      <c r="AT30" s="16" t="str">
        <f>IFERROR(__xludf.DUMMYFUNCTION("""COMPUTED_VALUE"""),"quẹt thẻ tín dụng lấy tiền mặt")</f>
        <v>quẹt thẻ tín dụng lấy tiền mặt</v>
      </c>
      <c r="AU30" s="21" t="str">
        <f>IFERROR(__xludf.DUMMYFUNCTION("""COMPUTED_VALUE"""),"https://techcombank.com/thong-tin/blog/rut-tien-bang-ma-qr-la-gi-cach-thuc-hien-nhu-the-nao")</f>
        <v>https://techcombank.com/thong-tin/blog/rut-tien-bang-ma-qr-la-gi-cach-thuc-hien-nhu-the-nao</v>
      </c>
      <c r="AV30" s="16" t="str">
        <f>IFERROR(__xludf.DUMMYFUNCTION("""COMPUTED_VALUE"""),"rút tiền thẻ tín dụng")</f>
        <v>rút tiền thẻ tín dụng</v>
      </c>
      <c r="AW30" s="21" t="str">
        <f>IFERROR(__xludf.DUMMYFUNCTION("""COMPUTED_VALUE"""),"https://techcombank.com/thong-tin/blog/ty-le-thanh-toan-khong-dung-tien-mat-trong-linh-vuc-y-te-con-han-che")</f>
        <v>https://techcombank.com/thong-tin/blog/ty-le-thanh-toan-khong-dung-tien-mat-trong-linh-vuc-y-te-con-han-che</v>
      </c>
      <c r="AX30" s="16" t="str">
        <f>IFERROR(__xludf.DUMMYFUNCTION("""COMPUTED_VALUE"""),"quẹt thẻ tín dụng lấy tiền mặt")</f>
        <v>quẹt thẻ tín dụng lấy tiền mặt</v>
      </c>
      <c r="AY30" s="21" t="str">
        <f>IFERROR(__xludf.DUMMYFUNCTION("""COMPUTED_VALUE"""),"https://techcombank.com/thong-tin/blog/thanh-toan-khong-dung-tien-mat-tro-thanh-xu-huong-tang-truong-chong-mat")</f>
        <v>https://techcombank.com/thong-tin/blog/thanh-toan-khong-dung-tien-mat-tro-thanh-xu-huong-tang-truong-chong-mat</v>
      </c>
      <c r="AZ30" s="16" t="str">
        <f>IFERROR(__xludf.DUMMYFUNCTION("""COMPUTED_VALUE"""),"rút tiền thẻ tín dụng")</f>
        <v>rút tiền thẻ tín dụng</v>
      </c>
      <c r="BA30" s="21" t="str">
        <f>IFERROR(__xludf.DUMMYFUNCTION("""COMPUTED_VALUE"""),"https://techcombank.com/thong-tin/blog/bi-nuot-the-atm-phai-lam-sao")</f>
        <v>https://techcombank.com/thong-tin/blog/bi-nuot-the-atm-phai-lam-sao</v>
      </c>
      <c r="BB30" s="16" t="str">
        <f>IFERROR(__xludf.DUMMYFUNCTION("""COMPUTED_VALUE"""),"quẹt thẻ tín dụng lấy tiền mặt")</f>
        <v>quẹt thẻ tín dụng lấy tiền mặt</v>
      </c>
      <c r="BC30" s="21" t="str">
        <f>IFERROR(__xludf.DUMMYFUNCTION("""COMPUTED_VALUE"""),"https://techcombank.com/thong-tin/blog/vay-tien-mat")</f>
        <v>https://techcombank.com/thong-tin/blog/vay-tien-mat</v>
      </c>
      <c r="BD30" s="16" t="str">
        <f>IFERROR(__xludf.DUMMYFUNCTION("""COMPUTED_VALUE"""),"rút tiền thẻ tín dụng")</f>
        <v>rút tiền thẻ tín dụng</v>
      </c>
      <c r="BE30" s="21" t="str">
        <f>IFERROR(__xludf.DUMMYFUNCTION("""COMPUTED_VALUE"""),"https://techcombank.com/thong-tin/blog/the-tin-dung-la-gi")</f>
        <v>https://techcombank.com/thong-tin/blog/the-tin-dung-la-gi</v>
      </c>
      <c r="BF30" s="16" t="str">
        <f>IFERROR(__xludf.DUMMYFUNCTION("""COMPUTED_VALUE"""),"quẹt thẻ tín dụng lấy tiền mặt")</f>
        <v>quẹt thẻ tín dụng lấy tiền mặt</v>
      </c>
      <c r="BG30" s="21" t="str">
        <f>IFERROR(__xludf.DUMMYFUNCTION("""COMPUTED_VALUE"""),"https://techcombank.com/thong-tin/blog/cach-su-dung-the-tin-dung")</f>
        <v>https://techcombank.com/thong-tin/blog/cach-su-dung-the-tin-dung</v>
      </c>
      <c r="BH30" s="16" t="str">
        <f>IFERROR(__xludf.DUMMYFUNCTION("""COMPUTED_VALUE"""),"rút tiền thẻ tín dụng")</f>
        <v>rút tiền thẻ tín dụng</v>
      </c>
      <c r="BI30" s="21" t="str">
        <f>IFERROR(__xludf.DUMMYFUNCTION("""COMPUTED_VALUE"""),"https://techcombank.com/thong-tin/blog/nang-han-muc-tin-dung")</f>
        <v>https://techcombank.com/thong-tin/blog/nang-han-muc-tin-dung</v>
      </c>
      <c r="BJ30" s="16" t="str">
        <f>IFERROR(__xludf.DUMMYFUNCTION("""COMPUTED_VALUE"""),"quẹt thẻ tín dụng lấy tiền mặt")</f>
        <v>quẹt thẻ tín dụng lấy tiền mặt</v>
      </c>
      <c r="BK30" s="21" t="str">
        <f>IFERROR(__xludf.DUMMYFUNCTION("""COMPUTED_VALUE"""),"https://techcombank.com/thong-tin/blog/xu-huong-thanh-toan-khong-dung-tien-mat-tai-viet-nam")</f>
        <v>https://techcombank.com/thong-tin/blog/xu-huong-thanh-toan-khong-dung-tien-mat-tai-viet-nam</v>
      </c>
      <c r="BL30" s="16" t="str">
        <f>IFERROR(__xludf.DUMMYFUNCTION("""COMPUTED_VALUE"""),"rút tiền thẻ tín dụng")</f>
        <v>rút tiền thẻ tín dụng</v>
      </c>
      <c r="BM30" s="21" t="str">
        <f>IFERROR(__xludf.DUMMYFUNCTION("""COMPUTED_VALUE"""),"https://techcombank.com/thong-tin/blog/cach-rut-tien-atm")</f>
        <v>https://techcombank.com/thong-tin/blog/cach-rut-tien-atm</v>
      </c>
      <c r="BN30" s="16" t="str">
        <f>IFERROR(__xludf.DUMMYFUNCTION("""COMPUTED_VALUE"""),"quẹt thẻ tín dụng lấy tiền mặt")</f>
        <v>quẹt thẻ tín dụng lấy tiền mặt</v>
      </c>
      <c r="BO30" s="21" t="str">
        <f>IFERROR(__xludf.DUMMYFUNCTION("""COMPUTED_VALUE"""),"https://techcombank.com/thong-tin/blog/rut-tien-bao-hiem-nhan-tho-khi-het-han")</f>
        <v>https://techcombank.com/thong-tin/blog/rut-tien-bao-hiem-nhan-tho-khi-het-han</v>
      </c>
      <c r="BP30" s="16" t="str">
        <f>IFERROR(__xludf.DUMMYFUNCTION("""COMPUTED_VALUE"""),"rút tiền thẻ tín dụng")</f>
        <v>rút tiền thẻ tín dụng</v>
      </c>
      <c r="BQ30" s="21" t="str">
        <f>IFERROR(__xludf.DUMMYFUNCTION("""COMPUTED_VALUE"""),"https://techcombank.com/thong-tin/blog/cach-su-dung-the-visa-techcombank")</f>
        <v>https://techcombank.com/thong-tin/blog/cach-su-dung-the-visa-techcombank</v>
      </c>
      <c r="BR30" s="16" t="str">
        <f>IFERROR(__xludf.DUMMYFUNCTION("""COMPUTED_VALUE"""),"quẹt thẻ tín dụng lấy tiền mặt")</f>
        <v>quẹt thẻ tín dụng lấy tiền mặt</v>
      </c>
      <c r="BS30" s="21" t="str">
        <f>IFERROR(__xludf.DUMMYFUNCTION("""COMPUTED_VALUE"""),"https://techcombank.com/thong-tin/blog/thanh-toan-khong-tien-mat-trong-nganh-giao-duc-co-hoi-va-thach-thuc")</f>
        <v>https://techcombank.com/thong-tin/blog/thanh-toan-khong-tien-mat-trong-nganh-giao-duc-co-hoi-va-thach-thuc</v>
      </c>
      <c r="BT30" s="16" t="str">
        <f>IFERROR(__xludf.DUMMYFUNCTION("""COMPUTED_VALUE"""),"rút tiền thẻ tín dụng")</f>
        <v>rút tiền thẻ tín dụng</v>
      </c>
      <c r="BU30" s="21" t="str">
        <f>IFERROR(__xludf.DUMMYFUNCTION("""COMPUTED_VALUE"""),"https://techcombank.com/thong-tin/blog/the-he-tre-day-manh-xu-huong-thanh-toan-khong-dung-tien-mat")</f>
        <v>https://techcombank.com/thong-tin/blog/the-he-tre-day-manh-xu-huong-thanh-toan-khong-dung-tien-mat</v>
      </c>
      <c r="BV30" s="16" t="str">
        <f>IFERROR(__xludf.DUMMYFUNCTION("""COMPUTED_VALUE"""),"quẹt thẻ tín dụng lấy tiền mặt")</f>
        <v>quẹt thẻ tín dụng lấy tiền mặt</v>
      </c>
      <c r="BW30" s="21" t="str">
        <f>IFERROR(__xludf.DUMMYFUNCTION("""COMPUTED_VALUE"""),"https://techcombank.com/thong-tin/blog/cay-atm-gan-day")</f>
        <v>https://techcombank.com/thong-tin/blog/cay-atm-gan-day</v>
      </c>
      <c r="BX30" s="16" t="str">
        <f>IFERROR(__xludf.DUMMYFUNCTION("""COMPUTED_VALUE"""),"rút tiền thẻ tín dụng")</f>
        <v>rút tiền thẻ tín dụng</v>
      </c>
      <c r="BY30" s="21" t="str">
        <f>IFERROR(__xludf.DUMMYFUNCTION("""COMPUTED_VALUE"""),"https://techcombank.com/thong-tin/blog/dang-vay-tra-gop-co-vay-them-duoc-khong")</f>
        <v>https://techcombank.com/thong-tin/blog/dang-vay-tra-gop-co-vay-them-duoc-khong</v>
      </c>
      <c r="BZ30" s="16" t="str">
        <f>IFERROR(__xludf.DUMMYFUNCTION("""COMPUTED_VALUE"""),"quẹt thẻ tín dụng lấy tiền mặt")</f>
        <v>quẹt thẻ tín dụng lấy tiền mặt</v>
      </c>
      <c r="CA30" s="21" t="str">
        <f>IFERROR(__xludf.DUMMYFUNCTION("""COMPUTED_VALUE"""),"https://techcombank.com/thong-tin/blog/cach-su-dung-the-ghi-no")</f>
        <v>https://techcombank.com/thong-tin/blog/cach-su-dung-the-ghi-no</v>
      </c>
      <c r="CB30" s="16" t="str">
        <f>IFERROR(__xludf.DUMMYFUNCTION("""COMPUTED_VALUE"""),"rút tiền thẻ tín dụng")</f>
        <v>rút tiền thẻ tín dụng</v>
      </c>
      <c r="CC30" s="21" t="str">
        <f>IFERROR(__xludf.DUMMYFUNCTION("""COMPUTED_VALUE"""),"https://techcombank.com/thong-tin/blog/the-ghi-no-co-rut-tien-duoc-khong")</f>
        <v>https://techcombank.com/thong-tin/blog/the-ghi-no-co-rut-tien-duoc-khong</v>
      </c>
      <c r="CD30" s="16" t="str">
        <f>IFERROR(__xludf.DUMMYFUNCTION("""COMPUTED_VALUE"""),"quẹt thẻ tín dụng lấy tiền mặt")</f>
        <v>quẹt thẻ tín dụng lấy tiền mặt</v>
      </c>
      <c r="CE30" s="21" t="str">
        <f>IFERROR(__xludf.DUMMYFUNCTION("""COMPUTED_VALUE"""),"https://techcombank.com/thong-tin/blog/tien-gui-co-ky-han")</f>
        <v>https://techcombank.com/thong-tin/blog/tien-gui-co-ky-han</v>
      </c>
      <c r="CF30" s="16"/>
      <c r="CG30" s="16"/>
      <c r="CH30" s="16"/>
      <c r="CI30" s="16"/>
      <c r="CJ30" s="16"/>
      <c r="CK30" s="16"/>
      <c r="CL30" s="16"/>
      <c r="CM30" s="16"/>
      <c r="CN30" s="16"/>
      <c r="CO30" s="16"/>
      <c r="CP30" s="16"/>
      <c r="CQ30" s="16"/>
      <c r="CR30" s="16"/>
      <c r="CS30" s="16"/>
      <c r="CT30" s="16"/>
      <c r="CU30" s="16"/>
      <c r="CV30" s="16"/>
      <c r="CW30" s="16"/>
      <c r="CX30" s="16"/>
      <c r="CY30" s="16"/>
      <c r="CZ30" s="16"/>
      <c r="DA30" s="16"/>
      <c r="DB30" s="16"/>
      <c r="DC30" s="16"/>
      <c r="DD30" s="16"/>
      <c r="DE30" s="16"/>
      <c r="DF30" s="16"/>
      <c r="DG30" s="16"/>
      <c r="DH30" s="16"/>
      <c r="DI30" s="16"/>
      <c r="DJ30" s="16"/>
      <c r="DK30" s="16"/>
      <c r="DL30" s="16"/>
      <c r="DM30" s="16"/>
      <c r="DN30" s="16"/>
      <c r="DO30" s="16"/>
      <c r="DP30" s="16"/>
      <c r="DQ30" s="16"/>
      <c r="DR30" s="16"/>
      <c r="DS30" s="16"/>
      <c r="DT30" s="16"/>
      <c r="DU30" s="16"/>
      <c r="DV30" s="16"/>
      <c r="DW30" s="16"/>
      <c r="DX30" s="16"/>
      <c r="DY30" s="16"/>
      <c r="DZ30" s="16"/>
      <c r="EA30" s="16"/>
      <c r="EB30" s="16"/>
      <c r="EC30" s="16"/>
      <c r="ED30" s="16"/>
      <c r="EE30" s="16"/>
      <c r="EF30" s="16"/>
      <c r="EG30" s="16"/>
      <c r="EH30" s="16"/>
      <c r="EI30" s="16"/>
      <c r="EJ30" s="16"/>
      <c r="EK30" s="16"/>
      <c r="EL30" s="16"/>
      <c r="EM30" s="16"/>
      <c r="EN30" s="16"/>
      <c r="EO30" s="16"/>
      <c r="EP30" s="16"/>
      <c r="EQ30" s="16"/>
      <c r="ER30" s="16"/>
      <c r="ES30" s="16"/>
      <c r="ET30" s="16"/>
      <c r="EU30" s="16"/>
      <c r="EV30" s="16"/>
      <c r="EW30" s="16"/>
      <c r="EX30" s="16"/>
      <c r="EY30" s="16"/>
      <c r="EZ30" s="16"/>
      <c r="FA30" s="16"/>
      <c r="FB30" s="16"/>
      <c r="FC30" s="16"/>
      <c r="FD30" s="16"/>
      <c r="FE30" s="16"/>
      <c r="FF30" s="16"/>
      <c r="FG30" s="16"/>
      <c r="FH30" s="16"/>
      <c r="FI30" s="16"/>
      <c r="FJ30" s="16"/>
      <c r="FK30" s="16"/>
      <c r="FL30" s="16"/>
      <c r="FM30" s="16"/>
      <c r="FN30" s="16"/>
      <c r="FO30" s="16"/>
      <c r="FP30" s="16"/>
      <c r="FQ30" s="16"/>
      <c r="FR30" s="16"/>
      <c r="FS30" s="16"/>
      <c r="FT30" s="16"/>
      <c r="FU30" s="16"/>
      <c r="FV30" s="16"/>
      <c r="FW30" s="16"/>
      <c r="FX30" s="16"/>
      <c r="FY30" s="16"/>
      <c r="FZ30" s="16"/>
      <c r="GA30" s="16"/>
      <c r="GB30" s="16"/>
      <c r="GC30" s="16"/>
      <c r="GD30" s="16"/>
      <c r="GE30" s="16"/>
      <c r="GF30" s="16"/>
      <c r="GG30" s="16"/>
      <c r="GH30" s="16"/>
      <c r="GI30" s="16"/>
      <c r="GJ30" s="16"/>
      <c r="GK30" s="16"/>
      <c r="GL30" s="16"/>
      <c r="GM30" s="16"/>
      <c r="GN30" s="16"/>
      <c r="GO30" s="16"/>
    </row>
    <row r="31" ht="18.0" customHeight="1">
      <c r="A31" s="15">
        <v>30.0</v>
      </c>
      <c r="B31" s="16" t="s">
        <v>827</v>
      </c>
      <c r="C31" s="17" t="s">
        <v>871</v>
      </c>
      <c r="D31" s="16" t="s">
        <v>302</v>
      </c>
      <c r="E31" s="15">
        <f>COUNTIF('Tổng hợp 75 trang đích'!$B$2:$B$2505,$D31)</f>
        <v>93</v>
      </c>
      <c r="F31" s="15">
        <f>COUNTIFS('Tổng hợp 75 trang đích'!$B$2:$B$2505,$D31,'Tổng hợp 75 trang đích'!$K$2:$K$2505,"PHÙ HỢP CAO")</f>
        <v>4</v>
      </c>
      <c r="G31" s="15">
        <f>COUNTIFS('Tổng hợp 75 trang đích'!$B$2:$B$2505,$D31,'Tổng hợp 75 trang đích'!$K$2:$K$2505,"CÓ THỂ ĐI")</f>
        <v>1</v>
      </c>
      <c r="H31" s="15">
        <f>COUNTIFS('Tổng hợp 75 trang đích'!$B$2:$B$2505,$D31,'Tổng hợp 75 trang đích'!$K$2:$K$2505,"CẦN SOÁT")</f>
        <v>88</v>
      </c>
      <c r="I31" s="19" t="s">
        <v>256</v>
      </c>
      <c r="J31" s="19" t="b">
        <v>0</v>
      </c>
      <c r="K31" s="20" t="s">
        <v>258</v>
      </c>
      <c r="L31" s="16" t="str">
        <f>IFERROR(__xludf.DUMMYFUNCTION("IFERROR(TOROW(CHOOSECOLS(SORT(FILTER({'Tổng hợp 75 trang đích'!$J$2:$J$2505,'Tổng hợp 75 trang đích'!$I$2:$I$2505,MATCH('Tổng hợp 75 trang đích'!$K$2:$K$2505,{""PHÙ HỢP CAO"",""CÓ THỂ ĐI"",""CẦN SOÁT""},0)},'Tổng hợp 75 trang đích'!$B$2:$B$2505=$D31),3,TR"&amp;"UE),1,2)),"""")"),"làm thẻ tín dụng")</f>
        <v>làm thẻ tín dụng</v>
      </c>
      <c r="M31" s="21" t="str">
        <f>IFERROR(__xludf.DUMMYFUNCTION("""COMPUTED_VALUE"""),"https://techcombank.com/thong-tin/blog/the-tin-dung-la-gi")</f>
        <v>https://techcombank.com/thong-tin/blog/the-tin-dung-la-gi</v>
      </c>
      <c r="N31" s="16" t="str">
        <f>IFERROR(__xludf.DUMMYFUNCTION("""COMPUTED_VALUE"""),"mở thẻ tín dụng")</f>
        <v>mở thẻ tín dụng</v>
      </c>
      <c r="O31" s="21" t="str">
        <f>IFERROR(__xludf.DUMMYFUNCTION("""COMPUTED_VALUE"""),"https://techcombank.com/thong-tin/blog/mo-the-tin-dung-chi-can-cccd")</f>
        <v>https://techcombank.com/thong-tin/blog/mo-the-tin-dung-chi-can-cccd</v>
      </c>
      <c r="P31" s="16" t="str">
        <f>IFERROR(__xludf.DUMMYFUNCTION("""COMPUTED_VALUE"""),"làm thẻ tín dụng")</f>
        <v>làm thẻ tín dụng</v>
      </c>
      <c r="Q31" s="21" t="str">
        <f>IFERROR(__xludf.DUMMYFUNCTION("""COMPUTED_VALUE"""),"https://techcombank.com/thong-tin/blog/lam-the-tin-dung-co-mat-phi-khong")</f>
        <v>https://techcombank.com/thong-tin/blog/lam-the-tin-dung-co-mat-phi-khong</v>
      </c>
      <c r="R31" s="16" t="str">
        <f>IFERROR(__xludf.DUMMYFUNCTION("""COMPUTED_VALUE"""),"mở thẻ tín dụng")</f>
        <v>mở thẻ tín dụng</v>
      </c>
      <c r="S31" s="21" t="str">
        <f>IFERROR(__xludf.DUMMYFUNCTION("""COMPUTED_VALUE"""),"https://techcombank.com/thong-tin/blog/mo-the-tin-dung-khong-can-chung-minh-thu-nhap")</f>
        <v>https://techcombank.com/thong-tin/blog/mo-the-tin-dung-khong-can-chung-minh-thu-nhap</v>
      </c>
      <c r="T31" s="16" t="str">
        <f>IFERROR(__xludf.DUMMYFUNCTION("""COMPUTED_VALUE"""),"làm thẻ tín dụng")</f>
        <v>làm thẻ tín dụng</v>
      </c>
      <c r="U31" s="21" t="str">
        <f>IFERROR(__xludf.DUMMYFUNCTION("""COMPUTED_VALUE"""),"https://techcombank.com/thong-tin/blog/co-nen-dung-the-tin-dung-khong")</f>
        <v>https://techcombank.com/thong-tin/blog/co-nen-dung-the-tin-dung-khong</v>
      </c>
      <c r="V31" s="16" t="str">
        <f>IFERROR(__xludf.DUMMYFUNCTION("""COMPUTED_VALUE"""),"mở thẻ tín dụng")</f>
        <v>mở thẻ tín dụng</v>
      </c>
      <c r="W31" s="21" t="str">
        <f>IFERROR(__xludf.DUMMYFUNCTION("""COMPUTED_VALUE"""),"https://techcombank.com/thong-tin/blog/tai-khoan-doanh-nghiep-co-the-khong")</f>
        <v>https://techcombank.com/thong-tin/blog/tai-khoan-doanh-nghiep-co-the-khong</v>
      </c>
      <c r="X31" s="16" t="str">
        <f>IFERROR(__xludf.DUMMYFUNCTION("""COMPUTED_VALUE"""),"làm thẻ tín dụng")</f>
        <v>làm thẻ tín dụng</v>
      </c>
      <c r="Y31" s="21" t="str">
        <f>IFERROR(__xludf.DUMMYFUNCTION("""COMPUTED_VALUE"""),"https://techcombank.com/thong-tin/blog/mm-yy-la-gi")</f>
        <v>https://techcombank.com/thong-tin/blog/mm-yy-la-gi</v>
      </c>
      <c r="Z31" s="16" t="str">
        <f>IFERROR(__xludf.DUMMYFUNCTION("""COMPUTED_VALUE"""),"mở thẻ tín dụng")</f>
        <v>mở thẻ tín dụng</v>
      </c>
      <c r="AA31" s="21" t="str">
        <f>IFERROR(__xludf.DUMMYFUNCTION("""COMPUTED_VALUE"""),"https://techcombank.com/thong-tin/blog/uu-dai-the-tin-dung-techcombank-signature")</f>
        <v>https://techcombank.com/thong-tin/blog/uu-dai-the-tin-dung-techcombank-signature</v>
      </c>
      <c r="AB31" s="16" t="str">
        <f>IFERROR(__xludf.DUMMYFUNCTION("""COMPUTED_VALUE"""),"làm thẻ tín dụng")</f>
        <v>làm thẻ tín dụng</v>
      </c>
      <c r="AC31" s="21" t="str">
        <f>IFERROR(__xludf.DUMMYFUNCTION("""COMPUTED_VALUE"""),"https://techcombank.com/thong-tin/blog/cac-loai-the-tin-dung")</f>
        <v>https://techcombank.com/thong-tin/blog/cac-loai-the-tin-dung</v>
      </c>
      <c r="AD31" s="16" t="str">
        <f>IFERROR(__xludf.DUMMYFUNCTION("""COMPUTED_VALUE"""),"mở thẻ tín dụng")</f>
        <v>mở thẻ tín dụng</v>
      </c>
      <c r="AE31" s="21" t="str">
        <f>IFERROR(__xludf.DUMMYFUNCTION("""COMPUTED_VALUE"""),"https://techcombank.com/thong-tin/blog/the-tin-dung-mien-phi-thuong-nien")</f>
        <v>https://techcombank.com/thong-tin/blog/the-tin-dung-mien-phi-thuong-nien</v>
      </c>
      <c r="AF31" s="16" t="str">
        <f>IFERROR(__xludf.DUMMYFUNCTION("""COMPUTED_VALUE"""),"làm thẻ tín dụng")</f>
        <v>làm thẻ tín dụng</v>
      </c>
      <c r="AG31" s="21" t="str">
        <f>IFERROR(__xludf.DUMMYFUNCTION("""COMPUTED_VALUE"""),"https://techcombank.com/thong-tin/blog/uu-dai-mua-ve-may-bay-bang-the-tin-dung")</f>
        <v>https://techcombank.com/thong-tin/blog/uu-dai-mua-ve-may-bay-bang-the-tin-dung</v>
      </c>
      <c r="AH31" s="16" t="str">
        <f>IFERROR(__xludf.DUMMYFUNCTION("""COMPUTED_VALUE"""),"mở thẻ tín dụng")</f>
        <v>mở thẻ tín dụng</v>
      </c>
      <c r="AI31" s="21" t="str">
        <f>IFERROR(__xludf.DUMMYFUNCTION("""COMPUTED_VALUE"""),"https://techcombank.com/thong-tin/blog/mat-the-tin-dung-co-bi-mat-tien-khong")</f>
        <v>https://techcombank.com/thong-tin/blog/mat-the-tin-dung-co-bi-mat-tien-khong</v>
      </c>
      <c r="AJ31" s="16" t="str">
        <f>IFERROR(__xludf.DUMMYFUNCTION("""COMPUTED_VALUE"""),"làm thẻ tín dụng")</f>
        <v>làm thẻ tín dụng</v>
      </c>
      <c r="AK31" s="21" t="str">
        <f>IFERROR(__xludf.DUMMYFUNCTION("""COMPUTED_VALUE"""),"https://techcombank.com/thong-tin/blog/so-cvv-la-gi")</f>
        <v>https://techcombank.com/thong-tin/blog/so-cvv-la-gi</v>
      </c>
      <c r="AL31" s="16" t="str">
        <f>IFERROR(__xludf.DUMMYFUNCTION("""COMPUTED_VALUE"""),"mở thẻ tín dụng")</f>
        <v>mở thẻ tín dụng</v>
      </c>
      <c r="AM31" s="21" t="str">
        <f>IFERROR(__xludf.DUMMYFUNCTION("""COMPUTED_VALUE"""),"https://techcombank.com/thong-tin/blog/lam-the-atm-co-mat-phi-khong")</f>
        <v>https://techcombank.com/thong-tin/blog/lam-the-atm-co-mat-phi-khong</v>
      </c>
      <c r="AN31" s="16" t="str">
        <f>IFERROR(__xludf.DUMMYFUNCTION("""COMPUTED_VALUE"""),"làm thẻ tín dụng")</f>
        <v>làm thẻ tín dụng</v>
      </c>
      <c r="AO31" s="21" t="str">
        <f>IFERROR(__xludf.DUMMYFUNCTION("""COMPUTED_VALUE"""),"https://techcombank.com/thong-tin/blog/the-tin-dung-nao-nhieu-uu-dai-nhat")</f>
        <v>https://techcombank.com/thong-tin/blog/the-tin-dung-nao-nhieu-uu-dai-nhat</v>
      </c>
      <c r="AP31" s="16" t="str">
        <f>IFERROR(__xludf.DUMMYFUNCTION("""COMPUTED_VALUE"""),"mở thẻ tín dụng")</f>
        <v>mở thẻ tín dụng</v>
      </c>
      <c r="AQ31" s="21" t="str">
        <f>IFERROR(__xludf.DUMMYFUNCTION("""COMPUTED_VALUE"""),"https://techcombank.com/thong-tin/blog/cach-lam-the-ngan-hang-chay-quang-cao-facebook")</f>
        <v>https://techcombank.com/thong-tin/blog/cach-lam-the-ngan-hang-chay-quang-cao-facebook</v>
      </c>
      <c r="AR31" s="16" t="str">
        <f>IFERROR(__xludf.DUMMYFUNCTION("""COMPUTED_VALUE"""),"làm thẻ tín dụng")</f>
        <v>làm thẻ tín dụng</v>
      </c>
      <c r="AS31" s="21" t="str">
        <f>IFERROR(__xludf.DUMMYFUNCTION("""COMPUTED_VALUE"""),"https://techcombank.com/thong-tin/blog/eco-card")</f>
        <v>https://techcombank.com/thong-tin/blog/eco-card</v>
      </c>
      <c r="AT31" s="16" t="str">
        <f>IFERROR(__xludf.DUMMYFUNCTION("""COMPUTED_VALUE"""),"mở thẻ tín dụng")</f>
        <v>mở thẻ tín dụng</v>
      </c>
      <c r="AU31" s="21" t="str">
        <f>IFERROR(__xludf.DUMMYFUNCTION("""COMPUTED_VALUE"""),"https://techcombank.com/thong-tin/blog/mua-iphone-17")</f>
        <v>https://techcombank.com/thong-tin/blog/mua-iphone-17</v>
      </c>
      <c r="AV31" s="16" t="str">
        <f>IFERROR(__xludf.DUMMYFUNCTION("""COMPUTED_VALUE"""),"làm thẻ tín dụng")</f>
        <v>làm thẻ tín dụng</v>
      </c>
      <c r="AW31" s="21" t="str">
        <f>IFERROR(__xludf.DUMMYFUNCTION("""COMPUTED_VALUE"""),"https://techcombank.com/thong-tin/blog/cach-lam-the-atm")</f>
        <v>https://techcombank.com/thong-tin/blog/cach-lam-the-atm</v>
      </c>
      <c r="AX31" s="16" t="str">
        <f>IFERROR(__xludf.DUMMYFUNCTION("""COMPUTED_VALUE"""),"mở thẻ tín dụng")</f>
        <v>mở thẻ tín dụng</v>
      </c>
      <c r="AY31" s="21" t="str">
        <f>IFERROR(__xludf.DUMMYFUNCTION("""COMPUTED_VALUE"""),"https://techcombank.com/thong-tin/blog/the-visa-co-can-mat-khau-khong")</f>
        <v>https://techcombank.com/thong-tin/blog/the-visa-co-can-mat-khau-khong</v>
      </c>
      <c r="AZ31" s="16" t="str">
        <f>IFERROR(__xludf.DUMMYFUNCTION("""COMPUTED_VALUE"""),"làm thẻ tín dụng")</f>
        <v>làm thẻ tín dụng</v>
      </c>
      <c r="BA31" s="21" t="str">
        <f>IFERROR(__xludf.DUMMYFUNCTION("""COMPUTED_VALUE"""),"https://techcombank.com/thong-tin/blog/mua-truoc-tra-sau")</f>
        <v>https://techcombank.com/thong-tin/blog/mua-truoc-tra-sau</v>
      </c>
      <c r="BB31" s="16" t="str">
        <f>IFERROR(__xludf.DUMMYFUNCTION("""COMPUTED_VALUE"""),"mở thẻ tín dụng")</f>
        <v>mở thẻ tín dụng</v>
      </c>
      <c r="BC31" s="21" t="str">
        <f>IFERROR(__xludf.DUMMYFUNCTION("""COMPUTED_VALUE"""),"https://techcombank.com/thong-tin/blog/tra-cuu-han-muc-the-tin-dung")</f>
        <v>https://techcombank.com/thong-tin/blog/tra-cuu-han-muc-the-tin-dung</v>
      </c>
      <c r="BD31" s="16" t="str">
        <f>IFERROR(__xludf.DUMMYFUNCTION("""COMPUTED_VALUE"""),"làm thẻ tín dụng")</f>
        <v>làm thẻ tín dụng</v>
      </c>
      <c r="BE31" s="21" t="str">
        <f>IFERROR(__xludf.DUMMYFUNCTION("""COMPUTED_VALUE"""),"https://techcombank.com/thong-tin/blog/the-visa-de-lam-gi")</f>
        <v>https://techcombank.com/thong-tin/blog/the-visa-de-lam-gi</v>
      </c>
      <c r="BF31" s="16" t="str">
        <f>IFERROR(__xludf.DUMMYFUNCTION("""COMPUTED_VALUE"""),"mở thẻ tín dụng")</f>
        <v>mở thẻ tín dụng</v>
      </c>
      <c r="BG31" s="21" t="str">
        <f>IFERROR(__xludf.DUMMYFUNCTION("""COMPUTED_VALUE"""),"https://techcombank.com/thong-tin/blog/the-ghi-no-va-the-tin-dung")</f>
        <v>https://techcombank.com/thong-tin/blog/the-ghi-no-va-the-tin-dung</v>
      </c>
      <c r="BH31" s="16" t="str">
        <f>IFERROR(__xludf.DUMMYFUNCTION("""COMPUTED_VALUE"""),"làm thẻ tín dụng")</f>
        <v>làm thẻ tín dụng</v>
      </c>
      <c r="BI31" s="21" t="str">
        <f>IFERROR(__xludf.DUMMYFUNCTION("""COMPUTED_VALUE"""),"https://techcombank.com/thong-tin/blog/the-tin-dung-het-han")</f>
        <v>https://techcombank.com/thong-tin/blog/the-tin-dung-het-han</v>
      </c>
      <c r="BJ31" s="16" t="str">
        <f>IFERROR(__xludf.DUMMYFUNCTION("""COMPUTED_VALUE"""),"mở thẻ tín dụng")</f>
        <v>mở thẻ tín dụng</v>
      </c>
      <c r="BK31" s="21" t="str">
        <f>IFERROR(__xludf.DUMMYFUNCTION("""COMPUTED_VALUE"""),"https://techcombank.com/thong-tin/blog/cach-huy-the-tin-dung")</f>
        <v>https://techcombank.com/thong-tin/blog/cach-huy-the-tin-dung</v>
      </c>
      <c r="BL31" s="16" t="str">
        <f>IFERROR(__xludf.DUMMYFUNCTION("""COMPUTED_VALUE"""),"làm thẻ tín dụng")</f>
        <v>làm thẻ tín dụng</v>
      </c>
      <c r="BM31" s="21" t="str">
        <f>IFERROR(__xludf.DUMMYFUNCTION("""COMPUTED_VALUE"""),"https://techcombank.com/thong-tin/blog/lam-the-atm-bao-lau-co")</f>
        <v>https://techcombank.com/thong-tin/blog/lam-the-atm-bao-lau-co</v>
      </c>
      <c r="BN31" s="16" t="str">
        <f>IFERROR(__xludf.DUMMYFUNCTION("""COMPUTED_VALUE"""),"mở thẻ tín dụng")</f>
        <v>mở thẻ tín dụng</v>
      </c>
      <c r="BO31" s="21" t="str">
        <f>IFERROR(__xludf.DUMMYFUNCTION("""COMPUTED_VALUE"""),"https://techcombank.com/thong-tin/blog/the-napas-la-gi")</f>
        <v>https://techcombank.com/thong-tin/blog/the-napas-la-gi</v>
      </c>
      <c r="BP31" s="16" t="str">
        <f>IFERROR(__xludf.DUMMYFUNCTION("""COMPUTED_VALUE"""),"làm thẻ tín dụng")</f>
        <v>làm thẻ tín dụng</v>
      </c>
      <c r="BQ31" s="21" t="str">
        <f>IFERROR(__xludf.DUMMYFUNCTION("""COMPUTED_VALUE"""),"https://techcombank.com/thong-tin/blog/ma-buu-chinh-the-tin-dung")</f>
        <v>https://techcombank.com/thong-tin/blog/ma-buu-chinh-the-tin-dung</v>
      </c>
      <c r="BR31" s="16" t="str">
        <f>IFERROR(__xludf.DUMMYFUNCTION("""COMPUTED_VALUE"""),"mở thẻ tín dụng")</f>
        <v>mở thẻ tín dụng</v>
      </c>
      <c r="BS31" s="21" t="str">
        <f>IFERROR(__xludf.DUMMYFUNCTION("""COMPUTED_VALUE"""),"https://techcombank.com/thong-tin/blog/the-tin-dung-quoc-te")</f>
        <v>https://techcombank.com/thong-tin/blog/the-tin-dung-quoc-te</v>
      </c>
      <c r="BT31" s="16" t="str">
        <f>IFERROR(__xludf.DUMMYFUNCTION("""COMPUTED_VALUE"""),"làm thẻ tín dụng")</f>
        <v>làm thẻ tín dụng</v>
      </c>
      <c r="BU31" s="21" t="str">
        <f>IFERROR(__xludf.DUMMYFUNCTION("""COMPUTED_VALUE"""),"https://techcombank.com/thong-tin/blog/lam-the-visa-o-dau")</f>
        <v>https://techcombank.com/thong-tin/blog/lam-the-visa-o-dau</v>
      </c>
      <c r="BV31" s="16" t="str">
        <f>IFERROR(__xludf.DUMMYFUNCTION("""COMPUTED_VALUE"""),"mở thẻ tín dụng")</f>
        <v>mở thẻ tín dụng</v>
      </c>
      <c r="BW31" s="21" t="str">
        <f>IFERROR(__xludf.DUMMYFUNCTION("""COMPUTED_VALUE"""),"https://techcombank.com/thong-tin/blog/qua-han-thanh-toan-the-tin-dung-1-ngay")</f>
        <v>https://techcombank.com/thong-tin/blog/qua-han-thanh-toan-the-tin-dung-1-ngay</v>
      </c>
      <c r="BX31" s="16" t="str">
        <f>IFERROR(__xludf.DUMMYFUNCTION("""COMPUTED_VALUE"""),"làm thẻ tín dụng")</f>
        <v>làm thẻ tín dụng</v>
      </c>
      <c r="BY31" s="21" t="str">
        <f>IFERROR(__xludf.DUMMYFUNCTION("""COMPUTED_VALUE"""),"https://techcombank.com/thong-tin/blog/phi-rut-tien-mat-the-tin-dung")</f>
        <v>https://techcombank.com/thong-tin/blog/phi-rut-tien-mat-the-tin-dung</v>
      </c>
      <c r="BZ31" s="16" t="str">
        <f>IFERROR(__xludf.DUMMYFUNCTION("""COMPUTED_VALUE"""),"mở thẻ tín dụng")</f>
        <v>mở thẻ tín dụng</v>
      </c>
      <c r="CA31" s="21" t="str">
        <f>IFERROR(__xludf.DUMMYFUNCTION("""COMPUTED_VALUE"""),"https://techcombank.com/thong-tin/blog/vay-ngan-hang-1-ty-moi-thang-tra-bao-nhieu")</f>
        <v>https://techcombank.com/thong-tin/blog/vay-ngan-hang-1-ty-moi-thang-tra-bao-nhieu</v>
      </c>
      <c r="CB31" s="16" t="str">
        <f>IFERROR(__xludf.DUMMYFUNCTION("""COMPUTED_VALUE"""),"làm thẻ tín dụng")</f>
        <v>làm thẻ tín dụng</v>
      </c>
      <c r="CC31" s="21" t="str">
        <f>IFERROR(__xludf.DUMMYFUNCTION("""COMPUTED_VALUE"""),"https://techcombank.com/thong-tin/blog/cach-thanh-toan-the-tin-dung")</f>
        <v>https://techcombank.com/thong-tin/blog/cach-thanh-toan-the-tin-dung</v>
      </c>
      <c r="CD31" s="16" t="str">
        <f>IFERROR(__xludf.DUMMYFUNCTION("""COMPUTED_VALUE"""),"mở thẻ tín dụng")</f>
        <v>mở thẻ tín dụng</v>
      </c>
      <c r="CE31" s="21" t="str">
        <f>IFERROR(__xludf.DUMMYFUNCTION("""COMPUTED_VALUE"""),"https://techcombank.com/thong-tin/blog/the-tin-dung-den")</f>
        <v>https://techcombank.com/thong-tin/blog/the-tin-dung-den</v>
      </c>
      <c r="CF31" s="16" t="str">
        <f>IFERROR(__xludf.DUMMYFUNCTION("""COMPUTED_VALUE"""),"làm thẻ tín dụng")</f>
        <v>làm thẻ tín dụng</v>
      </c>
      <c r="CG31" s="21" t="str">
        <f>IFERROR(__xludf.DUMMYFUNCTION("""COMPUTED_VALUE"""),"https://techcombank.com/thong-tin/blog/the-ghi-no-la-gi")</f>
        <v>https://techcombank.com/thong-tin/blog/the-ghi-no-la-gi</v>
      </c>
      <c r="CH31" s="16" t="str">
        <f>IFERROR(__xludf.DUMMYFUNCTION("""COMPUTED_VALUE"""),"mở thẻ tín dụng")</f>
        <v>mở thẻ tín dụng</v>
      </c>
      <c r="CI31" s="21" t="str">
        <f>IFERROR(__xludf.DUMMYFUNCTION("""COMPUTED_VALUE"""),"https://techcombank.com/thong-tin/blog/dao-han-the-tin-dung")</f>
        <v>https://techcombank.com/thong-tin/blog/dao-han-the-tin-dung</v>
      </c>
      <c r="CJ31" s="16" t="str">
        <f>IFERROR(__xludf.DUMMYFUNCTION("""COMPUTED_VALUE"""),"làm thẻ tín dụng")</f>
        <v>làm thẻ tín dụng</v>
      </c>
      <c r="CK31" s="21" t="str">
        <f>IFERROR(__xludf.DUMMYFUNCTION("""COMPUTED_VALUE"""),"https://techcombank.com/thong-tin/blog/no-xau-co-lam-the-visa-duoc-khong")</f>
        <v>https://techcombank.com/thong-tin/blog/no-xau-co-lam-the-visa-duoc-khong</v>
      </c>
      <c r="CL31" s="16" t="str">
        <f>IFERROR(__xludf.DUMMYFUNCTION("""COMPUTED_VALUE"""),"mở thẻ tín dụng")</f>
        <v>mở thẻ tín dụng</v>
      </c>
      <c r="CM31" s="21" t="str">
        <f>IFERROR(__xludf.DUMMYFUNCTION("""COMPUTED_VALUE"""),"https://techcombank.com/thong-tin/blog/mo-the-ghi-no")</f>
        <v>https://techcombank.com/thong-tin/blog/mo-the-ghi-no</v>
      </c>
      <c r="CN31" s="16" t="str">
        <f>IFERROR(__xludf.DUMMYFUNCTION("""COMPUTED_VALUE"""),"làm thẻ tín dụng")</f>
        <v>làm thẻ tín dụng</v>
      </c>
      <c r="CO31" s="21" t="str">
        <f>IFERROR(__xludf.DUMMYFUNCTION("""COMPUTED_VALUE"""),"https://techcombank.com/thong-tin/blog/thanh-toan-online-bang-the-tin-dung")</f>
        <v>https://techcombank.com/thong-tin/blog/thanh-toan-online-bang-the-tin-dung</v>
      </c>
      <c r="CP31" s="16" t="str">
        <f>IFERROR(__xludf.DUMMYFUNCTION("""COMPUTED_VALUE"""),"mở thẻ tín dụng")</f>
        <v>mở thẻ tín dụng</v>
      </c>
      <c r="CQ31" s="21" t="str">
        <f>IFERROR(__xludf.DUMMYFUNCTION("""COMPUTED_VALUE"""),"https://techcombank.com/thong-tin/blog/uu-dai-mo-the-tin-dung")</f>
        <v>https://techcombank.com/thong-tin/blog/uu-dai-mo-the-tin-dung</v>
      </c>
      <c r="CR31" s="16" t="str">
        <f>IFERROR(__xludf.DUMMYFUNCTION("""COMPUTED_VALUE"""),"làm thẻ tín dụng")</f>
        <v>làm thẻ tín dụng</v>
      </c>
      <c r="CS31" s="21" t="str">
        <f>IFERROR(__xludf.DUMMYFUNCTION("""COMPUTED_VALUE"""),"https://techcombank.com/thong-tin/blog/the-tin-dung-co-chuyen-khoan-duoc-khong")</f>
        <v>https://techcombank.com/thong-tin/blog/the-tin-dung-co-chuyen-khoan-duoc-khong</v>
      </c>
      <c r="CT31" s="16" t="str">
        <f>IFERROR(__xludf.DUMMYFUNCTION("""COMPUTED_VALUE"""),"mở thẻ tín dụng")</f>
        <v>mở thẻ tín dụng</v>
      </c>
      <c r="CU31" s="21" t="str">
        <f>IFERROR(__xludf.DUMMYFUNCTION("""COMPUTED_VALUE"""),"https://techcombank.com/thong-tin/blog/the-tin-dung-techcombank-visa-eco")</f>
        <v>https://techcombank.com/thong-tin/blog/the-tin-dung-techcombank-visa-eco</v>
      </c>
      <c r="CV31" s="16" t="str">
        <f>IFERROR(__xludf.DUMMYFUNCTION("""COMPUTED_VALUE"""),"làm thẻ tín dụng")</f>
        <v>làm thẻ tín dụng</v>
      </c>
      <c r="CW31" s="21" t="str">
        <f>IFERROR(__xludf.DUMMYFUNCTION("""COMPUTED_VALUE"""),"https://techcombank.com/thong-tin/blog/mo-the-tin-dung-han-muc-cao")</f>
        <v>https://techcombank.com/thong-tin/blog/mo-the-tin-dung-han-muc-cao</v>
      </c>
      <c r="CX31" s="16" t="str">
        <f>IFERROR(__xludf.DUMMYFUNCTION("""COMPUTED_VALUE"""),"mở thẻ tín dụng")</f>
        <v>mở thẻ tín dụng</v>
      </c>
      <c r="CY31" s="21" t="str">
        <f>IFERROR(__xludf.DUMMYFUNCTION("""COMPUTED_VALUE"""),"https://techcombank.com/thong-tin/blog/uu-dai-the-tin-dung")</f>
        <v>https://techcombank.com/thong-tin/blog/uu-dai-the-tin-dung</v>
      </c>
      <c r="CZ31" s="16" t="str">
        <f>IFERROR(__xludf.DUMMYFUNCTION("""COMPUTED_VALUE"""),"làm thẻ tín dụng")</f>
        <v>làm thẻ tín dụng</v>
      </c>
      <c r="DA31" s="21" t="str">
        <f>IFERROR(__xludf.DUMMYFUNCTION("""COMPUTED_VALUE"""),"https://techcombank.com/thong-tin/blog/3d-secure")</f>
        <v>https://techcombank.com/thong-tin/blog/3d-secure</v>
      </c>
      <c r="DB31" s="16" t="str">
        <f>IFERROR(__xludf.DUMMYFUNCTION("""COMPUTED_VALUE"""),"mở thẻ tín dụng")</f>
        <v>mở thẻ tín dụng</v>
      </c>
      <c r="DC31" s="21" t="str">
        <f>IFERROR(__xludf.DUMMYFUNCTION("""COMPUTED_VALUE"""),"https://techcombank.com/thong-tin/blog/lam-the-visa-mat-bao-lau")</f>
        <v>https://techcombank.com/thong-tin/blog/lam-the-visa-mat-bao-lau</v>
      </c>
      <c r="DD31" s="16" t="str">
        <f>IFERROR(__xludf.DUMMYFUNCTION("""COMPUTED_VALUE"""),"làm thẻ tín dụng")</f>
        <v>làm thẻ tín dụng</v>
      </c>
      <c r="DE31" s="21" t="str">
        <f>IFERROR(__xludf.DUMMYFUNCTION("""COMPUTED_VALUE"""),"https://techcombank.com/thong-tin/blog/lai-suat-the-tin-dung")</f>
        <v>https://techcombank.com/thong-tin/blog/lai-suat-the-tin-dung</v>
      </c>
      <c r="DF31" s="16" t="str">
        <f>IFERROR(__xludf.DUMMYFUNCTION("""COMPUTED_VALUE"""),"mở thẻ tín dụng")</f>
        <v>mở thẻ tín dụng</v>
      </c>
      <c r="DG31" s="21" t="str">
        <f>IFERROR(__xludf.DUMMYFUNCTION("""COMPUTED_VALUE"""),"https://techcombank.com/thong-tin/blog/mo-the-tin-dung-co-loi-ich-gi")</f>
        <v>https://techcombank.com/thong-tin/blog/mo-the-tin-dung-co-loi-ich-gi</v>
      </c>
      <c r="DH31" s="16" t="str">
        <f>IFERROR(__xludf.DUMMYFUNCTION("""COMPUTED_VALUE"""),"làm thẻ tín dụng")</f>
        <v>làm thẻ tín dụng</v>
      </c>
      <c r="DI31" s="21" t="str">
        <f>IFERROR(__xludf.DUMMYFUNCTION("""COMPUTED_VALUE"""),"https://techcombank.com/thong-tin/blog/the-tin-dung-ao")</f>
        <v>https://techcombank.com/thong-tin/blog/the-tin-dung-ao</v>
      </c>
      <c r="DJ31" s="16" t="str">
        <f>IFERROR(__xludf.DUMMYFUNCTION("""COMPUTED_VALUE"""),"mở thẻ tín dụng")</f>
        <v>mở thẻ tín dụng</v>
      </c>
      <c r="DK31" s="21" t="str">
        <f>IFERROR(__xludf.DUMMYFUNCTION("""COMPUTED_VALUE"""),"https://techcombank.com/thong-tin/blog/thanh-toan-toi-thieu-the-tin-dung")</f>
        <v>https://techcombank.com/thong-tin/blog/thanh-toan-toi-thieu-the-tin-dung</v>
      </c>
      <c r="DL31" s="16" t="str">
        <f>IFERROR(__xludf.DUMMYFUNCTION("""COMPUTED_VALUE"""),"làm thẻ tín dụng")</f>
        <v>làm thẻ tín dụng</v>
      </c>
      <c r="DM31" s="21" t="str">
        <f>IFERROR(__xludf.DUMMYFUNCTION("""COMPUTED_VALUE"""),"https://techcombank.com/thong-tin/blog/tra-gop-shopee")</f>
        <v>https://techcombank.com/thong-tin/blog/tra-gop-shopee</v>
      </c>
      <c r="DN31" s="16" t="str">
        <f>IFERROR(__xludf.DUMMYFUNCTION("""COMPUTED_VALUE"""),"mở thẻ tín dụng")</f>
        <v>mở thẻ tín dụng</v>
      </c>
      <c r="DO31" s="21" t="str">
        <f>IFERROR(__xludf.DUMMYFUNCTION("""COMPUTED_VALUE"""),"https://techcombank.com/thong-tin/blog/thanh-toan-tien-dien-bang-the-tin-dung")</f>
        <v>https://techcombank.com/thong-tin/blog/thanh-toan-tien-dien-bang-the-tin-dung</v>
      </c>
      <c r="DP31" s="16" t="str">
        <f>IFERROR(__xludf.DUMMYFUNCTION("""COMPUTED_VALUE"""),"làm thẻ tín dụng")</f>
        <v>làm thẻ tín dụng</v>
      </c>
      <c r="DQ31" s="21" t="str">
        <f>IFERROR(__xludf.DUMMYFUNCTION("""COMPUTED_VALUE"""),"https://techcombank.com/thong-tin/blog/cach-dang-ky-the-visa")</f>
        <v>https://techcombank.com/thong-tin/blog/cach-dang-ky-the-visa</v>
      </c>
      <c r="DR31" s="16" t="str">
        <f>IFERROR(__xludf.DUMMYFUNCTION("""COMPUTED_VALUE"""),"mở thẻ tín dụng")</f>
        <v>mở thẻ tín dụng</v>
      </c>
      <c r="DS31" s="21" t="str">
        <f>IFERROR(__xludf.DUMMYFUNCTION("""COMPUTED_VALUE"""),"https://techcombank.com/thong-tin/blog/thanh-toan-tra-gop-qua-the-tin-dung")</f>
        <v>https://techcombank.com/thong-tin/blog/thanh-toan-tra-gop-qua-the-tin-dung</v>
      </c>
      <c r="DT31" s="16" t="str">
        <f>IFERROR(__xludf.DUMMYFUNCTION("""COMPUTED_VALUE"""),"làm thẻ tín dụng")</f>
        <v>làm thẻ tín dụng</v>
      </c>
      <c r="DU31" s="21" t="str">
        <f>IFERROR(__xludf.DUMMYFUNCTION("""COMPUTED_VALUE"""),"https://techcombank.com/thong-tin/blog/tra-gop-lazada")</f>
        <v>https://techcombank.com/thong-tin/blog/tra-gop-lazada</v>
      </c>
      <c r="DV31" s="16" t="str">
        <f>IFERROR(__xludf.DUMMYFUNCTION("""COMPUTED_VALUE"""),"mở thẻ tín dụng")</f>
        <v>mở thẻ tín dụng</v>
      </c>
      <c r="DW31" s="21" t="str">
        <f>IFERROR(__xludf.DUMMYFUNCTION("""COMPUTED_VALUE"""),"https://techcombank.com/thong-tin/blog/the-tin-dung-co-ma-pin-khong")</f>
        <v>https://techcombank.com/thong-tin/blog/the-tin-dung-co-ma-pin-khong</v>
      </c>
      <c r="DX31" s="16" t="str">
        <f>IFERROR(__xludf.DUMMYFUNCTION("""COMPUTED_VALUE"""),"làm thẻ tín dụng")</f>
        <v>làm thẻ tín dụng</v>
      </c>
      <c r="DY31" s="21" t="str">
        <f>IFERROR(__xludf.DUMMYFUNCTION("""COMPUTED_VALUE"""),"https://techcombank.com/thong-tin/blog/cic-la-gi")</f>
        <v>https://techcombank.com/thong-tin/blog/cic-la-gi</v>
      </c>
      <c r="DZ31" s="16" t="str">
        <f>IFERROR(__xludf.DUMMYFUNCTION("""COMPUTED_VALUE"""),"mở thẻ tín dụng")</f>
        <v>mở thẻ tín dụng</v>
      </c>
      <c r="EA31" s="21" t="str">
        <f>IFERROR(__xludf.DUMMYFUNCTION("""COMPUTED_VALUE"""),"https://techcombank.com/thong-tin/blog/the-mastercard-la-gi")</f>
        <v>https://techcombank.com/thong-tin/blog/the-mastercard-la-gi</v>
      </c>
      <c r="EB31" s="16" t="str">
        <f>IFERROR(__xludf.DUMMYFUNCTION("""COMPUTED_VALUE"""),"làm thẻ tín dụng")</f>
        <v>làm thẻ tín dụng</v>
      </c>
      <c r="EC31" s="21" t="str">
        <f>IFERROR(__xludf.DUMMYFUNCTION("""COMPUTED_VALUE"""),"https://techcombank.com/thong-tin/blog/sao-ke-the-tin-dung-la-gi")</f>
        <v>https://techcombank.com/thong-tin/blog/sao-ke-the-tin-dung-la-gi</v>
      </c>
      <c r="ED31" s="16" t="str">
        <f>IFERROR(__xludf.DUMMYFUNCTION("""COMPUTED_VALUE"""),"mở thẻ tín dụng")</f>
        <v>mở thẻ tín dụng</v>
      </c>
      <c r="EE31" s="21" t="str">
        <f>IFERROR(__xludf.DUMMYFUNCTION("""COMPUTED_VALUE"""),"https://techcombank.com/thong-tin/blog/the-tin-dung-noi-dia")</f>
        <v>https://techcombank.com/thong-tin/blog/the-tin-dung-noi-dia</v>
      </c>
      <c r="EF31" s="16" t="str">
        <f>IFERROR(__xludf.DUMMYFUNCTION("""COMPUTED_VALUE"""),"làm thẻ tín dụng")</f>
        <v>làm thẻ tín dụng</v>
      </c>
      <c r="EG31" s="21" t="str">
        <f>IFERROR(__xludf.DUMMYFUNCTION("""COMPUTED_VALUE"""),"https://techcombank.com/thong-tin/blog/lam-ho-so-tra-gop-dien-thoai")</f>
        <v>https://techcombank.com/thong-tin/blog/lam-ho-so-tra-gop-dien-thoai</v>
      </c>
      <c r="EH31" s="16" t="str">
        <f>IFERROR(__xludf.DUMMYFUNCTION("""COMPUTED_VALUE"""),"mở thẻ tín dụng")</f>
        <v>mở thẻ tín dụng</v>
      </c>
      <c r="EI31" s="21" t="str">
        <f>IFERROR(__xludf.DUMMYFUNCTION("""COMPUTED_VALUE"""),"https://techcombank.com/thong-tin/blog/hoc-sinh-sinh-vien-nen-lam-the-ngan-hang-nao")</f>
        <v>https://techcombank.com/thong-tin/blog/hoc-sinh-sinh-vien-nen-lam-the-ngan-hang-nao</v>
      </c>
      <c r="EJ31" s="16" t="str">
        <f>IFERROR(__xludf.DUMMYFUNCTION("""COMPUTED_VALUE"""),"làm thẻ tín dụng")</f>
        <v>làm thẻ tín dụng</v>
      </c>
      <c r="EK31" s="21" t="str">
        <f>IFERROR(__xludf.DUMMYFUNCTION("""COMPUTED_VALUE"""),"https://techcombank.com/thong-tin/blog/lam-the-visa-online")</f>
        <v>https://techcombank.com/thong-tin/blog/lam-the-visa-online</v>
      </c>
      <c r="EL31" s="16" t="str">
        <f>IFERROR(__xludf.DUMMYFUNCTION("""COMPUTED_VALUE"""),"mở thẻ tín dụng")</f>
        <v>mở thẻ tín dụng</v>
      </c>
      <c r="EM31" s="21" t="str">
        <f>IFERROR(__xludf.DUMMYFUNCTION("""COMPUTED_VALUE"""),"https://techcombank.com/thong-tin/blog/cach-su-dung-the-tin-dung")</f>
        <v>https://techcombank.com/thong-tin/blog/cach-su-dung-the-tin-dung</v>
      </c>
      <c r="EN31" s="16" t="str">
        <f>IFERROR(__xludf.DUMMYFUNCTION("""COMPUTED_VALUE"""),"làm thẻ tín dụng")</f>
        <v>làm thẻ tín dụng</v>
      </c>
      <c r="EO31" s="21" t="str">
        <f>IFERROR(__xludf.DUMMYFUNCTION("""COMPUTED_VALUE"""),"https://techcombank.com/thong-tin/blog/han-muc-the-tin-dung")</f>
        <v>https://techcombank.com/thong-tin/blog/han-muc-the-tin-dung</v>
      </c>
      <c r="EP31" s="16" t="str">
        <f>IFERROR(__xludf.DUMMYFUNCTION("""COMPUTED_VALUE"""),"mở thẻ tín dụng")</f>
        <v>mở thẻ tín dụng</v>
      </c>
      <c r="EQ31" s="21" t="str">
        <f>IFERROR(__xludf.DUMMYFUNCTION("""COMPUTED_VALUE"""),"https://techcombank.com/thong-tin/blog/nang-han-muc-tin-dung")</f>
        <v>https://techcombank.com/thong-tin/blog/nang-han-muc-tin-dung</v>
      </c>
      <c r="ER31" s="16" t="str">
        <f>IFERROR(__xludf.DUMMYFUNCTION("""COMPUTED_VALUE"""),"làm thẻ tín dụng")</f>
        <v>làm thẻ tín dụng</v>
      </c>
      <c r="ES31" s="21" t="str">
        <f>IFERROR(__xludf.DUMMYFUNCTION("""COMPUTED_VALUE"""),"https://techcombank.com/thong-tin/blog/the-tin-dung-mien-lai-55-ngay")</f>
        <v>https://techcombank.com/thong-tin/blog/the-tin-dung-mien-lai-55-ngay</v>
      </c>
      <c r="ET31" s="16" t="str">
        <f>IFERROR(__xludf.DUMMYFUNCTION("""COMPUTED_VALUE"""),"mở thẻ tín dụng")</f>
        <v>mở thẻ tín dụng</v>
      </c>
      <c r="EU31" s="21" t="str">
        <f>IFERROR(__xludf.DUMMYFUNCTION("""COMPUTED_VALUE"""),"https://techcombank.com/thong-tin/blog/tra-gop-qua-the-tin-dung")</f>
        <v>https://techcombank.com/thong-tin/blog/tra-gop-qua-the-tin-dung</v>
      </c>
      <c r="EV31" s="16" t="str">
        <f>IFERROR(__xludf.DUMMYFUNCTION("""COMPUTED_VALUE"""),"làm thẻ tín dụng")</f>
        <v>làm thẻ tín dụng</v>
      </c>
      <c r="EW31" s="21" t="str">
        <f>IFERROR(__xludf.DUMMYFUNCTION("""COMPUTED_VALUE"""),"https://techcombank.com/thong-tin/blog/kich-hoat-the-tin-dung-techcombank")</f>
        <v>https://techcombank.com/thong-tin/blog/kich-hoat-the-tin-dung-techcombank</v>
      </c>
      <c r="EX31" s="16" t="str">
        <f>IFERROR(__xludf.DUMMYFUNCTION("""COMPUTED_VALUE"""),"mở thẻ tín dụng")</f>
        <v>mở thẻ tín dụng</v>
      </c>
      <c r="EY31" s="21" t="str">
        <f>IFERROR(__xludf.DUMMYFUNCTION("""COMPUTED_VALUE"""),"https://techcombank.com/thong-tin/blog/the-tin-dung-bi-khoa")</f>
        <v>https://techcombank.com/thong-tin/blog/the-tin-dung-bi-khoa</v>
      </c>
      <c r="EZ31" s="16" t="str">
        <f>IFERROR(__xludf.DUMMYFUNCTION("""COMPUTED_VALUE"""),"làm thẻ tín dụng")</f>
        <v>làm thẻ tín dụng</v>
      </c>
      <c r="FA31" s="21" t="str">
        <f>IFERROR(__xludf.DUMMYFUNCTION("""COMPUTED_VALUE"""),"https://techcombank.com/thong-tin/blog/no-xau-mo-the-tin-dung-duoc-khong")</f>
        <v>https://techcombank.com/thong-tin/blog/no-xau-mo-the-tin-dung-duoc-khong</v>
      </c>
      <c r="FB31" s="16" t="str">
        <f>IFERROR(__xludf.DUMMYFUNCTION("""COMPUTED_VALUE"""),"mở thẻ tín dụng")</f>
        <v>mở thẻ tín dụng</v>
      </c>
      <c r="FC31" s="21" t="str">
        <f>IFERROR(__xludf.DUMMYFUNCTION("""COMPUTED_VALUE"""),"https://techcombank.com/thong-tin/blog/no-the-tin-dung-qua-han")</f>
        <v>https://techcombank.com/thong-tin/blog/no-the-tin-dung-qua-han</v>
      </c>
      <c r="FD31" s="16" t="str">
        <f>IFERROR(__xludf.DUMMYFUNCTION("""COMPUTED_VALUE"""),"làm thẻ tín dụng")</f>
        <v>làm thẻ tín dụng</v>
      </c>
      <c r="FE31" s="21" t="str">
        <f>IFERROR(__xludf.DUMMYFUNCTION("""COMPUTED_VALUE"""),"https://techcombank.com/thong-tin/blog/the-debit-cho-con")</f>
        <v>https://techcombank.com/thong-tin/blog/the-debit-cho-con</v>
      </c>
      <c r="FF31" s="16" t="str">
        <f>IFERROR(__xludf.DUMMYFUNCTION("""COMPUTED_VALUE"""),"mở thẻ tín dụng")</f>
        <v>mở thẻ tín dụng</v>
      </c>
      <c r="FG31" s="21" t="str">
        <f>IFERROR(__xludf.DUMMYFUNCTION("""COMPUTED_VALUE"""),"https://techcombank.com/thong-tin/blog/luu-y-khi-su-dung-the-tin-dung")</f>
        <v>https://techcombank.com/thong-tin/blog/luu-y-khi-su-dung-the-tin-dung</v>
      </c>
      <c r="FH31" s="16" t="str">
        <f>IFERROR(__xludf.DUMMYFUNCTION("""COMPUTED_VALUE"""),"làm thẻ tín dụng")</f>
        <v>làm thẻ tín dụng</v>
      </c>
      <c r="FI31" s="21" t="str">
        <f>IFERROR(__xludf.DUMMYFUNCTION("""COMPUTED_VALUE"""),"https://techcombank.com/thong-tin/blog/thoi-gian-hoan-tien-the-tin-dung")</f>
        <v>https://techcombank.com/thong-tin/blog/thoi-gian-hoan-tien-the-tin-dung</v>
      </c>
      <c r="FJ31" s="16" t="str">
        <f>IFERROR(__xludf.DUMMYFUNCTION("""COMPUTED_VALUE"""),"mở thẻ tín dụng")</f>
        <v>mở thẻ tín dụng</v>
      </c>
      <c r="FK31" s="21" t="str">
        <f>IFERROR(__xludf.DUMMYFUNCTION("""COMPUTED_VALUE"""),"https://techcombank.com/thong-tin/blog/lam-the-thanh-toan-quoc-te")</f>
        <v>https://techcombank.com/thong-tin/blog/lam-the-thanh-toan-quoc-te</v>
      </c>
      <c r="FL31" s="16" t="str">
        <f>IFERROR(__xludf.DUMMYFUNCTION("""COMPUTED_VALUE"""),"làm thẻ tín dụng")</f>
        <v>làm thẻ tín dụng</v>
      </c>
      <c r="FM31" s="21" t="str">
        <f>IFERROR(__xludf.DUMMYFUNCTION("""COMPUTED_VALUE"""),"https://techcombank.com/thong-tin/blog/mat-the-tin-dung-co-lam-lai-duoc-khong")</f>
        <v>https://techcombank.com/thong-tin/blog/mat-the-tin-dung-co-lam-lai-duoc-khong</v>
      </c>
      <c r="FN31" s="16" t="str">
        <f>IFERROR(__xludf.DUMMYFUNCTION("""COMPUTED_VALUE"""),"mở thẻ tín dụng")</f>
        <v>mở thẻ tín dụng</v>
      </c>
      <c r="FO31" s="21" t="str">
        <f>IFERROR(__xludf.DUMMYFUNCTION("""COMPUTED_VALUE"""),"https://techcombank.com/thong-tin/blog/the-tin-dung-vip")</f>
        <v>https://techcombank.com/thong-tin/blog/the-tin-dung-vip</v>
      </c>
      <c r="FP31" s="16" t="str">
        <f>IFERROR(__xludf.DUMMYFUNCTION("""COMPUTED_VALUE"""),"làm thẻ tín dụng")</f>
        <v>làm thẻ tín dụng</v>
      </c>
      <c r="FQ31" s="21" t="str">
        <f>IFERROR(__xludf.DUMMYFUNCTION("""COMPUTED_VALUE"""),"https://techcombank.com/thong-tin/blog/the-tin-dung-phu-la-gi")</f>
        <v>https://techcombank.com/thong-tin/blog/the-tin-dung-phu-la-gi</v>
      </c>
      <c r="FR31" s="16" t="str">
        <f>IFERROR(__xludf.DUMMYFUNCTION("""COMPUTED_VALUE"""),"mở thẻ tín dụng")</f>
        <v>mở thẻ tín dụng</v>
      </c>
      <c r="FS31" s="21" t="str">
        <f>IFERROR(__xludf.DUMMYFUNCTION("""COMPUTED_VALUE"""),"https://techcombank.com/thong-tin/blog/rut-tien-mat-tu-the-tin-dung")</f>
        <v>https://techcombank.com/thong-tin/blog/rut-tien-mat-tu-the-tin-dung</v>
      </c>
      <c r="FT31" s="16" t="str">
        <f>IFERROR(__xludf.DUMMYFUNCTION("""COMPUTED_VALUE"""),"làm thẻ tín dụng")</f>
        <v>làm thẻ tín dụng</v>
      </c>
      <c r="FU31" s="21" t="str">
        <f>IFERROR(__xludf.DUMMYFUNCTION("""COMPUTED_VALUE"""),"https://techcombank.com/thong-tin/blog/the-visa-ao-la-gi")</f>
        <v>https://techcombank.com/thong-tin/blog/the-visa-ao-la-gi</v>
      </c>
      <c r="FV31" s="16" t="str">
        <f>IFERROR(__xludf.DUMMYFUNCTION("""COMPUTED_VALUE"""),"mở thẻ tín dụng")</f>
        <v>mở thẻ tín dụng</v>
      </c>
      <c r="FW31" s="21" t="str">
        <f>IFERROR(__xludf.DUMMYFUNCTION("""COMPUTED_VALUE"""),"https://techcombank.com/thong-tin/blog/so-luong-the-tin-dung-noi-dia-dang-luu-hanh-da-tang-42-so-voi-cung-ky-nam-2022")</f>
        <v>https://techcombank.com/thong-tin/blog/so-luong-the-tin-dung-noi-dia-dang-luu-hanh-da-tang-42-so-voi-cung-ky-nam-2022</v>
      </c>
      <c r="FX31" s="16" t="str">
        <f>IFERROR(__xludf.DUMMYFUNCTION("""COMPUTED_VALUE"""),"làm thẻ tín dụng")</f>
        <v>làm thẻ tín dụng</v>
      </c>
      <c r="FY31" s="21" t="str">
        <f>IFERROR(__xludf.DUMMYFUNCTION("""COMPUTED_VALUE"""),"https://techcombank.com/thong-tin/blog/no-xau-nhom-2")</f>
        <v>https://techcombank.com/thong-tin/blog/no-xau-nhom-2</v>
      </c>
      <c r="FZ31" s="16" t="str">
        <f>IFERROR(__xludf.DUMMYFUNCTION("""COMPUTED_VALUE"""),"mở thẻ tín dụng")</f>
        <v>mở thẻ tín dụng</v>
      </c>
      <c r="GA31" s="21" t="str">
        <f>IFERROR(__xludf.DUMMYFUNCTION("""COMPUTED_VALUE"""),"https://techcombank.com/thong-tin/blog/the-ghi-no-visa-la-gi")</f>
        <v>https://techcombank.com/thong-tin/blog/the-ghi-no-visa-la-gi</v>
      </c>
      <c r="GB31" s="16" t="str">
        <f>IFERROR(__xludf.DUMMYFUNCTION("""COMPUTED_VALUE"""),"làm thẻ tín dụng")</f>
        <v>làm thẻ tín dụng</v>
      </c>
      <c r="GC31" s="21" t="str">
        <f>IFERROR(__xludf.DUMMYFUNCTION("""COMPUTED_VALUE"""),"https://techcombank.com/thong-tin/blog/uu-dai-mua-iphone-18")</f>
        <v>https://techcombank.com/thong-tin/blog/uu-dai-mua-iphone-18</v>
      </c>
      <c r="GD31" s="16" t="str">
        <f>IFERROR(__xludf.DUMMYFUNCTION("""COMPUTED_VALUE"""),"mở thẻ tín dụng")</f>
        <v>mở thẻ tín dụng</v>
      </c>
      <c r="GE31" s="21" t="str">
        <f>IFERROR(__xludf.DUMMYFUNCTION("""COMPUTED_VALUE"""),"https://techcombank.com/thong-tin/blog/khong-su-dung-the-tin-dung-co-mat-phi-khong")</f>
        <v>https://techcombank.com/thong-tin/blog/khong-su-dung-the-tin-dung-co-mat-phi-khong</v>
      </c>
      <c r="GF31" s="16" t="str">
        <f>IFERROR(__xludf.DUMMYFUNCTION("""COMPUTED_VALUE"""),"làm thẻ tín dụng")</f>
        <v>làm thẻ tín dụng</v>
      </c>
      <c r="GG31" s="21" t="str">
        <f>IFERROR(__xludf.DUMMYFUNCTION("""COMPUTED_VALUE"""),"https://techcombank.com/thong-tin/blog/so-the-tin-dung")</f>
        <v>https://techcombank.com/thong-tin/blog/so-the-tin-dung</v>
      </c>
      <c r="GH31" s="16" t="str">
        <f>IFERROR(__xludf.DUMMYFUNCTION("""COMPUTED_VALUE"""),"mở thẻ tín dụng")</f>
        <v>mở thẻ tín dụng</v>
      </c>
      <c r="GI31" s="21" t="str">
        <f>IFERROR(__xludf.DUMMYFUNCTION("""COMPUTED_VALUE"""),"https://techcombank.com/thong-tin/blog/han-muc-tra-gop-the-tin-dung")</f>
        <v>https://techcombank.com/thong-tin/blog/han-muc-tra-gop-the-tin-dung</v>
      </c>
      <c r="GJ31" s="16" t="str">
        <f>IFERROR(__xludf.DUMMYFUNCTION("""COMPUTED_VALUE"""),"làm thẻ tín dụng")</f>
        <v>làm thẻ tín dụng</v>
      </c>
      <c r="GK31" s="21" t="str">
        <f>IFERROR(__xludf.DUMMYFUNCTION("""COMPUTED_VALUE"""),"https://techcombank.com/thong-tin/blog/the-tin-dung-hoan-tien")</f>
        <v>https://techcombank.com/thong-tin/blog/the-tin-dung-hoan-tien</v>
      </c>
      <c r="GL31" s="16" t="str">
        <f>IFERROR(__xludf.DUMMYFUNCTION("""COMPUTED_VALUE"""),"mở thẻ tín dụng")</f>
        <v>mở thẻ tín dụng</v>
      </c>
      <c r="GM31" s="21" t="str">
        <f>IFERROR(__xludf.DUMMYFUNCTION("""COMPUTED_VALUE"""),"https://techcombank.com/thong-tin/blog/sang-ngang-the-tin-dung")</f>
        <v>https://techcombank.com/thong-tin/blog/sang-ngang-the-tin-dung</v>
      </c>
      <c r="GN31" s="16" t="str">
        <f>IFERROR(__xludf.DUMMYFUNCTION("""COMPUTED_VALUE"""),"làm thẻ tín dụng")</f>
        <v>làm thẻ tín dụng</v>
      </c>
      <c r="GO31" s="21" t="str">
        <f>IFERROR(__xludf.DUMMYFUNCTION("""COMPUTED_VALUE"""),"https://techcombank.com/thong-tin/blog/tai-khoan-ngan-hang-la-gi")</f>
        <v>https://techcombank.com/thong-tin/blog/tai-khoan-ngan-hang-la-gi</v>
      </c>
    </row>
    <row r="32" ht="18.0" customHeight="1">
      <c r="A32" s="15">
        <v>31.0</v>
      </c>
      <c r="B32" s="16" t="s">
        <v>827</v>
      </c>
      <c r="C32" s="17" t="s">
        <v>889</v>
      </c>
      <c r="D32" s="16" t="s">
        <v>304</v>
      </c>
      <c r="E32" s="15">
        <f>COUNTIF('Tổng hợp 75 trang đích'!$B$2:$B$2505,$D32)</f>
        <v>78</v>
      </c>
      <c r="F32" s="15">
        <f>COUNTIFS('Tổng hợp 75 trang đích'!$B$2:$B$2505,$D32,'Tổng hợp 75 trang đích'!$K$2:$K$2505,"PHÙ HỢP CAO")</f>
        <v>2</v>
      </c>
      <c r="G32" s="15">
        <f>COUNTIFS('Tổng hợp 75 trang đích'!$B$2:$B$2505,$D32,'Tổng hợp 75 trang đích'!$K$2:$K$2505,"CÓ THỂ ĐI")</f>
        <v>3</v>
      </c>
      <c r="H32" s="15">
        <f>COUNTIFS('Tổng hợp 75 trang đích'!$B$2:$B$2505,$D32,'Tổng hợp 75 trang đích'!$K$2:$K$2505,"CẦN SOÁT")</f>
        <v>73</v>
      </c>
      <c r="I32" s="19" t="s">
        <v>256</v>
      </c>
      <c r="J32" s="19" t="b">
        <v>0</v>
      </c>
      <c r="K32" s="20" t="s">
        <v>258</v>
      </c>
      <c r="L32" s="16" t="str">
        <f>IFERROR(__xludf.DUMMYFUNCTION("IFERROR(TOROW(CHOOSECOLS(SORT(FILTER({'Tổng hợp 75 trang đích'!$J$2:$J$2505,'Tổng hợp 75 trang đích'!$I$2:$I$2505,MATCH('Tổng hợp 75 trang đích'!$K$2:$K$2505,{""PHÙ HỢP CAO"",""CÓ THỂ ĐI"",""CẦN SOÁT""},0)},'Tổng hợp 75 trang đích'!$B$2:$B$2505=$D32),3,TR"&amp;"UE),1,2)),"""")"),"thẻ tín dụng Techcombank Everyday")</f>
        <v>thẻ tín dụng Techcombank Everyday</v>
      </c>
      <c r="M32" s="21" t="str">
        <f>IFERROR(__xludf.DUMMYFUNCTION("""COMPUTED_VALUE"""),"https://techcombank.com/thong-tin/blog/the-tin-dung-nao-nhieu-uu-dai-nhat")</f>
        <v>https://techcombank.com/thong-tin/blog/the-tin-dung-nao-nhieu-uu-dai-nhat</v>
      </c>
      <c r="N32" s="16" t="str">
        <f>IFERROR(__xludf.DUMMYFUNCTION("""COMPUTED_VALUE"""),"Techcombank Everyday")</f>
        <v>Techcombank Everyday</v>
      </c>
      <c r="O32" s="21" t="str">
        <f>IFERROR(__xludf.DUMMYFUNCTION("""COMPUTED_VALUE"""),"https://techcombank.com/thong-tin/blog/thoi-gian-hoan-tien-the-tin-dung")</f>
        <v>https://techcombank.com/thong-tin/blog/thoi-gian-hoan-tien-the-tin-dung</v>
      </c>
      <c r="P32" s="16" t="str">
        <f>IFERROR(__xludf.DUMMYFUNCTION("""COMPUTED_VALUE"""),"thẻ tín dụng Techcombank Everyday")</f>
        <v>thẻ tín dụng Techcombank Everyday</v>
      </c>
      <c r="Q32" s="21" t="str">
        <f>IFERROR(__xludf.DUMMYFUNCTION("""COMPUTED_VALUE"""),"https://techcombank.com/thong-tin/blog/uu-dai-the-tin-dung")</f>
        <v>https://techcombank.com/thong-tin/blog/uu-dai-the-tin-dung</v>
      </c>
      <c r="R32" s="16" t="str">
        <f>IFERROR(__xludf.DUMMYFUNCTION("""COMPUTED_VALUE"""),"Techcombank Everyday")</f>
        <v>Techcombank Everyday</v>
      </c>
      <c r="S32" s="21" t="str">
        <f>IFERROR(__xludf.DUMMYFUNCTION("""COMPUTED_VALUE"""),"https://techcombank.com/thong-tin/blog/cac-loai-the-tin-dung")</f>
        <v>https://techcombank.com/thong-tin/blog/cac-loai-the-tin-dung</v>
      </c>
      <c r="T32" s="16" t="str">
        <f>IFERROR(__xludf.DUMMYFUNCTION("""COMPUTED_VALUE"""),"thẻ tín dụng Techcombank Everyday")</f>
        <v>thẻ tín dụng Techcombank Everyday</v>
      </c>
      <c r="U32" s="21" t="str">
        <f>IFERROR(__xludf.DUMMYFUNCTION("""COMPUTED_VALUE"""),"https://techcombank.com/thong-tin/blog/mo-the-tin-dung-co-loi-ich-gi")</f>
        <v>https://techcombank.com/thong-tin/blog/mo-the-tin-dung-co-loi-ich-gi</v>
      </c>
      <c r="V32" s="16" t="str">
        <f>IFERROR(__xludf.DUMMYFUNCTION("""COMPUTED_VALUE"""),"Techcombank Everyday")</f>
        <v>Techcombank Everyday</v>
      </c>
      <c r="W32" s="21" t="str">
        <f>IFERROR(__xludf.DUMMYFUNCTION("""COMPUTED_VALUE"""),"https://techcombank.com/thong-tin/blog/tai-khoan-doanh-nghiep-co-the-khong")</f>
        <v>https://techcombank.com/thong-tin/blog/tai-khoan-doanh-nghiep-co-the-khong</v>
      </c>
      <c r="X32" s="16" t="str">
        <f>IFERROR(__xludf.DUMMYFUNCTION("""COMPUTED_VALUE"""),"thẻ tín dụng Techcombank Everyday")</f>
        <v>thẻ tín dụng Techcombank Everyday</v>
      </c>
      <c r="Y32" s="21" t="str">
        <f>IFERROR(__xludf.DUMMYFUNCTION("""COMPUTED_VALUE"""),"https://techcombank.com/thong-tin/blog/mm-yy-la-gi")</f>
        <v>https://techcombank.com/thong-tin/blog/mm-yy-la-gi</v>
      </c>
      <c r="Z32" s="16" t="str">
        <f>IFERROR(__xludf.DUMMYFUNCTION("""COMPUTED_VALUE"""),"Techcombank Everyday")</f>
        <v>Techcombank Everyday</v>
      </c>
      <c r="AA32" s="21" t="str">
        <f>IFERROR(__xludf.DUMMYFUNCTION("""COMPUTED_VALUE"""),"https://techcombank.com/thong-tin/blog/uu-dai-the-tin-dung-techcombank-signature")</f>
        <v>https://techcombank.com/thong-tin/blog/uu-dai-the-tin-dung-techcombank-signature</v>
      </c>
      <c r="AB32" s="16" t="str">
        <f>IFERROR(__xludf.DUMMYFUNCTION("""COMPUTED_VALUE"""),"thẻ tín dụng Techcombank Everyday")</f>
        <v>thẻ tín dụng Techcombank Everyday</v>
      </c>
      <c r="AC32" s="21" t="str">
        <f>IFERROR(__xludf.DUMMYFUNCTION("""COMPUTED_VALUE"""),"https://techcombank.com/thong-tin/blog/the-tin-dung-mien-phi-thuong-nien")</f>
        <v>https://techcombank.com/thong-tin/blog/the-tin-dung-mien-phi-thuong-nien</v>
      </c>
      <c r="AD32" s="16" t="str">
        <f>IFERROR(__xludf.DUMMYFUNCTION("""COMPUTED_VALUE"""),"Techcombank Everyday")</f>
        <v>Techcombank Everyday</v>
      </c>
      <c r="AE32" s="21" t="str">
        <f>IFERROR(__xludf.DUMMYFUNCTION("""COMPUTED_VALUE"""),"https://techcombank.com/thong-tin/blog/uu-dai-mua-ve-may-bay-bang-the-tin-dung")</f>
        <v>https://techcombank.com/thong-tin/blog/uu-dai-mua-ve-may-bay-bang-the-tin-dung</v>
      </c>
      <c r="AF32" s="16" t="str">
        <f>IFERROR(__xludf.DUMMYFUNCTION("""COMPUTED_VALUE"""),"thẻ tín dụng Techcombank Everyday")</f>
        <v>thẻ tín dụng Techcombank Everyday</v>
      </c>
      <c r="AG32" s="21" t="str">
        <f>IFERROR(__xludf.DUMMYFUNCTION("""COMPUTED_VALUE"""),"https://techcombank.com/thong-tin/blog/mat-the-tin-dung-co-bi-mat-tien-khong")</f>
        <v>https://techcombank.com/thong-tin/blog/mat-the-tin-dung-co-bi-mat-tien-khong</v>
      </c>
      <c r="AH32" s="16" t="str">
        <f>IFERROR(__xludf.DUMMYFUNCTION("""COMPUTED_VALUE"""),"Techcombank Everyday")</f>
        <v>Techcombank Everyday</v>
      </c>
      <c r="AI32" s="21" t="str">
        <f>IFERROR(__xludf.DUMMYFUNCTION("""COMPUTED_VALUE"""),"https://techcombank.com/thong-tin/blog/so-cvv-la-gi")</f>
        <v>https://techcombank.com/thong-tin/blog/so-cvv-la-gi</v>
      </c>
      <c r="AJ32" s="16" t="str">
        <f>IFERROR(__xludf.DUMMYFUNCTION("""COMPUTED_VALUE"""),"thẻ tín dụng Techcombank Everyday")</f>
        <v>thẻ tín dụng Techcombank Everyday</v>
      </c>
      <c r="AK32" s="21" t="str">
        <f>IFERROR(__xludf.DUMMYFUNCTION("""COMPUTED_VALUE"""),"https://techcombank.com/thong-tin/blog/cach-lam-the-ngan-hang-chay-quang-cao-facebook")</f>
        <v>https://techcombank.com/thong-tin/blog/cach-lam-the-ngan-hang-chay-quang-cao-facebook</v>
      </c>
      <c r="AL32" s="16" t="str">
        <f>IFERROR(__xludf.DUMMYFUNCTION("""COMPUTED_VALUE"""),"Techcombank Everyday")</f>
        <v>Techcombank Everyday</v>
      </c>
      <c r="AM32" s="21" t="str">
        <f>IFERROR(__xludf.DUMMYFUNCTION("""COMPUTED_VALUE"""),"https://techcombank.com/thong-tin/blog/mua-iphone-17")</f>
        <v>https://techcombank.com/thong-tin/blog/mua-iphone-17</v>
      </c>
      <c r="AN32" s="16" t="str">
        <f>IFERROR(__xludf.DUMMYFUNCTION("""COMPUTED_VALUE"""),"thẻ tín dụng Techcombank Everyday")</f>
        <v>thẻ tín dụng Techcombank Everyday</v>
      </c>
      <c r="AO32" s="21" t="str">
        <f>IFERROR(__xludf.DUMMYFUNCTION("""COMPUTED_VALUE"""),"https://techcombank.com/thong-tin/blog/the-visa-co-can-mat-khau-khong")</f>
        <v>https://techcombank.com/thong-tin/blog/the-visa-co-can-mat-khau-khong</v>
      </c>
      <c r="AP32" s="16" t="str">
        <f>IFERROR(__xludf.DUMMYFUNCTION("""COMPUTED_VALUE"""),"Techcombank Everyday")</f>
        <v>Techcombank Everyday</v>
      </c>
      <c r="AQ32" s="21" t="str">
        <f>IFERROR(__xludf.DUMMYFUNCTION("""COMPUTED_VALUE"""),"https://techcombank.com/thong-tin/blog/mua-truoc-tra-sau")</f>
        <v>https://techcombank.com/thong-tin/blog/mua-truoc-tra-sau</v>
      </c>
      <c r="AR32" s="16" t="str">
        <f>IFERROR(__xludf.DUMMYFUNCTION("""COMPUTED_VALUE"""),"thẻ tín dụng Techcombank Everyday")</f>
        <v>thẻ tín dụng Techcombank Everyday</v>
      </c>
      <c r="AS32" s="21" t="str">
        <f>IFERROR(__xludf.DUMMYFUNCTION("""COMPUTED_VALUE"""),"https://techcombank.com/thong-tin/blog/tra-cuu-han-muc-the-tin-dung")</f>
        <v>https://techcombank.com/thong-tin/blog/tra-cuu-han-muc-the-tin-dung</v>
      </c>
      <c r="AT32" s="16" t="str">
        <f>IFERROR(__xludf.DUMMYFUNCTION("""COMPUTED_VALUE"""),"Techcombank Everyday")</f>
        <v>Techcombank Everyday</v>
      </c>
      <c r="AU32" s="21" t="str">
        <f>IFERROR(__xludf.DUMMYFUNCTION("""COMPUTED_VALUE"""),"https://techcombank.com/thong-tin/blog/the-ghi-no-va-the-tin-dung")</f>
        <v>https://techcombank.com/thong-tin/blog/the-ghi-no-va-the-tin-dung</v>
      </c>
      <c r="AV32" s="16" t="str">
        <f>IFERROR(__xludf.DUMMYFUNCTION("""COMPUTED_VALUE"""),"thẻ tín dụng Techcombank Everyday")</f>
        <v>thẻ tín dụng Techcombank Everyday</v>
      </c>
      <c r="AW32" s="21" t="str">
        <f>IFERROR(__xludf.DUMMYFUNCTION("""COMPUTED_VALUE"""),"https://techcombank.com/thong-tin/blog/the-tin-dung-het-han")</f>
        <v>https://techcombank.com/thong-tin/blog/the-tin-dung-het-han</v>
      </c>
      <c r="AX32" s="16" t="str">
        <f>IFERROR(__xludf.DUMMYFUNCTION("""COMPUTED_VALUE"""),"Techcombank Everyday")</f>
        <v>Techcombank Everyday</v>
      </c>
      <c r="AY32" s="21" t="str">
        <f>IFERROR(__xludf.DUMMYFUNCTION("""COMPUTED_VALUE"""),"https://techcombank.com/thong-tin/blog/cach-huy-the-tin-dung")</f>
        <v>https://techcombank.com/thong-tin/blog/cach-huy-the-tin-dung</v>
      </c>
      <c r="AZ32" s="16" t="str">
        <f>IFERROR(__xludf.DUMMYFUNCTION("""COMPUTED_VALUE"""),"thẻ tín dụng Techcombank Everyday")</f>
        <v>thẻ tín dụng Techcombank Everyday</v>
      </c>
      <c r="BA32" s="21" t="str">
        <f>IFERROR(__xludf.DUMMYFUNCTION("""COMPUTED_VALUE"""),"https://techcombank.com/thong-tin/blog/co-nen-dung-the-tin-dung-khong")</f>
        <v>https://techcombank.com/thong-tin/blog/co-nen-dung-the-tin-dung-khong</v>
      </c>
      <c r="BB32" s="16" t="str">
        <f>IFERROR(__xludf.DUMMYFUNCTION("""COMPUTED_VALUE"""),"Techcombank Everyday")</f>
        <v>Techcombank Everyday</v>
      </c>
      <c r="BC32" s="21" t="str">
        <f>IFERROR(__xludf.DUMMYFUNCTION("""COMPUTED_VALUE"""),"https://techcombank.com/thong-tin/blog/ma-buu-chinh-the-tin-dung")</f>
        <v>https://techcombank.com/thong-tin/blog/ma-buu-chinh-the-tin-dung</v>
      </c>
      <c r="BD32" s="16" t="str">
        <f>IFERROR(__xludf.DUMMYFUNCTION("""COMPUTED_VALUE"""),"thẻ tín dụng Techcombank Everyday")</f>
        <v>thẻ tín dụng Techcombank Everyday</v>
      </c>
      <c r="BE32" s="21" t="str">
        <f>IFERROR(__xludf.DUMMYFUNCTION("""COMPUTED_VALUE"""),"https://techcombank.com/thong-tin/blog/the-tin-dung-quoc-te")</f>
        <v>https://techcombank.com/thong-tin/blog/the-tin-dung-quoc-te</v>
      </c>
      <c r="BF32" s="16" t="str">
        <f>IFERROR(__xludf.DUMMYFUNCTION("""COMPUTED_VALUE"""),"Techcombank Everyday")</f>
        <v>Techcombank Everyday</v>
      </c>
      <c r="BG32" s="21" t="str">
        <f>IFERROR(__xludf.DUMMYFUNCTION("""COMPUTED_VALUE"""),"https://techcombank.com/thong-tin/blog/qua-han-thanh-toan-the-tin-dung-1-ngay")</f>
        <v>https://techcombank.com/thong-tin/blog/qua-han-thanh-toan-the-tin-dung-1-ngay</v>
      </c>
      <c r="BH32" s="16" t="str">
        <f>IFERROR(__xludf.DUMMYFUNCTION("""COMPUTED_VALUE"""),"thẻ tín dụng Techcombank Everyday")</f>
        <v>thẻ tín dụng Techcombank Everyday</v>
      </c>
      <c r="BI32" s="21" t="str">
        <f>IFERROR(__xludf.DUMMYFUNCTION("""COMPUTED_VALUE"""),"https://techcombank.com/thong-tin/blog/phi-rut-tien-mat-the-tin-dung")</f>
        <v>https://techcombank.com/thong-tin/blog/phi-rut-tien-mat-the-tin-dung</v>
      </c>
      <c r="BJ32" s="16" t="str">
        <f>IFERROR(__xludf.DUMMYFUNCTION("""COMPUTED_VALUE"""),"Techcombank Everyday")</f>
        <v>Techcombank Everyday</v>
      </c>
      <c r="BK32" s="21" t="str">
        <f>IFERROR(__xludf.DUMMYFUNCTION("""COMPUTED_VALUE"""),"https://techcombank.com/thong-tin/blog/tiet-kiem-khi-di-du-lich")</f>
        <v>https://techcombank.com/thong-tin/blog/tiet-kiem-khi-di-du-lich</v>
      </c>
      <c r="BL32" s="16" t="str">
        <f>IFERROR(__xludf.DUMMYFUNCTION("""COMPUTED_VALUE"""),"thẻ tín dụng Techcombank Everyday")</f>
        <v>thẻ tín dụng Techcombank Everyday</v>
      </c>
      <c r="BM32" s="21" t="str">
        <f>IFERROR(__xludf.DUMMYFUNCTION("""COMPUTED_VALUE"""),"https://techcombank.com/thong-tin/blog/vay-ngan-hang-1-ty-moi-thang-tra-bao-nhieu")</f>
        <v>https://techcombank.com/thong-tin/blog/vay-ngan-hang-1-ty-moi-thang-tra-bao-nhieu</v>
      </c>
      <c r="BN32" s="16" t="str">
        <f>IFERROR(__xludf.DUMMYFUNCTION("""COMPUTED_VALUE"""),"Techcombank Everyday")</f>
        <v>Techcombank Everyday</v>
      </c>
      <c r="BO32" s="21" t="str">
        <f>IFERROR(__xludf.DUMMYFUNCTION("""COMPUTED_VALUE"""),"https://techcombank.com/thong-tin/blog/cach-thanh-toan-the-tin-dung")</f>
        <v>https://techcombank.com/thong-tin/blog/cach-thanh-toan-the-tin-dung</v>
      </c>
      <c r="BP32" s="16" t="str">
        <f>IFERROR(__xludf.DUMMYFUNCTION("""COMPUTED_VALUE"""),"thẻ tín dụng Techcombank Everyday")</f>
        <v>thẻ tín dụng Techcombank Everyday</v>
      </c>
      <c r="BQ32" s="21" t="str">
        <f>IFERROR(__xludf.DUMMYFUNCTION("""COMPUTED_VALUE"""),"https://techcombank.com/thong-tin/blog/the-tin-dung-den")</f>
        <v>https://techcombank.com/thong-tin/blog/the-tin-dung-den</v>
      </c>
      <c r="BR32" s="16" t="str">
        <f>IFERROR(__xludf.DUMMYFUNCTION("""COMPUTED_VALUE"""),"Techcombank Everyday")</f>
        <v>Techcombank Everyday</v>
      </c>
      <c r="BS32" s="21" t="str">
        <f>IFERROR(__xludf.DUMMYFUNCTION("""COMPUTED_VALUE"""),"https://techcombank.com/thong-tin/blog/dao-han-the-tin-dung")</f>
        <v>https://techcombank.com/thong-tin/blog/dao-han-the-tin-dung</v>
      </c>
      <c r="BT32" s="16" t="str">
        <f>IFERROR(__xludf.DUMMYFUNCTION("""COMPUTED_VALUE"""),"thẻ tín dụng Techcombank Everyday")</f>
        <v>thẻ tín dụng Techcombank Everyday</v>
      </c>
      <c r="BU32" s="21" t="str">
        <f>IFERROR(__xludf.DUMMYFUNCTION("""COMPUTED_VALUE"""),"https://techcombank.com/thong-tin/blog/thanh-toan-online-bang-the-tin-dung")</f>
        <v>https://techcombank.com/thong-tin/blog/thanh-toan-online-bang-the-tin-dung</v>
      </c>
      <c r="BV32" s="16" t="str">
        <f>IFERROR(__xludf.DUMMYFUNCTION("""COMPUTED_VALUE"""),"Techcombank Everyday")</f>
        <v>Techcombank Everyday</v>
      </c>
      <c r="BW32" s="21" t="str">
        <f>IFERROR(__xludf.DUMMYFUNCTION("""COMPUTED_VALUE"""),"https://techcombank.com/thong-tin/blog/uu-dai-mo-the-tin-dung")</f>
        <v>https://techcombank.com/thong-tin/blog/uu-dai-mo-the-tin-dung</v>
      </c>
      <c r="BX32" s="16" t="str">
        <f>IFERROR(__xludf.DUMMYFUNCTION("""COMPUTED_VALUE"""),"thẻ tín dụng Techcombank Everyday")</f>
        <v>thẻ tín dụng Techcombank Everyday</v>
      </c>
      <c r="BY32" s="21" t="str">
        <f>IFERROR(__xludf.DUMMYFUNCTION("""COMPUTED_VALUE"""),"https://techcombank.com/thong-tin/blog/the-tin-dung-co-chuyen-khoan-duoc-khong")</f>
        <v>https://techcombank.com/thong-tin/blog/the-tin-dung-co-chuyen-khoan-duoc-khong</v>
      </c>
      <c r="BZ32" s="16" t="str">
        <f>IFERROR(__xludf.DUMMYFUNCTION("""COMPUTED_VALUE"""),"Techcombank Everyday")</f>
        <v>Techcombank Everyday</v>
      </c>
      <c r="CA32" s="21" t="str">
        <f>IFERROR(__xludf.DUMMYFUNCTION("""COMPUTED_VALUE"""),"https://techcombank.com/thong-tin/blog/the-tin-dung-techcombank-visa-eco")</f>
        <v>https://techcombank.com/thong-tin/blog/the-tin-dung-techcombank-visa-eco</v>
      </c>
      <c r="CB32" s="16" t="str">
        <f>IFERROR(__xludf.DUMMYFUNCTION("""COMPUTED_VALUE"""),"thẻ tín dụng Techcombank Everyday")</f>
        <v>thẻ tín dụng Techcombank Everyday</v>
      </c>
      <c r="CC32" s="21" t="str">
        <f>IFERROR(__xludf.DUMMYFUNCTION("""COMPUTED_VALUE"""),"https://techcombank.com/thong-tin/blog/mo-the-tin-dung-han-muc-cao")</f>
        <v>https://techcombank.com/thong-tin/blog/mo-the-tin-dung-han-muc-cao</v>
      </c>
      <c r="CD32" s="16" t="str">
        <f>IFERROR(__xludf.DUMMYFUNCTION("""COMPUTED_VALUE"""),"Techcombank Everyday")</f>
        <v>Techcombank Everyday</v>
      </c>
      <c r="CE32" s="21" t="str">
        <f>IFERROR(__xludf.DUMMYFUNCTION("""COMPUTED_VALUE"""),"https://techcombank.com/thong-tin/blog/3d-secure")</f>
        <v>https://techcombank.com/thong-tin/blog/3d-secure</v>
      </c>
      <c r="CF32" s="16" t="str">
        <f>IFERROR(__xludf.DUMMYFUNCTION("""COMPUTED_VALUE"""),"thẻ tín dụng Techcombank Everyday")</f>
        <v>thẻ tín dụng Techcombank Everyday</v>
      </c>
      <c r="CG32" s="21" t="str">
        <f>IFERROR(__xludf.DUMMYFUNCTION("""COMPUTED_VALUE"""),"https://techcombank.com/thong-tin/blog/lai-suat-the-tin-dung")</f>
        <v>https://techcombank.com/thong-tin/blog/lai-suat-the-tin-dung</v>
      </c>
      <c r="CH32" s="16" t="str">
        <f>IFERROR(__xludf.DUMMYFUNCTION("""COMPUTED_VALUE"""),"Techcombank Everyday")</f>
        <v>Techcombank Everyday</v>
      </c>
      <c r="CI32" s="21" t="str">
        <f>IFERROR(__xludf.DUMMYFUNCTION("""COMPUTED_VALUE"""),"https://techcombank.com/thong-tin/blog/the-tin-dung-ao")</f>
        <v>https://techcombank.com/thong-tin/blog/the-tin-dung-ao</v>
      </c>
      <c r="CJ32" s="16" t="str">
        <f>IFERROR(__xludf.DUMMYFUNCTION("""COMPUTED_VALUE"""),"thẻ tín dụng Techcombank Everyday")</f>
        <v>thẻ tín dụng Techcombank Everyday</v>
      </c>
      <c r="CK32" s="21" t="str">
        <f>IFERROR(__xludf.DUMMYFUNCTION("""COMPUTED_VALUE"""),"https://techcombank.com/thong-tin/blog/thanh-toan-toi-thieu-the-tin-dung")</f>
        <v>https://techcombank.com/thong-tin/blog/thanh-toan-toi-thieu-the-tin-dung</v>
      </c>
      <c r="CL32" s="16" t="str">
        <f>IFERROR(__xludf.DUMMYFUNCTION("""COMPUTED_VALUE"""),"Techcombank Everyday")</f>
        <v>Techcombank Everyday</v>
      </c>
      <c r="CM32" s="21" t="str">
        <f>IFERROR(__xludf.DUMMYFUNCTION("""COMPUTED_VALUE"""),"https://techcombank.com/thong-tin/blog/tra-gop-shopee")</f>
        <v>https://techcombank.com/thong-tin/blog/tra-gop-shopee</v>
      </c>
      <c r="CN32" s="16" t="str">
        <f>IFERROR(__xludf.DUMMYFUNCTION("""COMPUTED_VALUE"""),"thẻ tín dụng Techcombank Everyday")</f>
        <v>thẻ tín dụng Techcombank Everyday</v>
      </c>
      <c r="CO32" s="21" t="str">
        <f>IFERROR(__xludf.DUMMYFUNCTION("""COMPUTED_VALUE"""),"https://techcombank.com/thong-tin/blog/thanh-toan-tien-dien-bang-the-tin-dung")</f>
        <v>https://techcombank.com/thong-tin/blog/thanh-toan-tien-dien-bang-the-tin-dung</v>
      </c>
      <c r="CP32" s="16" t="str">
        <f>IFERROR(__xludf.DUMMYFUNCTION("""COMPUTED_VALUE"""),"Techcombank Everyday")</f>
        <v>Techcombank Everyday</v>
      </c>
      <c r="CQ32" s="21" t="str">
        <f>IFERROR(__xludf.DUMMYFUNCTION("""COMPUTED_VALUE"""),"https://techcombank.com/thong-tin/blog/thanh-toan-tra-gop-qua-the-tin-dung")</f>
        <v>https://techcombank.com/thong-tin/blog/thanh-toan-tra-gop-qua-the-tin-dung</v>
      </c>
      <c r="CR32" s="16" t="str">
        <f>IFERROR(__xludf.DUMMYFUNCTION("""COMPUTED_VALUE"""),"thẻ tín dụng Techcombank Everyday")</f>
        <v>thẻ tín dụng Techcombank Everyday</v>
      </c>
      <c r="CS32" s="21" t="str">
        <f>IFERROR(__xludf.DUMMYFUNCTION("""COMPUTED_VALUE"""),"https://techcombank.com/thong-tin/blog/tra-gop-lazada")</f>
        <v>https://techcombank.com/thong-tin/blog/tra-gop-lazada</v>
      </c>
      <c r="CT32" s="16" t="str">
        <f>IFERROR(__xludf.DUMMYFUNCTION("""COMPUTED_VALUE"""),"Techcombank Everyday")</f>
        <v>Techcombank Everyday</v>
      </c>
      <c r="CU32" s="21" t="str">
        <f>IFERROR(__xludf.DUMMYFUNCTION("""COMPUTED_VALUE"""),"https://techcombank.com/thong-tin/blog/lam-the-tin-dung")</f>
        <v>https://techcombank.com/thong-tin/blog/lam-the-tin-dung</v>
      </c>
      <c r="CV32" s="16" t="str">
        <f>IFERROR(__xludf.DUMMYFUNCTION("""COMPUTED_VALUE"""),"thẻ tín dụng Techcombank Everyday")</f>
        <v>thẻ tín dụng Techcombank Everyday</v>
      </c>
      <c r="CW32" s="21" t="str">
        <f>IFERROR(__xludf.DUMMYFUNCTION("""COMPUTED_VALUE"""),"https://techcombank.com/thong-tin/blog/the-tin-dung-co-ma-pin-khong")</f>
        <v>https://techcombank.com/thong-tin/blog/the-tin-dung-co-ma-pin-khong</v>
      </c>
      <c r="CX32" s="16" t="str">
        <f>IFERROR(__xludf.DUMMYFUNCTION("""COMPUTED_VALUE"""),"Techcombank Everyday")</f>
        <v>Techcombank Everyday</v>
      </c>
      <c r="CY32" s="21" t="str">
        <f>IFERROR(__xludf.DUMMYFUNCTION("""COMPUTED_VALUE"""),"https://techcombank.com/thong-tin/blog/cic-la-gi")</f>
        <v>https://techcombank.com/thong-tin/blog/cic-la-gi</v>
      </c>
      <c r="CZ32" s="16" t="str">
        <f>IFERROR(__xludf.DUMMYFUNCTION("""COMPUTED_VALUE"""),"thẻ tín dụng Techcombank Everyday")</f>
        <v>thẻ tín dụng Techcombank Everyday</v>
      </c>
      <c r="DA32" s="21" t="str">
        <f>IFERROR(__xludf.DUMMYFUNCTION("""COMPUTED_VALUE"""),"https://techcombank.com/thong-tin/blog/sao-ke-the-tin-dung-la-gi")</f>
        <v>https://techcombank.com/thong-tin/blog/sao-ke-the-tin-dung-la-gi</v>
      </c>
      <c r="DB32" s="16" t="str">
        <f>IFERROR(__xludf.DUMMYFUNCTION("""COMPUTED_VALUE"""),"Techcombank Everyday")</f>
        <v>Techcombank Everyday</v>
      </c>
      <c r="DC32" s="21" t="str">
        <f>IFERROR(__xludf.DUMMYFUNCTION("""COMPUTED_VALUE"""),"https://techcombank.com/thong-tin/blog/the-tin-dung-noi-dia")</f>
        <v>https://techcombank.com/thong-tin/blog/the-tin-dung-noi-dia</v>
      </c>
      <c r="DD32" s="16" t="str">
        <f>IFERROR(__xludf.DUMMYFUNCTION("""COMPUTED_VALUE"""),"thẻ tín dụng Techcombank Everyday")</f>
        <v>thẻ tín dụng Techcombank Everyday</v>
      </c>
      <c r="DE32" s="21" t="str">
        <f>IFERROR(__xludf.DUMMYFUNCTION("""COMPUTED_VALUE"""),"https://techcombank.com/thong-tin/blog/lam-ho-so-tra-gop-dien-thoai")</f>
        <v>https://techcombank.com/thong-tin/blog/lam-ho-so-tra-gop-dien-thoai</v>
      </c>
      <c r="DF32" s="16" t="str">
        <f>IFERROR(__xludf.DUMMYFUNCTION("""COMPUTED_VALUE"""),"Techcombank Everyday")</f>
        <v>Techcombank Everyday</v>
      </c>
      <c r="DG32" s="21" t="str">
        <f>IFERROR(__xludf.DUMMYFUNCTION("""COMPUTED_VALUE"""),"https://techcombank.com/thong-tin/blog/the-tin-dung-la-gi")</f>
        <v>https://techcombank.com/thong-tin/blog/the-tin-dung-la-gi</v>
      </c>
      <c r="DH32" s="16" t="str">
        <f>IFERROR(__xludf.DUMMYFUNCTION("""COMPUTED_VALUE"""),"thẻ tín dụng Techcombank Everyday")</f>
        <v>thẻ tín dụng Techcombank Everyday</v>
      </c>
      <c r="DI32" s="21" t="str">
        <f>IFERROR(__xludf.DUMMYFUNCTION("""COMPUTED_VALUE"""),"https://techcombank.com/thong-tin/blog/cach-su-dung-the-tin-dung")</f>
        <v>https://techcombank.com/thong-tin/blog/cach-su-dung-the-tin-dung</v>
      </c>
      <c r="DJ32" s="16" t="str">
        <f>IFERROR(__xludf.DUMMYFUNCTION("""COMPUTED_VALUE"""),"Techcombank Everyday")</f>
        <v>Techcombank Everyday</v>
      </c>
      <c r="DK32" s="21" t="str">
        <f>IFERROR(__xludf.DUMMYFUNCTION("""COMPUTED_VALUE"""),"https://techcombank.com/thong-tin/blog/cashback-the-thanh-toan")</f>
        <v>https://techcombank.com/thong-tin/blog/cashback-the-thanh-toan</v>
      </c>
      <c r="DL32" s="16" t="str">
        <f>IFERROR(__xludf.DUMMYFUNCTION("""COMPUTED_VALUE"""),"thẻ tín dụng Techcombank Everyday")</f>
        <v>thẻ tín dụng Techcombank Everyday</v>
      </c>
      <c r="DM32" s="21" t="str">
        <f>IFERROR(__xludf.DUMMYFUNCTION("""COMPUTED_VALUE"""),"https://techcombank.com/thong-tin/blog/han-muc-the-tin-dung")</f>
        <v>https://techcombank.com/thong-tin/blog/han-muc-the-tin-dung</v>
      </c>
      <c r="DN32" s="16" t="str">
        <f>IFERROR(__xludf.DUMMYFUNCTION("""COMPUTED_VALUE"""),"Techcombank Everyday")</f>
        <v>Techcombank Everyday</v>
      </c>
      <c r="DO32" s="21" t="str">
        <f>IFERROR(__xludf.DUMMYFUNCTION("""COMPUTED_VALUE"""),"https://techcombank.com/thong-tin/blog/nang-han-muc-tin-dung")</f>
        <v>https://techcombank.com/thong-tin/blog/nang-han-muc-tin-dung</v>
      </c>
      <c r="DP32" s="16" t="str">
        <f>IFERROR(__xludf.DUMMYFUNCTION("""COMPUTED_VALUE"""),"thẻ tín dụng Techcombank Everyday")</f>
        <v>thẻ tín dụng Techcombank Everyday</v>
      </c>
      <c r="DQ32" s="21" t="str">
        <f>IFERROR(__xludf.DUMMYFUNCTION("""COMPUTED_VALUE"""),"https://techcombank.com/thong-tin/blog/the-tin-dung-mien-lai-55-ngay")</f>
        <v>https://techcombank.com/thong-tin/blog/the-tin-dung-mien-lai-55-ngay</v>
      </c>
      <c r="DR32" s="16" t="str">
        <f>IFERROR(__xludf.DUMMYFUNCTION("""COMPUTED_VALUE"""),"Techcombank Everyday")</f>
        <v>Techcombank Everyday</v>
      </c>
      <c r="DS32" s="21" t="str">
        <f>IFERROR(__xludf.DUMMYFUNCTION("""COMPUTED_VALUE"""),"https://techcombank.com/thong-tin/blog/tra-gop-qua-the-tin-dung")</f>
        <v>https://techcombank.com/thong-tin/blog/tra-gop-qua-the-tin-dung</v>
      </c>
      <c r="DT32" s="16" t="str">
        <f>IFERROR(__xludf.DUMMYFUNCTION("""COMPUTED_VALUE"""),"thẻ tín dụng Techcombank Everyday")</f>
        <v>thẻ tín dụng Techcombank Everyday</v>
      </c>
      <c r="DU32" s="21" t="str">
        <f>IFERROR(__xludf.DUMMYFUNCTION("""COMPUTED_VALUE"""),"https://techcombank.com/thong-tin/blog/lam-the-tin-dung-co-mat-phi-khong")</f>
        <v>https://techcombank.com/thong-tin/blog/lam-the-tin-dung-co-mat-phi-khong</v>
      </c>
      <c r="DV32" s="16" t="str">
        <f>IFERROR(__xludf.DUMMYFUNCTION("""COMPUTED_VALUE"""),"Techcombank Everyday")</f>
        <v>Techcombank Everyday</v>
      </c>
      <c r="DW32" s="21" t="str">
        <f>IFERROR(__xludf.DUMMYFUNCTION("""COMPUTED_VALUE"""),"https://techcombank.com/thong-tin/blog/kich-hoat-the-tin-dung-techcombank")</f>
        <v>https://techcombank.com/thong-tin/blog/kich-hoat-the-tin-dung-techcombank</v>
      </c>
      <c r="DX32" s="16" t="str">
        <f>IFERROR(__xludf.DUMMYFUNCTION("""COMPUTED_VALUE"""),"thẻ tín dụng Techcombank Everyday")</f>
        <v>thẻ tín dụng Techcombank Everyday</v>
      </c>
      <c r="DY32" s="21" t="str">
        <f>IFERROR(__xludf.DUMMYFUNCTION("""COMPUTED_VALUE"""),"https://techcombank.com/thong-tin/blog/the-tin-dung-bi-khoa")</f>
        <v>https://techcombank.com/thong-tin/blog/the-tin-dung-bi-khoa</v>
      </c>
      <c r="DZ32" s="16" t="str">
        <f>IFERROR(__xludf.DUMMYFUNCTION("""COMPUTED_VALUE"""),"Techcombank Everyday")</f>
        <v>Techcombank Everyday</v>
      </c>
      <c r="EA32" s="21" t="str">
        <f>IFERROR(__xludf.DUMMYFUNCTION("""COMPUTED_VALUE"""),"https://techcombank.com/thong-tin/blog/no-xau-mo-the-tin-dung-duoc-khong")</f>
        <v>https://techcombank.com/thong-tin/blog/no-xau-mo-the-tin-dung-duoc-khong</v>
      </c>
      <c r="EB32" s="16" t="str">
        <f>IFERROR(__xludf.DUMMYFUNCTION("""COMPUTED_VALUE"""),"thẻ tín dụng Techcombank Everyday")</f>
        <v>thẻ tín dụng Techcombank Everyday</v>
      </c>
      <c r="EC32" s="21" t="str">
        <f>IFERROR(__xludf.DUMMYFUNCTION("""COMPUTED_VALUE"""),"https://techcombank.com/thong-tin/blog/no-the-tin-dung-qua-han")</f>
        <v>https://techcombank.com/thong-tin/blog/no-the-tin-dung-qua-han</v>
      </c>
      <c r="ED32" s="16" t="str">
        <f>IFERROR(__xludf.DUMMYFUNCTION("""COMPUTED_VALUE"""),"Techcombank Everyday")</f>
        <v>Techcombank Everyday</v>
      </c>
      <c r="EE32" s="21" t="str">
        <f>IFERROR(__xludf.DUMMYFUNCTION("""COMPUTED_VALUE"""),"https://techcombank.com/thong-tin/blog/mo-the-tin-dung-chi-can-cccd")</f>
        <v>https://techcombank.com/thong-tin/blog/mo-the-tin-dung-chi-can-cccd</v>
      </c>
      <c r="EF32" s="16" t="str">
        <f>IFERROR(__xludf.DUMMYFUNCTION("""COMPUTED_VALUE"""),"thẻ tín dụng Techcombank Everyday")</f>
        <v>thẻ tín dụng Techcombank Everyday</v>
      </c>
      <c r="EG32" s="21" t="str">
        <f>IFERROR(__xludf.DUMMYFUNCTION("""COMPUTED_VALUE"""),"https://techcombank.com/thong-tin/blog/luu-y-khi-su-dung-the-tin-dung")</f>
        <v>https://techcombank.com/thong-tin/blog/luu-y-khi-su-dung-the-tin-dung</v>
      </c>
      <c r="EH32" s="16" t="str">
        <f>IFERROR(__xludf.DUMMYFUNCTION("""COMPUTED_VALUE"""),"Techcombank Everyday")</f>
        <v>Techcombank Everyday</v>
      </c>
      <c r="EI32" s="21" t="str">
        <f>IFERROR(__xludf.DUMMYFUNCTION("""COMPUTED_VALUE"""),"https://techcombank.com/thong-tin/blog/mat-the-tin-dung-co-lam-lai-duoc-khong")</f>
        <v>https://techcombank.com/thong-tin/blog/mat-the-tin-dung-co-lam-lai-duoc-khong</v>
      </c>
      <c r="EJ32" s="16" t="str">
        <f>IFERROR(__xludf.DUMMYFUNCTION("""COMPUTED_VALUE"""),"thẻ tín dụng Techcombank Everyday")</f>
        <v>thẻ tín dụng Techcombank Everyday</v>
      </c>
      <c r="EK32" s="21" t="str">
        <f>IFERROR(__xludf.DUMMYFUNCTION("""COMPUTED_VALUE"""),"https://techcombank.com/thong-tin/blog/mo-the-tin-dung-khong-can-chung-minh-thu-nhap")</f>
        <v>https://techcombank.com/thong-tin/blog/mo-the-tin-dung-khong-can-chung-minh-thu-nhap</v>
      </c>
      <c r="EL32" s="16" t="str">
        <f>IFERROR(__xludf.DUMMYFUNCTION("""COMPUTED_VALUE"""),"Techcombank Everyday")</f>
        <v>Techcombank Everyday</v>
      </c>
      <c r="EM32" s="21" t="str">
        <f>IFERROR(__xludf.DUMMYFUNCTION("""COMPUTED_VALUE"""),"https://techcombank.com/thong-tin/blog/the-tin-dung-vip")</f>
        <v>https://techcombank.com/thong-tin/blog/the-tin-dung-vip</v>
      </c>
      <c r="EN32" s="16" t="str">
        <f>IFERROR(__xludf.DUMMYFUNCTION("""COMPUTED_VALUE"""),"thẻ tín dụng Techcombank Everyday")</f>
        <v>thẻ tín dụng Techcombank Everyday</v>
      </c>
      <c r="EO32" s="21" t="str">
        <f>IFERROR(__xludf.DUMMYFUNCTION("""COMPUTED_VALUE"""),"https://techcombank.com/thong-tin/blog/the-tin-dung-phu-la-gi")</f>
        <v>https://techcombank.com/thong-tin/blog/the-tin-dung-phu-la-gi</v>
      </c>
      <c r="EP32" s="16" t="str">
        <f>IFERROR(__xludf.DUMMYFUNCTION("""COMPUTED_VALUE"""),"Techcombank Everyday")</f>
        <v>Techcombank Everyday</v>
      </c>
      <c r="EQ32" s="21" t="str">
        <f>IFERROR(__xludf.DUMMYFUNCTION("""COMPUTED_VALUE"""),"https://techcombank.com/thong-tin/blog/rut-tien-mat-tu-the-tin-dung")</f>
        <v>https://techcombank.com/thong-tin/blog/rut-tien-mat-tu-the-tin-dung</v>
      </c>
      <c r="ER32" s="16" t="str">
        <f>IFERROR(__xludf.DUMMYFUNCTION("""COMPUTED_VALUE"""),"thẻ tín dụng Techcombank Everyday")</f>
        <v>thẻ tín dụng Techcombank Everyday</v>
      </c>
      <c r="ES32" s="21" t="str">
        <f>IFERROR(__xludf.DUMMYFUNCTION("""COMPUTED_VALUE"""),"https://techcombank.com/thong-tin/blog/so-luong-the-tin-dung-noi-dia-dang-luu-hanh-da-tang-42-so-voi-cung-ky-nam-2022")</f>
        <v>https://techcombank.com/thong-tin/blog/so-luong-the-tin-dung-noi-dia-dang-luu-hanh-da-tang-42-so-voi-cung-ky-nam-2022</v>
      </c>
      <c r="ET32" s="16" t="str">
        <f>IFERROR(__xludf.DUMMYFUNCTION("""COMPUTED_VALUE"""),"Techcombank Everyday")</f>
        <v>Techcombank Everyday</v>
      </c>
      <c r="EU32" s="21" t="str">
        <f>IFERROR(__xludf.DUMMYFUNCTION("""COMPUTED_VALUE"""),"https://techcombank.com/thong-tin/blog/no-xau-nhom-2")</f>
        <v>https://techcombank.com/thong-tin/blog/no-xau-nhom-2</v>
      </c>
      <c r="EV32" s="16" t="str">
        <f>IFERROR(__xludf.DUMMYFUNCTION("""COMPUTED_VALUE"""),"thẻ tín dụng Techcombank Everyday")</f>
        <v>thẻ tín dụng Techcombank Everyday</v>
      </c>
      <c r="EW32" s="21" t="str">
        <f>IFERROR(__xludf.DUMMYFUNCTION("""COMPUTED_VALUE"""),"https://techcombank.com/thong-tin/blog/the-ghi-no-visa-la-gi")</f>
        <v>https://techcombank.com/thong-tin/blog/the-ghi-no-visa-la-gi</v>
      </c>
      <c r="EX32" s="16" t="str">
        <f>IFERROR(__xludf.DUMMYFUNCTION("""COMPUTED_VALUE"""),"Techcombank Everyday")</f>
        <v>Techcombank Everyday</v>
      </c>
      <c r="EY32" s="21" t="str">
        <f>IFERROR(__xludf.DUMMYFUNCTION("""COMPUTED_VALUE"""),"https://techcombank.com/thong-tin/blog/uu-dai-mua-iphone-18")</f>
        <v>https://techcombank.com/thong-tin/blog/uu-dai-mua-iphone-18</v>
      </c>
      <c r="EZ32" s="16" t="str">
        <f>IFERROR(__xludf.DUMMYFUNCTION("""COMPUTED_VALUE"""),"thẻ tín dụng Techcombank Everyday")</f>
        <v>thẻ tín dụng Techcombank Everyday</v>
      </c>
      <c r="FA32" s="21" t="str">
        <f>IFERROR(__xludf.DUMMYFUNCTION("""COMPUTED_VALUE"""),"https://techcombank.com/thong-tin/blog/khong-su-dung-the-tin-dung-co-mat-phi-khong")</f>
        <v>https://techcombank.com/thong-tin/blog/khong-su-dung-the-tin-dung-co-mat-phi-khong</v>
      </c>
      <c r="FB32" s="16" t="str">
        <f>IFERROR(__xludf.DUMMYFUNCTION("""COMPUTED_VALUE"""),"Techcombank Everyday")</f>
        <v>Techcombank Everyday</v>
      </c>
      <c r="FC32" s="21" t="str">
        <f>IFERROR(__xludf.DUMMYFUNCTION("""COMPUTED_VALUE"""),"https://techcombank.com/thong-tin/blog/so-the-tin-dung")</f>
        <v>https://techcombank.com/thong-tin/blog/so-the-tin-dung</v>
      </c>
      <c r="FD32" s="16" t="str">
        <f>IFERROR(__xludf.DUMMYFUNCTION("""COMPUTED_VALUE"""),"thẻ tín dụng Techcombank Everyday")</f>
        <v>thẻ tín dụng Techcombank Everyday</v>
      </c>
      <c r="FE32" s="21" t="str">
        <f>IFERROR(__xludf.DUMMYFUNCTION("""COMPUTED_VALUE"""),"https://techcombank.com/thong-tin/blog/han-muc-tra-gop-the-tin-dung")</f>
        <v>https://techcombank.com/thong-tin/blog/han-muc-tra-gop-the-tin-dung</v>
      </c>
      <c r="FF32" s="16" t="str">
        <f>IFERROR(__xludf.DUMMYFUNCTION("""COMPUTED_VALUE"""),"Techcombank Everyday")</f>
        <v>Techcombank Everyday</v>
      </c>
      <c r="FG32" s="21" t="str">
        <f>IFERROR(__xludf.DUMMYFUNCTION("""COMPUTED_VALUE"""),"https://techcombank.com/thong-tin/blog/the-tin-dung-hoan-tien")</f>
        <v>https://techcombank.com/thong-tin/blog/the-tin-dung-hoan-tien</v>
      </c>
      <c r="FH32" s="16" t="str">
        <f>IFERROR(__xludf.DUMMYFUNCTION("""COMPUTED_VALUE"""),"thẻ tín dụng Techcombank Everyday")</f>
        <v>thẻ tín dụng Techcombank Everyday</v>
      </c>
      <c r="FI32" s="21" t="str">
        <f>IFERROR(__xludf.DUMMYFUNCTION("""COMPUTED_VALUE"""),"https://techcombank.com/thong-tin/blog/sang-ngang-the-tin-dung")</f>
        <v>https://techcombank.com/thong-tin/blog/sang-ngang-the-tin-dung</v>
      </c>
      <c r="FJ32" s="16" t="str">
        <f>IFERROR(__xludf.DUMMYFUNCTION("""COMPUTED_VALUE"""),"Techcombank Everyday")</f>
        <v>Techcombank Everyday</v>
      </c>
      <c r="FK32" s="21" t="str">
        <f>IFERROR(__xludf.DUMMYFUNCTION("""COMPUTED_VALUE"""),"https://techcombank.com/thong-tin/blog/tai-khoan-ngan-hang-la-gi")</f>
        <v>https://techcombank.com/thong-tin/blog/tai-khoan-ngan-hang-la-gi</v>
      </c>
      <c r="FL32" s="16"/>
      <c r="FM32" s="16"/>
      <c r="FN32" s="16"/>
      <c r="FO32" s="16"/>
      <c r="FP32" s="16"/>
      <c r="FQ32" s="16"/>
      <c r="FR32" s="16"/>
      <c r="FS32" s="16"/>
      <c r="FT32" s="16"/>
      <c r="FU32" s="16"/>
      <c r="FV32" s="16"/>
      <c r="FW32" s="16"/>
      <c r="FX32" s="16"/>
      <c r="FY32" s="16"/>
      <c r="FZ32" s="16"/>
      <c r="GA32" s="16"/>
      <c r="GB32" s="16"/>
      <c r="GC32" s="16"/>
      <c r="GD32" s="16"/>
      <c r="GE32" s="16"/>
      <c r="GF32" s="16"/>
      <c r="GG32" s="16"/>
      <c r="GH32" s="16"/>
      <c r="GI32" s="16"/>
      <c r="GJ32" s="16"/>
      <c r="GK32" s="16"/>
      <c r="GL32" s="16"/>
      <c r="GM32" s="16"/>
      <c r="GN32" s="16"/>
      <c r="GO32" s="16"/>
    </row>
    <row r="33" ht="18.0" customHeight="1">
      <c r="A33" s="15">
        <v>32.0</v>
      </c>
      <c r="B33" s="16" t="s">
        <v>827</v>
      </c>
      <c r="C33" s="17" t="s">
        <v>902</v>
      </c>
      <c r="D33" s="16" t="s">
        <v>306</v>
      </c>
      <c r="E33" s="15">
        <f>COUNTIF('Tổng hợp 75 trang đích'!$B$2:$B$2505,$D33)</f>
        <v>77</v>
      </c>
      <c r="F33" s="15">
        <f>COUNTIFS('Tổng hợp 75 trang đích'!$B$2:$B$2505,$D33,'Tổng hợp 75 trang đích'!$K$2:$K$2505,"PHÙ HỢP CAO")</f>
        <v>1</v>
      </c>
      <c r="G33" s="15">
        <f>COUNTIFS('Tổng hợp 75 trang đích'!$B$2:$B$2505,$D33,'Tổng hợp 75 trang đích'!$K$2:$K$2505,"CÓ THỂ ĐI")</f>
        <v>4</v>
      </c>
      <c r="H33" s="15">
        <f>COUNTIFS('Tổng hợp 75 trang đích'!$B$2:$B$2505,$D33,'Tổng hợp 75 trang đích'!$K$2:$K$2505,"CẦN SOÁT")</f>
        <v>72</v>
      </c>
      <c r="I33" s="19" t="s">
        <v>256</v>
      </c>
      <c r="J33" s="19" t="b">
        <v>0</v>
      </c>
      <c r="K33" s="20" t="s">
        <v>258</v>
      </c>
      <c r="L33" s="16" t="str">
        <f>IFERROR(__xludf.DUMMYFUNCTION("IFERROR(TOROW(CHOOSECOLS(SORT(FILTER({'Tổng hợp 75 trang đích'!$J$2:$J$2505,'Tổng hợp 75 trang đích'!$I$2:$I$2505,MATCH('Tổng hợp 75 trang đích'!$K$2:$K$2505,{""PHÙ HỢP CAO"",""CÓ THỂ ĐI"",""CẦN SOÁT""},0)},'Tổng hợp 75 trang đích'!$B$2:$B$2505=$D33),3,TR"&amp;"UE),1,2)),"""")"),"thẻ tín dụng hoàn tiền")</f>
        <v>thẻ tín dụng hoàn tiền</v>
      </c>
      <c r="M33" s="21" t="str">
        <f>IFERROR(__xludf.DUMMYFUNCTION("""COMPUTED_VALUE"""),"https://techcombank.com/thong-tin/blog/thanh-toan-tien-dien-bang-the-tin-dung")</f>
        <v>https://techcombank.com/thong-tin/blog/thanh-toan-tien-dien-bang-the-tin-dung</v>
      </c>
      <c r="N33" s="16" t="str">
        <f>IFERROR(__xludf.DUMMYFUNCTION("""COMPUTED_VALUE"""),"thẻ hoàn tiền")</f>
        <v>thẻ hoàn tiền</v>
      </c>
      <c r="O33" s="21" t="str">
        <f>IFERROR(__xludf.DUMMYFUNCTION("""COMPUTED_VALUE"""),"https://techcombank.com/thong-tin/blog/cashback-the-thanh-toan")</f>
        <v>https://techcombank.com/thong-tin/blog/cashback-the-thanh-toan</v>
      </c>
      <c r="P33" s="16" t="str">
        <f>IFERROR(__xludf.DUMMYFUNCTION("""COMPUTED_VALUE"""),"thẻ cashback")</f>
        <v>thẻ cashback</v>
      </c>
      <c r="Q33" s="21" t="str">
        <f>IFERROR(__xludf.DUMMYFUNCTION("""COMPUTED_VALUE"""),"https://techcombank.com/thong-tin/blog/uu-dai-mo-the-tin-dung")</f>
        <v>https://techcombank.com/thong-tin/blog/uu-dai-mo-the-tin-dung</v>
      </c>
      <c r="R33" s="16" t="str">
        <f>IFERROR(__xludf.DUMMYFUNCTION("""COMPUTED_VALUE"""),"thẻ tín dụng hoàn tiền")</f>
        <v>thẻ tín dụng hoàn tiền</v>
      </c>
      <c r="S33" s="21" t="str">
        <f>IFERROR(__xludf.DUMMYFUNCTION("""COMPUTED_VALUE"""),"https://techcombank.com/thong-tin/blog/the-tin-dung-mien-phi-thuong-nien")</f>
        <v>https://techcombank.com/thong-tin/blog/the-tin-dung-mien-phi-thuong-nien</v>
      </c>
      <c r="T33" s="16" t="str">
        <f>IFERROR(__xludf.DUMMYFUNCTION("""COMPUTED_VALUE"""),"thẻ hoàn tiền")</f>
        <v>thẻ hoàn tiền</v>
      </c>
      <c r="U33" s="21" t="str">
        <f>IFERROR(__xludf.DUMMYFUNCTION("""COMPUTED_VALUE"""),"https://techcombank.com/thong-tin/blog/cach-su-dung-the-tin-dung")</f>
        <v>https://techcombank.com/thong-tin/blog/cach-su-dung-the-tin-dung</v>
      </c>
      <c r="V33" s="16" t="str">
        <f>IFERROR(__xludf.DUMMYFUNCTION("""COMPUTED_VALUE"""),"thẻ cashback")</f>
        <v>thẻ cashback</v>
      </c>
      <c r="W33" s="21" t="str">
        <f>IFERROR(__xludf.DUMMYFUNCTION("""COMPUTED_VALUE"""),"https://techcombank.com/thong-tin/blog/tai-khoan-doanh-nghiep-co-the-khong")</f>
        <v>https://techcombank.com/thong-tin/blog/tai-khoan-doanh-nghiep-co-the-khong</v>
      </c>
      <c r="X33" s="16" t="str">
        <f>IFERROR(__xludf.DUMMYFUNCTION("""COMPUTED_VALUE"""),"thẻ tín dụng hoàn tiền")</f>
        <v>thẻ tín dụng hoàn tiền</v>
      </c>
      <c r="Y33" s="21" t="str">
        <f>IFERROR(__xludf.DUMMYFUNCTION("""COMPUTED_VALUE"""),"https://techcombank.com/thong-tin/blog/mm-yy-la-gi")</f>
        <v>https://techcombank.com/thong-tin/blog/mm-yy-la-gi</v>
      </c>
      <c r="Z33" s="16" t="str">
        <f>IFERROR(__xludf.DUMMYFUNCTION("""COMPUTED_VALUE"""),"thẻ hoàn tiền")</f>
        <v>thẻ hoàn tiền</v>
      </c>
      <c r="AA33" s="21" t="str">
        <f>IFERROR(__xludf.DUMMYFUNCTION("""COMPUTED_VALUE"""),"https://techcombank.com/thong-tin/blog/uu-dai-the-tin-dung-techcombank-signature")</f>
        <v>https://techcombank.com/thong-tin/blog/uu-dai-the-tin-dung-techcombank-signature</v>
      </c>
      <c r="AB33" s="16" t="str">
        <f>IFERROR(__xludf.DUMMYFUNCTION("""COMPUTED_VALUE"""),"thẻ cashback")</f>
        <v>thẻ cashback</v>
      </c>
      <c r="AC33" s="21" t="str">
        <f>IFERROR(__xludf.DUMMYFUNCTION("""COMPUTED_VALUE"""),"https://techcombank.com/thong-tin/blog/cac-loai-the-tin-dung")</f>
        <v>https://techcombank.com/thong-tin/blog/cac-loai-the-tin-dung</v>
      </c>
      <c r="AD33" s="16" t="str">
        <f>IFERROR(__xludf.DUMMYFUNCTION("""COMPUTED_VALUE"""),"thẻ tín dụng hoàn tiền")</f>
        <v>thẻ tín dụng hoàn tiền</v>
      </c>
      <c r="AE33" s="21" t="str">
        <f>IFERROR(__xludf.DUMMYFUNCTION("""COMPUTED_VALUE"""),"https://techcombank.com/thong-tin/blog/uu-dai-mua-ve-may-bay-bang-the-tin-dung")</f>
        <v>https://techcombank.com/thong-tin/blog/uu-dai-mua-ve-may-bay-bang-the-tin-dung</v>
      </c>
      <c r="AF33" s="16" t="str">
        <f>IFERROR(__xludf.DUMMYFUNCTION("""COMPUTED_VALUE"""),"thẻ hoàn tiền")</f>
        <v>thẻ hoàn tiền</v>
      </c>
      <c r="AG33" s="21" t="str">
        <f>IFERROR(__xludf.DUMMYFUNCTION("""COMPUTED_VALUE"""),"https://techcombank.com/thong-tin/blog/mat-the-tin-dung-co-bi-mat-tien-khong")</f>
        <v>https://techcombank.com/thong-tin/blog/mat-the-tin-dung-co-bi-mat-tien-khong</v>
      </c>
      <c r="AH33" s="16" t="str">
        <f>IFERROR(__xludf.DUMMYFUNCTION("""COMPUTED_VALUE"""),"thẻ cashback")</f>
        <v>thẻ cashback</v>
      </c>
      <c r="AI33" s="21" t="str">
        <f>IFERROR(__xludf.DUMMYFUNCTION("""COMPUTED_VALUE"""),"https://techcombank.com/thong-tin/blog/so-cvv-la-gi")</f>
        <v>https://techcombank.com/thong-tin/blog/so-cvv-la-gi</v>
      </c>
      <c r="AJ33" s="16" t="str">
        <f>IFERROR(__xludf.DUMMYFUNCTION("""COMPUTED_VALUE"""),"thẻ tín dụng hoàn tiền")</f>
        <v>thẻ tín dụng hoàn tiền</v>
      </c>
      <c r="AK33" s="21" t="str">
        <f>IFERROR(__xludf.DUMMYFUNCTION("""COMPUTED_VALUE"""),"https://techcombank.com/thong-tin/blog/the-tin-dung-nao-nhieu-uu-dai-nhat")</f>
        <v>https://techcombank.com/thong-tin/blog/the-tin-dung-nao-nhieu-uu-dai-nhat</v>
      </c>
      <c r="AL33" s="16" t="str">
        <f>IFERROR(__xludf.DUMMYFUNCTION("""COMPUTED_VALUE"""),"thẻ hoàn tiền")</f>
        <v>thẻ hoàn tiền</v>
      </c>
      <c r="AM33" s="21" t="str">
        <f>IFERROR(__xludf.DUMMYFUNCTION("""COMPUTED_VALUE"""),"https://techcombank.com/thong-tin/blog/cach-lam-the-ngan-hang-chay-quang-cao-facebook")</f>
        <v>https://techcombank.com/thong-tin/blog/cach-lam-the-ngan-hang-chay-quang-cao-facebook</v>
      </c>
      <c r="AN33" s="16" t="str">
        <f>IFERROR(__xludf.DUMMYFUNCTION("""COMPUTED_VALUE"""),"thẻ cashback")</f>
        <v>thẻ cashback</v>
      </c>
      <c r="AO33" s="21" t="str">
        <f>IFERROR(__xludf.DUMMYFUNCTION("""COMPUTED_VALUE"""),"https://techcombank.com/thong-tin/blog/mua-iphone-17")</f>
        <v>https://techcombank.com/thong-tin/blog/mua-iphone-17</v>
      </c>
      <c r="AP33" s="16" t="str">
        <f>IFERROR(__xludf.DUMMYFUNCTION("""COMPUTED_VALUE"""),"thẻ tín dụng hoàn tiền")</f>
        <v>thẻ tín dụng hoàn tiền</v>
      </c>
      <c r="AQ33" s="21" t="str">
        <f>IFERROR(__xludf.DUMMYFUNCTION("""COMPUTED_VALUE"""),"https://techcombank.com/thong-tin/blog/the-visa-co-can-mat-khau-khong")</f>
        <v>https://techcombank.com/thong-tin/blog/the-visa-co-can-mat-khau-khong</v>
      </c>
      <c r="AR33" s="16" t="str">
        <f>IFERROR(__xludf.DUMMYFUNCTION("""COMPUTED_VALUE"""),"thẻ hoàn tiền")</f>
        <v>thẻ hoàn tiền</v>
      </c>
      <c r="AS33" s="21" t="str">
        <f>IFERROR(__xludf.DUMMYFUNCTION("""COMPUTED_VALUE"""),"https://techcombank.com/thong-tin/blog/mua-truoc-tra-sau")</f>
        <v>https://techcombank.com/thong-tin/blog/mua-truoc-tra-sau</v>
      </c>
      <c r="AT33" s="16" t="str">
        <f>IFERROR(__xludf.DUMMYFUNCTION("""COMPUTED_VALUE"""),"thẻ cashback")</f>
        <v>thẻ cashback</v>
      </c>
      <c r="AU33" s="21" t="str">
        <f>IFERROR(__xludf.DUMMYFUNCTION("""COMPUTED_VALUE"""),"https://techcombank.com/thong-tin/blog/tra-cuu-han-muc-the-tin-dung")</f>
        <v>https://techcombank.com/thong-tin/blog/tra-cuu-han-muc-the-tin-dung</v>
      </c>
      <c r="AV33" s="16" t="str">
        <f>IFERROR(__xludf.DUMMYFUNCTION("""COMPUTED_VALUE"""),"thẻ tín dụng hoàn tiền")</f>
        <v>thẻ tín dụng hoàn tiền</v>
      </c>
      <c r="AW33" s="21" t="str">
        <f>IFERROR(__xludf.DUMMYFUNCTION("""COMPUTED_VALUE"""),"https://techcombank.com/thong-tin/blog/the-ghi-no-va-the-tin-dung")</f>
        <v>https://techcombank.com/thong-tin/blog/the-ghi-no-va-the-tin-dung</v>
      </c>
      <c r="AX33" s="16" t="str">
        <f>IFERROR(__xludf.DUMMYFUNCTION("""COMPUTED_VALUE"""),"thẻ hoàn tiền")</f>
        <v>thẻ hoàn tiền</v>
      </c>
      <c r="AY33" s="21" t="str">
        <f>IFERROR(__xludf.DUMMYFUNCTION("""COMPUTED_VALUE"""),"https://techcombank.com/thong-tin/blog/the-tin-dung-het-han")</f>
        <v>https://techcombank.com/thong-tin/blog/the-tin-dung-het-han</v>
      </c>
      <c r="AZ33" s="16" t="str">
        <f>IFERROR(__xludf.DUMMYFUNCTION("""COMPUTED_VALUE"""),"thẻ cashback")</f>
        <v>thẻ cashback</v>
      </c>
      <c r="BA33" s="21" t="str">
        <f>IFERROR(__xludf.DUMMYFUNCTION("""COMPUTED_VALUE"""),"https://techcombank.com/thong-tin/blog/cach-huy-the-tin-dung")</f>
        <v>https://techcombank.com/thong-tin/blog/cach-huy-the-tin-dung</v>
      </c>
      <c r="BB33" s="16" t="str">
        <f>IFERROR(__xludf.DUMMYFUNCTION("""COMPUTED_VALUE"""),"thẻ tín dụng hoàn tiền")</f>
        <v>thẻ tín dụng hoàn tiền</v>
      </c>
      <c r="BC33" s="21" t="str">
        <f>IFERROR(__xludf.DUMMYFUNCTION("""COMPUTED_VALUE"""),"https://techcombank.com/thong-tin/blog/co-nen-dung-the-tin-dung-khong")</f>
        <v>https://techcombank.com/thong-tin/blog/co-nen-dung-the-tin-dung-khong</v>
      </c>
      <c r="BD33" s="16" t="str">
        <f>IFERROR(__xludf.DUMMYFUNCTION("""COMPUTED_VALUE"""),"thẻ hoàn tiền")</f>
        <v>thẻ hoàn tiền</v>
      </c>
      <c r="BE33" s="21" t="str">
        <f>IFERROR(__xludf.DUMMYFUNCTION("""COMPUTED_VALUE"""),"https://techcombank.com/thong-tin/blog/ma-buu-chinh-the-tin-dung")</f>
        <v>https://techcombank.com/thong-tin/blog/ma-buu-chinh-the-tin-dung</v>
      </c>
      <c r="BF33" s="16" t="str">
        <f>IFERROR(__xludf.DUMMYFUNCTION("""COMPUTED_VALUE"""),"thẻ cashback")</f>
        <v>thẻ cashback</v>
      </c>
      <c r="BG33" s="21" t="str">
        <f>IFERROR(__xludf.DUMMYFUNCTION("""COMPUTED_VALUE"""),"https://techcombank.com/thong-tin/blog/the-tin-dung-quoc-te")</f>
        <v>https://techcombank.com/thong-tin/blog/the-tin-dung-quoc-te</v>
      </c>
      <c r="BH33" s="16" t="str">
        <f>IFERROR(__xludf.DUMMYFUNCTION("""COMPUTED_VALUE"""),"thẻ tín dụng hoàn tiền")</f>
        <v>thẻ tín dụng hoàn tiền</v>
      </c>
      <c r="BI33" s="21" t="str">
        <f>IFERROR(__xludf.DUMMYFUNCTION("""COMPUTED_VALUE"""),"https://techcombank.com/thong-tin/blog/qua-han-thanh-toan-the-tin-dung-1-ngay")</f>
        <v>https://techcombank.com/thong-tin/blog/qua-han-thanh-toan-the-tin-dung-1-ngay</v>
      </c>
      <c r="BJ33" s="16" t="str">
        <f>IFERROR(__xludf.DUMMYFUNCTION("""COMPUTED_VALUE"""),"thẻ hoàn tiền")</f>
        <v>thẻ hoàn tiền</v>
      </c>
      <c r="BK33" s="21" t="str">
        <f>IFERROR(__xludf.DUMMYFUNCTION("""COMPUTED_VALUE"""),"https://techcombank.com/thong-tin/blog/phi-rut-tien-mat-the-tin-dung")</f>
        <v>https://techcombank.com/thong-tin/blog/phi-rut-tien-mat-the-tin-dung</v>
      </c>
      <c r="BL33" s="16" t="str">
        <f>IFERROR(__xludf.DUMMYFUNCTION("""COMPUTED_VALUE"""),"thẻ cashback")</f>
        <v>thẻ cashback</v>
      </c>
      <c r="BM33" s="21" t="str">
        <f>IFERROR(__xludf.DUMMYFUNCTION("""COMPUTED_VALUE"""),"https://techcombank.com/thong-tin/blog/tiet-kiem-khi-di-du-lich")</f>
        <v>https://techcombank.com/thong-tin/blog/tiet-kiem-khi-di-du-lich</v>
      </c>
      <c r="BN33" s="16" t="str">
        <f>IFERROR(__xludf.DUMMYFUNCTION("""COMPUTED_VALUE"""),"thẻ tín dụng hoàn tiền")</f>
        <v>thẻ tín dụng hoàn tiền</v>
      </c>
      <c r="BO33" s="21" t="str">
        <f>IFERROR(__xludf.DUMMYFUNCTION("""COMPUTED_VALUE"""),"https://techcombank.com/thong-tin/blog/vay-ngan-hang-1-ty-moi-thang-tra-bao-nhieu")</f>
        <v>https://techcombank.com/thong-tin/blog/vay-ngan-hang-1-ty-moi-thang-tra-bao-nhieu</v>
      </c>
      <c r="BP33" s="16" t="str">
        <f>IFERROR(__xludf.DUMMYFUNCTION("""COMPUTED_VALUE"""),"thẻ hoàn tiền")</f>
        <v>thẻ hoàn tiền</v>
      </c>
      <c r="BQ33" s="21" t="str">
        <f>IFERROR(__xludf.DUMMYFUNCTION("""COMPUTED_VALUE"""),"https://techcombank.com/thong-tin/blog/cach-thanh-toan-the-tin-dung")</f>
        <v>https://techcombank.com/thong-tin/blog/cach-thanh-toan-the-tin-dung</v>
      </c>
      <c r="BR33" s="16" t="str">
        <f>IFERROR(__xludf.DUMMYFUNCTION("""COMPUTED_VALUE"""),"thẻ cashback")</f>
        <v>thẻ cashback</v>
      </c>
      <c r="BS33" s="21" t="str">
        <f>IFERROR(__xludf.DUMMYFUNCTION("""COMPUTED_VALUE"""),"https://techcombank.com/thong-tin/blog/the-tin-dung-den")</f>
        <v>https://techcombank.com/thong-tin/blog/the-tin-dung-den</v>
      </c>
      <c r="BT33" s="16" t="str">
        <f>IFERROR(__xludf.DUMMYFUNCTION("""COMPUTED_VALUE"""),"thẻ tín dụng hoàn tiền")</f>
        <v>thẻ tín dụng hoàn tiền</v>
      </c>
      <c r="BU33" s="21" t="str">
        <f>IFERROR(__xludf.DUMMYFUNCTION("""COMPUTED_VALUE"""),"https://techcombank.com/thong-tin/blog/dao-han-the-tin-dung")</f>
        <v>https://techcombank.com/thong-tin/blog/dao-han-the-tin-dung</v>
      </c>
      <c r="BV33" s="16" t="str">
        <f>IFERROR(__xludf.DUMMYFUNCTION("""COMPUTED_VALUE"""),"thẻ hoàn tiền")</f>
        <v>thẻ hoàn tiền</v>
      </c>
      <c r="BW33" s="21" t="str">
        <f>IFERROR(__xludf.DUMMYFUNCTION("""COMPUTED_VALUE"""),"https://techcombank.com/thong-tin/blog/thanh-toan-online-bang-the-tin-dung")</f>
        <v>https://techcombank.com/thong-tin/blog/thanh-toan-online-bang-the-tin-dung</v>
      </c>
      <c r="BX33" s="16" t="str">
        <f>IFERROR(__xludf.DUMMYFUNCTION("""COMPUTED_VALUE"""),"thẻ cashback")</f>
        <v>thẻ cashback</v>
      </c>
      <c r="BY33" s="21" t="str">
        <f>IFERROR(__xludf.DUMMYFUNCTION("""COMPUTED_VALUE"""),"https://techcombank.com/thong-tin/blog/the-tin-dung-co-chuyen-khoan-duoc-khong")</f>
        <v>https://techcombank.com/thong-tin/blog/the-tin-dung-co-chuyen-khoan-duoc-khong</v>
      </c>
      <c r="BZ33" s="16" t="str">
        <f>IFERROR(__xludf.DUMMYFUNCTION("""COMPUTED_VALUE"""),"thẻ tín dụng hoàn tiền")</f>
        <v>thẻ tín dụng hoàn tiền</v>
      </c>
      <c r="CA33" s="21" t="str">
        <f>IFERROR(__xludf.DUMMYFUNCTION("""COMPUTED_VALUE"""),"https://techcombank.com/thong-tin/blog/the-tin-dung-techcombank-visa-eco")</f>
        <v>https://techcombank.com/thong-tin/blog/the-tin-dung-techcombank-visa-eco</v>
      </c>
      <c r="CB33" s="16" t="str">
        <f>IFERROR(__xludf.DUMMYFUNCTION("""COMPUTED_VALUE"""),"thẻ hoàn tiền")</f>
        <v>thẻ hoàn tiền</v>
      </c>
      <c r="CC33" s="21" t="str">
        <f>IFERROR(__xludf.DUMMYFUNCTION("""COMPUTED_VALUE"""),"https://techcombank.com/thong-tin/blog/mo-the-tin-dung-han-muc-cao")</f>
        <v>https://techcombank.com/thong-tin/blog/mo-the-tin-dung-han-muc-cao</v>
      </c>
      <c r="CD33" s="16" t="str">
        <f>IFERROR(__xludf.DUMMYFUNCTION("""COMPUTED_VALUE"""),"thẻ cashback")</f>
        <v>thẻ cashback</v>
      </c>
      <c r="CE33" s="21" t="str">
        <f>IFERROR(__xludf.DUMMYFUNCTION("""COMPUTED_VALUE"""),"https://techcombank.com/thong-tin/blog/uu-dai-the-tin-dung")</f>
        <v>https://techcombank.com/thong-tin/blog/uu-dai-the-tin-dung</v>
      </c>
      <c r="CF33" s="16" t="str">
        <f>IFERROR(__xludf.DUMMYFUNCTION("""COMPUTED_VALUE"""),"thẻ tín dụng hoàn tiền")</f>
        <v>thẻ tín dụng hoàn tiền</v>
      </c>
      <c r="CG33" s="21" t="str">
        <f>IFERROR(__xludf.DUMMYFUNCTION("""COMPUTED_VALUE"""),"https://techcombank.com/thong-tin/blog/3d-secure")</f>
        <v>https://techcombank.com/thong-tin/blog/3d-secure</v>
      </c>
      <c r="CH33" s="16" t="str">
        <f>IFERROR(__xludf.DUMMYFUNCTION("""COMPUTED_VALUE"""),"thẻ hoàn tiền")</f>
        <v>thẻ hoàn tiền</v>
      </c>
      <c r="CI33" s="21" t="str">
        <f>IFERROR(__xludf.DUMMYFUNCTION("""COMPUTED_VALUE"""),"https://techcombank.com/thong-tin/blog/lai-suat-the-tin-dung")</f>
        <v>https://techcombank.com/thong-tin/blog/lai-suat-the-tin-dung</v>
      </c>
      <c r="CJ33" s="16" t="str">
        <f>IFERROR(__xludf.DUMMYFUNCTION("""COMPUTED_VALUE"""),"thẻ cashback")</f>
        <v>thẻ cashback</v>
      </c>
      <c r="CK33" s="21" t="str">
        <f>IFERROR(__xludf.DUMMYFUNCTION("""COMPUTED_VALUE"""),"https://techcombank.com/thong-tin/blog/mo-the-tin-dung-co-loi-ich-gi")</f>
        <v>https://techcombank.com/thong-tin/blog/mo-the-tin-dung-co-loi-ich-gi</v>
      </c>
      <c r="CL33" s="16" t="str">
        <f>IFERROR(__xludf.DUMMYFUNCTION("""COMPUTED_VALUE"""),"thẻ tín dụng hoàn tiền")</f>
        <v>thẻ tín dụng hoàn tiền</v>
      </c>
      <c r="CM33" s="21" t="str">
        <f>IFERROR(__xludf.DUMMYFUNCTION("""COMPUTED_VALUE"""),"https://techcombank.com/thong-tin/blog/the-tin-dung-ao")</f>
        <v>https://techcombank.com/thong-tin/blog/the-tin-dung-ao</v>
      </c>
      <c r="CN33" s="16" t="str">
        <f>IFERROR(__xludf.DUMMYFUNCTION("""COMPUTED_VALUE"""),"thẻ hoàn tiền")</f>
        <v>thẻ hoàn tiền</v>
      </c>
      <c r="CO33" s="21" t="str">
        <f>IFERROR(__xludf.DUMMYFUNCTION("""COMPUTED_VALUE"""),"https://techcombank.com/thong-tin/blog/thanh-toan-toi-thieu-the-tin-dung")</f>
        <v>https://techcombank.com/thong-tin/blog/thanh-toan-toi-thieu-the-tin-dung</v>
      </c>
      <c r="CP33" s="16" t="str">
        <f>IFERROR(__xludf.DUMMYFUNCTION("""COMPUTED_VALUE"""),"thẻ cashback")</f>
        <v>thẻ cashback</v>
      </c>
      <c r="CQ33" s="21" t="str">
        <f>IFERROR(__xludf.DUMMYFUNCTION("""COMPUTED_VALUE"""),"https://techcombank.com/thong-tin/blog/tra-gop-shopee")</f>
        <v>https://techcombank.com/thong-tin/blog/tra-gop-shopee</v>
      </c>
      <c r="CR33" s="16" t="str">
        <f>IFERROR(__xludf.DUMMYFUNCTION("""COMPUTED_VALUE"""),"thẻ tín dụng hoàn tiền")</f>
        <v>thẻ tín dụng hoàn tiền</v>
      </c>
      <c r="CS33" s="21" t="str">
        <f>IFERROR(__xludf.DUMMYFUNCTION("""COMPUTED_VALUE"""),"https://techcombank.com/thong-tin/blog/thanh-toan-tra-gop-qua-the-tin-dung")</f>
        <v>https://techcombank.com/thong-tin/blog/thanh-toan-tra-gop-qua-the-tin-dung</v>
      </c>
      <c r="CT33" s="16" t="str">
        <f>IFERROR(__xludf.DUMMYFUNCTION("""COMPUTED_VALUE"""),"thẻ hoàn tiền")</f>
        <v>thẻ hoàn tiền</v>
      </c>
      <c r="CU33" s="21" t="str">
        <f>IFERROR(__xludf.DUMMYFUNCTION("""COMPUTED_VALUE"""),"https://techcombank.com/thong-tin/blog/tra-gop-lazada")</f>
        <v>https://techcombank.com/thong-tin/blog/tra-gop-lazada</v>
      </c>
      <c r="CV33" s="16" t="str">
        <f>IFERROR(__xludf.DUMMYFUNCTION("""COMPUTED_VALUE"""),"thẻ cashback")</f>
        <v>thẻ cashback</v>
      </c>
      <c r="CW33" s="21" t="str">
        <f>IFERROR(__xludf.DUMMYFUNCTION("""COMPUTED_VALUE"""),"https://techcombank.com/thong-tin/blog/lam-the-tin-dung")</f>
        <v>https://techcombank.com/thong-tin/blog/lam-the-tin-dung</v>
      </c>
      <c r="CX33" s="16" t="str">
        <f>IFERROR(__xludf.DUMMYFUNCTION("""COMPUTED_VALUE"""),"thẻ tín dụng hoàn tiền")</f>
        <v>thẻ tín dụng hoàn tiền</v>
      </c>
      <c r="CY33" s="21" t="str">
        <f>IFERROR(__xludf.DUMMYFUNCTION("""COMPUTED_VALUE"""),"https://techcombank.com/thong-tin/blog/the-tin-dung-co-ma-pin-khong")</f>
        <v>https://techcombank.com/thong-tin/blog/the-tin-dung-co-ma-pin-khong</v>
      </c>
      <c r="CZ33" s="16" t="str">
        <f>IFERROR(__xludf.DUMMYFUNCTION("""COMPUTED_VALUE"""),"thẻ hoàn tiền")</f>
        <v>thẻ hoàn tiền</v>
      </c>
      <c r="DA33" s="21" t="str">
        <f>IFERROR(__xludf.DUMMYFUNCTION("""COMPUTED_VALUE"""),"https://techcombank.com/thong-tin/blog/cic-la-gi")</f>
        <v>https://techcombank.com/thong-tin/blog/cic-la-gi</v>
      </c>
      <c r="DB33" s="16" t="str">
        <f>IFERROR(__xludf.DUMMYFUNCTION("""COMPUTED_VALUE"""),"thẻ cashback")</f>
        <v>thẻ cashback</v>
      </c>
      <c r="DC33" s="21" t="str">
        <f>IFERROR(__xludf.DUMMYFUNCTION("""COMPUTED_VALUE"""),"https://techcombank.com/thong-tin/blog/sao-ke-the-tin-dung-la-gi")</f>
        <v>https://techcombank.com/thong-tin/blog/sao-ke-the-tin-dung-la-gi</v>
      </c>
      <c r="DD33" s="16" t="str">
        <f>IFERROR(__xludf.DUMMYFUNCTION("""COMPUTED_VALUE"""),"thẻ tín dụng hoàn tiền")</f>
        <v>thẻ tín dụng hoàn tiền</v>
      </c>
      <c r="DE33" s="21" t="str">
        <f>IFERROR(__xludf.DUMMYFUNCTION("""COMPUTED_VALUE"""),"https://techcombank.com/thong-tin/blog/the-tin-dung-noi-dia")</f>
        <v>https://techcombank.com/thong-tin/blog/the-tin-dung-noi-dia</v>
      </c>
      <c r="DF33" s="16" t="str">
        <f>IFERROR(__xludf.DUMMYFUNCTION("""COMPUTED_VALUE"""),"thẻ hoàn tiền")</f>
        <v>thẻ hoàn tiền</v>
      </c>
      <c r="DG33" s="21" t="str">
        <f>IFERROR(__xludf.DUMMYFUNCTION("""COMPUTED_VALUE"""),"https://techcombank.com/thong-tin/blog/lam-ho-so-tra-gop-dien-thoai")</f>
        <v>https://techcombank.com/thong-tin/blog/lam-ho-so-tra-gop-dien-thoai</v>
      </c>
      <c r="DH33" s="16" t="str">
        <f>IFERROR(__xludf.DUMMYFUNCTION("""COMPUTED_VALUE"""),"thẻ cashback")</f>
        <v>thẻ cashback</v>
      </c>
      <c r="DI33" s="21" t="str">
        <f>IFERROR(__xludf.DUMMYFUNCTION("""COMPUTED_VALUE"""),"https://techcombank.com/thong-tin/blog/the-tin-dung-la-gi")</f>
        <v>https://techcombank.com/thong-tin/blog/the-tin-dung-la-gi</v>
      </c>
      <c r="DJ33" s="16" t="str">
        <f>IFERROR(__xludf.DUMMYFUNCTION("""COMPUTED_VALUE"""),"thẻ tín dụng hoàn tiền")</f>
        <v>thẻ tín dụng hoàn tiền</v>
      </c>
      <c r="DK33" s="21" t="str">
        <f>IFERROR(__xludf.DUMMYFUNCTION("""COMPUTED_VALUE"""),"https://techcombank.com/thong-tin/blog/han-muc-the-tin-dung")</f>
        <v>https://techcombank.com/thong-tin/blog/han-muc-the-tin-dung</v>
      </c>
      <c r="DL33" s="16" t="str">
        <f>IFERROR(__xludf.DUMMYFUNCTION("""COMPUTED_VALUE"""),"thẻ hoàn tiền")</f>
        <v>thẻ hoàn tiền</v>
      </c>
      <c r="DM33" s="21" t="str">
        <f>IFERROR(__xludf.DUMMYFUNCTION("""COMPUTED_VALUE"""),"https://techcombank.com/thong-tin/blog/nang-han-muc-tin-dung")</f>
        <v>https://techcombank.com/thong-tin/blog/nang-han-muc-tin-dung</v>
      </c>
      <c r="DN33" s="16" t="str">
        <f>IFERROR(__xludf.DUMMYFUNCTION("""COMPUTED_VALUE"""),"thẻ cashback")</f>
        <v>thẻ cashback</v>
      </c>
      <c r="DO33" s="21" t="str">
        <f>IFERROR(__xludf.DUMMYFUNCTION("""COMPUTED_VALUE"""),"https://techcombank.com/thong-tin/blog/the-tin-dung-mien-lai-55-ngay")</f>
        <v>https://techcombank.com/thong-tin/blog/the-tin-dung-mien-lai-55-ngay</v>
      </c>
      <c r="DP33" s="16" t="str">
        <f>IFERROR(__xludf.DUMMYFUNCTION("""COMPUTED_VALUE"""),"thẻ tín dụng hoàn tiền")</f>
        <v>thẻ tín dụng hoàn tiền</v>
      </c>
      <c r="DQ33" s="21" t="str">
        <f>IFERROR(__xludf.DUMMYFUNCTION("""COMPUTED_VALUE"""),"https://techcombank.com/thong-tin/blog/tra-gop-qua-the-tin-dung")</f>
        <v>https://techcombank.com/thong-tin/blog/tra-gop-qua-the-tin-dung</v>
      </c>
      <c r="DR33" s="16" t="str">
        <f>IFERROR(__xludf.DUMMYFUNCTION("""COMPUTED_VALUE"""),"thẻ hoàn tiền")</f>
        <v>thẻ hoàn tiền</v>
      </c>
      <c r="DS33" s="21" t="str">
        <f>IFERROR(__xludf.DUMMYFUNCTION("""COMPUTED_VALUE"""),"https://techcombank.com/thong-tin/blog/lam-the-tin-dung-co-mat-phi-khong")</f>
        <v>https://techcombank.com/thong-tin/blog/lam-the-tin-dung-co-mat-phi-khong</v>
      </c>
      <c r="DT33" s="16" t="str">
        <f>IFERROR(__xludf.DUMMYFUNCTION("""COMPUTED_VALUE"""),"thẻ cashback")</f>
        <v>thẻ cashback</v>
      </c>
      <c r="DU33" s="21" t="str">
        <f>IFERROR(__xludf.DUMMYFUNCTION("""COMPUTED_VALUE"""),"https://techcombank.com/thong-tin/blog/kich-hoat-the-tin-dung-techcombank")</f>
        <v>https://techcombank.com/thong-tin/blog/kich-hoat-the-tin-dung-techcombank</v>
      </c>
      <c r="DV33" s="16" t="str">
        <f>IFERROR(__xludf.DUMMYFUNCTION("""COMPUTED_VALUE"""),"thẻ tín dụng hoàn tiền")</f>
        <v>thẻ tín dụng hoàn tiền</v>
      </c>
      <c r="DW33" s="21" t="str">
        <f>IFERROR(__xludf.DUMMYFUNCTION("""COMPUTED_VALUE"""),"https://techcombank.com/thong-tin/blog/the-tin-dung-bi-khoa")</f>
        <v>https://techcombank.com/thong-tin/blog/the-tin-dung-bi-khoa</v>
      </c>
      <c r="DX33" s="16" t="str">
        <f>IFERROR(__xludf.DUMMYFUNCTION("""COMPUTED_VALUE"""),"thẻ hoàn tiền")</f>
        <v>thẻ hoàn tiền</v>
      </c>
      <c r="DY33" s="21" t="str">
        <f>IFERROR(__xludf.DUMMYFUNCTION("""COMPUTED_VALUE"""),"https://techcombank.com/thong-tin/blog/no-xau-mo-the-tin-dung-duoc-khong")</f>
        <v>https://techcombank.com/thong-tin/blog/no-xau-mo-the-tin-dung-duoc-khong</v>
      </c>
      <c r="DZ33" s="16" t="str">
        <f>IFERROR(__xludf.DUMMYFUNCTION("""COMPUTED_VALUE"""),"thẻ cashback")</f>
        <v>thẻ cashback</v>
      </c>
      <c r="EA33" s="21" t="str">
        <f>IFERROR(__xludf.DUMMYFUNCTION("""COMPUTED_VALUE"""),"https://techcombank.com/thong-tin/blog/no-the-tin-dung-qua-han")</f>
        <v>https://techcombank.com/thong-tin/blog/no-the-tin-dung-qua-han</v>
      </c>
      <c r="EB33" s="16" t="str">
        <f>IFERROR(__xludf.DUMMYFUNCTION("""COMPUTED_VALUE"""),"thẻ tín dụng hoàn tiền")</f>
        <v>thẻ tín dụng hoàn tiền</v>
      </c>
      <c r="EC33" s="21" t="str">
        <f>IFERROR(__xludf.DUMMYFUNCTION("""COMPUTED_VALUE"""),"https://techcombank.com/thong-tin/blog/mo-the-tin-dung-chi-can-cccd")</f>
        <v>https://techcombank.com/thong-tin/blog/mo-the-tin-dung-chi-can-cccd</v>
      </c>
      <c r="ED33" s="16" t="str">
        <f>IFERROR(__xludf.DUMMYFUNCTION("""COMPUTED_VALUE"""),"thẻ hoàn tiền")</f>
        <v>thẻ hoàn tiền</v>
      </c>
      <c r="EE33" s="21" t="str">
        <f>IFERROR(__xludf.DUMMYFUNCTION("""COMPUTED_VALUE"""),"https://techcombank.com/thong-tin/blog/luu-y-khi-su-dung-the-tin-dung")</f>
        <v>https://techcombank.com/thong-tin/blog/luu-y-khi-su-dung-the-tin-dung</v>
      </c>
      <c r="EF33" s="16" t="str">
        <f>IFERROR(__xludf.DUMMYFUNCTION("""COMPUTED_VALUE"""),"thẻ cashback")</f>
        <v>thẻ cashback</v>
      </c>
      <c r="EG33" s="21" t="str">
        <f>IFERROR(__xludf.DUMMYFUNCTION("""COMPUTED_VALUE"""),"https://techcombank.com/thong-tin/blog/thoi-gian-hoan-tien-the-tin-dung")</f>
        <v>https://techcombank.com/thong-tin/blog/thoi-gian-hoan-tien-the-tin-dung</v>
      </c>
      <c r="EH33" s="16" t="str">
        <f>IFERROR(__xludf.DUMMYFUNCTION("""COMPUTED_VALUE"""),"thẻ tín dụng hoàn tiền")</f>
        <v>thẻ tín dụng hoàn tiền</v>
      </c>
      <c r="EI33" s="21" t="str">
        <f>IFERROR(__xludf.DUMMYFUNCTION("""COMPUTED_VALUE"""),"https://techcombank.com/thong-tin/blog/mat-the-tin-dung-co-lam-lai-duoc-khong")</f>
        <v>https://techcombank.com/thong-tin/blog/mat-the-tin-dung-co-lam-lai-duoc-khong</v>
      </c>
      <c r="EJ33" s="16" t="str">
        <f>IFERROR(__xludf.DUMMYFUNCTION("""COMPUTED_VALUE"""),"thẻ hoàn tiền")</f>
        <v>thẻ hoàn tiền</v>
      </c>
      <c r="EK33" s="21" t="str">
        <f>IFERROR(__xludf.DUMMYFUNCTION("""COMPUTED_VALUE"""),"https://techcombank.com/thong-tin/blog/mo-the-tin-dung-khong-can-chung-minh-thu-nhap")</f>
        <v>https://techcombank.com/thong-tin/blog/mo-the-tin-dung-khong-can-chung-minh-thu-nhap</v>
      </c>
      <c r="EL33" s="16" t="str">
        <f>IFERROR(__xludf.DUMMYFUNCTION("""COMPUTED_VALUE"""),"thẻ cashback")</f>
        <v>thẻ cashback</v>
      </c>
      <c r="EM33" s="21" t="str">
        <f>IFERROR(__xludf.DUMMYFUNCTION("""COMPUTED_VALUE"""),"https://techcombank.com/thong-tin/blog/the-tin-dung-vip")</f>
        <v>https://techcombank.com/thong-tin/blog/the-tin-dung-vip</v>
      </c>
      <c r="EN33" s="16" t="str">
        <f>IFERROR(__xludf.DUMMYFUNCTION("""COMPUTED_VALUE"""),"thẻ tín dụng hoàn tiền")</f>
        <v>thẻ tín dụng hoàn tiền</v>
      </c>
      <c r="EO33" s="21" t="str">
        <f>IFERROR(__xludf.DUMMYFUNCTION("""COMPUTED_VALUE"""),"https://techcombank.com/thong-tin/blog/the-tin-dung-phu-la-gi")</f>
        <v>https://techcombank.com/thong-tin/blog/the-tin-dung-phu-la-gi</v>
      </c>
      <c r="EP33" s="16" t="str">
        <f>IFERROR(__xludf.DUMMYFUNCTION("""COMPUTED_VALUE"""),"thẻ hoàn tiền")</f>
        <v>thẻ hoàn tiền</v>
      </c>
      <c r="EQ33" s="21" t="str">
        <f>IFERROR(__xludf.DUMMYFUNCTION("""COMPUTED_VALUE"""),"https://techcombank.com/thong-tin/blog/rut-tien-mat-tu-the-tin-dung")</f>
        <v>https://techcombank.com/thong-tin/blog/rut-tien-mat-tu-the-tin-dung</v>
      </c>
      <c r="ER33" s="16" t="str">
        <f>IFERROR(__xludf.DUMMYFUNCTION("""COMPUTED_VALUE"""),"thẻ cashback")</f>
        <v>thẻ cashback</v>
      </c>
      <c r="ES33" s="21" t="str">
        <f>IFERROR(__xludf.DUMMYFUNCTION("""COMPUTED_VALUE"""),"https://techcombank.com/thong-tin/blog/so-luong-the-tin-dung-noi-dia-dang-luu-hanh-da-tang-42-so-voi-cung-ky-nam-2022")</f>
        <v>https://techcombank.com/thong-tin/blog/so-luong-the-tin-dung-noi-dia-dang-luu-hanh-da-tang-42-so-voi-cung-ky-nam-2022</v>
      </c>
      <c r="ET33" s="16" t="str">
        <f>IFERROR(__xludf.DUMMYFUNCTION("""COMPUTED_VALUE"""),"thẻ tín dụng hoàn tiền")</f>
        <v>thẻ tín dụng hoàn tiền</v>
      </c>
      <c r="EU33" s="21" t="str">
        <f>IFERROR(__xludf.DUMMYFUNCTION("""COMPUTED_VALUE"""),"https://techcombank.com/thong-tin/blog/no-xau-nhom-2")</f>
        <v>https://techcombank.com/thong-tin/blog/no-xau-nhom-2</v>
      </c>
      <c r="EV33" s="16" t="str">
        <f>IFERROR(__xludf.DUMMYFUNCTION("""COMPUTED_VALUE"""),"thẻ hoàn tiền")</f>
        <v>thẻ hoàn tiền</v>
      </c>
      <c r="EW33" s="21" t="str">
        <f>IFERROR(__xludf.DUMMYFUNCTION("""COMPUTED_VALUE"""),"https://techcombank.com/thong-tin/blog/the-ghi-no-visa-la-gi")</f>
        <v>https://techcombank.com/thong-tin/blog/the-ghi-no-visa-la-gi</v>
      </c>
      <c r="EX33" s="16" t="str">
        <f>IFERROR(__xludf.DUMMYFUNCTION("""COMPUTED_VALUE"""),"thẻ cashback")</f>
        <v>thẻ cashback</v>
      </c>
      <c r="EY33" s="21" t="str">
        <f>IFERROR(__xludf.DUMMYFUNCTION("""COMPUTED_VALUE"""),"https://techcombank.com/thong-tin/blog/uu-dai-mua-iphone-18")</f>
        <v>https://techcombank.com/thong-tin/blog/uu-dai-mua-iphone-18</v>
      </c>
      <c r="EZ33" s="16" t="str">
        <f>IFERROR(__xludf.DUMMYFUNCTION("""COMPUTED_VALUE"""),"thẻ tín dụng hoàn tiền")</f>
        <v>thẻ tín dụng hoàn tiền</v>
      </c>
      <c r="FA33" s="21" t="str">
        <f>IFERROR(__xludf.DUMMYFUNCTION("""COMPUTED_VALUE"""),"https://techcombank.com/thong-tin/blog/khong-su-dung-the-tin-dung-co-mat-phi-khong")</f>
        <v>https://techcombank.com/thong-tin/blog/khong-su-dung-the-tin-dung-co-mat-phi-khong</v>
      </c>
      <c r="FB33" s="16" t="str">
        <f>IFERROR(__xludf.DUMMYFUNCTION("""COMPUTED_VALUE"""),"thẻ hoàn tiền")</f>
        <v>thẻ hoàn tiền</v>
      </c>
      <c r="FC33" s="21" t="str">
        <f>IFERROR(__xludf.DUMMYFUNCTION("""COMPUTED_VALUE"""),"https://techcombank.com/thong-tin/blog/so-the-tin-dung")</f>
        <v>https://techcombank.com/thong-tin/blog/so-the-tin-dung</v>
      </c>
      <c r="FD33" s="16" t="str">
        <f>IFERROR(__xludf.DUMMYFUNCTION("""COMPUTED_VALUE"""),"thẻ cashback")</f>
        <v>thẻ cashback</v>
      </c>
      <c r="FE33" s="21" t="str">
        <f>IFERROR(__xludf.DUMMYFUNCTION("""COMPUTED_VALUE"""),"https://techcombank.com/thong-tin/blog/han-muc-tra-gop-the-tin-dung")</f>
        <v>https://techcombank.com/thong-tin/blog/han-muc-tra-gop-the-tin-dung</v>
      </c>
      <c r="FF33" s="16" t="str">
        <f>IFERROR(__xludf.DUMMYFUNCTION("""COMPUTED_VALUE"""),"thẻ tín dụng hoàn tiền")</f>
        <v>thẻ tín dụng hoàn tiền</v>
      </c>
      <c r="FG33" s="21" t="str">
        <f>IFERROR(__xludf.DUMMYFUNCTION("""COMPUTED_VALUE"""),"https://techcombank.com/thong-tin/blog/sang-ngang-the-tin-dung")</f>
        <v>https://techcombank.com/thong-tin/blog/sang-ngang-the-tin-dung</v>
      </c>
      <c r="FH33" s="16" t="str">
        <f>IFERROR(__xludf.DUMMYFUNCTION("""COMPUTED_VALUE"""),"thẻ hoàn tiền")</f>
        <v>thẻ hoàn tiền</v>
      </c>
      <c r="FI33" s="21" t="str">
        <f>IFERROR(__xludf.DUMMYFUNCTION("""COMPUTED_VALUE"""),"https://techcombank.com/thong-tin/blog/tai-khoan-ngan-hang-la-gi")</f>
        <v>https://techcombank.com/thong-tin/blog/tai-khoan-ngan-hang-la-gi</v>
      </c>
      <c r="FJ33" s="16"/>
      <c r="FK33" s="16"/>
      <c r="FL33" s="16"/>
      <c r="FM33" s="16"/>
      <c r="FN33" s="16"/>
      <c r="FO33" s="16"/>
      <c r="FP33" s="16"/>
      <c r="FQ33" s="16"/>
      <c r="FR33" s="16"/>
      <c r="FS33" s="16"/>
      <c r="FT33" s="16"/>
      <c r="FU33" s="16"/>
      <c r="FV33" s="16"/>
      <c r="FW33" s="16"/>
      <c r="FX33" s="16"/>
      <c r="FY33" s="16"/>
      <c r="FZ33" s="16"/>
      <c r="GA33" s="16"/>
      <c r="GB33" s="16"/>
      <c r="GC33" s="16"/>
      <c r="GD33" s="16"/>
      <c r="GE33" s="16"/>
      <c r="GF33" s="16"/>
      <c r="GG33" s="16"/>
      <c r="GH33" s="16"/>
      <c r="GI33" s="16"/>
      <c r="GJ33" s="16"/>
      <c r="GK33" s="16"/>
      <c r="GL33" s="16"/>
      <c r="GM33" s="16"/>
      <c r="GN33" s="16"/>
      <c r="GO33" s="16"/>
    </row>
    <row r="34" ht="18.0" customHeight="1">
      <c r="A34" s="15">
        <v>33.0</v>
      </c>
      <c r="B34" s="16" t="s">
        <v>827</v>
      </c>
      <c r="C34" s="17" t="s">
        <v>916</v>
      </c>
      <c r="D34" s="16" t="s">
        <v>310</v>
      </c>
      <c r="E34" s="15">
        <f>COUNTIF('Tổng hợp 75 trang đích'!$B$2:$B$2505,$D34)</f>
        <v>77</v>
      </c>
      <c r="F34" s="15">
        <f>COUNTIFS('Tổng hợp 75 trang đích'!$B$2:$B$2505,$D34,'Tổng hợp 75 trang đích'!$K$2:$K$2505,"PHÙ HỢP CAO")</f>
        <v>3</v>
      </c>
      <c r="G34" s="15">
        <f>COUNTIFS('Tổng hợp 75 trang đích'!$B$2:$B$2505,$D34,'Tổng hợp 75 trang đích'!$K$2:$K$2505,"CÓ THỂ ĐI")</f>
        <v>2</v>
      </c>
      <c r="H34" s="15">
        <f>COUNTIFS('Tổng hợp 75 trang đích'!$B$2:$B$2505,$D34,'Tổng hợp 75 trang đích'!$K$2:$K$2505,"CẦN SOÁT")</f>
        <v>72</v>
      </c>
      <c r="I34" s="19" t="s">
        <v>256</v>
      </c>
      <c r="J34" s="19" t="b">
        <v>0</v>
      </c>
      <c r="K34" s="20" t="s">
        <v>258</v>
      </c>
      <c r="L34" s="16" t="str">
        <f>IFERROR(__xludf.DUMMYFUNCTION("IFERROR(TOROW(CHOOSECOLS(SORT(FILTER({'Tổng hợp 75 trang đích'!$J$2:$J$2505,'Tổng hợp 75 trang đích'!$I$2:$I$2505,MATCH('Tổng hợp 75 trang đích'!$K$2:$K$2505,{""PHÙ HỢP CAO"",""CÓ THỂ ĐI"",""CẦN SOÁT""},0)},'Tổng hợp 75 trang đích'!$B$2:$B$2505=$D34),3,TR"&amp;"UE),1,2)),"""")"),"cách hủy thẻ tín dụng")</f>
        <v>cách hủy thẻ tín dụng</v>
      </c>
      <c r="M34" s="21" t="str">
        <f>IFERROR(__xludf.DUMMYFUNCTION("""COMPUTED_VALUE"""),"https://techcombank.com/thong-tin/blog/phi-thuong-nien-la-gi")</f>
        <v>https://techcombank.com/thong-tin/blog/phi-thuong-nien-la-gi</v>
      </c>
      <c r="N34" s="16" t="str">
        <f>IFERROR(__xludf.DUMMYFUNCTION("""COMPUTED_VALUE"""),"hủy thẻ tín dụng")</f>
        <v>hủy thẻ tín dụng</v>
      </c>
      <c r="O34" s="21" t="str">
        <f>IFERROR(__xludf.DUMMYFUNCTION("""COMPUTED_VALUE"""),"https://techcombank.com/thong-tin/blog/khong-su-dung-the-tin-dung-co-mat-phi-khong")</f>
        <v>https://techcombank.com/thong-tin/blog/khong-su-dung-the-tin-dung-co-mat-phi-khong</v>
      </c>
      <c r="P34" s="16" t="str">
        <f>IFERROR(__xludf.DUMMYFUNCTION("""COMPUTED_VALUE"""),"cách hủy thẻ tín dụng")</f>
        <v>cách hủy thẻ tín dụng</v>
      </c>
      <c r="Q34" s="21" t="str">
        <f>IFERROR(__xludf.DUMMYFUNCTION("""COMPUTED_VALUE"""),"https://techcombank.com/thong-tin/blog/cach-khoa-the-ngan-hang")</f>
        <v>https://techcombank.com/thong-tin/blog/cach-khoa-the-ngan-hang</v>
      </c>
      <c r="R34" s="16" t="str">
        <f>IFERROR(__xludf.DUMMYFUNCTION("""COMPUTED_VALUE"""),"hủy thẻ tín dụng")</f>
        <v>hủy thẻ tín dụng</v>
      </c>
      <c r="S34" s="21" t="str">
        <f>IFERROR(__xludf.DUMMYFUNCTION("""COMPUTED_VALUE"""),"https://techcombank.com/thong-tin/blog/the-tin-dung-bi-khoa")</f>
        <v>https://techcombank.com/thong-tin/blog/the-tin-dung-bi-khoa</v>
      </c>
      <c r="T34" s="16" t="str">
        <f>IFERROR(__xludf.DUMMYFUNCTION("""COMPUTED_VALUE"""),"cách hủy thẻ tín dụng")</f>
        <v>cách hủy thẻ tín dụng</v>
      </c>
      <c r="U34" s="21" t="str">
        <f>IFERROR(__xludf.DUMMYFUNCTION("""COMPUTED_VALUE"""),"https://techcombank.com/thong-tin/blog/the-tin-dung-het-han")</f>
        <v>https://techcombank.com/thong-tin/blog/the-tin-dung-het-han</v>
      </c>
      <c r="V34" s="16" t="str">
        <f>IFERROR(__xludf.DUMMYFUNCTION("""COMPUTED_VALUE"""),"hủy thẻ tín dụng")</f>
        <v>hủy thẻ tín dụng</v>
      </c>
      <c r="W34" s="21" t="str">
        <f>IFERROR(__xludf.DUMMYFUNCTION("""COMPUTED_VALUE"""),"https://techcombank.com/thong-tin/blog/tai-khoan-doanh-nghiep-co-the-khong")</f>
        <v>https://techcombank.com/thong-tin/blog/tai-khoan-doanh-nghiep-co-the-khong</v>
      </c>
      <c r="X34" s="16" t="str">
        <f>IFERROR(__xludf.DUMMYFUNCTION("""COMPUTED_VALUE"""),"cách hủy thẻ tín dụng")</f>
        <v>cách hủy thẻ tín dụng</v>
      </c>
      <c r="Y34" s="21" t="str">
        <f>IFERROR(__xludf.DUMMYFUNCTION("""COMPUTED_VALUE"""),"https://techcombank.com/thong-tin/blog/mm-yy-la-gi")</f>
        <v>https://techcombank.com/thong-tin/blog/mm-yy-la-gi</v>
      </c>
      <c r="Z34" s="16" t="str">
        <f>IFERROR(__xludf.DUMMYFUNCTION("""COMPUTED_VALUE"""),"hủy thẻ tín dụng")</f>
        <v>hủy thẻ tín dụng</v>
      </c>
      <c r="AA34" s="21" t="str">
        <f>IFERROR(__xludf.DUMMYFUNCTION("""COMPUTED_VALUE"""),"https://techcombank.com/thong-tin/blog/uu-dai-the-tin-dung-techcombank-signature")</f>
        <v>https://techcombank.com/thong-tin/blog/uu-dai-the-tin-dung-techcombank-signature</v>
      </c>
      <c r="AB34" s="16" t="str">
        <f>IFERROR(__xludf.DUMMYFUNCTION("""COMPUTED_VALUE"""),"cách hủy thẻ tín dụng")</f>
        <v>cách hủy thẻ tín dụng</v>
      </c>
      <c r="AC34" s="21" t="str">
        <f>IFERROR(__xludf.DUMMYFUNCTION("""COMPUTED_VALUE"""),"https://techcombank.com/thong-tin/blog/cac-loai-the-tin-dung")</f>
        <v>https://techcombank.com/thong-tin/blog/cac-loai-the-tin-dung</v>
      </c>
      <c r="AD34" s="16" t="str">
        <f>IFERROR(__xludf.DUMMYFUNCTION("""COMPUTED_VALUE"""),"hủy thẻ tín dụng")</f>
        <v>hủy thẻ tín dụng</v>
      </c>
      <c r="AE34" s="21" t="str">
        <f>IFERROR(__xludf.DUMMYFUNCTION("""COMPUTED_VALUE"""),"https://techcombank.com/thong-tin/blog/the-tin-dung-mien-phi-thuong-nien")</f>
        <v>https://techcombank.com/thong-tin/blog/the-tin-dung-mien-phi-thuong-nien</v>
      </c>
      <c r="AF34" s="16" t="str">
        <f>IFERROR(__xludf.DUMMYFUNCTION("""COMPUTED_VALUE"""),"cách hủy thẻ tín dụng")</f>
        <v>cách hủy thẻ tín dụng</v>
      </c>
      <c r="AG34" s="21" t="str">
        <f>IFERROR(__xludf.DUMMYFUNCTION("""COMPUTED_VALUE"""),"https://techcombank.com/thong-tin/blog/uu-dai-mua-ve-may-bay-bang-the-tin-dung")</f>
        <v>https://techcombank.com/thong-tin/blog/uu-dai-mua-ve-may-bay-bang-the-tin-dung</v>
      </c>
      <c r="AH34" s="16" t="str">
        <f>IFERROR(__xludf.DUMMYFUNCTION("""COMPUTED_VALUE"""),"hủy thẻ tín dụng")</f>
        <v>hủy thẻ tín dụng</v>
      </c>
      <c r="AI34" s="21" t="str">
        <f>IFERROR(__xludf.DUMMYFUNCTION("""COMPUTED_VALUE"""),"https://techcombank.com/thong-tin/blog/mat-the-tin-dung-co-bi-mat-tien-khong")</f>
        <v>https://techcombank.com/thong-tin/blog/mat-the-tin-dung-co-bi-mat-tien-khong</v>
      </c>
      <c r="AJ34" s="16" t="str">
        <f>IFERROR(__xludf.DUMMYFUNCTION("""COMPUTED_VALUE"""),"cách hủy thẻ tín dụng")</f>
        <v>cách hủy thẻ tín dụng</v>
      </c>
      <c r="AK34" s="21" t="str">
        <f>IFERROR(__xludf.DUMMYFUNCTION("""COMPUTED_VALUE"""),"https://techcombank.com/thong-tin/blog/so-cvv-la-gi")</f>
        <v>https://techcombank.com/thong-tin/blog/so-cvv-la-gi</v>
      </c>
      <c r="AL34" s="16" t="str">
        <f>IFERROR(__xludf.DUMMYFUNCTION("""COMPUTED_VALUE"""),"hủy thẻ tín dụng")</f>
        <v>hủy thẻ tín dụng</v>
      </c>
      <c r="AM34" s="21" t="str">
        <f>IFERROR(__xludf.DUMMYFUNCTION("""COMPUTED_VALUE"""),"https://techcombank.com/thong-tin/blog/the-tin-dung-nao-nhieu-uu-dai-nhat")</f>
        <v>https://techcombank.com/thong-tin/blog/the-tin-dung-nao-nhieu-uu-dai-nhat</v>
      </c>
      <c r="AN34" s="16" t="str">
        <f>IFERROR(__xludf.DUMMYFUNCTION("""COMPUTED_VALUE"""),"cách hủy thẻ tín dụng")</f>
        <v>cách hủy thẻ tín dụng</v>
      </c>
      <c r="AO34" s="21" t="str">
        <f>IFERROR(__xludf.DUMMYFUNCTION("""COMPUTED_VALUE"""),"https://techcombank.com/thong-tin/blog/cach-lam-the-ngan-hang-chay-quang-cao-facebook")</f>
        <v>https://techcombank.com/thong-tin/blog/cach-lam-the-ngan-hang-chay-quang-cao-facebook</v>
      </c>
      <c r="AP34" s="16" t="str">
        <f>IFERROR(__xludf.DUMMYFUNCTION("""COMPUTED_VALUE"""),"hủy thẻ tín dụng")</f>
        <v>hủy thẻ tín dụng</v>
      </c>
      <c r="AQ34" s="21" t="str">
        <f>IFERROR(__xludf.DUMMYFUNCTION("""COMPUTED_VALUE"""),"https://techcombank.com/thong-tin/blog/mua-iphone-17")</f>
        <v>https://techcombank.com/thong-tin/blog/mua-iphone-17</v>
      </c>
      <c r="AR34" s="16" t="str">
        <f>IFERROR(__xludf.DUMMYFUNCTION("""COMPUTED_VALUE"""),"cách hủy thẻ tín dụng")</f>
        <v>cách hủy thẻ tín dụng</v>
      </c>
      <c r="AS34" s="21" t="str">
        <f>IFERROR(__xludf.DUMMYFUNCTION("""COMPUTED_VALUE"""),"https://techcombank.com/thong-tin/blog/the-visa-co-can-mat-khau-khong")</f>
        <v>https://techcombank.com/thong-tin/blog/the-visa-co-can-mat-khau-khong</v>
      </c>
      <c r="AT34" s="16" t="str">
        <f>IFERROR(__xludf.DUMMYFUNCTION("""COMPUTED_VALUE"""),"hủy thẻ tín dụng")</f>
        <v>hủy thẻ tín dụng</v>
      </c>
      <c r="AU34" s="21" t="str">
        <f>IFERROR(__xludf.DUMMYFUNCTION("""COMPUTED_VALUE"""),"https://techcombank.com/thong-tin/blog/mua-truoc-tra-sau")</f>
        <v>https://techcombank.com/thong-tin/blog/mua-truoc-tra-sau</v>
      </c>
      <c r="AV34" s="16" t="str">
        <f>IFERROR(__xludf.DUMMYFUNCTION("""COMPUTED_VALUE"""),"cách hủy thẻ tín dụng")</f>
        <v>cách hủy thẻ tín dụng</v>
      </c>
      <c r="AW34" s="21" t="str">
        <f>IFERROR(__xludf.DUMMYFUNCTION("""COMPUTED_VALUE"""),"https://techcombank.com/thong-tin/blog/tra-cuu-han-muc-the-tin-dung")</f>
        <v>https://techcombank.com/thong-tin/blog/tra-cuu-han-muc-the-tin-dung</v>
      </c>
      <c r="AX34" s="16" t="str">
        <f>IFERROR(__xludf.DUMMYFUNCTION("""COMPUTED_VALUE"""),"hủy thẻ tín dụng")</f>
        <v>hủy thẻ tín dụng</v>
      </c>
      <c r="AY34" s="21" t="str">
        <f>IFERROR(__xludf.DUMMYFUNCTION("""COMPUTED_VALUE"""),"https://techcombank.com/thong-tin/blog/the-ghi-no-va-the-tin-dung")</f>
        <v>https://techcombank.com/thong-tin/blog/the-ghi-no-va-the-tin-dung</v>
      </c>
      <c r="AZ34" s="16" t="str">
        <f>IFERROR(__xludf.DUMMYFUNCTION("""COMPUTED_VALUE"""),"cách hủy thẻ tín dụng")</f>
        <v>cách hủy thẻ tín dụng</v>
      </c>
      <c r="BA34" s="21" t="str">
        <f>IFERROR(__xludf.DUMMYFUNCTION("""COMPUTED_VALUE"""),"https://techcombank.com/thong-tin/blog/co-nen-dung-the-tin-dung-khong")</f>
        <v>https://techcombank.com/thong-tin/blog/co-nen-dung-the-tin-dung-khong</v>
      </c>
      <c r="BB34" s="16" t="str">
        <f>IFERROR(__xludf.DUMMYFUNCTION("""COMPUTED_VALUE"""),"hủy thẻ tín dụng")</f>
        <v>hủy thẻ tín dụng</v>
      </c>
      <c r="BC34" s="21" t="str">
        <f>IFERROR(__xludf.DUMMYFUNCTION("""COMPUTED_VALUE"""),"https://techcombank.com/thong-tin/blog/ma-buu-chinh-the-tin-dung")</f>
        <v>https://techcombank.com/thong-tin/blog/ma-buu-chinh-the-tin-dung</v>
      </c>
      <c r="BD34" s="16" t="str">
        <f>IFERROR(__xludf.DUMMYFUNCTION("""COMPUTED_VALUE"""),"cách hủy thẻ tín dụng")</f>
        <v>cách hủy thẻ tín dụng</v>
      </c>
      <c r="BE34" s="21" t="str">
        <f>IFERROR(__xludf.DUMMYFUNCTION("""COMPUTED_VALUE"""),"https://techcombank.com/thong-tin/blog/the-tin-dung-quoc-te")</f>
        <v>https://techcombank.com/thong-tin/blog/the-tin-dung-quoc-te</v>
      </c>
      <c r="BF34" s="16" t="str">
        <f>IFERROR(__xludf.DUMMYFUNCTION("""COMPUTED_VALUE"""),"hủy thẻ tín dụng")</f>
        <v>hủy thẻ tín dụng</v>
      </c>
      <c r="BG34" s="21" t="str">
        <f>IFERROR(__xludf.DUMMYFUNCTION("""COMPUTED_VALUE"""),"https://techcombank.com/thong-tin/blog/qua-han-thanh-toan-the-tin-dung-1-ngay")</f>
        <v>https://techcombank.com/thong-tin/blog/qua-han-thanh-toan-the-tin-dung-1-ngay</v>
      </c>
      <c r="BH34" s="16" t="str">
        <f>IFERROR(__xludf.DUMMYFUNCTION("""COMPUTED_VALUE"""),"cách hủy thẻ tín dụng")</f>
        <v>cách hủy thẻ tín dụng</v>
      </c>
      <c r="BI34" s="21" t="str">
        <f>IFERROR(__xludf.DUMMYFUNCTION("""COMPUTED_VALUE"""),"https://techcombank.com/thong-tin/blog/phi-rut-tien-mat-the-tin-dung")</f>
        <v>https://techcombank.com/thong-tin/blog/phi-rut-tien-mat-the-tin-dung</v>
      </c>
      <c r="BJ34" s="16" t="str">
        <f>IFERROR(__xludf.DUMMYFUNCTION("""COMPUTED_VALUE"""),"hủy thẻ tín dụng")</f>
        <v>hủy thẻ tín dụng</v>
      </c>
      <c r="BK34" s="21" t="str">
        <f>IFERROR(__xludf.DUMMYFUNCTION("""COMPUTED_VALUE"""),"https://techcombank.com/thong-tin/blog/vay-ngan-hang-1-ty-moi-thang-tra-bao-nhieu")</f>
        <v>https://techcombank.com/thong-tin/blog/vay-ngan-hang-1-ty-moi-thang-tra-bao-nhieu</v>
      </c>
      <c r="BL34" s="16" t="str">
        <f>IFERROR(__xludf.DUMMYFUNCTION("""COMPUTED_VALUE"""),"cách hủy thẻ tín dụng")</f>
        <v>cách hủy thẻ tín dụng</v>
      </c>
      <c r="BM34" s="21" t="str">
        <f>IFERROR(__xludf.DUMMYFUNCTION("""COMPUTED_VALUE"""),"https://techcombank.com/thong-tin/blog/cach-thanh-toan-the-tin-dung")</f>
        <v>https://techcombank.com/thong-tin/blog/cach-thanh-toan-the-tin-dung</v>
      </c>
      <c r="BN34" s="16" t="str">
        <f>IFERROR(__xludf.DUMMYFUNCTION("""COMPUTED_VALUE"""),"hủy thẻ tín dụng")</f>
        <v>hủy thẻ tín dụng</v>
      </c>
      <c r="BO34" s="21" t="str">
        <f>IFERROR(__xludf.DUMMYFUNCTION("""COMPUTED_VALUE"""),"https://techcombank.com/thong-tin/blog/the-tin-dung-den")</f>
        <v>https://techcombank.com/thong-tin/blog/the-tin-dung-den</v>
      </c>
      <c r="BP34" s="16" t="str">
        <f>IFERROR(__xludf.DUMMYFUNCTION("""COMPUTED_VALUE"""),"cách hủy thẻ tín dụng")</f>
        <v>cách hủy thẻ tín dụng</v>
      </c>
      <c r="BQ34" s="21" t="str">
        <f>IFERROR(__xludf.DUMMYFUNCTION("""COMPUTED_VALUE"""),"https://techcombank.com/thong-tin/blog/dao-han-the-tin-dung")</f>
        <v>https://techcombank.com/thong-tin/blog/dao-han-the-tin-dung</v>
      </c>
      <c r="BR34" s="16" t="str">
        <f>IFERROR(__xludf.DUMMYFUNCTION("""COMPUTED_VALUE"""),"hủy thẻ tín dụng")</f>
        <v>hủy thẻ tín dụng</v>
      </c>
      <c r="BS34" s="21" t="str">
        <f>IFERROR(__xludf.DUMMYFUNCTION("""COMPUTED_VALUE"""),"https://techcombank.com/thong-tin/blog/thanh-toan-online-bang-the-tin-dung")</f>
        <v>https://techcombank.com/thong-tin/blog/thanh-toan-online-bang-the-tin-dung</v>
      </c>
      <c r="BT34" s="16" t="str">
        <f>IFERROR(__xludf.DUMMYFUNCTION("""COMPUTED_VALUE"""),"cách hủy thẻ tín dụng")</f>
        <v>cách hủy thẻ tín dụng</v>
      </c>
      <c r="BU34" s="21" t="str">
        <f>IFERROR(__xludf.DUMMYFUNCTION("""COMPUTED_VALUE"""),"https://techcombank.com/thong-tin/blog/uu-dai-mo-the-tin-dung")</f>
        <v>https://techcombank.com/thong-tin/blog/uu-dai-mo-the-tin-dung</v>
      </c>
      <c r="BV34" s="16" t="str">
        <f>IFERROR(__xludf.DUMMYFUNCTION("""COMPUTED_VALUE"""),"hủy thẻ tín dụng")</f>
        <v>hủy thẻ tín dụng</v>
      </c>
      <c r="BW34" s="21" t="str">
        <f>IFERROR(__xludf.DUMMYFUNCTION("""COMPUTED_VALUE"""),"https://techcombank.com/thong-tin/blog/the-tin-dung-co-chuyen-khoan-duoc-khong")</f>
        <v>https://techcombank.com/thong-tin/blog/the-tin-dung-co-chuyen-khoan-duoc-khong</v>
      </c>
      <c r="BX34" s="16" t="str">
        <f>IFERROR(__xludf.DUMMYFUNCTION("""COMPUTED_VALUE"""),"cách hủy thẻ tín dụng")</f>
        <v>cách hủy thẻ tín dụng</v>
      </c>
      <c r="BY34" s="21" t="str">
        <f>IFERROR(__xludf.DUMMYFUNCTION("""COMPUTED_VALUE"""),"https://techcombank.com/thong-tin/blog/the-tin-dung-techcombank-visa-eco")</f>
        <v>https://techcombank.com/thong-tin/blog/the-tin-dung-techcombank-visa-eco</v>
      </c>
      <c r="BZ34" s="16" t="str">
        <f>IFERROR(__xludf.DUMMYFUNCTION("""COMPUTED_VALUE"""),"hủy thẻ tín dụng")</f>
        <v>hủy thẻ tín dụng</v>
      </c>
      <c r="CA34" s="21" t="str">
        <f>IFERROR(__xludf.DUMMYFUNCTION("""COMPUTED_VALUE"""),"https://techcombank.com/thong-tin/blog/mo-the-tin-dung-han-muc-cao")</f>
        <v>https://techcombank.com/thong-tin/blog/mo-the-tin-dung-han-muc-cao</v>
      </c>
      <c r="CB34" s="16" t="str">
        <f>IFERROR(__xludf.DUMMYFUNCTION("""COMPUTED_VALUE"""),"cách hủy thẻ tín dụng")</f>
        <v>cách hủy thẻ tín dụng</v>
      </c>
      <c r="CC34" s="21" t="str">
        <f>IFERROR(__xludf.DUMMYFUNCTION("""COMPUTED_VALUE"""),"https://techcombank.com/thong-tin/blog/uu-dai-the-tin-dung")</f>
        <v>https://techcombank.com/thong-tin/blog/uu-dai-the-tin-dung</v>
      </c>
      <c r="CD34" s="16" t="str">
        <f>IFERROR(__xludf.DUMMYFUNCTION("""COMPUTED_VALUE"""),"hủy thẻ tín dụng")</f>
        <v>hủy thẻ tín dụng</v>
      </c>
      <c r="CE34" s="21" t="str">
        <f>IFERROR(__xludf.DUMMYFUNCTION("""COMPUTED_VALUE"""),"https://techcombank.com/thong-tin/blog/3d-secure")</f>
        <v>https://techcombank.com/thong-tin/blog/3d-secure</v>
      </c>
      <c r="CF34" s="16" t="str">
        <f>IFERROR(__xludf.DUMMYFUNCTION("""COMPUTED_VALUE"""),"cách hủy thẻ tín dụng")</f>
        <v>cách hủy thẻ tín dụng</v>
      </c>
      <c r="CG34" s="21" t="str">
        <f>IFERROR(__xludf.DUMMYFUNCTION("""COMPUTED_VALUE"""),"https://techcombank.com/thong-tin/blog/lai-suat-the-tin-dung")</f>
        <v>https://techcombank.com/thong-tin/blog/lai-suat-the-tin-dung</v>
      </c>
      <c r="CH34" s="16" t="str">
        <f>IFERROR(__xludf.DUMMYFUNCTION("""COMPUTED_VALUE"""),"hủy thẻ tín dụng")</f>
        <v>hủy thẻ tín dụng</v>
      </c>
      <c r="CI34" s="21" t="str">
        <f>IFERROR(__xludf.DUMMYFUNCTION("""COMPUTED_VALUE"""),"https://techcombank.com/thong-tin/blog/mo-the-tin-dung-co-loi-ich-gi")</f>
        <v>https://techcombank.com/thong-tin/blog/mo-the-tin-dung-co-loi-ich-gi</v>
      </c>
      <c r="CJ34" s="16" t="str">
        <f>IFERROR(__xludf.DUMMYFUNCTION("""COMPUTED_VALUE"""),"cách hủy thẻ tín dụng")</f>
        <v>cách hủy thẻ tín dụng</v>
      </c>
      <c r="CK34" s="21" t="str">
        <f>IFERROR(__xludf.DUMMYFUNCTION("""COMPUTED_VALUE"""),"https://techcombank.com/thong-tin/blog/the-tin-dung-ao")</f>
        <v>https://techcombank.com/thong-tin/blog/the-tin-dung-ao</v>
      </c>
      <c r="CL34" s="16" t="str">
        <f>IFERROR(__xludf.DUMMYFUNCTION("""COMPUTED_VALUE"""),"hủy thẻ tín dụng")</f>
        <v>hủy thẻ tín dụng</v>
      </c>
      <c r="CM34" s="21" t="str">
        <f>IFERROR(__xludf.DUMMYFUNCTION("""COMPUTED_VALUE"""),"https://techcombank.com/thong-tin/blog/thanh-toan-toi-thieu-the-tin-dung")</f>
        <v>https://techcombank.com/thong-tin/blog/thanh-toan-toi-thieu-the-tin-dung</v>
      </c>
      <c r="CN34" s="16" t="str">
        <f>IFERROR(__xludf.DUMMYFUNCTION("""COMPUTED_VALUE"""),"cách hủy thẻ tín dụng")</f>
        <v>cách hủy thẻ tín dụng</v>
      </c>
      <c r="CO34" s="21" t="str">
        <f>IFERROR(__xludf.DUMMYFUNCTION("""COMPUTED_VALUE"""),"https://techcombank.com/thong-tin/blog/tra-gop-shopee")</f>
        <v>https://techcombank.com/thong-tin/blog/tra-gop-shopee</v>
      </c>
      <c r="CP34" s="16" t="str">
        <f>IFERROR(__xludf.DUMMYFUNCTION("""COMPUTED_VALUE"""),"hủy thẻ tín dụng")</f>
        <v>hủy thẻ tín dụng</v>
      </c>
      <c r="CQ34" s="21" t="str">
        <f>IFERROR(__xludf.DUMMYFUNCTION("""COMPUTED_VALUE"""),"https://techcombank.com/thong-tin/blog/thanh-toan-tien-dien-bang-the-tin-dung")</f>
        <v>https://techcombank.com/thong-tin/blog/thanh-toan-tien-dien-bang-the-tin-dung</v>
      </c>
      <c r="CR34" s="16" t="str">
        <f>IFERROR(__xludf.DUMMYFUNCTION("""COMPUTED_VALUE"""),"cách hủy thẻ tín dụng")</f>
        <v>cách hủy thẻ tín dụng</v>
      </c>
      <c r="CS34" s="21" t="str">
        <f>IFERROR(__xludf.DUMMYFUNCTION("""COMPUTED_VALUE"""),"https://techcombank.com/thong-tin/blog/thanh-toan-tra-gop-qua-the-tin-dung")</f>
        <v>https://techcombank.com/thong-tin/blog/thanh-toan-tra-gop-qua-the-tin-dung</v>
      </c>
      <c r="CT34" s="16" t="str">
        <f>IFERROR(__xludf.DUMMYFUNCTION("""COMPUTED_VALUE"""),"hủy thẻ tín dụng")</f>
        <v>hủy thẻ tín dụng</v>
      </c>
      <c r="CU34" s="21" t="str">
        <f>IFERROR(__xludf.DUMMYFUNCTION("""COMPUTED_VALUE"""),"https://techcombank.com/thong-tin/blog/tra-gop-lazada")</f>
        <v>https://techcombank.com/thong-tin/blog/tra-gop-lazada</v>
      </c>
      <c r="CV34" s="16" t="str">
        <f>IFERROR(__xludf.DUMMYFUNCTION("""COMPUTED_VALUE"""),"cách hủy thẻ tín dụng")</f>
        <v>cách hủy thẻ tín dụng</v>
      </c>
      <c r="CW34" s="21" t="str">
        <f>IFERROR(__xludf.DUMMYFUNCTION("""COMPUTED_VALUE"""),"https://techcombank.com/thong-tin/blog/lam-the-tin-dung")</f>
        <v>https://techcombank.com/thong-tin/blog/lam-the-tin-dung</v>
      </c>
      <c r="CX34" s="16" t="str">
        <f>IFERROR(__xludf.DUMMYFUNCTION("""COMPUTED_VALUE"""),"hủy thẻ tín dụng")</f>
        <v>hủy thẻ tín dụng</v>
      </c>
      <c r="CY34" s="21" t="str">
        <f>IFERROR(__xludf.DUMMYFUNCTION("""COMPUTED_VALUE"""),"https://techcombank.com/thong-tin/blog/the-tin-dung-co-ma-pin-khong")</f>
        <v>https://techcombank.com/thong-tin/blog/the-tin-dung-co-ma-pin-khong</v>
      </c>
      <c r="CZ34" s="16" t="str">
        <f>IFERROR(__xludf.DUMMYFUNCTION("""COMPUTED_VALUE"""),"cách hủy thẻ tín dụng")</f>
        <v>cách hủy thẻ tín dụng</v>
      </c>
      <c r="DA34" s="21" t="str">
        <f>IFERROR(__xludf.DUMMYFUNCTION("""COMPUTED_VALUE"""),"https://techcombank.com/thong-tin/blog/cic-la-gi")</f>
        <v>https://techcombank.com/thong-tin/blog/cic-la-gi</v>
      </c>
      <c r="DB34" s="16" t="str">
        <f>IFERROR(__xludf.DUMMYFUNCTION("""COMPUTED_VALUE"""),"hủy thẻ tín dụng")</f>
        <v>hủy thẻ tín dụng</v>
      </c>
      <c r="DC34" s="21" t="str">
        <f>IFERROR(__xludf.DUMMYFUNCTION("""COMPUTED_VALUE"""),"https://techcombank.com/thong-tin/blog/sao-ke-the-tin-dung-la-gi")</f>
        <v>https://techcombank.com/thong-tin/blog/sao-ke-the-tin-dung-la-gi</v>
      </c>
      <c r="DD34" s="16" t="str">
        <f>IFERROR(__xludf.DUMMYFUNCTION("""COMPUTED_VALUE"""),"cách hủy thẻ tín dụng")</f>
        <v>cách hủy thẻ tín dụng</v>
      </c>
      <c r="DE34" s="21" t="str">
        <f>IFERROR(__xludf.DUMMYFUNCTION("""COMPUTED_VALUE"""),"https://techcombank.com/thong-tin/blog/the-tin-dung-noi-dia")</f>
        <v>https://techcombank.com/thong-tin/blog/the-tin-dung-noi-dia</v>
      </c>
      <c r="DF34" s="16" t="str">
        <f>IFERROR(__xludf.DUMMYFUNCTION("""COMPUTED_VALUE"""),"hủy thẻ tín dụng")</f>
        <v>hủy thẻ tín dụng</v>
      </c>
      <c r="DG34" s="21" t="str">
        <f>IFERROR(__xludf.DUMMYFUNCTION("""COMPUTED_VALUE"""),"https://techcombank.com/thong-tin/blog/lam-ho-so-tra-gop-dien-thoai")</f>
        <v>https://techcombank.com/thong-tin/blog/lam-ho-so-tra-gop-dien-thoai</v>
      </c>
      <c r="DH34" s="16" t="str">
        <f>IFERROR(__xludf.DUMMYFUNCTION("""COMPUTED_VALUE"""),"cách hủy thẻ tín dụng")</f>
        <v>cách hủy thẻ tín dụng</v>
      </c>
      <c r="DI34" s="21" t="str">
        <f>IFERROR(__xludf.DUMMYFUNCTION("""COMPUTED_VALUE"""),"https://techcombank.com/thong-tin/blog/the-tin-dung-la-gi")</f>
        <v>https://techcombank.com/thong-tin/blog/the-tin-dung-la-gi</v>
      </c>
      <c r="DJ34" s="16" t="str">
        <f>IFERROR(__xludf.DUMMYFUNCTION("""COMPUTED_VALUE"""),"hủy thẻ tín dụng")</f>
        <v>hủy thẻ tín dụng</v>
      </c>
      <c r="DK34" s="21" t="str">
        <f>IFERROR(__xludf.DUMMYFUNCTION("""COMPUTED_VALUE"""),"https://techcombank.com/thong-tin/blog/cach-su-dung-the-tin-dung")</f>
        <v>https://techcombank.com/thong-tin/blog/cach-su-dung-the-tin-dung</v>
      </c>
      <c r="DL34" s="16" t="str">
        <f>IFERROR(__xludf.DUMMYFUNCTION("""COMPUTED_VALUE"""),"cách hủy thẻ tín dụng")</f>
        <v>cách hủy thẻ tín dụng</v>
      </c>
      <c r="DM34" s="21" t="str">
        <f>IFERROR(__xludf.DUMMYFUNCTION("""COMPUTED_VALUE"""),"https://techcombank.com/thong-tin/blog/han-muc-the-tin-dung")</f>
        <v>https://techcombank.com/thong-tin/blog/han-muc-the-tin-dung</v>
      </c>
      <c r="DN34" s="16" t="str">
        <f>IFERROR(__xludf.DUMMYFUNCTION("""COMPUTED_VALUE"""),"hủy thẻ tín dụng")</f>
        <v>hủy thẻ tín dụng</v>
      </c>
      <c r="DO34" s="21" t="str">
        <f>IFERROR(__xludf.DUMMYFUNCTION("""COMPUTED_VALUE"""),"https://techcombank.com/thong-tin/blog/nang-han-muc-tin-dung")</f>
        <v>https://techcombank.com/thong-tin/blog/nang-han-muc-tin-dung</v>
      </c>
      <c r="DP34" s="16" t="str">
        <f>IFERROR(__xludf.DUMMYFUNCTION("""COMPUTED_VALUE"""),"cách hủy thẻ tín dụng")</f>
        <v>cách hủy thẻ tín dụng</v>
      </c>
      <c r="DQ34" s="21" t="str">
        <f>IFERROR(__xludf.DUMMYFUNCTION("""COMPUTED_VALUE"""),"https://techcombank.com/thong-tin/blog/the-tin-dung-mien-lai-55-ngay")</f>
        <v>https://techcombank.com/thong-tin/blog/the-tin-dung-mien-lai-55-ngay</v>
      </c>
      <c r="DR34" s="16" t="str">
        <f>IFERROR(__xludf.DUMMYFUNCTION("""COMPUTED_VALUE"""),"hủy thẻ tín dụng")</f>
        <v>hủy thẻ tín dụng</v>
      </c>
      <c r="DS34" s="21" t="str">
        <f>IFERROR(__xludf.DUMMYFUNCTION("""COMPUTED_VALUE"""),"https://techcombank.com/thong-tin/blog/tra-gop-qua-the-tin-dung")</f>
        <v>https://techcombank.com/thong-tin/blog/tra-gop-qua-the-tin-dung</v>
      </c>
      <c r="DT34" s="16" t="str">
        <f>IFERROR(__xludf.DUMMYFUNCTION("""COMPUTED_VALUE"""),"cách hủy thẻ tín dụng")</f>
        <v>cách hủy thẻ tín dụng</v>
      </c>
      <c r="DU34" s="21" t="str">
        <f>IFERROR(__xludf.DUMMYFUNCTION("""COMPUTED_VALUE"""),"https://techcombank.com/thong-tin/blog/lam-the-tin-dung-co-mat-phi-khong")</f>
        <v>https://techcombank.com/thong-tin/blog/lam-the-tin-dung-co-mat-phi-khong</v>
      </c>
      <c r="DV34" s="16" t="str">
        <f>IFERROR(__xludf.DUMMYFUNCTION("""COMPUTED_VALUE"""),"hủy thẻ tín dụng")</f>
        <v>hủy thẻ tín dụng</v>
      </c>
      <c r="DW34" s="21" t="str">
        <f>IFERROR(__xludf.DUMMYFUNCTION("""COMPUTED_VALUE"""),"https://techcombank.com/thong-tin/blog/kich-hoat-the-tin-dung-techcombank")</f>
        <v>https://techcombank.com/thong-tin/blog/kich-hoat-the-tin-dung-techcombank</v>
      </c>
      <c r="DX34" s="16" t="str">
        <f>IFERROR(__xludf.DUMMYFUNCTION("""COMPUTED_VALUE"""),"cách hủy thẻ tín dụng")</f>
        <v>cách hủy thẻ tín dụng</v>
      </c>
      <c r="DY34" s="21" t="str">
        <f>IFERROR(__xludf.DUMMYFUNCTION("""COMPUTED_VALUE"""),"https://techcombank.com/thong-tin/blog/no-xau-mo-the-tin-dung-duoc-khong")</f>
        <v>https://techcombank.com/thong-tin/blog/no-xau-mo-the-tin-dung-duoc-khong</v>
      </c>
      <c r="DZ34" s="16" t="str">
        <f>IFERROR(__xludf.DUMMYFUNCTION("""COMPUTED_VALUE"""),"hủy thẻ tín dụng")</f>
        <v>hủy thẻ tín dụng</v>
      </c>
      <c r="EA34" s="21" t="str">
        <f>IFERROR(__xludf.DUMMYFUNCTION("""COMPUTED_VALUE"""),"https://techcombank.com/thong-tin/blog/no-the-tin-dung-qua-han")</f>
        <v>https://techcombank.com/thong-tin/blog/no-the-tin-dung-qua-han</v>
      </c>
      <c r="EB34" s="16" t="str">
        <f>IFERROR(__xludf.DUMMYFUNCTION("""COMPUTED_VALUE"""),"cách hủy thẻ tín dụng")</f>
        <v>cách hủy thẻ tín dụng</v>
      </c>
      <c r="EC34" s="21" t="str">
        <f>IFERROR(__xludf.DUMMYFUNCTION("""COMPUTED_VALUE"""),"https://techcombank.com/thong-tin/blog/mo-the-tin-dung-chi-can-cccd")</f>
        <v>https://techcombank.com/thong-tin/blog/mo-the-tin-dung-chi-can-cccd</v>
      </c>
      <c r="ED34" s="16" t="str">
        <f>IFERROR(__xludf.DUMMYFUNCTION("""COMPUTED_VALUE"""),"hủy thẻ tín dụng")</f>
        <v>hủy thẻ tín dụng</v>
      </c>
      <c r="EE34" s="21" t="str">
        <f>IFERROR(__xludf.DUMMYFUNCTION("""COMPUTED_VALUE"""),"https://techcombank.com/thong-tin/blog/luu-y-khi-su-dung-the-tin-dung")</f>
        <v>https://techcombank.com/thong-tin/blog/luu-y-khi-su-dung-the-tin-dung</v>
      </c>
      <c r="EF34" s="16" t="str">
        <f>IFERROR(__xludf.DUMMYFUNCTION("""COMPUTED_VALUE"""),"cách hủy thẻ tín dụng")</f>
        <v>cách hủy thẻ tín dụng</v>
      </c>
      <c r="EG34" s="21" t="str">
        <f>IFERROR(__xludf.DUMMYFUNCTION("""COMPUTED_VALUE"""),"https://techcombank.com/thong-tin/blog/thoi-gian-hoan-tien-the-tin-dung")</f>
        <v>https://techcombank.com/thong-tin/blog/thoi-gian-hoan-tien-the-tin-dung</v>
      </c>
      <c r="EH34" s="16" t="str">
        <f>IFERROR(__xludf.DUMMYFUNCTION("""COMPUTED_VALUE"""),"hủy thẻ tín dụng")</f>
        <v>hủy thẻ tín dụng</v>
      </c>
      <c r="EI34" s="21" t="str">
        <f>IFERROR(__xludf.DUMMYFUNCTION("""COMPUTED_VALUE"""),"https://techcombank.com/thong-tin/blog/mat-the-tin-dung-co-lam-lai-duoc-khong")</f>
        <v>https://techcombank.com/thong-tin/blog/mat-the-tin-dung-co-lam-lai-duoc-khong</v>
      </c>
      <c r="EJ34" s="16" t="str">
        <f>IFERROR(__xludf.DUMMYFUNCTION("""COMPUTED_VALUE"""),"cách hủy thẻ tín dụng")</f>
        <v>cách hủy thẻ tín dụng</v>
      </c>
      <c r="EK34" s="21" t="str">
        <f>IFERROR(__xludf.DUMMYFUNCTION("""COMPUTED_VALUE"""),"https://techcombank.com/thong-tin/blog/mo-the-tin-dung-khong-can-chung-minh-thu-nhap")</f>
        <v>https://techcombank.com/thong-tin/blog/mo-the-tin-dung-khong-can-chung-minh-thu-nhap</v>
      </c>
      <c r="EL34" s="16" t="str">
        <f>IFERROR(__xludf.DUMMYFUNCTION("""COMPUTED_VALUE"""),"hủy thẻ tín dụng")</f>
        <v>hủy thẻ tín dụng</v>
      </c>
      <c r="EM34" s="21" t="str">
        <f>IFERROR(__xludf.DUMMYFUNCTION("""COMPUTED_VALUE"""),"https://techcombank.com/thong-tin/blog/the-tin-dung-vip")</f>
        <v>https://techcombank.com/thong-tin/blog/the-tin-dung-vip</v>
      </c>
      <c r="EN34" s="16" t="str">
        <f>IFERROR(__xludf.DUMMYFUNCTION("""COMPUTED_VALUE"""),"cách hủy thẻ tín dụng")</f>
        <v>cách hủy thẻ tín dụng</v>
      </c>
      <c r="EO34" s="21" t="str">
        <f>IFERROR(__xludf.DUMMYFUNCTION("""COMPUTED_VALUE"""),"https://techcombank.com/thong-tin/blog/the-tin-dung-phu-la-gi")</f>
        <v>https://techcombank.com/thong-tin/blog/the-tin-dung-phu-la-gi</v>
      </c>
      <c r="EP34" s="16" t="str">
        <f>IFERROR(__xludf.DUMMYFUNCTION("""COMPUTED_VALUE"""),"hủy thẻ tín dụng")</f>
        <v>hủy thẻ tín dụng</v>
      </c>
      <c r="EQ34" s="21" t="str">
        <f>IFERROR(__xludf.DUMMYFUNCTION("""COMPUTED_VALUE"""),"https://techcombank.com/thong-tin/blog/rut-tien-mat-tu-the-tin-dung")</f>
        <v>https://techcombank.com/thong-tin/blog/rut-tien-mat-tu-the-tin-dung</v>
      </c>
      <c r="ER34" s="16" t="str">
        <f>IFERROR(__xludf.DUMMYFUNCTION("""COMPUTED_VALUE"""),"cách hủy thẻ tín dụng")</f>
        <v>cách hủy thẻ tín dụng</v>
      </c>
      <c r="ES34" s="21" t="str">
        <f>IFERROR(__xludf.DUMMYFUNCTION("""COMPUTED_VALUE"""),"https://techcombank.com/thong-tin/blog/so-luong-the-tin-dung-noi-dia-dang-luu-hanh-da-tang-42-so-voi-cung-ky-nam-2022")</f>
        <v>https://techcombank.com/thong-tin/blog/so-luong-the-tin-dung-noi-dia-dang-luu-hanh-da-tang-42-so-voi-cung-ky-nam-2022</v>
      </c>
      <c r="ET34" s="16" t="str">
        <f>IFERROR(__xludf.DUMMYFUNCTION("""COMPUTED_VALUE"""),"hủy thẻ tín dụng")</f>
        <v>hủy thẻ tín dụng</v>
      </c>
      <c r="EU34" s="21" t="str">
        <f>IFERROR(__xludf.DUMMYFUNCTION("""COMPUTED_VALUE"""),"https://techcombank.com/thong-tin/blog/no-xau-nhom-2")</f>
        <v>https://techcombank.com/thong-tin/blog/no-xau-nhom-2</v>
      </c>
      <c r="EV34" s="16" t="str">
        <f>IFERROR(__xludf.DUMMYFUNCTION("""COMPUTED_VALUE"""),"cách hủy thẻ tín dụng")</f>
        <v>cách hủy thẻ tín dụng</v>
      </c>
      <c r="EW34" s="21" t="str">
        <f>IFERROR(__xludf.DUMMYFUNCTION("""COMPUTED_VALUE"""),"https://techcombank.com/thong-tin/blog/the-ghi-no-visa-la-gi")</f>
        <v>https://techcombank.com/thong-tin/blog/the-ghi-no-visa-la-gi</v>
      </c>
      <c r="EX34" s="16" t="str">
        <f>IFERROR(__xludf.DUMMYFUNCTION("""COMPUTED_VALUE"""),"hủy thẻ tín dụng")</f>
        <v>hủy thẻ tín dụng</v>
      </c>
      <c r="EY34" s="21" t="str">
        <f>IFERROR(__xludf.DUMMYFUNCTION("""COMPUTED_VALUE"""),"https://techcombank.com/thong-tin/blog/uu-dai-mua-iphone-18")</f>
        <v>https://techcombank.com/thong-tin/blog/uu-dai-mua-iphone-18</v>
      </c>
      <c r="EZ34" s="16" t="str">
        <f>IFERROR(__xludf.DUMMYFUNCTION("""COMPUTED_VALUE"""),"cách hủy thẻ tín dụng")</f>
        <v>cách hủy thẻ tín dụng</v>
      </c>
      <c r="FA34" s="21" t="str">
        <f>IFERROR(__xludf.DUMMYFUNCTION("""COMPUTED_VALUE"""),"https://techcombank.com/thong-tin/blog/so-the-tin-dung")</f>
        <v>https://techcombank.com/thong-tin/blog/so-the-tin-dung</v>
      </c>
      <c r="FB34" s="16" t="str">
        <f>IFERROR(__xludf.DUMMYFUNCTION("""COMPUTED_VALUE"""),"hủy thẻ tín dụng")</f>
        <v>hủy thẻ tín dụng</v>
      </c>
      <c r="FC34" s="21" t="str">
        <f>IFERROR(__xludf.DUMMYFUNCTION("""COMPUTED_VALUE"""),"https://techcombank.com/thong-tin/blog/han-muc-tra-gop-the-tin-dung")</f>
        <v>https://techcombank.com/thong-tin/blog/han-muc-tra-gop-the-tin-dung</v>
      </c>
      <c r="FD34" s="16" t="str">
        <f>IFERROR(__xludf.DUMMYFUNCTION("""COMPUTED_VALUE"""),"cách hủy thẻ tín dụng")</f>
        <v>cách hủy thẻ tín dụng</v>
      </c>
      <c r="FE34" s="21" t="str">
        <f>IFERROR(__xludf.DUMMYFUNCTION("""COMPUTED_VALUE"""),"https://techcombank.com/thong-tin/blog/the-tin-dung-hoan-tien")</f>
        <v>https://techcombank.com/thong-tin/blog/the-tin-dung-hoan-tien</v>
      </c>
      <c r="FF34" s="16" t="str">
        <f>IFERROR(__xludf.DUMMYFUNCTION("""COMPUTED_VALUE"""),"hủy thẻ tín dụng")</f>
        <v>hủy thẻ tín dụng</v>
      </c>
      <c r="FG34" s="21" t="str">
        <f>IFERROR(__xludf.DUMMYFUNCTION("""COMPUTED_VALUE"""),"https://techcombank.com/thong-tin/blog/sang-ngang-the-tin-dung")</f>
        <v>https://techcombank.com/thong-tin/blog/sang-ngang-the-tin-dung</v>
      </c>
      <c r="FH34" s="16" t="str">
        <f>IFERROR(__xludf.DUMMYFUNCTION("""COMPUTED_VALUE"""),"cách hủy thẻ tín dụng")</f>
        <v>cách hủy thẻ tín dụng</v>
      </c>
      <c r="FI34" s="21" t="str">
        <f>IFERROR(__xludf.DUMMYFUNCTION("""COMPUTED_VALUE"""),"https://techcombank.com/thong-tin/blog/tai-khoan-ngan-hang-la-gi")</f>
        <v>https://techcombank.com/thong-tin/blog/tai-khoan-ngan-hang-la-gi</v>
      </c>
      <c r="FJ34" s="16"/>
      <c r="FK34" s="16"/>
      <c r="FL34" s="16"/>
      <c r="FM34" s="16"/>
      <c r="FN34" s="16"/>
      <c r="FO34" s="16"/>
      <c r="FP34" s="16"/>
      <c r="FQ34" s="16"/>
      <c r="FR34" s="16"/>
      <c r="FS34" s="16"/>
      <c r="FT34" s="16"/>
      <c r="FU34" s="16"/>
      <c r="FV34" s="16"/>
      <c r="FW34" s="16"/>
      <c r="FX34" s="16"/>
      <c r="FY34" s="16"/>
      <c r="FZ34" s="16"/>
      <c r="GA34" s="16"/>
      <c r="GB34" s="16"/>
      <c r="GC34" s="16"/>
      <c r="GD34" s="16"/>
      <c r="GE34" s="16"/>
      <c r="GF34" s="16"/>
      <c r="GG34" s="16"/>
      <c r="GH34" s="16"/>
      <c r="GI34" s="16"/>
      <c r="GJ34" s="16"/>
      <c r="GK34" s="16"/>
      <c r="GL34" s="16"/>
      <c r="GM34" s="16"/>
      <c r="GN34" s="16"/>
      <c r="GO34" s="16"/>
    </row>
    <row r="35" ht="18.0" customHeight="1">
      <c r="A35" s="15">
        <v>34.0</v>
      </c>
      <c r="B35" s="16" t="s">
        <v>827</v>
      </c>
      <c r="C35" s="17" t="s">
        <v>931</v>
      </c>
      <c r="D35" s="16" t="s">
        <v>312</v>
      </c>
      <c r="E35" s="15">
        <f>COUNTIF('Tổng hợp 75 trang đích'!$B$2:$B$2505,$D35)</f>
        <v>35</v>
      </c>
      <c r="F35" s="15">
        <f>COUNTIFS('Tổng hợp 75 trang đích'!$B$2:$B$2505,$D35,'Tổng hợp 75 trang đích'!$K$2:$K$2505,"PHÙ HỢP CAO")</f>
        <v>1</v>
      </c>
      <c r="G35" s="15">
        <f>COUNTIFS('Tổng hợp 75 trang đích'!$B$2:$B$2505,$D35,'Tổng hợp 75 trang đích'!$K$2:$K$2505,"CÓ THỂ ĐI")</f>
        <v>4</v>
      </c>
      <c r="H35" s="15">
        <f>COUNTIFS('Tổng hợp 75 trang đích'!$B$2:$B$2505,$D35,'Tổng hợp 75 trang đích'!$K$2:$K$2505,"CẦN SOÁT")</f>
        <v>30</v>
      </c>
      <c r="I35" s="19" t="s">
        <v>256</v>
      </c>
      <c r="J35" s="19" t="b">
        <v>0</v>
      </c>
      <c r="K35" s="20" t="s">
        <v>258</v>
      </c>
      <c r="L35" s="16" t="str">
        <f>IFERROR(__xludf.DUMMYFUNCTION("IFERROR(TOROW(CHOOSECOLS(SORT(FILTER({'Tổng hợp 75 trang đích'!$J$2:$J$2505,'Tổng hợp 75 trang đích'!$I$2:$I$2505,MATCH('Tổng hợp 75 trang đích'!$K$2:$K$2505,{""PHÙ HỢP CAO"",""CÓ THỂ ĐI"",""CẦN SOÁT""},0)},'Tổng hợp 75 trang đích'!$B$2:$B$2505=$D35),3,TR"&amp;"UE),1,2)),"""")"),"xếp hạng tín dụng")</f>
        <v>xếp hạng tín dụng</v>
      </c>
      <c r="M35" s="21" t="str">
        <f>IFERROR(__xludf.DUMMYFUNCTION("""COMPUTED_VALUE"""),"https://techcombank.com/thong-tin/blog/lich-su-tin-dung")</f>
        <v>https://techcombank.com/thong-tin/blog/lich-su-tin-dung</v>
      </c>
      <c r="N35" s="16" t="str">
        <f>IFERROR(__xludf.DUMMYFUNCTION("""COMPUTED_VALUE"""),"xếp hạng tín dụng cá nhân")</f>
        <v>xếp hạng tín dụng cá nhân</v>
      </c>
      <c r="O35" s="21" t="str">
        <f>IFERROR(__xludf.DUMMYFUNCTION("""COMPUTED_VALUE"""),"https://techcombank.com/thong-tin/blog/dieu-kien-vay-von-ngan-hang")</f>
        <v>https://techcombank.com/thong-tin/blog/dieu-kien-vay-von-ngan-hang</v>
      </c>
      <c r="P35" s="16" t="str">
        <f>IFERROR(__xludf.DUMMYFUNCTION("""COMPUTED_VALUE"""),"xếp hạng tín dụng")</f>
        <v>xếp hạng tín dụng</v>
      </c>
      <c r="Q35" s="21" t="str">
        <f>IFERROR(__xludf.DUMMYFUNCTION("""COMPUTED_VALUE"""),"https://techcombank.com/thong-tin/blog/no-xau-co-vay-the-chap-duoc-khong")</f>
        <v>https://techcombank.com/thong-tin/blog/no-xau-co-vay-the-chap-duoc-khong</v>
      </c>
      <c r="R35" s="16" t="str">
        <f>IFERROR(__xludf.DUMMYFUNCTION("""COMPUTED_VALUE"""),"xếp hạng tín dụng cá nhân")</f>
        <v>xếp hạng tín dụng cá nhân</v>
      </c>
      <c r="S35" s="21" t="str">
        <f>IFERROR(__xludf.DUMMYFUNCTION("""COMPUTED_VALUE"""),"https://techcombank.com/thong-tin/blog/tin-dung-la-gi")</f>
        <v>https://techcombank.com/thong-tin/blog/tin-dung-la-gi</v>
      </c>
      <c r="T35" s="16" t="str">
        <f>IFERROR(__xludf.DUMMYFUNCTION("""COMPUTED_VALUE"""),"xếp hạng tín dụng")</f>
        <v>xếp hạng tín dụng</v>
      </c>
      <c r="U35" s="21" t="str">
        <f>IFERROR(__xludf.DUMMYFUNCTION("""COMPUTED_VALUE"""),"https://techcombank.com/thong-tin/blog/du-no-tin-dung-la-gi")</f>
        <v>https://techcombank.com/thong-tin/blog/du-no-tin-dung-la-gi</v>
      </c>
      <c r="V35" s="16" t="str">
        <f>IFERROR(__xludf.DUMMYFUNCTION("""COMPUTED_VALUE"""),"xếp hạng tín dụng cá nhân")</f>
        <v>xếp hạng tín dụng cá nhân</v>
      </c>
      <c r="W35" s="21" t="str">
        <f>IFERROR(__xludf.DUMMYFUNCTION("""COMPUTED_VALUE"""),"https://techcombank.com/thong-tin/blog/vay-san-xuat-kinh-doanh")</f>
        <v>https://techcombank.com/thong-tin/blog/vay-san-xuat-kinh-doanh</v>
      </c>
      <c r="X35" s="16" t="str">
        <f>IFERROR(__xludf.DUMMYFUNCTION("""COMPUTED_VALUE"""),"xếp hạng tín dụng")</f>
        <v>xếp hạng tín dụng</v>
      </c>
      <c r="Y35" s="21" t="str">
        <f>IFERROR(__xludf.DUMMYFUNCTION("""COMPUTED_VALUE"""),"https://techcombank.com/thong-tin/blog/vay-the-chap-khong-tra-duoc")</f>
        <v>https://techcombank.com/thong-tin/blog/vay-the-chap-khong-tra-duoc</v>
      </c>
      <c r="Z35" s="16" t="str">
        <f>IFERROR(__xludf.DUMMYFUNCTION("""COMPUTED_VALUE"""),"xếp hạng tín dụng cá nhân")</f>
        <v>xếp hạng tín dụng cá nhân</v>
      </c>
      <c r="AA35" s="21" t="str">
        <f>IFERROR(__xludf.DUMMYFUNCTION("""COMPUTED_VALUE"""),"https://techcombank.com/thong-tin/blog/no-chu-y-la-gi")</f>
        <v>https://techcombank.com/thong-tin/blog/no-chu-y-la-gi</v>
      </c>
      <c r="AB35" s="16" t="str">
        <f>IFERROR(__xludf.DUMMYFUNCTION("""COMPUTED_VALUE"""),"xếp hạng tín dụng")</f>
        <v>xếp hạng tín dụng</v>
      </c>
      <c r="AC35" s="21" t="str">
        <f>IFERROR(__xludf.DUMMYFUNCTION("""COMPUTED_VALUE"""),"https://techcombank.com/thong-tin/blog/diem-tin-dung")</f>
        <v>https://techcombank.com/thong-tin/blog/diem-tin-dung</v>
      </c>
      <c r="AD35" s="16" t="str">
        <f>IFERROR(__xludf.DUMMYFUNCTION("""COMPUTED_VALUE"""),"xếp hạng tín dụng cá nhân")</f>
        <v>xếp hạng tín dụng cá nhân</v>
      </c>
      <c r="AE35" s="21" t="str">
        <f>IFERROR(__xludf.DUMMYFUNCTION("""COMPUTED_VALUE"""),"https://techcombank.com/thong-tin/blog/kiem-tra-no-xau")</f>
        <v>https://techcombank.com/thong-tin/blog/kiem-tra-no-xau</v>
      </c>
      <c r="AF35" s="16" t="str">
        <f>IFERROR(__xludf.DUMMYFUNCTION("""COMPUTED_VALUE"""),"xếp hạng tín dụng")</f>
        <v>xếp hạng tín dụng</v>
      </c>
      <c r="AG35" s="21" t="str">
        <f>IFERROR(__xludf.DUMMYFUNCTION("""COMPUTED_VALUE"""),"https://techcombank.com/thong-tin/blog/no-xau")</f>
        <v>https://techcombank.com/thong-tin/blog/no-xau</v>
      </c>
      <c r="AH35" s="16" t="str">
        <f>IFERROR(__xludf.DUMMYFUNCTION("""COMPUTED_VALUE"""),"xếp hạng tín dụng cá nhân")</f>
        <v>xếp hạng tín dụng cá nhân</v>
      </c>
      <c r="AI35" s="21" t="str">
        <f>IFERROR(__xludf.DUMMYFUNCTION("""COMPUTED_VALUE"""),"https://techcombank.com/thong-tin/blog/no-xau-la-gi")</f>
        <v>https://techcombank.com/thong-tin/blog/no-xau-la-gi</v>
      </c>
      <c r="AJ35" s="16" t="str">
        <f>IFERROR(__xludf.DUMMYFUNCTION("""COMPUTED_VALUE"""),"xếp hạng tín dụng")</f>
        <v>xếp hạng tín dụng</v>
      </c>
      <c r="AK35" s="21" t="str">
        <f>IFERROR(__xludf.DUMMYFUNCTION("""COMPUTED_VALUE"""),"https://techcombank.com/thong-tin/blog/han-muc-thau-chi-la-gi")</f>
        <v>https://techcombank.com/thong-tin/blog/han-muc-thau-chi-la-gi</v>
      </c>
      <c r="AL35" s="16" t="str">
        <f>IFERROR(__xludf.DUMMYFUNCTION("""COMPUTED_VALUE"""),"xếp hạng tín dụng cá nhân")</f>
        <v>xếp hạng tín dụng cá nhân</v>
      </c>
      <c r="AM35" s="21" t="str">
        <f>IFERROR(__xludf.DUMMYFUNCTION("""COMPUTED_VALUE"""),"https://techcombank.com/thong-tin/blog/qua-han-thanh-toan-the-tin-dung-1-ngay")</f>
        <v>https://techcombank.com/thong-tin/blog/qua-han-thanh-toan-the-tin-dung-1-ngay</v>
      </c>
      <c r="AN35" s="16" t="str">
        <f>IFERROR(__xludf.DUMMYFUNCTION("""COMPUTED_VALUE"""),"xếp hạng tín dụng")</f>
        <v>xếp hạng tín dụng</v>
      </c>
      <c r="AO35" s="21" t="str">
        <f>IFERROR(__xludf.DUMMYFUNCTION("""COMPUTED_VALUE"""),"https://techcombank.com/thong-tin/blog/cho-vay-tieu-dung-la-gi")</f>
        <v>https://techcombank.com/thong-tin/blog/cho-vay-tieu-dung-la-gi</v>
      </c>
      <c r="AP35" s="16" t="str">
        <f>IFERROR(__xludf.DUMMYFUNCTION("""COMPUTED_VALUE"""),"xếp hạng tín dụng cá nhân")</f>
        <v>xếp hạng tín dụng cá nhân</v>
      </c>
      <c r="AQ35" s="21" t="str">
        <f>IFERROR(__xludf.DUMMYFUNCTION("""COMPUTED_VALUE"""),"https://techcombank.com/thong-tin/blog/no-xau-co-lam-the-visa-duoc-khong")</f>
        <v>https://techcombank.com/thong-tin/blog/no-xau-co-lam-the-visa-duoc-khong</v>
      </c>
      <c r="AR35" s="16" t="str">
        <f>IFERROR(__xludf.DUMMYFUNCTION("""COMPUTED_VALUE"""),"xếp hạng tín dụng")</f>
        <v>xếp hạng tín dụng</v>
      </c>
      <c r="AS35" s="21" t="str">
        <f>IFERROR(__xludf.DUMMYFUNCTION("""COMPUTED_VALUE"""),"https://techcombank.com/thong-tin/blog/thu-tuc-vay-ngan-hang-mua-nha")</f>
        <v>https://techcombank.com/thong-tin/blog/thu-tuc-vay-ngan-hang-mua-nha</v>
      </c>
      <c r="AT35" s="16" t="str">
        <f>IFERROR(__xludf.DUMMYFUNCTION("""COMPUTED_VALUE"""),"xếp hạng tín dụng cá nhân")</f>
        <v>xếp hạng tín dụng cá nhân</v>
      </c>
      <c r="AU35" s="21" t="str">
        <f>IFERROR(__xludf.DUMMYFUNCTION("""COMPUTED_VALUE"""),"https://techcombank.com/thong-tin/blog/thanh-toan-toi-thieu-the-tin-dung")</f>
        <v>https://techcombank.com/thong-tin/blog/thanh-toan-toi-thieu-the-tin-dung</v>
      </c>
      <c r="AV35" s="16" t="str">
        <f>IFERROR(__xludf.DUMMYFUNCTION("""COMPUTED_VALUE"""),"xếp hạng tín dụng")</f>
        <v>xếp hạng tín dụng</v>
      </c>
      <c r="AW35" s="21" t="str">
        <f>IFERROR(__xludf.DUMMYFUNCTION("""COMPUTED_VALUE"""),"https://techcombank.com/thong-tin/blog/spaylater")</f>
        <v>https://techcombank.com/thong-tin/blog/spaylater</v>
      </c>
      <c r="AX35" s="16" t="str">
        <f>IFERROR(__xludf.DUMMYFUNCTION("""COMPUTED_VALUE"""),"xếp hạng tín dụng cá nhân")</f>
        <v>xếp hạng tín dụng cá nhân</v>
      </c>
      <c r="AY35" s="21" t="str">
        <f>IFERROR(__xludf.DUMMYFUNCTION("""COMPUTED_VALUE"""),"https://techcombank.com/thong-tin/blog/lai-suat-vay-the-chap-so-do")</f>
        <v>https://techcombank.com/thong-tin/blog/lai-suat-vay-the-chap-so-do</v>
      </c>
      <c r="AZ35" s="16" t="str">
        <f>IFERROR(__xludf.DUMMYFUNCTION("""COMPUTED_VALUE"""),"xếp hạng tín dụng")</f>
        <v>xếp hạng tín dụng</v>
      </c>
      <c r="BA35" s="21" t="str">
        <f>IFERROR(__xludf.DUMMYFUNCTION("""COMPUTED_VALUE"""),"https://techcombank.com/thong-tin/blog/no-nhom-3")</f>
        <v>https://techcombank.com/thong-tin/blog/no-nhom-3</v>
      </c>
      <c r="BB35" s="16" t="str">
        <f>IFERROR(__xludf.DUMMYFUNCTION("""COMPUTED_VALUE"""),"xếp hạng tín dụng cá nhân")</f>
        <v>xếp hạng tín dụng cá nhân</v>
      </c>
      <c r="BC35" s="21" t="str">
        <f>IFERROR(__xludf.DUMMYFUNCTION("""COMPUTED_VALUE"""),"https://techcombank.com/thong-tin/blog/cic-la-gi")</f>
        <v>https://techcombank.com/thong-tin/blog/cic-la-gi</v>
      </c>
      <c r="BD35" s="16" t="str">
        <f>IFERROR(__xludf.DUMMYFUNCTION("""COMPUTED_VALUE"""),"xếp hạng tín dụng")</f>
        <v>xếp hạng tín dụng</v>
      </c>
      <c r="BE35" s="21" t="str">
        <f>IFERROR(__xludf.DUMMYFUNCTION("""COMPUTED_VALUE"""),"https://techcombank.com/thong-tin/blog/the-tin-dung-bi-khoa")</f>
        <v>https://techcombank.com/thong-tin/blog/the-tin-dung-bi-khoa</v>
      </c>
      <c r="BF35" s="16" t="str">
        <f>IFERROR(__xludf.DUMMYFUNCTION("""COMPUTED_VALUE"""),"xếp hạng tín dụng cá nhân")</f>
        <v>xếp hạng tín dụng cá nhân</v>
      </c>
      <c r="BG35" s="21" t="str">
        <f>IFERROR(__xludf.DUMMYFUNCTION("""COMPUTED_VALUE"""),"https://techcombank.com/thong-tin/blog/no-xau-mo-the-tin-dung-duoc-khong")</f>
        <v>https://techcombank.com/thong-tin/blog/no-xau-mo-the-tin-dung-duoc-khong</v>
      </c>
      <c r="BH35" s="16" t="str">
        <f>IFERROR(__xludf.DUMMYFUNCTION("""COMPUTED_VALUE"""),"xếp hạng tín dụng")</f>
        <v>xếp hạng tín dụng</v>
      </c>
      <c r="BI35" s="21" t="str">
        <f>IFERROR(__xludf.DUMMYFUNCTION("""COMPUTED_VALUE"""),"https://techcombank.com/thong-tin/blog/no-the-tin-dung-qua-han")</f>
        <v>https://techcombank.com/thong-tin/blog/no-the-tin-dung-qua-han</v>
      </c>
      <c r="BJ35" s="16" t="str">
        <f>IFERROR(__xludf.DUMMYFUNCTION("""COMPUTED_VALUE"""),"xếp hạng tín dụng cá nhân")</f>
        <v>xếp hạng tín dụng cá nhân</v>
      </c>
      <c r="BK35" s="21" t="str">
        <f>IFERROR(__xludf.DUMMYFUNCTION("""COMPUTED_VALUE"""),"https://techcombank.com/thong-tin/blog/luu-y-khi-su-dung-the-tin-dung")</f>
        <v>https://techcombank.com/thong-tin/blog/luu-y-khi-su-dung-the-tin-dung</v>
      </c>
      <c r="BL35" s="16" t="str">
        <f>IFERROR(__xludf.DUMMYFUNCTION("""COMPUTED_VALUE"""),"xếp hạng tín dụng")</f>
        <v>xếp hạng tín dụng</v>
      </c>
      <c r="BM35" s="21" t="str">
        <f>IFERROR(__xludf.DUMMYFUNCTION("""COMPUTED_VALUE"""),"https://techcombank.com/thong-tin/blog/han-muc-vay-the-chap-so-do")</f>
        <v>https://techcombank.com/thong-tin/blog/han-muc-vay-the-chap-so-do</v>
      </c>
      <c r="BN35" s="16" t="str">
        <f>IFERROR(__xludf.DUMMYFUNCTION("""COMPUTED_VALUE"""),"xếp hạng tín dụng cá nhân")</f>
        <v>xếp hạng tín dụng cá nhân</v>
      </c>
      <c r="BO35" s="21" t="str">
        <f>IFERROR(__xludf.DUMMYFUNCTION("""COMPUTED_VALUE"""),"https://techcombank.com/thong-tin/blog/vay-tin-chap-no-xau")</f>
        <v>https://techcombank.com/thong-tin/blog/vay-tin-chap-no-xau</v>
      </c>
      <c r="BP35" s="16" t="str">
        <f>IFERROR(__xludf.DUMMYFUNCTION("""COMPUTED_VALUE"""),"xếp hạng tín dụng")</f>
        <v>xếp hạng tín dụng</v>
      </c>
      <c r="BQ35" s="21" t="str">
        <f>IFERROR(__xludf.DUMMYFUNCTION("""COMPUTED_VALUE"""),"https://techcombank.com/thong-tin/blog/mua-nha-tra-gop-dua-truoc-100-trieu")</f>
        <v>https://techcombank.com/thong-tin/blog/mua-nha-tra-gop-dua-truoc-100-trieu</v>
      </c>
      <c r="BR35" s="16" t="str">
        <f>IFERROR(__xludf.DUMMYFUNCTION("""COMPUTED_VALUE"""),"xếp hạng tín dụng cá nhân")</f>
        <v>xếp hạng tín dụng cá nhân</v>
      </c>
      <c r="BS35" s="21" t="str">
        <f>IFERROR(__xludf.DUMMYFUNCTION("""COMPUTED_VALUE"""),"https://techcombank.com/thong-tin/blog/dieu-kien-vay-the-chap")</f>
        <v>https://techcombank.com/thong-tin/blog/dieu-kien-vay-the-chap</v>
      </c>
      <c r="BT35" s="16" t="str">
        <f>IFERROR(__xludf.DUMMYFUNCTION("""COMPUTED_VALUE"""),"xếp hạng tín dụng")</f>
        <v>xếp hạng tín dụng</v>
      </c>
      <c r="BU35" s="21" t="str">
        <f>IFERROR(__xludf.DUMMYFUNCTION("""COMPUTED_VALUE"""),"https://techcombank.com/thong-tin/blog/vay-han-muc-la-gi")</f>
        <v>https://techcombank.com/thong-tin/blog/vay-han-muc-la-gi</v>
      </c>
      <c r="BV35" s="16" t="str">
        <f>IFERROR(__xludf.DUMMYFUNCTION("""COMPUTED_VALUE"""),"xếp hạng tín dụng cá nhân")</f>
        <v>xếp hạng tín dụng cá nhân</v>
      </c>
      <c r="BW35" s="21" t="str">
        <f>IFERROR(__xludf.DUMMYFUNCTION("""COMPUTED_VALUE"""),"https://techcombank.com/thong-tin/blog/no-xau-nhom-2")</f>
        <v>https://techcombank.com/thong-tin/blog/no-xau-nhom-2</v>
      </c>
      <c r="BX35" s="16" t="str">
        <f>IFERROR(__xludf.DUMMYFUNCTION("""COMPUTED_VALUE"""),"xếp hạng tín dụng")</f>
        <v>xếp hạng tín dụng</v>
      </c>
      <c r="BY35" s="21" t="str">
        <f>IFERROR(__xludf.DUMMYFUNCTION("""COMPUTED_VALUE"""),"https://techcombank.com/thong-tin/blog/co-100-trieu-co-mua-nen-mua-tra-gop")</f>
        <v>https://techcombank.com/thong-tin/blog/co-100-trieu-co-mua-nen-mua-tra-gop</v>
      </c>
      <c r="BZ35" s="16" t="str">
        <f>IFERROR(__xludf.DUMMYFUNCTION("""COMPUTED_VALUE"""),"xếp hạng tín dụng cá nhân")</f>
        <v>xếp hạng tín dụng cá nhân</v>
      </c>
      <c r="CA35" s="21" t="str">
        <f>IFERROR(__xludf.DUMMYFUNCTION("""COMPUTED_VALUE"""),"https://techcombank.com/thong-tin/blog/dang-vay-tra-gop-co-vay-them-duoc-khong")</f>
        <v>https://techcombank.com/thong-tin/blog/dang-vay-tra-gop-co-vay-them-duoc-khong</v>
      </c>
      <c r="CB35" s="16" t="str">
        <f>IFERROR(__xludf.DUMMYFUNCTION("""COMPUTED_VALUE"""),"xếp hạng tín dụng")</f>
        <v>xếp hạng tín dụng</v>
      </c>
      <c r="CC35" s="21" t="str">
        <f>IFERROR(__xludf.DUMMYFUNCTION("""COMPUTED_VALUE"""),"https://techcombank.com/thong-tin/blog/vay-20-trieu")</f>
        <v>https://techcombank.com/thong-tin/blog/vay-20-trieu</v>
      </c>
      <c r="CD35" s="16"/>
      <c r="CE35" s="16"/>
      <c r="CF35" s="16"/>
      <c r="CG35" s="16"/>
      <c r="CH35" s="16"/>
      <c r="CI35" s="16"/>
      <c r="CJ35" s="16"/>
      <c r="CK35" s="16"/>
      <c r="CL35" s="16"/>
      <c r="CM35" s="16"/>
      <c r="CN35" s="16"/>
      <c r="CO35" s="16"/>
      <c r="CP35" s="16"/>
      <c r="CQ35" s="16"/>
      <c r="CR35" s="16"/>
      <c r="CS35" s="16"/>
      <c r="CT35" s="16"/>
      <c r="CU35" s="16"/>
      <c r="CV35" s="16"/>
      <c r="CW35" s="16"/>
      <c r="CX35" s="16"/>
      <c r="CY35" s="16"/>
      <c r="CZ35" s="16"/>
      <c r="DA35" s="16"/>
      <c r="DB35" s="16"/>
      <c r="DC35" s="16"/>
      <c r="DD35" s="16"/>
      <c r="DE35" s="16"/>
      <c r="DF35" s="16"/>
      <c r="DG35" s="16"/>
      <c r="DH35" s="16"/>
      <c r="DI35" s="16"/>
      <c r="DJ35" s="16"/>
      <c r="DK35" s="16"/>
      <c r="DL35" s="16"/>
      <c r="DM35" s="16"/>
      <c r="DN35" s="16"/>
      <c r="DO35" s="16"/>
      <c r="DP35" s="16"/>
      <c r="DQ35" s="16"/>
      <c r="DR35" s="16"/>
      <c r="DS35" s="16"/>
      <c r="DT35" s="16"/>
      <c r="DU35" s="16"/>
      <c r="DV35" s="16"/>
      <c r="DW35" s="16"/>
      <c r="DX35" s="16"/>
      <c r="DY35" s="16"/>
      <c r="DZ35" s="16"/>
      <c r="EA35" s="16"/>
      <c r="EB35" s="16"/>
      <c r="EC35" s="16"/>
      <c r="ED35" s="16"/>
      <c r="EE35" s="16"/>
      <c r="EF35" s="16"/>
      <c r="EG35" s="16"/>
      <c r="EH35" s="16"/>
      <c r="EI35" s="16"/>
      <c r="EJ35" s="16"/>
      <c r="EK35" s="16"/>
      <c r="EL35" s="16"/>
      <c r="EM35" s="16"/>
      <c r="EN35" s="16"/>
      <c r="EO35" s="16"/>
      <c r="EP35" s="16"/>
      <c r="EQ35" s="16"/>
      <c r="ER35" s="16"/>
      <c r="ES35" s="16"/>
      <c r="ET35" s="16"/>
      <c r="EU35" s="16"/>
      <c r="EV35" s="16"/>
      <c r="EW35" s="16"/>
      <c r="EX35" s="16"/>
      <c r="EY35" s="16"/>
      <c r="EZ35" s="16"/>
      <c r="FA35" s="16"/>
      <c r="FB35" s="16"/>
      <c r="FC35" s="16"/>
      <c r="FD35" s="16"/>
      <c r="FE35" s="16"/>
      <c r="FF35" s="16"/>
      <c r="FG35" s="16"/>
      <c r="FH35" s="16"/>
      <c r="FI35" s="16"/>
      <c r="FJ35" s="16"/>
      <c r="FK35" s="16"/>
      <c r="FL35" s="16"/>
      <c r="FM35" s="16"/>
      <c r="FN35" s="16"/>
      <c r="FO35" s="16"/>
      <c r="FP35" s="16"/>
      <c r="FQ35" s="16"/>
      <c r="FR35" s="16"/>
      <c r="FS35" s="16"/>
      <c r="FT35" s="16"/>
      <c r="FU35" s="16"/>
      <c r="FV35" s="16"/>
      <c r="FW35" s="16"/>
      <c r="FX35" s="16"/>
      <c r="FY35" s="16"/>
      <c r="FZ35" s="16"/>
      <c r="GA35" s="16"/>
      <c r="GB35" s="16"/>
      <c r="GC35" s="16"/>
      <c r="GD35" s="16"/>
      <c r="GE35" s="16"/>
      <c r="GF35" s="16"/>
      <c r="GG35" s="16"/>
      <c r="GH35" s="16"/>
      <c r="GI35" s="16"/>
      <c r="GJ35" s="16"/>
      <c r="GK35" s="16"/>
      <c r="GL35" s="16"/>
      <c r="GM35" s="16"/>
      <c r="GN35" s="16"/>
      <c r="GO35" s="16"/>
    </row>
    <row r="36" ht="18.0" customHeight="1">
      <c r="A36" s="15">
        <v>35.0</v>
      </c>
      <c r="B36" s="16" t="s">
        <v>827</v>
      </c>
      <c r="C36" s="17" t="s">
        <v>938</v>
      </c>
      <c r="D36" s="16" t="s">
        <v>313</v>
      </c>
      <c r="E36" s="15">
        <f>COUNTIF('Tổng hợp 75 trang đích'!$B$2:$B$2505,$D36)</f>
        <v>86</v>
      </c>
      <c r="F36" s="15">
        <f>COUNTIFS('Tổng hợp 75 trang đích'!$B$2:$B$2505,$D36,'Tổng hợp 75 trang đích'!$K$2:$K$2505,"PHÙ HỢP CAO")</f>
        <v>5</v>
      </c>
      <c r="G36" s="15">
        <f>COUNTIFS('Tổng hợp 75 trang đích'!$B$2:$B$2505,$D36,'Tổng hợp 75 trang đích'!$K$2:$K$2505,"CÓ THỂ ĐI")</f>
        <v>0</v>
      </c>
      <c r="H36" s="15">
        <f>COUNTIFS('Tổng hợp 75 trang đích'!$B$2:$B$2505,$D36,'Tổng hợp 75 trang đích'!$K$2:$K$2505,"CẦN SOÁT")</f>
        <v>81</v>
      </c>
      <c r="I36" s="19" t="s">
        <v>256</v>
      </c>
      <c r="J36" s="19" t="b">
        <v>0</v>
      </c>
      <c r="K36" s="20" t="s">
        <v>258</v>
      </c>
      <c r="L36" s="16" t="str">
        <f>IFERROR(__xludf.DUMMYFUNCTION("IFERROR(TOROW(CHOOSECOLS(SORT(FILTER({'Tổng hợp 75 trang đích'!$J$2:$J$2505,'Tổng hợp 75 trang đích'!$I$2:$I$2505,MATCH('Tổng hợp 75 trang đích'!$K$2:$K$2505,{""PHÙ HỢP CAO"",""CÓ THỂ ĐI"",""CẦN SOÁT""},0)},'Tổng hợp 75 trang đích'!$B$2:$B$2505=$D36),3,TR"&amp;"UE),1,2)),"""")"),"cách thanh toán thẻ tín dụng")</f>
        <v>cách thanh toán thẻ tín dụng</v>
      </c>
      <c r="M36" s="21" t="str">
        <f>IFERROR(__xludf.DUMMYFUNCTION("""COMPUTED_VALUE"""),"https://techcombank.com/thong-tin/blog/thanh-toan-toi-thieu-the-tin-dung")</f>
        <v>https://techcombank.com/thong-tin/blog/thanh-toan-toi-thieu-the-tin-dung</v>
      </c>
      <c r="N36" s="16" t="str">
        <f>IFERROR(__xludf.DUMMYFUNCTION("""COMPUTED_VALUE"""),"thanh toán dư nợ thẻ tín dụng")</f>
        <v>thanh toán dư nợ thẻ tín dụng</v>
      </c>
      <c r="O36" s="21" t="str">
        <f>IFERROR(__xludf.DUMMYFUNCTION("""COMPUTED_VALUE"""),"https://techcombank.com/thong-tin/blog/qua-han-thanh-toan-the-tin-dung-1-ngay")</f>
        <v>https://techcombank.com/thong-tin/blog/qua-han-thanh-toan-the-tin-dung-1-ngay</v>
      </c>
      <c r="P36" s="16" t="str">
        <f>IFERROR(__xludf.DUMMYFUNCTION("""COMPUTED_VALUE"""),"trả nợ thẻ tín dụng")</f>
        <v>trả nợ thẻ tín dụng</v>
      </c>
      <c r="Q36" s="21" t="str">
        <f>IFERROR(__xludf.DUMMYFUNCTION("""COMPUTED_VALUE"""),"https://techcombank.com/thong-tin/blog/sao-ke-the-tin-dung-la-gi")</f>
        <v>https://techcombank.com/thong-tin/blog/sao-ke-the-tin-dung-la-gi</v>
      </c>
      <c r="R36" s="16" t="str">
        <f>IFERROR(__xludf.DUMMYFUNCTION("""COMPUTED_VALUE"""),"cách thanh toán thẻ tín dụng")</f>
        <v>cách thanh toán thẻ tín dụng</v>
      </c>
      <c r="S36" s="21" t="str">
        <f>IFERROR(__xludf.DUMMYFUNCTION("""COMPUTED_VALUE"""),"https://techcombank.com/thong-tin/blog/no-the-tin-dung-qua-han")</f>
        <v>https://techcombank.com/thong-tin/blog/no-the-tin-dung-qua-han</v>
      </c>
      <c r="T36" s="16" t="str">
        <f>IFERROR(__xludf.DUMMYFUNCTION("""COMPUTED_VALUE"""),"thanh toán dư nợ thẻ tín dụng")</f>
        <v>thanh toán dư nợ thẻ tín dụng</v>
      </c>
      <c r="U36" s="21" t="str">
        <f>IFERROR(__xludf.DUMMYFUNCTION("""COMPUTED_VALUE"""),"https://techcombank.com/thong-tin/blog/the-tin-dung-mien-lai-55-ngay")</f>
        <v>https://techcombank.com/thong-tin/blog/the-tin-dung-mien-lai-55-ngay</v>
      </c>
      <c r="V36" s="16" t="str">
        <f>IFERROR(__xludf.DUMMYFUNCTION("""COMPUTED_VALUE"""),"trả nợ thẻ tín dụng")</f>
        <v>trả nợ thẻ tín dụng</v>
      </c>
      <c r="W36" s="21" t="str">
        <f>IFERROR(__xludf.DUMMYFUNCTION("""COMPUTED_VALUE"""),"https://techcombank.com/thong-tin/blog/du-no-la-gi")</f>
        <v>https://techcombank.com/thong-tin/blog/du-no-la-gi</v>
      </c>
      <c r="X36" s="16" t="str">
        <f>IFERROR(__xludf.DUMMYFUNCTION("""COMPUTED_VALUE"""),"cách thanh toán thẻ tín dụng")</f>
        <v>cách thanh toán thẻ tín dụng</v>
      </c>
      <c r="Y36" s="21" t="str">
        <f>IFERROR(__xludf.DUMMYFUNCTION("""COMPUTED_VALUE"""),"https://techcombank.com/thong-tin/blog/tai-khoan-doanh-nghiep-co-the-khong")</f>
        <v>https://techcombank.com/thong-tin/blog/tai-khoan-doanh-nghiep-co-the-khong</v>
      </c>
      <c r="Z36" s="16" t="str">
        <f>IFERROR(__xludf.DUMMYFUNCTION("""COMPUTED_VALUE"""),"thanh toán dư nợ thẻ tín dụng")</f>
        <v>thanh toán dư nợ thẻ tín dụng</v>
      </c>
      <c r="AA36" s="21" t="str">
        <f>IFERROR(__xludf.DUMMYFUNCTION("""COMPUTED_VALUE"""),"https://techcombank.com/thong-tin/blog/mm-yy-la-gi")</f>
        <v>https://techcombank.com/thong-tin/blog/mm-yy-la-gi</v>
      </c>
      <c r="AB36" s="16" t="str">
        <f>IFERROR(__xludf.DUMMYFUNCTION("""COMPUTED_VALUE"""),"trả nợ thẻ tín dụng")</f>
        <v>trả nợ thẻ tín dụng</v>
      </c>
      <c r="AC36" s="21" t="str">
        <f>IFERROR(__xludf.DUMMYFUNCTION("""COMPUTED_VALUE"""),"https://techcombank.com/thong-tin/blog/sao-ke-tai-khoan-doanh-nghiep")</f>
        <v>https://techcombank.com/thong-tin/blog/sao-ke-tai-khoan-doanh-nghiep</v>
      </c>
      <c r="AD36" s="16" t="str">
        <f>IFERROR(__xludf.DUMMYFUNCTION("""COMPUTED_VALUE"""),"cách thanh toán thẻ tín dụng")</f>
        <v>cách thanh toán thẻ tín dụng</v>
      </c>
      <c r="AE36" s="21" t="str">
        <f>IFERROR(__xludf.DUMMYFUNCTION("""COMPUTED_VALUE"""),"https://techcombank.com/thong-tin/blog/uu-dai-the-tin-dung-techcombank-signature")</f>
        <v>https://techcombank.com/thong-tin/blog/uu-dai-the-tin-dung-techcombank-signature</v>
      </c>
      <c r="AF36" s="16" t="str">
        <f>IFERROR(__xludf.DUMMYFUNCTION("""COMPUTED_VALUE"""),"thanh toán dư nợ thẻ tín dụng")</f>
        <v>thanh toán dư nợ thẻ tín dụng</v>
      </c>
      <c r="AG36" s="21" t="str">
        <f>IFERROR(__xludf.DUMMYFUNCTION("""COMPUTED_VALUE"""),"https://techcombank.com/thong-tin/blog/cac-loai-the-tin-dung")</f>
        <v>https://techcombank.com/thong-tin/blog/cac-loai-the-tin-dung</v>
      </c>
      <c r="AH36" s="16" t="str">
        <f>IFERROR(__xludf.DUMMYFUNCTION("""COMPUTED_VALUE"""),"trả nợ thẻ tín dụng")</f>
        <v>trả nợ thẻ tín dụng</v>
      </c>
      <c r="AI36" s="21" t="str">
        <f>IFERROR(__xludf.DUMMYFUNCTION("""COMPUTED_VALUE"""),"https://techcombank.com/thong-tin/blog/the-tin-dung-mien-phi-thuong-nien")</f>
        <v>https://techcombank.com/thong-tin/blog/the-tin-dung-mien-phi-thuong-nien</v>
      </c>
      <c r="AJ36" s="16" t="str">
        <f>IFERROR(__xludf.DUMMYFUNCTION("""COMPUTED_VALUE"""),"cách thanh toán thẻ tín dụng")</f>
        <v>cách thanh toán thẻ tín dụng</v>
      </c>
      <c r="AK36" s="21" t="str">
        <f>IFERROR(__xludf.DUMMYFUNCTION("""COMPUTED_VALUE"""),"https://techcombank.com/thong-tin/blog/uu-dai-mua-ve-may-bay-bang-the-tin-dung")</f>
        <v>https://techcombank.com/thong-tin/blog/uu-dai-mua-ve-may-bay-bang-the-tin-dung</v>
      </c>
      <c r="AL36" s="16" t="str">
        <f>IFERROR(__xludf.DUMMYFUNCTION("""COMPUTED_VALUE"""),"thanh toán dư nợ thẻ tín dụng")</f>
        <v>thanh toán dư nợ thẻ tín dụng</v>
      </c>
      <c r="AM36" s="21" t="str">
        <f>IFERROR(__xludf.DUMMYFUNCTION("""COMPUTED_VALUE"""),"https://techcombank.com/thong-tin/blog/mat-the-tin-dung-co-bi-mat-tien-khong")</f>
        <v>https://techcombank.com/thong-tin/blog/mat-the-tin-dung-co-bi-mat-tien-khong</v>
      </c>
      <c r="AN36" s="16" t="str">
        <f>IFERROR(__xludf.DUMMYFUNCTION("""COMPUTED_VALUE"""),"trả nợ thẻ tín dụng")</f>
        <v>trả nợ thẻ tín dụng</v>
      </c>
      <c r="AO36" s="21" t="str">
        <f>IFERROR(__xludf.DUMMYFUNCTION("""COMPUTED_VALUE"""),"https://techcombank.com/thong-tin/blog/so-cvv-la-gi")</f>
        <v>https://techcombank.com/thong-tin/blog/so-cvv-la-gi</v>
      </c>
      <c r="AP36" s="16" t="str">
        <f>IFERROR(__xludf.DUMMYFUNCTION("""COMPUTED_VALUE"""),"cách thanh toán thẻ tín dụng")</f>
        <v>cách thanh toán thẻ tín dụng</v>
      </c>
      <c r="AQ36" s="21" t="str">
        <f>IFERROR(__xludf.DUMMYFUNCTION("""COMPUTED_VALUE"""),"https://techcombank.com/thong-tin/blog/the-tin-dung-nao-nhieu-uu-dai-nhat")</f>
        <v>https://techcombank.com/thong-tin/blog/the-tin-dung-nao-nhieu-uu-dai-nhat</v>
      </c>
      <c r="AR36" s="16" t="str">
        <f>IFERROR(__xludf.DUMMYFUNCTION("""COMPUTED_VALUE"""),"thanh toán dư nợ thẻ tín dụng")</f>
        <v>thanh toán dư nợ thẻ tín dụng</v>
      </c>
      <c r="AS36" s="21" t="str">
        <f>IFERROR(__xludf.DUMMYFUNCTION("""COMPUTED_VALUE"""),"https://techcombank.com/thong-tin/blog/cach-lam-the-ngan-hang-chay-quang-cao-facebook")</f>
        <v>https://techcombank.com/thong-tin/blog/cach-lam-the-ngan-hang-chay-quang-cao-facebook</v>
      </c>
      <c r="AT36" s="16" t="str">
        <f>IFERROR(__xludf.DUMMYFUNCTION("""COMPUTED_VALUE"""),"trả nợ thẻ tín dụng")</f>
        <v>trả nợ thẻ tín dụng</v>
      </c>
      <c r="AU36" s="21" t="str">
        <f>IFERROR(__xludf.DUMMYFUNCTION("""COMPUTED_VALUE"""),"https://techcombank.com/thong-tin/blog/mua-iphone-17")</f>
        <v>https://techcombank.com/thong-tin/blog/mua-iphone-17</v>
      </c>
      <c r="AV36" s="16" t="str">
        <f>IFERROR(__xludf.DUMMYFUNCTION("""COMPUTED_VALUE"""),"cách thanh toán thẻ tín dụng")</f>
        <v>cách thanh toán thẻ tín dụng</v>
      </c>
      <c r="AW36" s="21" t="str">
        <f>IFERROR(__xludf.DUMMYFUNCTION("""COMPUTED_VALUE"""),"https://techcombank.com/thong-tin/blog/the-visa-co-can-mat-khau-khong")</f>
        <v>https://techcombank.com/thong-tin/blog/the-visa-co-can-mat-khau-khong</v>
      </c>
      <c r="AX36" s="16" t="str">
        <f>IFERROR(__xludf.DUMMYFUNCTION("""COMPUTED_VALUE"""),"thanh toán dư nợ thẻ tín dụng")</f>
        <v>thanh toán dư nợ thẻ tín dụng</v>
      </c>
      <c r="AY36" s="21" t="str">
        <f>IFERROR(__xludf.DUMMYFUNCTION("""COMPUTED_VALUE"""),"https://techcombank.com/thong-tin/blog/mua-truoc-tra-sau")</f>
        <v>https://techcombank.com/thong-tin/blog/mua-truoc-tra-sau</v>
      </c>
      <c r="AZ36" s="16" t="str">
        <f>IFERROR(__xludf.DUMMYFUNCTION("""COMPUTED_VALUE"""),"trả nợ thẻ tín dụng")</f>
        <v>trả nợ thẻ tín dụng</v>
      </c>
      <c r="BA36" s="21" t="str">
        <f>IFERROR(__xludf.DUMMYFUNCTION("""COMPUTED_VALUE"""),"https://techcombank.com/thong-tin/blog/tra-cuu-han-muc-the-tin-dung")</f>
        <v>https://techcombank.com/thong-tin/blog/tra-cuu-han-muc-the-tin-dung</v>
      </c>
      <c r="BB36" s="16" t="str">
        <f>IFERROR(__xludf.DUMMYFUNCTION("""COMPUTED_VALUE"""),"cách thanh toán thẻ tín dụng")</f>
        <v>cách thanh toán thẻ tín dụng</v>
      </c>
      <c r="BC36" s="21" t="str">
        <f>IFERROR(__xludf.DUMMYFUNCTION("""COMPUTED_VALUE"""),"https://techcombank.com/thong-tin/blog/the-ghi-no-va-the-tin-dung")</f>
        <v>https://techcombank.com/thong-tin/blog/the-ghi-no-va-the-tin-dung</v>
      </c>
      <c r="BD36" s="16" t="str">
        <f>IFERROR(__xludf.DUMMYFUNCTION("""COMPUTED_VALUE"""),"thanh toán dư nợ thẻ tín dụng")</f>
        <v>thanh toán dư nợ thẻ tín dụng</v>
      </c>
      <c r="BE36" s="21" t="str">
        <f>IFERROR(__xludf.DUMMYFUNCTION("""COMPUTED_VALUE"""),"https://techcombank.com/thong-tin/blog/the-tin-dung-het-han")</f>
        <v>https://techcombank.com/thong-tin/blog/the-tin-dung-het-han</v>
      </c>
      <c r="BF36" s="16" t="str">
        <f>IFERROR(__xludf.DUMMYFUNCTION("""COMPUTED_VALUE"""),"trả nợ thẻ tín dụng")</f>
        <v>trả nợ thẻ tín dụng</v>
      </c>
      <c r="BG36" s="21" t="str">
        <f>IFERROR(__xludf.DUMMYFUNCTION("""COMPUTED_VALUE"""),"https://techcombank.com/thong-tin/blog/cach-huy-the-tin-dung")</f>
        <v>https://techcombank.com/thong-tin/blog/cach-huy-the-tin-dung</v>
      </c>
      <c r="BH36" s="16" t="str">
        <f>IFERROR(__xludf.DUMMYFUNCTION("""COMPUTED_VALUE"""),"cách thanh toán thẻ tín dụng")</f>
        <v>cách thanh toán thẻ tín dụng</v>
      </c>
      <c r="BI36" s="21" t="str">
        <f>IFERROR(__xludf.DUMMYFUNCTION("""COMPUTED_VALUE"""),"https://techcombank.com/thong-tin/blog/co-nen-dung-the-tin-dung-khong")</f>
        <v>https://techcombank.com/thong-tin/blog/co-nen-dung-the-tin-dung-khong</v>
      </c>
      <c r="BJ36" s="16" t="str">
        <f>IFERROR(__xludf.DUMMYFUNCTION("""COMPUTED_VALUE"""),"thanh toán dư nợ thẻ tín dụng")</f>
        <v>thanh toán dư nợ thẻ tín dụng</v>
      </c>
      <c r="BK36" s="21" t="str">
        <f>IFERROR(__xludf.DUMMYFUNCTION("""COMPUTED_VALUE"""),"https://techcombank.com/thong-tin/blog/ma-buu-chinh-the-tin-dung")</f>
        <v>https://techcombank.com/thong-tin/blog/ma-buu-chinh-the-tin-dung</v>
      </c>
      <c r="BL36" s="16" t="str">
        <f>IFERROR(__xludf.DUMMYFUNCTION("""COMPUTED_VALUE"""),"trả nợ thẻ tín dụng")</f>
        <v>trả nợ thẻ tín dụng</v>
      </c>
      <c r="BM36" s="21" t="str">
        <f>IFERROR(__xludf.DUMMYFUNCTION("""COMPUTED_VALUE"""),"https://techcombank.com/thong-tin/blog/the-tin-dung-quoc-te")</f>
        <v>https://techcombank.com/thong-tin/blog/the-tin-dung-quoc-te</v>
      </c>
      <c r="BN36" s="16" t="str">
        <f>IFERROR(__xludf.DUMMYFUNCTION("""COMPUTED_VALUE"""),"cách thanh toán thẻ tín dụng")</f>
        <v>cách thanh toán thẻ tín dụng</v>
      </c>
      <c r="BO36" s="21" t="str">
        <f>IFERROR(__xludf.DUMMYFUNCTION("""COMPUTED_VALUE"""),"https://techcombank.com/thong-tin/blog/phi-rut-tien-mat-the-tin-dung")</f>
        <v>https://techcombank.com/thong-tin/blog/phi-rut-tien-mat-the-tin-dung</v>
      </c>
      <c r="BP36" s="16" t="str">
        <f>IFERROR(__xludf.DUMMYFUNCTION("""COMPUTED_VALUE"""),"thanh toán dư nợ thẻ tín dụng")</f>
        <v>thanh toán dư nợ thẻ tín dụng</v>
      </c>
      <c r="BQ36" s="21" t="str">
        <f>IFERROR(__xludf.DUMMYFUNCTION("""COMPUTED_VALUE"""),"https://techcombank.com/thong-tin/blog/vay-ngan-hang-1-ty-moi-thang-tra-bao-nhieu")</f>
        <v>https://techcombank.com/thong-tin/blog/vay-ngan-hang-1-ty-moi-thang-tra-bao-nhieu</v>
      </c>
      <c r="BR36" s="16" t="str">
        <f>IFERROR(__xludf.DUMMYFUNCTION("""COMPUTED_VALUE"""),"trả nợ thẻ tín dụng")</f>
        <v>trả nợ thẻ tín dụng</v>
      </c>
      <c r="BS36" s="21" t="str">
        <f>IFERROR(__xludf.DUMMYFUNCTION("""COMPUTED_VALUE"""),"https://techcombank.com/thong-tin/blog/the-tin-dung-den")</f>
        <v>https://techcombank.com/thong-tin/blog/the-tin-dung-den</v>
      </c>
      <c r="BT36" s="16" t="str">
        <f>IFERROR(__xludf.DUMMYFUNCTION("""COMPUTED_VALUE"""),"cách thanh toán thẻ tín dụng")</f>
        <v>cách thanh toán thẻ tín dụng</v>
      </c>
      <c r="BU36" s="21" t="str">
        <f>IFERROR(__xludf.DUMMYFUNCTION("""COMPUTED_VALUE"""),"https://techcombank.com/thong-tin/blog/dao-han-the-tin-dung")</f>
        <v>https://techcombank.com/thong-tin/blog/dao-han-the-tin-dung</v>
      </c>
      <c r="BV36" s="16" t="str">
        <f>IFERROR(__xludf.DUMMYFUNCTION("""COMPUTED_VALUE"""),"thanh toán dư nợ thẻ tín dụng")</f>
        <v>thanh toán dư nợ thẻ tín dụng</v>
      </c>
      <c r="BW36" s="21" t="str">
        <f>IFERROR(__xludf.DUMMYFUNCTION("""COMPUTED_VALUE"""),"https://techcombank.com/thong-tin/blog/sao-ke-luong")</f>
        <v>https://techcombank.com/thong-tin/blog/sao-ke-luong</v>
      </c>
      <c r="BX36" s="16" t="str">
        <f>IFERROR(__xludf.DUMMYFUNCTION("""COMPUTED_VALUE"""),"trả nợ thẻ tín dụng")</f>
        <v>trả nợ thẻ tín dụng</v>
      </c>
      <c r="BY36" s="21" t="str">
        <f>IFERROR(__xludf.DUMMYFUNCTION("""COMPUTED_VALUE"""),"https://techcombank.com/thong-tin/blog/thanh-toan-online-bang-the-tin-dung")</f>
        <v>https://techcombank.com/thong-tin/blog/thanh-toan-online-bang-the-tin-dung</v>
      </c>
      <c r="BZ36" s="16" t="str">
        <f>IFERROR(__xludf.DUMMYFUNCTION("""COMPUTED_VALUE"""),"cách thanh toán thẻ tín dụng")</f>
        <v>cách thanh toán thẻ tín dụng</v>
      </c>
      <c r="CA36" s="21" t="str">
        <f>IFERROR(__xludf.DUMMYFUNCTION("""COMPUTED_VALUE"""),"https://techcombank.com/thong-tin/blog/uu-dai-mo-the-tin-dung")</f>
        <v>https://techcombank.com/thong-tin/blog/uu-dai-mo-the-tin-dung</v>
      </c>
      <c r="CB36" s="16" t="str">
        <f>IFERROR(__xludf.DUMMYFUNCTION("""COMPUTED_VALUE"""),"thanh toán dư nợ thẻ tín dụng")</f>
        <v>thanh toán dư nợ thẻ tín dụng</v>
      </c>
      <c r="CC36" s="21" t="str">
        <f>IFERROR(__xludf.DUMMYFUNCTION("""COMPUTED_VALUE"""),"https://techcombank.com/thong-tin/blog/the-tin-dung-co-chuyen-khoan-duoc-khong")</f>
        <v>https://techcombank.com/thong-tin/blog/the-tin-dung-co-chuyen-khoan-duoc-khong</v>
      </c>
      <c r="CD36" s="16" t="str">
        <f>IFERROR(__xludf.DUMMYFUNCTION("""COMPUTED_VALUE"""),"trả nợ thẻ tín dụng")</f>
        <v>trả nợ thẻ tín dụng</v>
      </c>
      <c r="CE36" s="21" t="str">
        <f>IFERROR(__xludf.DUMMYFUNCTION("""COMPUTED_VALUE"""),"https://techcombank.com/thong-tin/blog/the-tin-dung-techcombank-visa-eco")</f>
        <v>https://techcombank.com/thong-tin/blog/the-tin-dung-techcombank-visa-eco</v>
      </c>
      <c r="CF36" s="16" t="str">
        <f>IFERROR(__xludf.DUMMYFUNCTION("""COMPUTED_VALUE"""),"cách thanh toán thẻ tín dụng")</f>
        <v>cách thanh toán thẻ tín dụng</v>
      </c>
      <c r="CG36" s="21" t="str">
        <f>IFERROR(__xludf.DUMMYFUNCTION("""COMPUTED_VALUE"""),"https://techcombank.com/thong-tin/blog/mo-the-tin-dung-han-muc-cao")</f>
        <v>https://techcombank.com/thong-tin/blog/mo-the-tin-dung-han-muc-cao</v>
      </c>
      <c r="CH36" s="16" t="str">
        <f>IFERROR(__xludf.DUMMYFUNCTION("""COMPUTED_VALUE"""),"thanh toán dư nợ thẻ tín dụng")</f>
        <v>thanh toán dư nợ thẻ tín dụng</v>
      </c>
      <c r="CI36" s="21" t="str">
        <f>IFERROR(__xludf.DUMMYFUNCTION("""COMPUTED_VALUE"""),"https://techcombank.com/thong-tin/blog/uu-dai-the-tin-dung")</f>
        <v>https://techcombank.com/thong-tin/blog/uu-dai-the-tin-dung</v>
      </c>
      <c r="CJ36" s="16" t="str">
        <f>IFERROR(__xludf.DUMMYFUNCTION("""COMPUTED_VALUE"""),"trả nợ thẻ tín dụng")</f>
        <v>trả nợ thẻ tín dụng</v>
      </c>
      <c r="CK36" s="21" t="str">
        <f>IFERROR(__xludf.DUMMYFUNCTION("""COMPUTED_VALUE"""),"https://techcombank.com/thong-tin/blog/3d-secure")</f>
        <v>https://techcombank.com/thong-tin/blog/3d-secure</v>
      </c>
      <c r="CL36" s="16" t="str">
        <f>IFERROR(__xludf.DUMMYFUNCTION("""COMPUTED_VALUE"""),"cách thanh toán thẻ tín dụng")</f>
        <v>cách thanh toán thẻ tín dụng</v>
      </c>
      <c r="CM36" s="21" t="str">
        <f>IFERROR(__xludf.DUMMYFUNCTION("""COMPUTED_VALUE"""),"https://techcombank.com/thong-tin/blog/lai-suat-the-tin-dung")</f>
        <v>https://techcombank.com/thong-tin/blog/lai-suat-the-tin-dung</v>
      </c>
      <c r="CN36" s="16" t="str">
        <f>IFERROR(__xludf.DUMMYFUNCTION("""COMPUTED_VALUE"""),"thanh toán dư nợ thẻ tín dụng")</f>
        <v>thanh toán dư nợ thẻ tín dụng</v>
      </c>
      <c r="CO36" s="21" t="str">
        <f>IFERROR(__xludf.DUMMYFUNCTION("""COMPUTED_VALUE"""),"https://techcombank.com/thong-tin/blog/mo-the-tin-dung-co-loi-ich-gi")</f>
        <v>https://techcombank.com/thong-tin/blog/mo-the-tin-dung-co-loi-ich-gi</v>
      </c>
      <c r="CP36" s="16" t="str">
        <f>IFERROR(__xludf.DUMMYFUNCTION("""COMPUTED_VALUE"""),"trả nợ thẻ tín dụng")</f>
        <v>trả nợ thẻ tín dụng</v>
      </c>
      <c r="CQ36" s="21" t="str">
        <f>IFERROR(__xludf.DUMMYFUNCTION("""COMPUTED_VALUE"""),"https://techcombank.com/thong-tin/blog/the-tin-dung-ao")</f>
        <v>https://techcombank.com/thong-tin/blog/the-tin-dung-ao</v>
      </c>
      <c r="CR36" s="16" t="str">
        <f>IFERROR(__xludf.DUMMYFUNCTION("""COMPUTED_VALUE"""),"cách thanh toán thẻ tín dụng")</f>
        <v>cách thanh toán thẻ tín dụng</v>
      </c>
      <c r="CS36" s="21" t="str">
        <f>IFERROR(__xludf.DUMMYFUNCTION("""COMPUTED_VALUE"""),"https://techcombank.com/thong-tin/blog/tra-gop-shopee")</f>
        <v>https://techcombank.com/thong-tin/blog/tra-gop-shopee</v>
      </c>
      <c r="CT36" s="16" t="str">
        <f>IFERROR(__xludf.DUMMYFUNCTION("""COMPUTED_VALUE"""),"thanh toán dư nợ thẻ tín dụng")</f>
        <v>thanh toán dư nợ thẻ tín dụng</v>
      </c>
      <c r="CU36" s="21" t="str">
        <f>IFERROR(__xludf.DUMMYFUNCTION("""COMPUTED_VALUE"""),"https://techcombank.com/thong-tin/blog/thanh-toan-tien-dien-bang-the-tin-dung")</f>
        <v>https://techcombank.com/thong-tin/blog/thanh-toan-tien-dien-bang-the-tin-dung</v>
      </c>
      <c r="CV36" s="16" t="str">
        <f>IFERROR(__xludf.DUMMYFUNCTION("""COMPUTED_VALUE"""),"trả nợ thẻ tín dụng")</f>
        <v>trả nợ thẻ tín dụng</v>
      </c>
      <c r="CW36" s="21" t="str">
        <f>IFERROR(__xludf.DUMMYFUNCTION("""COMPUTED_VALUE"""),"https://techcombank.com/thong-tin/blog/thanh-toan-tra-gop-qua-the-tin-dung")</f>
        <v>https://techcombank.com/thong-tin/blog/thanh-toan-tra-gop-qua-the-tin-dung</v>
      </c>
      <c r="CX36" s="16" t="str">
        <f>IFERROR(__xludf.DUMMYFUNCTION("""COMPUTED_VALUE"""),"cách thanh toán thẻ tín dụng")</f>
        <v>cách thanh toán thẻ tín dụng</v>
      </c>
      <c r="CY36" s="21" t="str">
        <f>IFERROR(__xludf.DUMMYFUNCTION("""COMPUTED_VALUE"""),"https://techcombank.com/thong-tin/blog/tra-gop-lazada")</f>
        <v>https://techcombank.com/thong-tin/blog/tra-gop-lazada</v>
      </c>
      <c r="CZ36" s="16" t="str">
        <f>IFERROR(__xludf.DUMMYFUNCTION("""COMPUTED_VALUE"""),"thanh toán dư nợ thẻ tín dụng")</f>
        <v>thanh toán dư nợ thẻ tín dụng</v>
      </c>
      <c r="DA36" s="21" t="str">
        <f>IFERROR(__xludf.DUMMYFUNCTION("""COMPUTED_VALUE"""),"https://techcombank.com/thong-tin/blog/lam-the-tin-dung")</f>
        <v>https://techcombank.com/thong-tin/blog/lam-the-tin-dung</v>
      </c>
      <c r="DB36" s="16" t="str">
        <f>IFERROR(__xludf.DUMMYFUNCTION("""COMPUTED_VALUE"""),"trả nợ thẻ tín dụng")</f>
        <v>trả nợ thẻ tín dụng</v>
      </c>
      <c r="DC36" s="21" t="str">
        <f>IFERROR(__xludf.DUMMYFUNCTION("""COMPUTED_VALUE"""),"https://techcombank.com/thong-tin/blog/the-tin-dung-co-ma-pin-khong")</f>
        <v>https://techcombank.com/thong-tin/blog/the-tin-dung-co-ma-pin-khong</v>
      </c>
      <c r="DD36" s="16" t="str">
        <f>IFERROR(__xludf.DUMMYFUNCTION("""COMPUTED_VALUE"""),"cách thanh toán thẻ tín dụng")</f>
        <v>cách thanh toán thẻ tín dụng</v>
      </c>
      <c r="DE36" s="21" t="str">
        <f>IFERROR(__xludf.DUMMYFUNCTION("""COMPUTED_VALUE"""),"https://techcombank.com/thong-tin/blog/cic-la-gi")</f>
        <v>https://techcombank.com/thong-tin/blog/cic-la-gi</v>
      </c>
      <c r="DF36" s="16" t="str">
        <f>IFERROR(__xludf.DUMMYFUNCTION("""COMPUTED_VALUE"""),"thanh toán dư nợ thẻ tín dụng")</f>
        <v>thanh toán dư nợ thẻ tín dụng</v>
      </c>
      <c r="DG36" s="21" t="str">
        <f>IFERROR(__xludf.DUMMYFUNCTION("""COMPUTED_VALUE"""),"https://techcombank.com/thong-tin/blog/the-tin-dung-noi-dia")</f>
        <v>https://techcombank.com/thong-tin/blog/the-tin-dung-noi-dia</v>
      </c>
      <c r="DH36" s="16" t="str">
        <f>IFERROR(__xludf.DUMMYFUNCTION("""COMPUTED_VALUE"""),"trả nợ thẻ tín dụng")</f>
        <v>trả nợ thẻ tín dụng</v>
      </c>
      <c r="DI36" s="21" t="str">
        <f>IFERROR(__xludf.DUMMYFUNCTION("""COMPUTED_VALUE"""),"https://techcombank.com/thong-tin/blog/lam-ho-so-tra-gop-dien-thoai")</f>
        <v>https://techcombank.com/thong-tin/blog/lam-ho-so-tra-gop-dien-thoai</v>
      </c>
      <c r="DJ36" s="16" t="str">
        <f>IFERROR(__xludf.DUMMYFUNCTION("""COMPUTED_VALUE"""),"cách thanh toán thẻ tín dụng")</f>
        <v>cách thanh toán thẻ tín dụng</v>
      </c>
      <c r="DK36" s="21" t="str">
        <f>IFERROR(__xludf.DUMMYFUNCTION("""COMPUTED_VALUE"""),"https://techcombank.com/thong-tin/blog/lai-suat-ngan-hang-cho-vay-xay-nha")</f>
        <v>https://techcombank.com/thong-tin/blog/lai-suat-ngan-hang-cho-vay-xay-nha</v>
      </c>
      <c r="DL36" s="16" t="str">
        <f>IFERROR(__xludf.DUMMYFUNCTION("""COMPUTED_VALUE"""),"thanh toán dư nợ thẻ tín dụng")</f>
        <v>thanh toán dư nợ thẻ tín dụng</v>
      </c>
      <c r="DM36" s="21" t="str">
        <f>IFERROR(__xludf.DUMMYFUNCTION("""COMPUTED_VALUE"""),"https://techcombank.com/thong-tin/blog/the-tin-dung-la-gi")</f>
        <v>https://techcombank.com/thong-tin/blog/the-tin-dung-la-gi</v>
      </c>
      <c r="DN36" s="16" t="str">
        <f>IFERROR(__xludf.DUMMYFUNCTION("""COMPUTED_VALUE"""),"trả nợ thẻ tín dụng")</f>
        <v>trả nợ thẻ tín dụng</v>
      </c>
      <c r="DO36" s="21" t="str">
        <f>IFERROR(__xludf.DUMMYFUNCTION("""COMPUTED_VALUE"""),"https://techcombank.com/thong-tin/blog/cach-su-dung-the-tin-dung")</f>
        <v>https://techcombank.com/thong-tin/blog/cach-su-dung-the-tin-dung</v>
      </c>
      <c r="DP36" s="16" t="str">
        <f>IFERROR(__xludf.DUMMYFUNCTION("""COMPUTED_VALUE"""),"cách thanh toán thẻ tín dụng")</f>
        <v>cách thanh toán thẻ tín dụng</v>
      </c>
      <c r="DQ36" s="21" t="str">
        <f>IFERROR(__xludf.DUMMYFUNCTION("""COMPUTED_VALUE"""),"https://techcombank.com/thong-tin/blog/han-muc-the-tin-dung")</f>
        <v>https://techcombank.com/thong-tin/blog/han-muc-the-tin-dung</v>
      </c>
      <c r="DR36" s="16" t="str">
        <f>IFERROR(__xludf.DUMMYFUNCTION("""COMPUTED_VALUE"""),"thanh toán dư nợ thẻ tín dụng")</f>
        <v>thanh toán dư nợ thẻ tín dụng</v>
      </c>
      <c r="DS36" s="21" t="str">
        <f>IFERROR(__xludf.DUMMYFUNCTION("""COMPUTED_VALUE"""),"https://techcombank.com/thong-tin/blog/nang-han-muc-tin-dung")</f>
        <v>https://techcombank.com/thong-tin/blog/nang-han-muc-tin-dung</v>
      </c>
      <c r="DT36" s="16" t="str">
        <f>IFERROR(__xludf.DUMMYFUNCTION("""COMPUTED_VALUE"""),"trả nợ thẻ tín dụng")</f>
        <v>trả nợ thẻ tín dụng</v>
      </c>
      <c r="DU36" s="21" t="str">
        <f>IFERROR(__xludf.DUMMYFUNCTION("""COMPUTED_VALUE"""),"https://techcombank.com/thong-tin/blog/vay-200-trieu")</f>
        <v>https://techcombank.com/thong-tin/blog/vay-200-trieu</v>
      </c>
      <c r="DV36" s="16" t="str">
        <f>IFERROR(__xludf.DUMMYFUNCTION("""COMPUTED_VALUE"""),"cách thanh toán thẻ tín dụng")</f>
        <v>cách thanh toán thẻ tín dụng</v>
      </c>
      <c r="DW36" s="21" t="str">
        <f>IFERROR(__xludf.DUMMYFUNCTION("""COMPUTED_VALUE"""),"https://techcombank.com/thong-tin/blog/vay-tin-chap-theo-luong")</f>
        <v>https://techcombank.com/thong-tin/blog/vay-tin-chap-theo-luong</v>
      </c>
      <c r="DX36" s="16" t="str">
        <f>IFERROR(__xludf.DUMMYFUNCTION("""COMPUTED_VALUE"""),"thanh toán dư nợ thẻ tín dụng")</f>
        <v>thanh toán dư nợ thẻ tín dụng</v>
      </c>
      <c r="DY36" s="21" t="str">
        <f>IFERROR(__xludf.DUMMYFUNCTION("""COMPUTED_VALUE"""),"https://techcombank.com/thong-tin/blog/tra-gop-qua-the-tin-dung")</f>
        <v>https://techcombank.com/thong-tin/blog/tra-gop-qua-the-tin-dung</v>
      </c>
      <c r="DZ36" s="16" t="str">
        <f>IFERROR(__xludf.DUMMYFUNCTION("""COMPUTED_VALUE"""),"trả nợ thẻ tín dụng")</f>
        <v>trả nợ thẻ tín dụng</v>
      </c>
      <c r="EA36" s="21" t="str">
        <f>IFERROR(__xludf.DUMMYFUNCTION("""COMPUTED_VALUE"""),"https://techcombank.com/thong-tin/blog/lam-the-tin-dung-co-mat-phi-khong")</f>
        <v>https://techcombank.com/thong-tin/blog/lam-the-tin-dung-co-mat-phi-khong</v>
      </c>
      <c r="EB36" s="16" t="str">
        <f>IFERROR(__xludf.DUMMYFUNCTION("""COMPUTED_VALUE"""),"cách thanh toán thẻ tín dụng")</f>
        <v>cách thanh toán thẻ tín dụng</v>
      </c>
      <c r="EC36" s="21" t="str">
        <f>IFERROR(__xludf.DUMMYFUNCTION("""COMPUTED_VALUE"""),"https://techcombank.com/thong-tin/blog/kich-hoat-the-tin-dung-techcombank")</f>
        <v>https://techcombank.com/thong-tin/blog/kich-hoat-the-tin-dung-techcombank</v>
      </c>
      <c r="ED36" s="16" t="str">
        <f>IFERROR(__xludf.DUMMYFUNCTION("""COMPUTED_VALUE"""),"thanh toán dư nợ thẻ tín dụng")</f>
        <v>thanh toán dư nợ thẻ tín dụng</v>
      </c>
      <c r="EE36" s="21" t="str">
        <f>IFERROR(__xludf.DUMMYFUNCTION("""COMPUTED_VALUE"""),"https://techcombank.com/thong-tin/blog/the-tin-dung-bi-khoa")</f>
        <v>https://techcombank.com/thong-tin/blog/the-tin-dung-bi-khoa</v>
      </c>
      <c r="EF36" s="16" t="str">
        <f>IFERROR(__xludf.DUMMYFUNCTION("""COMPUTED_VALUE"""),"trả nợ thẻ tín dụng")</f>
        <v>trả nợ thẻ tín dụng</v>
      </c>
      <c r="EG36" s="21" t="str">
        <f>IFERROR(__xludf.DUMMYFUNCTION("""COMPUTED_VALUE"""),"https://techcombank.com/thong-tin/blog/no-xau-mo-the-tin-dung-duoc-khong")</f>
        <v>https://techcombank.com/thong-tin/blog/no-xau-mo-the-tin-dung-duoc-khong</v>
      </c>
      <c r="EH36" s="16" t="str">
        <f>IFERROR(__xludf.DUMMYFUNCTION("""COMPUTED_VALUE"""),"cách thanh toán thẻ tín dụng")</f>
        <v>cách thanh toán thẻ tín dụng</v>
      </c>
      <c r="EI36" s="21" t="str">
        <f>IFERROR(__xludf.DUMMYFUNCTION("""COMPUTED_VALUE"""),"https://techcombank.com/thong-tin/blog/cach-tinh-lai-vay-ngan-hang")</f>
        <v>https://techcombank.com/thong-tin/blog/cach-tinh-lai-vay-ngan-hang</v>
      </c>
      <c r="EJ36" s="16" t="str">
        <f>IFERROR(__xludf.DUMMYFUNCTION("""COMPUTED_VALUE"""),"thanh toán dư nợ thẻ tín dụng")</f>
        <v>thanh toán dư nợ thẻ tín dụng</v>
      </c>
      <c r="EK36" s="21" t="str">
        <f>IFERROR(__xludf.DUMMYFUNCTION("""COMPUTED_VALUE"""),"https://techcombank.com/thong-tin/blog/mo-the-tin-dung-chi-can-cccd")</f>
        <v>https://techcombank.com/thong-tin/blog/mo-the-tin-dung-chi-can-cccd</v>
      </c>
      <c r="EL36" s="16" t="str">
        <f>IFERROR(__xludf.DUMMYFUNCTION("""COMPUTED_VALUE"""),"trả nợ thẻ tín dụng")</f>
        <v>trả nợ thẻ tín dụng</v>
      </c>
      <c r="EM36" s="21" t="str">
        <f>IFERROR(__xludf.DUMMYFUNCTION("""COMPUTED_VALUE"""),"https://techcombank.com/thong-tin/blog/luu-y-khi-su-dung-the-tin-dung")</f>
        <v>https://techcombank.com/thong-tin/blog/luu-y-khi-su-dung-the-tin-dung</v>
      </c>
      <c r="EN36" s="16" t="str">
        <f>IFERROR(__xludf.DUMMYFUNCTION("""COMPUTED_VALUE"""),"cách thanh toán thẻ tín dụng")</f>
        <v>cách thanh toán thẻ tín dụng</v>
      </c>
      <c r="EO36" s="21" t="str">
        <f>IFERROR(__xludf.DUMMYFUNCTION("""COMPUTED_VALUE"""),"https://techcombank.com/thong-tin/blog/thoi-gian-hoan-tien-the-tin-dung")</f>
        <v>https://techcombank.com/thong-tin/blog/thoi-gian-hoan-tien-the-tin-dung</v>
      </c>
      <c r="EP36" s="16" t="str">
        <f>IFERROR(__xludf.DUMMYFUNCTION("""COMPUTED_VALUE"""),"thanh toán dư nợ thẻ tín dụng")</f>
        <v>thanh toán dư nợ thẻ tín dụng</v>
      </c>
      <c r="EQ36" s="21" t="str">
        <f>IFERROR(__xludf.DUMMYFUNCTION("""COMPUTED_VALUE"""),"https://techcombank.com/thong-tin/blog/du-no-tin-dung-la-gi")</f>
        <v>https://techcombank.com/thong-tin/blog/du-no-tin-dung-la-gi</v>
      </c>
      <c r="ER36" s="16" t="str">
        <f>IFERROR(__xludf.DUMMYFUNCTION("""COMPUTED_VALUE"""),"trả nợ thẻ tín dụng")</f>
        <v>trả nợ thẻ tín dụng</v>
      </c>
      <c r="ES36" s="21" t="str">
        <f>IFERROR(__xludf.DUMMYFUNCTION("""COMPUTED_VALUE"""),"https://techcombank.com/thong-tin/blog/lai-suat-qua-han")</f>
        <v>https://techcombank.com/thong-tin/blog/lai-suat-qua-han</v>
      </c>
      <c r="ET36" s="16" t="str">
        <f>IFERROR(__xludf.DUMMYFUNCTION("""COMPUTED_VALUE"""),"cách thanh toán thẻ tín dụng")</f>
        <v>cách thanh toán thẻ tín dụng</v>
      </c>
      <c r="EU36" s="21" t="str">
        <f>IFERROR(__xludf.DUMMYFUNCTION("""COMPUTED_VALUE"""),"https://techcombank.com/thong-tin/blog/mat-the-tin-dung-co-lam-lai-duoc-khong")</f>
        <v>https://techcombank.com/thong-tin/blog/mat-the-tin-dung-co-lam-lai-duoc-khong</v>
      </c>
      <c r="EV36" s="16" t="str">
        <f>IFERROR(__xludf.DUMMYFUNCTION("""COMPUTED_VALUE"""),"thanh toán dư nợ thẻ tín dụng")</f>
        <v>thanh toán dư nợ thẻ tín dụng</v>
      </c>
      <c r="EW36" s="21" t="str">
        <f>IFERROR(__xludf.DUMMYFUNCTION("""COMPUTED_VALUE"""),"https://techcombank.com/thong-tin/blog/mo-the-tin-dung-khong-can-chung-minh-thu-nhap")</f>
        <v>https://techcombank.com/thong-tin/blog/mo-the-tin-dung-khong-can-chung-minh-thu-nhap</v>
      </c>
      <c r="EX36" s="16" t="str">
        <f>IFERROR(__xludf.DUMMYFUNCTION("""COMPUTED_VALUE"""),"trả nợ thẻ tín dụng")</f>
        <v>trả nợ thẻ tín dụng</v>
      </c>
      <c r="EY36" s="21" t="str">
        <f>IFERROR(__xludf.DUMMYFUNCTION("""COMPUTED_VALUE"""),"https://techcombank.com/thong-tin/blog/the-tin-dung-vip")</f>
        <v>https://techcombank.com/thong-tin/blog/the-tin-dung-vip</v>
      </c>
      <c r="EZ36" s="16" t="str">
        <f>IFERROR(__xludf.DUMMYFUNCTION("""COMPUTED_VALUE"""),"cách thanh toán thẻ tín dụng")</f>
        <v>cách thanh toán thẻ tín dụng</v>
      </c>
      <c r="FA36" s="21" t="str">
        <f>IFERROR(__xludf.DUMMYFUNCTION("""COMPUTED_VALUE"""),"https://techcombank.com/thong-tin/blog/cach-sao-ke-tai-khoan-ngan-hang")</f>
        <v>https://techcombank.com/thong-tin/blog/cach-sao-ke-tai-khoan-ngan-hang</v>
      </c>
      <c r="FB36" s="16" t="str">
        <f>IFERROR(__xludf.DUMMYFUNCTION("""COMPUTED_VALUE"""),"thanh toán dư nợ thẻ tín dụng")</f>
        <v>thanh toán dư nợ thẻ tín dụng</v>
      </c>
      <c r="FC36" s="21" t="str">
        <f>IFERROR(__xludf.DUMMYFUNCTION("""COMPUTED_VALUE"""),"https://techcombank.com/thong-tin/blog/the-tin-dung-phu-la-gi")</f>
        <v>https://techcombank.com/thong-tin/blog/the-tin-dung-phu-la-gi</v>
      </c>
      <c r="FD36" s="16" t="str">
        <f>IFERROR(__xludf.DUMMYFUNCTION("""COMPUTED_VALUE"""),"trả nợ thẻ tín dụng")</f>
        <v>trả nợ thẻ tín dụng</v>
      </c>
      <c r="FE36" s="21" t="str">
        <f>IFERROR(__xludf.DUMMYFUNCTION("""COMPUTED_VALUE"""),"https://techcombank.com/thong-tin/blog/rut-tien-mat-tu-the-tin-dung")</f>
        <v>https://techcombank.com/thong-tin/blog/rut-tien-mat-tu-the-tin-dung</v>
      </c>
      <c r="FF36" s="16" t="str">
        <f>IFERROR(__xludf.DUMMYFUNCTION("""COMPUTED_VALUE"""),"cách thanh toán thẻ tín dụng")</f>
        <v>cách thanh toán thẻ tín dụng</v>
      </c>
      <c r="FG36" s="21" t="str">
        <f>IFERROR(__xludf.DUMMYFUNCTION("""COMPUTED_VALUE"""),"https://techcombank.com/thong-tin/blog/so-luong-the-tin-dung-noi-dia-dang-luu-hanh-da-tang-42-so-voi-cung-ky-nam-2022")</f>
        <v>https://techcombank.com/thong-tin/blog/so-luong-the-tin-dung-noi-dia-dang-luu-hanh-da-tang-42-so-voi-cung-ky-nam-2022</v>
      </c>
      <c r="FH36" s="16" t="str">
        <f>IFERROR(__xludf.DUMMYFUNCTION("""COMPUTED_VALUE"""),"thanh toán dư nợ thẻ tín dụng")</f>
        <v>thanh toán dư nợ thẻ tín dụng</v>
      </c>
      <c r="FI36" s="21" t="str">
        <f>IFERROR(__xludf.DUMMYFUNCTION("""COMPUTED_VALUE"""),"https://techcombank.com/thong-tin/blog/no-xau-nhom-2")</f>
        <v>https://techcombank.com/thong-tin/blog/no-xau-nhom-2</v>
      </c>
      <c r="FJ36" s="16" t="str">
        <f>IFERROR(__xludf.DUMMYFUNCTION("""COMPUTED_VALUE"""),"trả nợ thẻ tín dụng")</f>
        <v>trả nợ thẻ tín dụng</v>
      </c>
      <c r="FK36" s="21" t="str">
        <f>IFERROR(__xludf.DUMMYFUNCTION("""COMPUTED_VALUE"""),"https://techcombank.com/thong-tin/blog/lai-suat-vay-tin-chap")</f>
        <v>https://techcombank.com/thong-tin/blog/lai-suat-vay-tin-chap</v>
      </c>
      <c r="FL36" s="16" t="str">
        <f>IFERROR(__xludf.DUMMYFUNCTION("""COMPUTED_VALUE"""),"cách thanh toán thẻ tín dụng")</f>
        <v>cách thanh toán thẻ tín dụng</v>
      </c>
      <c r="FM36" s="21" t="str">
        <f>IFERROR(__xludf.DUMMYFUNCTION("""COMPUTED_VALUE"""),"https://techcombank.com/thong-tin/blog/the-ghi-no-visa-la-gi")</f>
        <v>https://techcombank.com/thong-tin/blog/the-ghi-no-visa-la-gi</v>
      </c>
      <c r="FN36" s="16" t="str">
        <f>IFERROR(__xludf.DUMMYFUNCTION("""COMPUTED_VALUE"""),"thanh toán dư nợ thẻ tín dụng")</f>
        <v>thanh toán dư nợ thẻ tín dụng</v>
      </c>
      <c r="FO36" s="21" t="str">
        <f>IFERROR(__xludf.DUMMYFUNCTION("""COMPUTED_VALUE"""),"https://techcombank.com/thong-tin/blog/uu-dai-mua-iphone-18")</f>
        <v>https://techcombank.com/thong-tin/blog/uu-dai-mua-iphone-18</v>
      </c>
      <c r="FP36" s="16" t="str">
        <f>IFERROR(__xludf.DUMMYFUNCTION("""COMPUTED_VALUE"""),"trả nợ thẻ tín dụng")</f>
        <v>trả nợ thẻ tín dụng</v>
      </c>
      <c r="FQ36" s="21" t="str">
        <f>IFERROR(__xludf.DUMMYFUNCTION("""COMPUTED_VALUE"""),"https://techcombank.com/thong-tin/blog/khong-su-dung-the-tin-dung-co-mat-phi-khong")</f>
        <v>https://techcombank.com/thong-tin/blog/khong-su-dung-the-tin-dung-co-mat-phi-khong</v>
      </c>
      <c r="FR36" s="16" t="str">
        <f>IFERROR(__xludf.DUMMYFUNCTION("""COMPUTED_VALUE"""),"cách thanh toán thẻ tín dụng")</f>
        <v>cách thanh toán thẻ tín dụng</v>
      </c>
      <c r="FS36" s="21" t="str">
        <f>IFERROR(__xludf.DUMMYFUNCTION("""COMPUTED_VALUE"""),"https://techcombank.com/thong-tin/blog/so-the-tin-dung")</f>
        <v>https://techcombank.com/thong-tin/blog/so-the-tin-dung</v>
      </c>
      <c r="FT36" s="16" t="str">
        <f>IFERROR(__xludf.DUMMYFUNCTION("""COMPUTED_VALUE"""),"thanh toán dư nợ thẻ tín dụng")</f>
        <v>thanh toán dư nợ thẻ tín dụng</v>
      </c>
      <c r="FU36" s="21" t="str">
        <f>IFERROR(__xludf.DUMMYFUNCTION("""COMPUTED_VALUE"""),"https://techcombank.com/thong-tin/blog/han-muc-tra-gop-the-tin-dung")</f>
        <v>https://techcombank.com/thong-tin/blog/han-muc-tra-gop-the-tin-dung</v>
      </c>
      <c r="FV36" s="16" t="str">
        <f>IFERROR(__xludf.DUMMYFUNCTION("""COMPUTED_VALUE"""),"trả nợ thẻ tín dụng")</f>
        <v>trả nợ thẻ tín dụng</v>
      </c>
      <c r="FW36" s="21" t="str">
        <f>IFERROR(__xludf.DUMMYFUNCTION("""COMPUTED_VALUE"""),"https://techcombank.com/thong-tin/blog/the-tin-dung-hoan-tien")</f>
        <v>https://techcombank.com/thong-tin/blog/the-tin-dung-hoan-tien</v>
      </c>
      <c r="FX36" s="16" t="str">
        <f>IFERROR(__xludf.DUMMYFUNCTION("""COMPUTED_VALUE"""),"cách thanh toán thẻ tín dụng")</f>
        <v>cách thanh toán thẻ tín dụng</v>
      </c>
      <c r="FY36" s="21" t="str">
        <f>IFERROR(__xludf.DUMMYFUNCTION("""COMPUTED_VALUE"""),"https://techcombank.com/thong-tin/blog/sang-ngang-the-tin-dung")</f>
        <v>https://techcombank.com/thong-tin/blog/sang-ngang-the-tin-dung</v>
      </c>
      <c r="FZ36" s="16" t="str">
        <f>IFERROR(__xludf.DUMMYFUNCTION("""COMPUTED_VALUE"""),"thanh toán dư nợ thẻ tín dụng")</f>
        <v>thanh toán dư nợ thẻ tín dụng</v>
      </c>
      <c r="GA36" s="21" t="str">
        <f>IFERROR(__xludf.DUMMYFUNCTION("""COMPUTED_VALUE"""),"https://techcombank.com/thong-tin/blog/tai-khoan-ngan-hang-la-gi")</f>
        <v>https://techcombank.com/thong-tin/blog/tai-khoan-ngan-hang-la-gi</v>
      </c>
      <c r="GB36" s="16"/>
      <c r="GC36" s="16"/>
      <c r="GD36" s="16"/>
      <c r="GE36" s="16"/>
      <c r="GF36" s="16"/>
      <c r="GG36" s="16"/>
      <c r="GH36" s="16"/>
      <c r="GI36" s="16"/>
      <c r="GJ36" s="16"/>
      <c r="GK36" s="16"/>
      <c r="GL36" s="16"/>
      <c r="GM36" s="16"/>
      <c r="GN36" s="16"/>
      <c r="GO36" s="16"/>
    </row>
    <row r="37" ht="18.0" customHeight="1">
      <c r="A37" s="15">
        <v>36.0</v>
      </c>
      <c r="B37" s="16" t="s">
        <v>955</v>
      </c>
      <c r="C37" s="17" t="s">
        <v>959</v>
      </c>
      <c r="D37" s="16" t="s">
        <v>315</v>
      </c>
      <c r="E37" s="15">
        <f>COUNTIF('Tổng hợp 75 trang đích'!$B$2:$B$2505,$D37)</f>
        <v>48</v>
      </c>
      <c r="F37" s="15">
        <f>COUNTIFS('Tổng hợp 75 trang đích'!$B$2:$B$2505,$D37,'Tổng hợp 75 trang đích'!$K$2:$K$2505,"PHÙ HỢP CAO")</f>
        <v>4</v>
      </c>
      <c r="G37" s="15">
        <f>COUNTIFS('Tổng hợp 75 trang đích'!$B$2:$B$2505,$D37,'Tổng hợp 75 trang đích'!$K$2:$K$2505,"CÓ THỂ ĐI")</f>
        <v>1</v>
      </c>
      <c r="H37" s="15">
        <f>COUNTIFS('Tổng hợp 75 trang đích'!$B$2:$B$2505,$D37,'Tổng hợp 75 trang đích'!$K$2:$K$2505,"CẦN SOÁT")</f>
        <v>43</v>
      </c>
      <c r="I37" s="19" t="s">
        <v>256</v>
      </c>
      <c r="J37" s="19" t="b">
        <v>0</v>
      </c>
      <c r="K37" s="20" t="s">
        <v>258</v>
      </c>
      <c r="L37" s="16" t="str">
        <f>IFERROR(__xludf.DUMMYFUNCTION("IFERROR(TOROW(CHOOSECOLS(SORT(FILTER({'Tổng hợp 75 trang đích'!$J$2:$J$2505,'Tổng hợp 75 trang đích'!$I$2:$I$2505,MATCH('Tổng hợp 75 trang đích'!$K$2:$K$2505,{""PHÙ HỢP CAO"",""CÓ THỂ ĐI"",""CẦN SOÁT""},0)},'Tổng hợp 75 trang đích'!$B$2:$B$2505=$D37),3,TR"&amp;"UE),1,2)),"""")"),"chứng chỉ tiền gửi là gì")</f>
        <v>chứng chỉ tiền gửi là gì</v>
      </c>
      <c r="M37" s="21" t="str">
        <f>IFERROR(__xludf.DUMMYFUNCTION("""COMPUTED_VALUE"""),"https://techcombank.com/thong-tin/blog/chung-chi-tien-gui-khac-gi-so-tiet-kiem")</f>
        <v>https://techcombank.com/thong-tin/blog/chung-chi-tien-gui-khac-gi-so-tiet-kiem</v>
      </c>
      <c r="N37" s="16" t="str">
        <f>IFERROR(__xludf.DUMMYFUNCTION("""COMPUTED_VALUE"""),"chứng chỉ tiền gửi")</f>
        <v>chứng chỉ tiền gửi</v>
      </c>
      <c r="O37" s="21" t="str">
        <f>IFERROR(__xludf.DUMMYFUNCTION("""COMPUTED_VALUE"""),"https://techcombank.com/thong-tin/blog/chung-chi-tien-gui-co-phai-la-trai-phieu-khong")</f>
        <v>https://techcombank.com/thong-tin/blog/chung-chi-tien-gui-co-phai-la-trai-phieu-khong</v>
      </c>
      <c r="P37" s="16" t="str">
        <f>IFERROR(__xludf.DUMMYFUNCTION("""COMPUTED_VALUE"""),"chứng chỉ tiền gửi là gì")</f>
        <v>chứng chỉ tiền gửi là gì</v>
      </c>
      <c r="Q37" s="21" t="str">
        <f>IFERROR(__xludf.DUMMYFUNCTION("""COMPUTED_VALUE"""),"https://techcombank.com/thong-tin/blog/co-nen-gui-chung-chi-tien-gui")</f>
        <v>https://techcombank.com/thong-tin/blog/co-nen-gui-chung-chi-tien-gui</v>
      </c>
      <c r="R37" s="16" t="str">
        <f>IFERROR(__xludf.DUMMYFUNCTION("""COMPUTED_VALUE"""),"chứng chỉ tiền gửi")</f>
        <v>chứng chỉ tiền gửi</v>
      </c>
      <c r="S37" s="21" t="str">
        <f>IFERROR(__xludf.DUMMYFUNCTION("""COMPUTED_VALUE"""),"https://techcombank.com/thong-tin/blog/chung-chi-tien-gui-co-an-toan-khong")</f>
        <v>https://techcombank.com/thong-tin/blog/chung-chi-tien-gui-co-an-toan-khong</v>
      </c>
      <c r="T37" s="16" t="str">
        <f>IFERROR(__xludf.DUMMYFUNCTION("""COMPUTED_VALUE"""),"chứng chỉ tiền gửi là gì")</f>
        <v>chứng chỉ tiền gửi là gì</v>
      </c>
      <c r="U37" s="21" t="str">
        <f>IFERROR(__xludf.DUMMYFUNCTION("""COMPUTED_VALUE"""),"https://techcombank.com/thong-tin/blog/tien-nhan-roi-nen-lam-gi")</f>
        <v>https://techcombank.com/thong-tin/blog/tien-nhan-roi-nen-lam-gi</v>
      </c>
      <c r="V37" s="16" t="str">
        <f>IFERROR(__xludf.DUMMYFUNCTION("""COMPUTED_VALUE"""),"chứng chỉ tiền gửi")</f>
        <v>chứng chỉ tiền gửi</v>
      </c>
      <c r="W37" s="21" t="str">
        <f>IFERROR(__xludf.DUMMYFUNCTION("""COMPUTED_VALUE"""),"https://techcombank.com/thong-tin/blog/chuyen-doi-so-ho-kinh-doanh")</f>
        <v>https://techcombank.com/thong-tin/blog/chuyen-doi-so-ho-kinh-doanh</v>
      </c>
      <c r="X37" s="16" t="str">
        <f>IFERROR(__xludf.DUMMYFUNCTION("""COMPUTED_VALUE"""),"chứng chỉ tiền gửi là gì")</f>
        <v>chứng chỉ tiền gửi là gì</v>
      </c>
      <c r="Y37" s="21" t="str">
        <f>IFERROR(__xludf.DUMMYFUNCTION("""COMPUTED_VALUE"""),"https://techcombank.com/thong-tin/blog/quy-trinh-gui-tien-tiet-kiem")</f>
        <v>https://techcombank.com/thong-tin/blog/quy-trinh-gui-tien-tiet-kiem</v>
      </c>
      <c r="Z37" s="16" t="str">
        <f>IFERROR(__xludf.DUMMYFUNCTION("""COMPUTED_VALUE"""),"chứng chỉ tiền gửi")</f>
        <v>chứng chỉ tiền gửi</v>
      </c>
      <c r="AA37" s="21" t="str">
        <f>IFERROR(__xludf.DUMMYFUNCTION("""COMPUTED_VALUE"""),"https://techcombank.com/thong-tin/blog/gui-tiet-kiem-theo-ngay")</f>
        <v>https://techcombank.com/thong-tin/blog/gui-tiet-kiem-theo-ngay</v>
      </c>
      <c r="AB37" s="16" t="str">
        <f>IFERROR(__xludf.DUMMYFUNCTION("""COMPUTED_VALUE"""),"chứng chỉ tiền gửi là gì")</f>
        <v>chứng chỉ tiền gửi là gì</v>
      </c>
      <c r="AC37" s="21" t="str">
        <f>IFERROR(__xludf.DUMMYFUNCTION("""COMPUTED_VALUE"""),"https://techcombank.com/thong-tin/blog/gui-tiet-kiem-vang")</f>
        <v>https://techcombank.com/thong-tin/blog/gui-tiet-kiem-vang</v>
      </c>
      <c r="AD37" s="16" t="str">
        <f>IFERROR(__xludf.DUMMYFUNCTION("""COMPUTED_VALUE"""),"chứng chỉ tiền gửi")</f>
        <v>chứng chỉ tiền gửi</v>
      </c>
      <c r="AE37" s="21" t="str">
        <f>IFERROR(__xludf.DUMMYFUNCTION("""COMPUTED_VALUE"""),"https://techcombank.com/thong-tin/blog/nen-gui-tiet-kiem-thong-thuong-hay-tich-luy")</f>
        <v>https://techcombank.com/thong-tin/blog/nen-gui-tiet-kiem-thong-thuong-hay-tich-luy</v>
      </c>
      <c r="AF37" s="16" t="str">
        <f>IFERROR(__xludf.DUMMYFUNCTION("""COMPUTED_VALUE"""),"chứng chỉ tiền gửi là gì")</f>
        <v>chứng chỉ tiền gửi là gì</v>
      </c>
      <c r="AG37" s="21" t="str">
        <f>IFERROR(__xludf.DUMMYFUNCTION("""COMPUTED_VALUE"""),"https://techcombank.com/thong-tin/blog/tai-sao-gui-tiet-kiem-online-lai-suat-cao-hon")</f>
        <v>https://techcombank.com/thong-tin/blog/tai-sao-gui-tiet-kiem-online-lai-suat-cao-hon</v>
      </c>
      <c r="AH37" s="16" t="str">
        <f>IFERROR(__xludf.DUMMYFUNCTION("""COMPUTED_VALUE"""),"chứng chỉ tiền gửi")</f>
        <v>chứng chỉ tiền gửi</v>
      </c>
      <c r="AI37" s="21" t="str">
        <f>IFERROR(__xludf.DUMMYFUNCTION("""COMPUTED_VALUE"""),"https://techcombank.com/thong-tin/blog/chung-chi-tien-gui-co-duoc-bao-hiem-khong")</f>
        <v>https://techcombank.com/thong-tin/blog/chung-chi-tien-gui-co-duoc-bao-hiem-khong</v>
      </c>
      <c r="AJ37" s="16" t="str">
        <f>IFERROR(__xludf.DUMMYFUNCTION("""COMPUTED_VALUE"""),"chứng chỉ tiền gửi là gì")</f>
        <v>chứng chỉ tiền gửi là gì</v>
      </c>
      <c r="AK37" s="21" t="str">
        <f>IFERROR(__xludf.DUMMYFUNCTION("""COMPUTED_VALUE"""),"https://techcombank.com/thong-tin/blog/nen-de-tien-trong-the-hay-gui-tiet-kiem")</f>
        <v>https://techcombank.com/thong-tin/blog/nen-de-tien-trong-the-hay-gui-tiet-kiem</v>
      </c>
      <c r="AL37" s="16" t="str">
        <f>IFERROR(__xludf.DUMMYFUNCTION("""COMPUTED_VALUE"""),"chứng chỉ tiền gửi")</f>
        <v>chứng chỉ tiền gửi</v>
      </c>
      <c r="AM37" s="21" t="str">
        <f>IFERROR(__xludf.DUMMYFUNCTION("""COMPUTED_VALUE"""),"https://techcombank.com/thong-tin/blog/quan-ly-tai-chinh-cho-dan-van-phong")</f>
        <v>https://techcombank.com/thong-tin/blog/quan-ly-tai-chinh-cho-dan-van-phong</v>
      </c>
      <c r="AN37" s="16" t="str">
        <f>IFERROR(__xludf.DUMMYFUNCTION("""COMPUTED_VALUE"""),"chứng chỉ tiền gửi là gì")</f>
        <v>chứng chỉ tiền gửi là gì</v>
      </c>
      <c r="AO37" s="21" t="str">
        <f>IFERROR(__xludf.DUMMYFUNCTION("""COMPUTED_VALUE"""),"https://techcombank.com/thong-tin/blog/co-nen-gui-tiet-kiem-ngan-hang")</f>
        <v>https://techcombank.com/thong-tin/blog/co-nen-gui-tiet-kiem-ngan-hang</v>
      </c>
      <c r="AP37" s="16" t="str">
        <f>IFERROR(__xludf.DUMMYFUNCTION("""COMPUTED_VALUE"""),"chứng chỉ tiền gửi")</f>
        <v>chứng chỉ tiền gửi</v>
      </c>
      <c r="AQ37" s="21" t="str">
        <f>IFERROR(__xludf.DUMMYFUNCTION("""COMPUTED_VALUE"""),"https://techcombank.com/thong-tin/blog/lai-suat-tiet-kiem")</f>
        <v>https://techcombank.com/thong-tin/blog/lai-suat-tiet-kiem</v>
      </c>
      <c r="AR37" s="16" t="str">
        <f>IFERROR(__xludf.DUMMYFUNCTION("""COMPUTED_VALUE"""),"chứng chỉ tiền gửi là gì")</f>
        <v>chứng chỉ tiền gửi là gì</v>
      </c>
      <c r="AS37" s="21" t="str">
        <f>IFERROR(__xludf.DUMMYFUNCTION("""COMPUTED_VALUE"""),"https://techcombank.com/thong-tin/blog/chung-chi-quy-va-chung-khoan")</f>
        <v>https://techcombank.com/thong-tin/blog/chung-chi-quy-va-chung-khoan</v>
      </c>
      <c r="AT37" s="16" t="str">
        <f>IFERROR(__xludf.DUMMYFUNCTION("""COMPUTED_VALUE"""),"chứng chỉ tiền gửi")</f>
        <v>chứng chỉ tiền gửi</v>
      </c>
      <c r="AU37" s="21" t="str">
        <f>IFERROR(__xludf.DUMMYFUNCTION("""COMPUTED_VALUE"""),"https://techcombank.com/thong-tin/blog/co-nen-gui-tiet-kiem-online")</f>
        <v>https://techcombank.com/thong-tin/blog/co-nen-gui-tiet-kiem-online</v>
      </c>
      <c r="AV37" s="16" t="str">
        <f>IFERROR(__xludf.DUMMYFUNCTION("""COMPUTED_VALUE"""),"chứng chỉ tiền gửi là gì")</f>
        <v>chứng chỉ tiền gửi là gì</v>
      </c>
      <c r="AW37" s="21" t="str">
        <f>IFERROR(__xludf.DUMMYFUNCTION("""COMPUTED_VALUE"""),"https://techcombank.com/thong-tin/blog/gui-tiet-kiem-ngan-hang-van-la-lua-chon-an-toan-trong-thoi-ky-kinh-te-con-nhieu-bien-dong")</f>
        <v>https://techcombank.com/thong-tin/blog/gui-tiet-kiem-ngan-hang-van-la-lua-chon-an-toan-trong-thoi-ky-kinh-te-con-nhieu-bien-dong</v>
      </c>
      <c r="AX37" s="16" t="str">
        <f>IFERROR(__xludf.DUMMYFUNCTION("""COMPUTED_VALUE"""),"chứng chỉ tiền gửi")</f>
        <v>chứng chỉ tiền gửi</v>
      </c>
      <c r="AY37" s="21" t="str">
        <f>IFERROR(__xludf.DUMMYFUNCTION("""COMPUTED_VALUE"""),"https://techcombank.com/thong-tin/blog/cach-gui-tiet-kiem-online")</f>
        <v>https://techcombank.com/thong-tin/blog/cach-gui-tiet-kiem-online</v>
      </c>
      <c r="AZ37" s="16" t="str">
        <f>IFERROR(__xludf.DUMMYFUNCTION("""COMPUTED_VALUE"""),"chứng chỉ tiền gửi là gì")</f>
        <v>chứng chỉ tiền gửi là gì</v>
      </c>
      <c r="BA37" s="21" t="str">
        <f>IFERROR(__xludf.DUMMYFUNCTION("""COMPUTED_VALUE"""),"https://techcombank.com/thong-tin/blog/gui-tien-ngan-hang-co-an-toan-khong")</f>
        <v>https://techcombank.com/thong-tin/blog/gui-tien-ngan-hang-co-an-toan-khong</v>
      </c>
      <c r="BB37" s="16" t="str">
        <f>IFERROR(__xludf.DUMMYFUNCTION("""COMPUTED_VALUE"""),"chứng chỉ tiền gửi")</f>
        <v>chứng chỉ tiền gửi</v>
      </c>
      <c r="BC37" s="21" t="str">
        <f>IFERROR(__xludf.DUMMYFUNCTION("""COMPUTED_VALUE"""),"https://techcombank.com/thong-tin/blog/dau-tu-trai-phieu-doanh-nghiep-dung-ham-lai-suat-cao")</f>
        <v>https://techcombank.com/thong-tin/blog/dau-tu-trai-phieu-doanh-nghiep-dung-ham-lai-suat-cao</v>
      </c>
      <c r="BD37" s="16" t="str">
        <f>IFERROR(__xludf.DUMMYFUNCTION("""COMPUTED_VALUE"""),"chứng chỉ tiền gửi là gì")</f>
        <v>chứng chỉ tiền gửi là gì</v>
      </c>
      <c r="BE37" s="21" t="str">
        <f>IFERROR(__xludf.DUMMYFUNCTION("""COMPUTED_VALUE"""),"https://techcombank.com/thong-tin/blog/nen-gui-tiet-kiem-6-thang-hay-1-nam")</f>
        <v>https://techcombank.com/thong-tin/blog/nen-gui-tiet-kiem-6-thang-hay-1-nam</v>
      </c>
      <c r="BF37" s="16" t="str">
        <f>IFERROR(__xludf.DUMMYFUNCTION("""COMPUTED_VALUE"""),"chứng chỉ tiền gửi")</f>
        <v>chứng chỉ tiền gửi</v>
      </c>
      <c r="BG37" s="21" t="str">
        <f>IFERROR(__xludf.DUMMYFUNCTION("""COMPUTED_VALUE"""),"https://techcombank.com/thong-tin/blog/dau-tu-ngan-han")</f>
        <v>https://techcombank.com/thong-tin/blog/dau-tu-ngan-han</v>
      </c>
      <c r="BH37" s="16" t="str">
        <f>IFERROR(__xludf.DUMMYFUNCTION("""COMPUTED_VALUE"""),"chứng chỉ tiền gửi là gì")</f>
        <v>chứng chỉ tiền gửi là gì</v>
      </c>
      <c r="BI37" s="21" t="str">
        <f>IFERROR(__xludf.DUMMYFUNCTION("""COMPUTED_VALUE"""),"https://techcombank.com/thong-tin/blog/ho-kinh-doanh-can-gi-o-tai-khoan-ngan-hang")</f>
        <v>https://techcombank.com/thong-tin/blog/ho-kinh-doanh-can-gi-o-tai-khoan-ngan-hang</v>
      </c>
      <c r="BJ37" s="16" t="str">
        <f>IFERROR(__xludf.DUMMYFUNCTION("""COMPUTED_VALUE"""),"chứng chỉ tiền gửi")</f>
        <v>chứng chỉ tiền gửi</v>
      </c>
      <c r="BK37" s="21" t="str">
        <f>IFERROR(__xludf.DUMMYFUNCTION("""COMPUTED_VALUE"""),"https://techcombank.com/thong-tin/blog/gui-tiet-kiem-tich-luy-la-gi")</f>
        <v>https://techcombank.com/thong-tin/blog/gui-tiet-kiem-tich-luy-la-gi</v>
      </c>
      <c r="BL37" s="16" t="str">
        <f>IFERROR(__xludf.DUMMYFUNCTION("""COMPUTED_VALUE"""),"chứng chỉ tiền gửi là gì")</f>
        <v>chứng chỉ tiền gửi là gì</v>
      </c>
      <c r="BM37" s="21" t="str">
        <f>IFERROR(__xludf.DUMMYFUNCTION("""COMPUTED_VALUE"""),"https://techcombank.com/thong-tin/blog/gui-tiet-kiem-lay-lai-hang-thang")</f>
        <v>https://techcombank.com/thong-tin/blog/gui-tiet-kiem-lay-lai-hang-thang</v>
      </c>
      <c r="BN37" s="16" t="str">
        <f>IFERROR(__xludf.DUMMYFUNCTION("""COMPUTED_VALUE"""),"chứng chỉ tiền gửi")</f>
        <v>chứng chỉ tiền gửi</v>
      </c>
      <c r="BO37" s="21" t="str">
        <f>IFERROR(__xludf.DUMMYFUNCTION("""COMPUTED_VALUE"""),"https://techcombank.com/thong-tin/blog/rui-ro-khi-gui-tiet-kiem-online")</f>
        <v>https://techcombank.com/thong-tin/blog/rui-ro-khi-gui-tiet-kiem-online</v>
      </c>
      <c r="BP37" s="16" t="str">
        <f>IFERROR(__xludf.DUMMYFUNCTION("""COMPUTED_VALUE"""),"chứng chỉ tiền gửi là gì")</f>
        <v>chứng chỉ tiền gửi là gì</v>
      </c>
      <c r="BQ37" s="21" t="str">
        <f>IFERROR(__xludf.DUMMYFUNCTION("""COMPUTED_VALUE"""),"https://techcombank.com/thong-tin/blog/tat-toan-chung-chi-tien-gui")</f>
        <v>https://techcombank.com/thong-tin/blog/tat-toan-chung-chi-tien-gui</v>
      </c>
      <c r="BR37" s="16" t="str">
        <f>IFERROR(__xludf.DUMMYFUNCTION("""COMPUTED_VALUE"""),"chứng chỉ tiền gửi")</f>
        <v>chứng chỉ tiền gửi</v>
      </c>
      <c r="BS37" s="21" t="str">
        <f>IFERROR(__xludf.DUMMYFUNCTION("""COMPUTED_VALUE"""),"https://techcombank.com/thong-tin/blog/cach-tinh-lai-suat-tien-gui-tiet-kiem")</f>
        <v>https://techcombank.com/thong-tin/blog/cach-tinh-lai-suat-tien-gui-tiet-kiem</v>
      </c>
      <c r="BT37" s="16" t="str">
        <f>IFERROR(__xludf.DUMMYFUNCTION("""COMPUTED_VALUE"""),"chứng chỉ tiền gửi là gì")</f>
        <v>chứng chỉ tiền gửi là gì</v>
      </c>
      <c r="BU37" s="21" t="str">
        <f>IFERROR(__xludf.DUMMYFUNCTION("""COMPUTED_VALUE"""),"https://techcombank.com/thong-tin/blog/chon-kenh-dau-tu-an-toan-trong-boi-canh-thi-truong-bien-dong")</f>
        <v>https://techcombank.com/thong-tin/blog/chon-kenh-dau-tu-an-toan-trong-boi-canh-thi-truong-bien-dong</v>
      </c>
      <c r="BV37" s="16" t="str">
        <f>IFERROR(__xludf.DUMMYFUNCTION("""COMPUTED_VALUE"""),"chứng chỉ tiền gửi")</f>
        <v>chứng chỉ tiền gửi</v>
      </c>
      <c r="BW37" s="21" t="str">
        <f>IFERROR(__xludf.DUMMYFUNCTION("""COMPUTED_VALUE"""),"https://techcombank.com/thong-tin/blog/chuyen-nhuong-chung-chi-tien-gui")</f>
        <v>https://techcombank.com/thong-tin/blog/chuyen-nhuong-chung-chi-tien-gui</v>
      </c>
      <c r="BX37" s="16" t="str">
        <f>IFERROR(__xludf.DUMMYFUNCTION("""COMPUTED_VALUE"""),"chứng chỉ tiền gửi là gì")</f>
        <v>chứng chỉ tiền gửi là gì</v>
      </c>
      <c r="BY37" s="21" t="str">
        <f>IFERROR(__xludf.DUMMYFUNCTION("""COMPUTED_VALUE"""),"https://techcombank.com/thong-tin/blog/gui-tiet-kiem-ngoai-te")</f>
        <v>https://techcombank.com/thong-tin/blog/gui-tiet-kiem-ngoai-te</v>
      </c>
      <c r="BZ37" s="16" t="str">
        <f>IFERROR(__xludf.DUMMYFUNCTION("""COMPUTED_VALUE"""),"chứng chỉ tiền gửi")</f>
        <v>chứng chỉ tiền gửi</v>
      </c>
      <c r="CA37" s="21" t="str">
        <f>IFERROR(__xludf.DUMMYFUNCTION("""COMPUTED_VALUE"""),"https://techcombank.com/thong-tin/blog/rui-ro-khi-gui-tiet-kiem-ngan-hang")</f>
        <v>https://techcombank.com/thong-tin/blog/rui-ro-khi-gui-tiet-kiem-ngan-hang</v>
      </c>
      <c r="CB37" s="16" t="str">
        <f>IFERROR(__xludf.DUMMYFUNCTION("""COMPUTED_VALUE"""),"chứng chỉ tiền gửi là gì")</f>
        <v>chứng chỉ tiền gửi là gì</v>
      </c>
      <c r="CC37" s="21" t="str">
        <f>IFERROR(__xludf.DUMMYFUNCTION("""COMPUTED_VALUE"""),"https://techcombank.com/thong-tin/blog/gui-tiet-kiem-hang-thang")</f>
        <v>https://techcombank.com/thong-tin/blog/gui-tiet-kiem-hang-thang</v>
      </c>
      <c r="CD37" s="16" t="str">
        <f>IFERROR(__xludf.DUMMYFUNCTION("""COMPUTED_VALUE"""),"chứng chỉ tiền gửi")</f>
        <v>chứng chỉ tiền gửi</v>
      </c>
      <c r="CE37" s="21" t="str">
        <f>IFERROR(__xludf.DUMMYFUNCTION("""COMPUTED_VALUE"""),"https://techcombank.com/thong-tin/blog/cach-tinh-loi-nhuan-chung-chi-tien-gui")</f>
        <v>https://techcombank.com/thong-tin/blog/cach-tinh-loi-nhuan-chung-chi-tien-gui</v>
      </c>
      <c r="CF37" s="16" t="str">
        <f>IFERROR(__xludf.DUMMYFUNCTION("""COMPUTED_VALUE"""),"chứng chỉ tiền gửi là gì")</f>
        <v>chứng chỉ tiền gửi là gì</v>
      </c>
      <c r="CG37" s="21" t="str">
        <f>IFERROR(__xludf.DUMMYFUNCTION("""COMPUTED_VALUE"""),"https://techcombank.com/thong-tin/blog/gui-tiet-kiem-online-bi-mat-tien")</f>
        <v>https://techcombank.com/thong-tin/blog/gui-tiet-kiem-online-bi-mat-tien</v>
      </c>
      <c r="CH37" s="16" t="str">
        <f>IFERROR(__xludf.DUMMYFUNCTION("""COMPUTED_VALUE"""),"chứng chỉ tiền gửi")</f>
        <v>chứng chỉ tiền gửi</v>
      </c>
      <c r="CI37" s="21" t="str">
        <f>IFERROR(__xludf.DUMMYFUNCTION("""COMPUTED_VALUE"""),"https://techcombank.com/thong-tin/blog/kinh-nghiem-gui-tiet-kiem-online")</f>
        <v>https://techcombank.com/thong-tin/blog/kinh-nghiem-gui-tiet-kiem-online</v>
      </c>
      <c r="CJ37" s="16" t="str">
        <f>IFERROR(__xludf.DUMMYFUNCTION("""COMPUTED_VALUE"""),"chứng chỉ tiền gửi là gì")</f>
        <v>chứng chỉ tiền gửi là gì</v>
      </c>
      <c r="CK37" s="21" t="str">
        <f>IFERROR(__xludf.DUMMYFUNCTION("""COMPUTED_VALUE"""),"https://techcombank.com/thong-tin/blog/gui-tiet-kiem-online-co-rut-truoc-han-duoc-khong")</f>
        <v>https://techcombank.com/thong-tin/blog/gui-tiet-kiem-online-co-rut-truoc-han-duoc-khong</v>
      </c>
      <c r="CL37" s="16" t="str">
        <f>IFERROR(__xludf.DUMMYFUNCTION("""COMPUTED_VALUE"""),"chứng chỉ tiền gửi")</f>
        <v>chứng chỉ tiền gửi</v>
      </c>
      <c r="CM37" s="21" t="str">
        <f>IFERROR(__xludf.DUMMYFUNCTION("""COMPUTED_VALUE"""),"https://techcombank.com/thong-tin/blog/lai-suat-chung-chi-tien-gui-cac-ngan-hang")</f>
        <v>https://techcombank.com/thong-tin/blog/lai-suat-chung-chi-tien-gui-cac-ngan-hang</v>
      </c>
      <c r="CN37" s="16" t="str">
        <f>IFERROR(__xludf.DUMMYFUNCTION("""COMPUTED_VALUE"""),"chứng chỉ tiền gửi là gì")</f>
        <v>chứng chỉ tiền gửi là gì</v>
      </c>
      <c r="CO37" s="21" t="str">
        <f>IFERROR(__xludf.DUMMYFUNCTION("""COMPUTED_VALUE"""),"https://techcombank.com/thong-tin/blog/gui-tiet-kiem-online-quay-vong-ca-goc-va-lai")</f>
        <v>https://techcombank.com/thong-tin/blog/gui-tiet-kiem-online-quay-vong-ca-goc-va-lai</v>
      </c>
      <c r="CP37" s="16" t="str">
        <f>IFERROR(__xludf.DUMMYFUNCTION("""COMPUTED_VALUE"""),"chứng chỉ tiền gửi")</f>
        <v>chứng chỉ tiền gửi</v>
      </c>
      <c r="CQ37" s="21" t="str">
        <f>IFERROR(__xludf.DUMMYFUNCTION("""COMPUTED_VALUE"""),"https://techcombank.com/thong-tin/blog/dau-tu-dai-han")</f>
        <v>https://techcombank.com/thong-tin/blog/dau-tu-dai-han</v>
      </c>
      <c r="CR37" s="16" t="str">
        <f>IFERROR(__xludf.DUMMYFUNCTION("""COMPUTED_VALUE"""),"chứng chỉ tiền gửi là gì")</f>
        <v>chứng chỉ tiền gửi là gì</v>
      </c>
      <c r="CS37" s="21" t="str">
        <f>IFERROR(__xludf.DUMMYFUNCTION("""COMPUTED_VALUE"""),"https://techcombank.com/thong-tin/blog/so-sanh-gui-tiet-kiem-online-va-tai-quay")</f>
        <v>https://techcombank.com/thong-tin/blog/so-sanh-gui-tiet-kiem-online-va-tai-quay</v>
      </c>
      <c r="CT37" s="16" t="str">
        <f>IFERROR(__xludf.DUMMYFUNCTION("""COMPUTED_VALUE"""),"chứng chỉ tiền gửi")</f>
        <v>chứng chỉ tiền gửi</v>
      </c>
      <c r="CU37" s="21" t="str">
        <f>IFERROR(__xludf.DUMMYFUNCTION("""COMPUTED_VALUE"""),"https://techcombank.com/thong-tin/blog/chung-chi-tien-gui-co-duoc-rut-truoc-han")</f>
        <v>https://techcombank.com/thong-tin/blog/chung-chi-tien-gui-co-duoc-rut-truoc-han</v>
      </c>
      <c r="CV37" s="16" t="str">
        <f>IFERROR(__xludf.DUMMYFUNCTION("""COMPUTED_VALUE"""),"chứng chỉ tiền gửi là gì")</f>
        <v>chứng chỉ tiền gửi là gì</v>
      </c>
      <c r="CW37" s="21" t="str">
        <f>IFERROR(__xludf.DUMMYFUNCTION("""COMPUTED_VALUE"""),"https://techcombank.com/thong-tin/blog/cach-tiet-kiem-tien-sinh-loi")</f>
        <v>https://techcombank.com/thong-tin/blog/cach-tiet-kiem-tien-sinh-loi</v>
      </c>
      <c r="CX37" s="16" t="str">
        <f>IFERROR(__xludf.DUMMYFUNCTION("""COMPUTED_VALUE"""),"chứng chỉ tiền gửi")</f>
        <v>chứng chỉ tiền gửi</v>
      </c>
      <c r="CY37" s="21" t="str">
        <f>IFERROR(__xludf.DUMMYFUNCTION("""COMPUTED_VALUE"""),"https://techcombank.com/thong-tin/blog/co-50-trieu-nen-mua-vang-hay-gui-tiet-kiem")</f>
        <v>https://techcombank.com/thong-tin/blog/co-50-trieu-nen-mua-vang-hay-gui-tiet-kiem</v>
      </c>
      <c r="CZ37" s="16" t="str">
        <f>IFERROR(__xludf.DUMMYFUNCTION("""COMPUTED_VALUE"""),"chứng chỉ tiền gửi là gì")</f>
        <v>chứng chỉ tiền gửi là gì</v>
      </c>
      <c r="DA37" s="21" t="str">
        <f>IFERROR(__xludf.DUMMYFUNCTION("""COMPUTED_VALUE"""),"https://techcombank.com/thong-tin/blog/lai-suat-gui-tiet-kiem-usd")</f>
        <v>https://techcombank.com/thong-tin/blog/lai-suat-gui-tiet-kiem-usd</v>
      </c>
      <c r="DB37" s="16" t="str">
        <f>IFERROR(__xludf.DUMMYFUNCTION("""COMPUTED_VALUE"""),"chứng chỉ tiền gửi")</f>
        <v>chứng chỉ tiền gửi</v>
      </c>
      <c r="DC37" s="21" t="str">
        <f>IFERROR(__xludf.DUMMYFUNCTION("""COMPUTED_VALUE"""),"https://techcombank.com/thong-tin/blog/gui-tiet-kiem-usd")</f>
        <v>https://techcombank.com/thong-tin/blog/gui-tiet-kiem-usd</v>
      </c>
      <c r="DD37" s="16"/>
      <c r="DE37" s="16"/>
      <c r="DF37" s="16"/>
      <c r="DG37" s="16"/>
      <c r="DH37" s="16"/>
      <c r="DI37" s="16"/>
      <c r="DJ37" s="16"/>
      <c r="DK37" s="16"/>
      <c r="DL37" s="16"/>
      <c r="DM37" s="16"/>
      <c r="DN37" s="16"/>
      <c r="DO37" s="16"/>
      <c r="DP37" s="16"/>
      <c r="DQ37" s="16"/>
      <c r="DR37" s="16"/>
      <c r="DS37" s="16"/>
      <c r="DT37" s="16"/>
      <c r="DU37" s="16"/>
      <c r="DV37" s="16"/>
      <c r="DW37" s="16"/>
      <c r="DX37" s="16"/>
      <c r="DY37" s="16"/>
      <c r="DZ37" s="16"/>
      <c r="EA37" s="16"/>
      <c r="EB37" s="16"/>
      <c r="EC37" s="16"/>
      <c r="ED37" s="16"/>
      <c r="EE37" s="16"/>
      <c r="EF37" s="16"/>
      <c r="EG37" s="16"/>
      <c r="EH37" s="16"/>
      <c r="EI37" s="16"/>
      <c r="EJ37" s="16"/>
      <c r="EK37" s="16"/>
      <c r="EL37" s="16"/>
      <c r="EM37" s="16"/>
      <c r="EN37" s="16"/>
      <c r="EO37" s="16"/>
      <c r="EP37" s="16"/>
      <c r="EQ37" s="16"/>
      <c r="ER37" s="16"/>
      <c r="ES37" s="16"/>
      <c r="ET37" s="16"/>
      <c r="EU37" s="16"/>
      <c r="EV37" s="16"/>
      <c r="EW37" s="16"/>
      <c r="EX37" s="16"/>
      <c r="EY37" s="16"/>
      <c r="EZ37" s="16"/>
      <c r="FA37" s="16"/>
      <c r="FB37" s="16"/>
      <c r="FC37" s="16"/>
      <c r="FD37" s="16"/>
      <c r="FE37" s="16"/>
      <c r="FF37" s="16"/>
      <c r="FG37" s="16"/>
      <c r="FH37" s="16"/>
      <c r="FI37" s="16"/>
      <c r="FJ37" s="16"/>
      <c r="FK37" s="16"/>
      <c r="FL37" s="16"/>
      <c r="FM37" s="16"/>
      <c r="FN37" s="16"/>
      <c r="FO37" s="16"/>
      <c r="FP37" s="16"/>
      <c r="FQ37" s="16"/>
      <c r="FR37" s="16"/>
      <c r="FS37" s="16"/>
      <c r="FT37" s="16"/>
      <c r="FU37" s="16"/>
      <c r="FV37" s="16"/>
      <c r="FW37" s="16"/>
      <c r="FX37" s="16"/>
      <c r="FY37" s="16"/>
      <c r="FZ37" s="16"/>
      <c r="GA37" s="16"/>
      <c r="GB37" s="16"/>
      <c r="GC37" s="16"/>
      <c r="GD37" s="16"/>
      <c r="GE37" s="16"/>
      <c r="GF37" s="16"/>
      <c r="GG37" s="16"/>
      <c r="GH37" s="16"/>
      <c r="GI37" s="16"/>
      <c r="GJ37" s="16"/>
      <c r="GK37" s="16"/>
      <c r="GL37" s="16"/>
      <c r="GM37" s="16"/>
      <c r="GN37" s="16"/>
      <c r="GO37" s="16"/>
    </row>
    <row r="38" ht="18.0" customHeight="1">
      <c r="A38" s="15">
        <v>37.0</v>
      </c>
      <c r="B38" s="16" t="s">
        <v>955</v>
      </c>
      <c r="C38" s="17" t="s">
        <v>978</v>
      </c>
      <c r="D38" s="16" t="s">
        <v>317</v>
      </c>
      <c r="E38" s="15">
        <f>COUNTIF('Tổng hợp 75 trang đích'!$B$2:$B$2505,$D38)</f>
        <v>14</v>
      </c>
      <c r="F38" s="15">
        <f>COUNTIFS('Tổng hợp 75 trang đích'!$B$2:$B$2505,$D38,'Tổng hợp 75 trang đích'!$K$2:$K$2505,"PHÙ HỢP CAO")</f>
        <v>1</v>
      </c>
      <c r="G38" s="15">
        <f>COUNTIFS('Tổng hợp 75 trang đích'!$B$2:$B$2505,$D38,'Tổng hợp 75 trang đích'!$K$2:$K$2505,"CÓ THỂ ĐI")</f>
        <v>4</v>
      </c>
      <c r="H38" s="15">
        <f>COUNTIFS('Tổng hợp 75 trang đích'!$B$2:$B$2505,$D38,'Tổng hợp 75 trang đích'!$K$2:$K$2505,"CẦN SOÁT")</f>
        <v>9</v>
      </c>
      <c r="I38" s="19" t="s">
        <v>256</v>
      </c>
      <c r="J38" s="19" t="b">
        <v>0</v>
      </c>
      <c r="K38" s="20" t="s">
        <v>258</v>
      </c>
      <c r="L38" s="16" t="str">
        <f>IFERROR(__xludf.DUMMYFUNCTION("IFERROR(TOROW(CHOOSECOLS(SORT(FILTER({'Tổng hợp 75 trang đích'!$J$2:$J$2505,'Tổng hợp 75 trang đích'!$I$2:$I$2505,MATCH('Tổng hợp 75 trang đích'!$K$2:$K$2505,{""PHÙ HỢP CAO"",""CÓ THỂ ĐI"",""CẦN SOÁT""},0)},'Tổng hợp 75 trang đích'!$B$2:$B$2505=$D38),3,TR"&amp;"UE),1,2)),"""")"),"lãi suất chứng chỉ tiền gửi các ngân hàng")</f>
        <v>lãi suất chứng chỉ tiền gửi các ngân hàng</v>
      </c>
      <c r="M38" s="21" t="str">
        <f>IFERROR(__xludf.DUMMYFUNCTION("""COMPUTED_VALUE"""),"https://techcombank.com/thong-tin/blog/cach-tinh-loi-nhuan-chung-chi-tien-gui")</f>
        <v>https://techcombank.com/thong-tin/blog/cach-tinh-loi-nhuan-chung-chi-tien-gui</v>
      </c>
      <c r="N38" s="16" t="str">
        <f>IFERROR(__xludf.DUMMYFUNCTION("""COMPUTED_VALUE"""),"lãi suất chứng chỉ tiền gửi")</f>
        <v>lãi suất chứng chỉ tiền gửi</v>
      </c>
      <c r="O38" s="21" t="str">
        <f>IFERROR(__xludf.DUMMYFUNCTION("""COMPUTED_VALUE"""),"https://techcombank.com/thong-tin/blog/tat-toan-chung-chi-tien-gui")</f>
        <v>https://techcombank.com/thong-tin/blog/tat-toan-chung-chi-tien-gui</v>
      </c>
      <c r="P38" s="16" t="str">
        <f>IFERROR(__xludf.DUMMYFUNCTION("""COMPUTED_VALUE"""),"lợi suất chứng chỉ tiền gửi")</f>
        <v>lợi suất chứng chỉ tiền gửi</v>
      </c>
      <c r="Q38" s="21" t="str">
        <f>IFERROR(__xludf.DUMMYFUNCTION("""COMPUTED_VALUE"""),"https://techcombank.com/thong-tin/blog/chung-chi-tien-gui-co-duoc-rut-truoc-han")</f>
        <v>https://techcombank.com/thong-tin/blog/chung-chi-tien-gui-co-duoc-rut-truoc-han</v>
      </c>
      <c r="R38" s="16" t="str">
        <f>IFERROR(__xludf.DUMMYFUNCTION("""COMPUTED_VALUE"""),"lãi suất chứng chỉ tiền gửi các ngân hàng")</f>
        <v>lãi suất chứng chỉ tiền gửi các ngân hàng</v>
      </c>
      <c r="S38" s="21" t="str">
        <f>IFERROR(__xludf.DUMMYFUNCTION("""COMPUTED_VALUE"""),"https://techcombank.com/thong-tin/blog/chuyen-nhuong-chung-chi-tien-gui")</f>
        <v>https://techcombank.com/thong-tin/blog/chuyen-nhuong-chung-chi-tien-gui</v>
      </c>
      <c r="T38" s="16" t="str">
        <f>IFERROR(__xludf.DUMMYFUNCTION("""COMPUTED_VALUE"""),"lãi suất chứng chỉ tiền gửi")</f>
        <v>lãi suất chứng chỉ tiền gửi</v>
      </c>
      <c r="U38" s="21" t="str">
        <f>IFERROR(__xludf.DUMMYFUNCTION("""COMPUTED_VALUE"""),"https://techcombank.com/thong-tin/blog/chung-chi-tien-gui-co-duoc-bao-hiem-khong")</f>
        <v>https://techcombank.com/thong-tin/blog/chung-chi-tien-gui-co-duoc-bao-hiem-khong</v>
      </c>
      <c r="V38" s="16" t="str">
        <f>IFERROR(__xludf.DUMMYFUNCTION("""COMPUTED_VALUE"""),"lợi suất chứng chỉ tiền gửi")</f>
        <v>lợi suất chứng chỉ tiền gửi</v>
      </c>
      <c r="W38" s="21" t="str">
        <f>IFERROR(__xludf.DUMMYFUNCTION("""COMPUTED_VALUE"""),"https://techcombank.com/thong-tin/blog/chung-chi-tien-gui-la-gi")</f>
        <v>https://techcombank.com/thong-tin/blog/chung-chi-tien-gui-la-gi</v>
      </c>
      <c r="X38" s="16" t="str">
        <f>IFERROR(__xludf.DUMMYFUNCTION("""COMPUTED_VALUE"""),"lãi suất chứng chỉ tiền gửi các ngân hàng")</f>
        <v>lãi suất chứng chỉ tiền gửi các ngân hàng</v>
      </c>
      <c r="Y38" s="21" t="str">
        <f>IFERROR(__xludf.DUMMYFUNCTION("""COMPUTED_VALUE"""),"https://techcombank.com/thong-tin/blog/lai-suat-tiet-kiem")</f>
        <v>https://techcombank.com/thong-tin/blog/lai-suat-tiet-kiem</v>
      </c>
      <c r="Z38" s="16" t="str">
        <f>IFERROR(__xludf.DUMMYFUNCTION("""COMPUTED_VALUE"""),"lãi suất chứng chỉ tiền gửi")</f>
        <v>lãi suất chứng chỉ tiền gửi</v>
      </c>
      <c r="AA38" s="21" t="str">
        <f>IFERROR(__xludf.DUMMYFUNCTION("""COMPUTED_VALUE"""),"https://techcombank.com/thong-tin/blog/co-nen-gui-chung-chi-tien-gui")</f>
        <v>https://techcombank.com/thong-tin/blog/co-nen-gui-chung-chi-tien-gui</v>
      </c>
      <c r="AB38" s="16" t="str">
        <f>IFERROR(__xludf.DUMMYFUNCTION("""COMPUTED_VALUE"""),"lợi suất chứng chỉ tiền gửi")</f>
        <v>lợi suất chứng chỉ tiền gửi</v>
      </c>
      <c r="AC38" s="21" t="str">
        <f>IFERROR(__xludf.DUMMYFUNCTION("""COMPUTED_VALUE"""),"https://techcombank.com/thong-tin/blog/dau-tu-trai-phieu-doanh-nghiep-dung-ham-lai-suat-cao")</f>
        <v>https://techcombank.com/thong-tin/blog/dau-tu-trai-phieu-doanh-nghiep-dung-ham-lai-suat-cao</v>
      </c>
      <c r="AD38" s="16" t="str">
        <f>IFERROR(__xludf.DUMMYFUNCTION("""COMPUTED_VALUE"""),"lãi suất chứng chỉ tiền gửi các ngân hàng")</f>
        <v>lãi suất chứng chỉ tiền gửi các ngân hàng</v>
      </c>
      <c r="AE38" s="21" t="str">
        <f>IFERROR(__xludf.DUMMYFUNCTION("""COMPUTED_VALUE"""),"https://techcombank.com/thong-tin/blog/cach-tinh-lai-suat-tien-gui-tiet-kiem")</f>
        <v>https://techcombank.com/thong-tin/blog/cach-tinh-lai-suat-tien-gui-tiet-kiem</v>
      </c>
      <c r="AF38" s="16" t="str">
        <f>IFERROR(__xludf.DUMMYFUNCTION("""COMPUTED_VALUE"""),"lãi suất chứng chỉ tiền gửi")</f>
        <v>lãi suất chứng chỉ tiền gửi</v>
      </c>
      <c r="AG38" s="21" t="str">
        <f>IFERROR(__xludf.DUMMYFUNCTION("""COMPUTED_VALUE"""),"https://techcombank.com/thong-tin/blog/chon-kenh-dau-tu-an-toan-trong-boi-canh-thi-truong-bien-dong")</f>
        <v>https://techcombank.com/thong-tin/blog/chon-kenh-dau-tu-an-toan-trong-boi-canh-thi-truong-bien-dong</v>
      </c>
      <c r="AH38" s="16" t="str">
        <f>IFERROR(__xludf.DUMMYFUNCTION("""COMPUTED_VALUE"""),"lợi suất chứng chỉ tiền gửi")</f>
        <v>lợi suất chứng chỉ tiền gửi</v>
      </c>
      <c r="AI38" s="21" t="str">
        <f>IFERROR(__xludf.DUMMYFUNCTION("""COMPUTED_VALUE"""),"https://techcombank.com/thong-tin/blog/chung-chi-tien-gui-khac-gi-so-tiet-kiem")</f>
        <v>https://techcombank.com/thong-tin/blog/chung-chi-tien-gui-khac-gi-so-tiet-kiem</v>
      </c>
      <c r="AJ38" s="16" t="str">
        <f>IFERROR(__xludf.DUMMYFUNCTION("""COMPUTED_VALUE"""),"lãi suất chứng chỉ tiền gửi các ngân hàng")</f>
        <v>lãi suất chứng chỉ tiền gửi các ngân hàng</v>
      </c>
      <c r="AK38" s="21" t="str">
        <f>IFERROR(__xludf.DUMMYFUNCTION("""COMPUTED_VALUE"""),"https://techcombank.com/thong-tin/blog/chung-chi-tien-gui-co-phai-la-trai-phieu-khong")</f>
        <v>https://techcombank.com/thong-tin/blog/chung-chi-tien-gui-co-phai-la-trai-phieu-khong</v>
      </c>
      <c r="AL38" s="16" t="str">
        <f>IFERROR(__xludf.DUMMYFUNCTION("""COMPUTED_VALUE"""),"lãi suất chứng chỉ tiền gửi")</f>
        <v>lãi suất chứng chỉ tiền gửi</v>
      </c>
      <c r="AM38" s="21" t="str">
        <f>IFERROR(__xludf.DUMMYFUNCTION("""COMPUTED_VALUE"""),"https://techcombank.com/thong-tin/blog/chung-chi-tien-gui-co-an-toan-khong")</f>
        <v>https://techcombank.com/thong-tin/blog/chung-chi-tien-gui-co-an-toan-khong</v>
      </c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16"/>
      <c r="BC38" s="16"/>
      <c r="BD38" s="16"/>
      <c r="BE38" s="16"/>
      <c r="BF38" s="16"/>
      <c r="BG38" s="16"/>
      <c r="BH38" s="16"/>
      <c r="BI38" s="16"/>
      <c r="BJ38" s="16"/>
      <c r="BK38" s="16"/>
      <c r="BL38" s="16"/>
      <c r="BM38" s="16"/>
      <c r="BN38" s="16"/>
      <c r="BO38" s="16"/>
      <c r="BP38" s="16"/>
      <c r="BQ38" s="16"/>
      <c r="BR38" s="16"/>
      <c r="BS38" s="16"/>
      <c r="BT38" s="16"/>
      <c r="BU38" s="16"/>
      <c r="BV38" s="16"/>
      <c r="BW38" s="16"/>
      <c r="BX38" s="16"/>
      <c r="BY38" s="16"/>
      <c r="BZ38" s="16"/>
      <c r="CA38" s="16"/>
      <c r="CB38" s="16"/>
      <c r="CC38" s="16"/>
      <c r="CD38" s="16"/>
      <c r="CE38" s="16"/>
      <c r="CF38" s="16"/>
      <c r="CG38" s="16"/>
      <c r="CH38" s="16"/>
      <c r="CI38" s="16"/>
      <c r="CJ38" s="16"/>
      <c r="CK38" s="16"/>
      <c r="CL38" s="16"/>
      <c r="CM38" s="16"/>
      <c r="CN38" s="16"/>
      <c r="CO38" s="16"/>
      <c r="CP38" s="16"/>
      <c r="CQ38" s="16"/>
      <c r="CR38" s="16"/>
      <c r="CS38" s="16"/>
      <c r="CT38" s="16"/>
      <c r="CU38" s="16"/>
      <c r="CV38" s="16"/>
      <c r="CW38" s="16"/>
      <c r="CX38" s="16"/>
      <c r="CY38" s="16"/>
      <c r="CZ38" s="16"/>
      <c r="DA38" s="16"/>
      <c r="DB38" s="16"/>
      <c r="DC38" s="16"/>
      <c r="DD38" s="16"/>
      <c r="DE38" s="16"/>
      <c r="DF38" s="16"/>
      <c r="DG38" s="16"/>
      <c r="DH38" s="16"/>
      <c r="DI38" s="16"/>
      <c r="DJ38" s="16"/>
      <c r="DK38" s="16"/>
      <c r="DL38" s="16"/>
      <c r="DM38" s="16"/>
      <c r="DN38" s="16"/>
      <c r="DO38" s="16"/>
      <c r="DP38" s="16"/>
      <c r="DQ38" s="16"/>
      <c r="DR38" s="16"/>
      <c r="DS38" s="16"/>
      <c r="DT38" s="16"/>
      <c r="DU38" s="16"/>
      <c r="DV38" s="16"/>
      <c r="DW38" s="16"/>
      <c r="DX38" s="16"/>
      <c r="DY38" s="16"/>
      <c r="DZ38" s="16"/>
      <c r="EA38" s="16"/>
      <c r="EB38" s="16"/>
      <c r="EC38" s="16"/>
      <c r="ED38" s="16"/>
      <c r="EE38" s="16"/>
      <c r="EF38" s="16"/>
      <c r="EG38" s="16"/>
      <c r="EH38" s="16"/>
      <c r="EI38" s="16"/>
      <c r="EJ38" s="16"/>
      <c r="EK38" s="16"/>
      <c r="EL38" s="16"/>
      <c r="EM38" s="16"/>
      <c r="EN38" s="16"/>
      <c r="EO38" s="16"/>
      <c r="EP38" s="16"/>
      <c r="EQ38" s="16"/>
      <c r="ER38" s="16"/>
      <c r="ES38" s="16"/>
      <c r="ET38" s="16"/>
      <c r="EU38" s="16"/>
      <c r="EV38" s="16"/>
      <c r="EW38" s="16"/>
      <c r="EX38" s="16"/>
      <c r="EY38" s="16"/>
      <c r="EZ38" s="16"/>
      <c r="FA38" s="16"/>
      <c r="FB38" s="16"/>
      <c r="FC38" s="16"/>
      <c r="FD38" s="16"/>
      <c r="FE38" s="16"/>
      <c r="FF38" s="16"/>
      <c r="FG38" s="16"/>
      <c r="FH38" s="16"/>
      <c r="FI38" s="16"/>
      <c r="FJ38" s="16"/>
      <c r="FK38" s="16"/>
      <c r="FL38" s="16"/>
      <c r="FM38" s="16"/>
      <c r="FN38" s="16"/>
      <c r="FO38" s="16"/>
      <c r="FP38" s="16"/>
      <c r="FQ38" s="16"/>
      <c r="FR38" s="16"/>
      <c r="FS38" s="16"/>
      <c r="FT38" s="16"/>
      <c r="FU38" s="16"/>
      <c r="FV38" s="16"/>
      <c r="FW38" s="16"/>
      <c r="FX38" s="16"/>
      <c r="FY38" s="16"/>
      <c r="FZ38" s="16"/>
      <c r="GA38" s="16"/>
      <c r="GB38" s="16"/>
      <c r="GC38" s="16"/>
      <c r="GD38" s="16"/>
      <c r="GE38" s="16"/>
      <c r="GF38" s="16"/>
      <c r="GG38" s="16"/>
      <c r="GH38" s="16"/>
      <c r="GI38" s="16"/>
      <c r="GJ38" s="16"/>
      <c r="GK38" s="16"/>
      <c r="GL38" s="16"/>
      <c r="GM38" s="16"/>
      <c r="GN38" s="16"/>
      <c r="GO38" s="16"/>
    </row>
    <row r="39" ht="18.0" customHeight="1">
      <c r="A39" s="15">
        <v>38.0</v>
      </c>
      <c r="B39" s="16" t="s">
        <v>992</v>
      </c>
      <c r="C39" s="17" t="s">
        <v>996</v>
      </c>
      <c r="D39" s="16" t="s">
        <v>319</v>
      </c>
      <c r="E39" s="15">
        <f>COUNTIF('Tổng hợp 75 trang đích'!$B$2:$B$2505,$D39)</f>
        <v>20</v>
      </c>
      <c r="F39" s="15">
        <f>COUNTIFS('Tổng hợp 75 trang đích'!$B$2:$B$2505,$D39,'Tổng hợp 75 trang đích'!$K$2:$K$2505,"PHÙ HỢP CAO")</f>
        <v>4</v>
      </c>
      <c r="G39" s="15">
        <f>COUNTIFS('Tổng hợp 75 trang đích'!$B$2:$B$2505,$D39,'Tổng hợp 75 trang đích'!$K$2:$K$2505,"CÓ THỂ ĐI")</f>
        <v>0</v>
      </c>
      <c r="H39" s="15">
        <f>COUNTIFS('Tổng hợp 75 trang đích'!$B$2:$B$2505,$D39,'Tổng hợp 75 trang đích'!$K$2:$K$2505,"CẦN SOÁT")</f>
        <v>16</v>
      </c>
      <c r="I39" s="19" t="s">
        <v>256</v>
      </c>
      <c r="J39" s="19" t="b">
        <v>0</v>
      </c>
      <c r="K39" s="20" t="s">
        <v>258</v>
      </c>
      <c r="L39" s="16" t="str">
        <f>IFERROR(__xludf.DUMMYFUNCTION("IFERROR(TOROW(CHOOSECOLS(SORT(FILTER({'Tổng hợp 75 trang đích'!$J$2:$J$2505,'Tổng hợp 75 trang đích'!$I$2:$I$2505,MATCH('Tổng hợp 75 trang đích'!$K$2:$K$2505,{""PHÙ HỢP CAO"",""CÓ THỂ ĐI"",""CẦN SOÁT""},0)},'Tổng hợp 75 trang đích'!$B$2:$B$2505=$D39),3,TR"&amp;"UE),1,2)),"""")"),"1 Tệ bằng bao nhiêu tiền Việt")</f>
        <v>1 Tệ bằng bao nhiêu tiền Việt</v>
      </c>
      <c r="M39" s="21" t="str">
        <f>IFERROR(__xludf.DUMMYFUNCTION("""COMPUTED_VALUE"""),"https://techcombank.com/thong-tin/blog/tien-trung-quoc")</f>
        <v>https://techcombank.com/thong-tin/blog/tien-trung-quoc</v>
      </c>
      <c r="N39" s="16" t="str">
        <f>IFERROR(__xludf.DUMMYFUNCTION("""COMPUTED_VALUE"""),"tỷ giá Nhân dân tệ")</f>
        <v>tỷ giá Nhân dân tệ</v>
      </c>
      <c r="O39" s="21" t="str">
        <f>IFERROR(__xludf.DUMMYFUNCTION("""COMPUTED_VALUE"""),"https://techcombank.com/thong-tin/blog/1-van-te-bang-bao-nhieu-tien-viet")</f>
        <v>https://techcombank.com/thong-tin/blog/1-van-te-bang-bao-nhieu-tien-viet</v>
      </c>
      <c r="P39" s="16" t="str">
        <f>IFERROR(__xludf.DUMMYFUNCTION("""COMPUTED_VALUE"""),"1 Tệ bằng bao nhiêu tiền Việt")</f>
        <v>1 Tệ bằng bao nhiêu tiền Việt</v>
      </c>
      <c r="Q39" s="21" t="str">
        <f>IFERROR(__xludf.DUMMYFUNCTION("""COMPUTED_VALUE"""),"https://techcombank.com/thong-tin/blog/1000-te-bang-bao-nhieu-tien-viet")</f>
        <v>https://techcombank.com/thong-tin/blog/1000-te-bang-bao-nhieu-tien-viet</v>
      </c>
      <c r="R39" s="16" t="str">
        <f>IFERROR(__xludf.DUMMYFUNCTION("""COMPUTED_VALUE"""),"tỷ giá Nhân dân tệ")</f>
        <v>tỷ giá Nhân dân tệ</v>
      </c>
      <c r="S39" s="21" t="str">
        <f>IFERROR(__xludf.DUMMYFUNCTION("""COMPUTED_VALUE"""),"https://techcombank.com/thong-tin/blog/thanh-toan-khi-du-lich-trung-quoc")</f>
        <v>https://techcombank.com/thong-tin/blog/thanh-toan-khi-du-lich-trung-quoc</v>
      </c>
      <c r="T39" s="16" t="str">
        <f>IFERROR(__xludf.DUMMYFUNCTION("""COMPUTED_VALUE"""),"1 Tệ bằng bao nhiêu tiền Việt")</f>
        <v>1 Tệ bằng bao nhiêu tiền Việt</v>
      </c>
      <c r="U39" s="21" t="str">
        <f>IFERROR(__xludf.DUMMYFUNCTION("""COMPUTED_VALUE"""),"https://techcombank.com/thong-tin/blog/gui-tiet-kiem-ngoai-te")</f>
        <v>https://techcombank.com/thong-tin/blog/gui-tiet-kiem-ngoai-te</v>
      </c>
      <c r="V39" s="16" t="str">
        <f>IFERROR(__xludf.DUMMYFUNCTION("""COMPUTED_VALUE"""),"tỷ giá Nhân dân tệ")</f>
        <v>tỷ giá Nhân dân tệ</v>
      </c>
      <c r="W39" s="21" t="str">
        <f>IFERROR(__xludf.DUMMYFUNCTION("""COMPUTED_VALUE"""),"https://techcombank.com/thong-tin/blog/chuyen-tien-dinh-cu")</f>
        <v>https://techcombank.com/thong-tin/blog/chuyen-tien-dinh-cu</v>
      </c>
      <c r="X39" s="16" t="str">
        <f>IFERROR(__xludf.DUMMYFUNCTION("""COMPUTED_VALUE"""),"1 Tệ bằng bao nhiêu tiền Việt")</f>
        <v>1 Tệ bằng bao nhiêu tiền Việt</v>
      </c>
      <c r="Y39" s="21" t="str">
        <f>IFERROR(__xludf.DUMMYFUNCTION("""COMPUTED_VALUE"""),"https://techcombank.com/thong-tin/blog/han-muc-mua-ngoai-te-khi-di-du-lich")</f>
        <v>https://techcombank.com/thong-tin/blog/han-muc-mua-ngoai-te-khi-di-du-lich</v>
      </c>
      <c r="Z39" s="16" t="str">
        <f>IFERROR(__xludf.DUMMYFUNCTION("""COMPUTED_VALUE"""),"tỷ giá Nhân dân tệ")</f>
        <v>tỷ giá Nhân dân tệ</v>
      </c>
      <c r="AA39" s="21" t="str">
        <f>IFERROR(__xludf.DUMMYFUNCTION("""COMPUTED_VALUE"""),"https://techcombank.com/thong-tin/blog/ngoai-te-la-gi")</f>
        <v>https://techcombank.com/thong-tin/blog/ngoai-te-la-gi</v>
      </c>
      <c r="AB39" s="16" t="str">
        <f>IFERROR(__xludf.DUMMYFUNCTION("""COMPUTED_VALUE"""),"1 Tệ bằng bao nhiêu tiền Việt")</f>
        <v>1 Tệ bằng bao nhiêu tiền Việt</v>
      </c>
      <c r="AC39" s="21" t="str">
        <f>IFERROR(__xludf.DUMMYFUNCTION("""COMPUTED_VALUE"""),"https://techcombank.com/thong-tin/blog/tai-khoan-ngan-hang-la-gi")</f>
        <v>https://techcombank.com/thong-tin/blog/tai-khoan-ngan-hang-la-gi</v>
      </c>
      <c r="AD39" s="16" t="str">
        <f>IFERROR(__xludf.DUMMYFUNCTION("""COMPUTED_VALUE"""),"tỷ giá Nhân dân tệ")</f>
        <v>tỷ giá Nhân dân tệ</v>
      </c>
      <c r="AE39" s="21" t="str">
        <f>IFERROR(__xludf.DUMMYFUNCTION("""COMPUTED_VALUE"""),"https://techcombank.com/thong-tin/blog/di-du-lich-nuoc-ngoai-can-chuan-bi-gi")</f>
        <v>https://techcombank.com/thong-tin/blog/di-du-lich-nuoc-ngoai-can-chuan-bi-gi</v>
      </c>
      <c r="AF39" s="16" t="str">
        <f>IFERROR(__xludf.DUMMYFUNCTION("""COMPUTED_VALUE"""),"1 Tệ bằng bao nhiêu tiền Việt")</f>
        <v>1 Tệ bằng bao nhiêu tiền Việt</v>
      </c>
      <c r="AG39" s="21" t="str">
        <f>IFERROR(__xludf.DUMMYFUNCTION("""COMPUTED_VALUE"""),"https://techcombank.com/thong-tin/blog/quy-dinh-ve-mua-ban-ngoai-te-cua-doanh-nghiep")</f>
        <v>https://techcombank.com/thong-tin/blog/quy-dinh-ve-mua-ban-ngoai-te-cua-doanh-nghiep</v>
      </c>
      <c r="AH39" s="16" t="str">
        <f>IFERROR(__xludf.DUMMYFUNCTION("""COMPUTED_VALUE"""),"tỷ giá Nhân dân tệ")</f>
        <v>tỷ giá Nhân dân tệ</v>
      </c>
      <c r="AI39" s="21" t="str">
        <f>IFERROR(__xludf.DUMMYFUNCTION("""COMPUTED_VALUE"""),"https://techcombank.com/thong-tin/blog/chuyen-tien-tu-duc-ve-viet-nam")</f>
        <v>https://techcombank.com/thong-tin/blog/chuyen-tien-tu-duc-ve-viet-nam</v>
      </c>
      <c r="AJ39" s="16" t="str">
        <f>IFERROR(__xludf.DUMMYFUNCTION("""COMPUTED_VALUE"""),"1 Tệ bằng bao nhiêu tiền Việt")</f>
        <v>1 Tệ bằng bao nhiêu tiền Việt</v>
      </c>
      <c r="AK39" s="21" t="str">
        <f>IFERROR(__xludf.DUMMYFUNCTION("""COMPUTED_VALUE"""),"https://techcombank.com/thong-tin/blog/cach-nhan-tien-tu-nuoc-ngoai-ve-viet-nam")</f>
        <v>https://techcombank.com/thong-tin/blog/cach-nhan-tien-tu-nuoc-ngoai-ve-viet-nam</v>
      </c>
      <c r="AL39" s="16" t="str">
        <f>IFERROR(__xludf.DUMMYFUNCTION("""COMPUTED_VALUE"""),"tỷ giá Nhân dân tệ")</f>
        <v>tỷ giá Nhân dân tệ</v>
      </c>
      <c r="AM39" s="21" t="str">
        <f>IFERROR(__xludf.DUMMYFUNCTION("""COMPUTED_VALUE"""),"https://techcombank.com/thong-tin/blog/ngoai-hoi-la-gi")</f>
        <v>https://techcombank.com/thong-tin/blog/ngoai-hoi-la-gi</v>
      </c>
      <c r="AN39" s="16" t="str">
        <f>IFERROR(__xludf.DUMMYFUNCTION("""COMPUTED_VALUE"""),"1 Tệ bằng bao nhiêu tiền Việt")</f>
        <v>1 Tệ bằng bao nhiêu tiền Việt</v>
      </c>
      <c r="AO39" s="21" t="str">
        <f>IFERROR(__xludf.DUMMYFUNCTION("""COMPUTED_VALUE"""),"https://techcombank.com/thong-tin/blog/phi-chuyen-doi-ngoai-te")</f>
        <v>https://techcombank.com/thong-tin/blog/phi-chuyen-doi-ngoai-te</v>
      </c>
      <c r="AP39" s="16" t="str">
        <f>IFERROR(__xludf.DUMMYFUNCTION("""COMPUTED_VALUE"""),"tỷ giá Nhân dân tệ")</f>
        <v>tỷ giá Nhân dân tệ</v>
      </c>
      <c r="AQ39" s="21" t="str">
        <f>IFERROR(__xludf.DUMMYFUNCTION("""COMPUTED_VALUE"""),"https://techcombank.com/thong-tin/blog/chuyen-tien-tu-nhat-ve-viet-nam")</f>
        <v>https://techcombank.com/thong-tin/blog/chuyen-tien-tu-nhat-ve-viet-nam</v>
      </c>
      <c r="AR39" s="16" t="str">
        <f>IFERROR(__xludf.DUMMYFUNCTION("""COMPUTED_VALUE"""),"1 Tệ bằng bao nhiêu tiền Việt")</f>
        <v>1 Tệ bằng bao nhiêu tiền Việt</v>
      </c>
      <c r="AS39" s="21" t="str">
        <f>IFERROR(__xludf.DUMMYFUNCTION("""COMPUTED_VALUE"""),"https://techcombank.com/thong-tin/blog/1000-won-bang-bao-nhieu-tien-viet")</f>
        <v>https://techcombank.com/thong-tin/blog/1000-won-bang-bao-nhieu-tien-viet</v>
      </c>
      <c r="AT39" s="16" t="str">
        <f>IFERROR(__xludf.DUMMYFUNCTION("""COMPUTED_VALUE"""),"tỷ giá Nhân dân tệ")</f>
        <v>tỷ giá Nhân dân tệ</v>
      </c>
      <c r="AU39" s="21" t="str">
        <f>IFERROR(__xludf.DUMMYFUNCTION("""COMPUTED_VALUE"""),"https://techcombank.com/thong-tin/blog/tien-dai-loan")</f>
        <v>https://techcombank.com/thong-tin/blog/tien-dai-loan</v>
      </c>
      <c r="AV39" s="16" t="str">
        <f>IFERROR(__xludf.DUMMYFUNCTION("""COMPUTED_VALUE"""),"1 Tệ bằng bao nhiêu tiền Việt")</f>
        <v>1 Tệ bằng bao nhiêu tiền Việt</v>
      </c>
      <c r="AW39" s="21" t="str">
        <f>IFERROR(__xludf.DUMMYFUNCTION("""COMPUTED_VALUE"""),"https://techcombank.com/thong-tin/blog/ty-gia-cac-ngan-hang")</f>
        <v>https://techcombank.com/thong-tin/blog/ty-gia-cac-ngan-hang</v>
      </c>
      <c r="AX39" s="16" t="str">
        <f>IFERROR(__xludf.DUMMYFUNCTION("""COMPUTED_VALUE"""),"tỷ giá Nhân dân tệ")</f>
        <v>tỷ giá Nhân dân tệ</v>
      </c>
      <c r="AY39" s="21" t="str">
        <f>IFERROR(__xludf.DUMMYFUNCTION("""COMPUTED_VALUE"""),"https://techcombank.com/thong-tin/blog/ty-gia-la-gi")</f>
        <v>https://techcombank.com/thong-tin/blog/ty-gia-la-gi</v>
      </c>
      <c r="AZ39" s="16"/>
      <c r="BA39" s="16"/>
      <c r="BB39" s="16"/>
      <c r="BC39" s="16"/>
      <c r="BD39" s="16"/>
      <c r="BE39" s="16"/>
      <c r="BF39" s="16"/>
      <c r="BG39" s="16"/>
      <c r="BH39" s="16"/>
      <c r="BI39" s="16"/>
      <c r="BJ39" s="16"/>
      <c r="BK39" s="16"/>
      <c r="BL39" s="16"/>
      <c r="BM39" s="16"/>
      <c r="BN39" s="16"/>
      <c r="BO39" s="16"/>
      <c r="BP39" s="16"/>
      <c r="BQ39" s="16"/>
      <c r="BR39" s="16"/>
      <c r="BS39" s="16"/>
      <c r="BT39" s="16"/>
      <c r="BU39" s="16"/>
      <c r="BV39" s="16"/>
      <c r="BW39" s="16"/>
      <c r="BX39" s="16"/>
      <c r="BY39" s="16"/>
      <c r="BZ39" s="16"/>
      <c r="CA39" s="16"/>
      <c r="CB39" s="16"/>
      <c r="CC39" s="16"/>
      <c r="CD39" s="16"/>
      <c r="CE39" s="16"/>
      <c r="CF39" s="16"/>
      <c r="CG39" s="16"/>
      <c r="CH39" s="16"/>
      <c r="CI39" s="16"/>
      <c r="CJ39" s="16"/>
      <c r="CK39" s="16"/>
      <c r="CL39" s="16"/>
      <c r="CM39" s="16"/>
      <c r="CN39" s="16"/>
      <c r="CO39" s="16"/>
      <c r="CP39" s="16"/>
      <c r="CQ39" s="16"/>
      <c r="CR39" s="16"/>
      <c r="CS39" s="16"/>
      <c r="CT39" s="16"/>
      <c r="CU39" s="16"/>
      <c r="CV39" s="16"/>
      <c r="CW39" s="16"/>
      <c r="CX39" s="16"/>
      <c r="CY39" s="16"/>
      <c r="CZ39" s="16"/>
      <c r="DA39" s="16"/>
      <c r="DB39" s="16"/>
      <c r="DC39" s="16"/>
      <c r="DD39" s="16"/>
      <c r="DE39" s="16"/>
      <c r="DF39" s="16"/>
      <c r="DG39" s="16"/>
      <c r="DH39" s="16"/>
      <c r="DI39" s="16"/>
      <c r="DJ39" s="16"/>
      <c r="DK39" s="16"/>
      <c r="DL39" s="16"/>
      <c r="DM39" s="16"/>
      <c r="DN39" s="16"/>
      <c r="DO39" s="16"/>
      <c r="DP39" s="16"/>
      <c r="DQ39" s="16"/>
      <c r="DR39" s="16"/>
      <c r="DS39" s="16"/>
      <c r="DT39" s="16"/>
      <c r="DU39" s="16"/>
      <c r="DV39" s="16"/>
      <c r="DW39" s="16"/>
      <c r="DX39" s="16"/>
      <c r="DY39" s="16"/>
      <c r="DZ39" s="16"/>
      <c r="EA39" s="16"/>
      <c r="EB39" s="16"/>
      <c r="EC39" s="16"/>
      <c r="ED39" s="16"/>
      <c r="EE39" s="16"/>
      <c r="EF39" s="16"/>
      <c r="EG39" s="16"/>
      <c r="EH39" s="16"/>
      <c r="EI39" s="16"/>
      <c r="EJ39" s="16"/>
      <c r="EK39" s="16"/>
      <c r="EL39" s="16"/>
      <c r="EM39" s="16"/>
      <c r="EN39" s="16"/>
      <c r="EO39" s="16"/>
      <c r="EP39" s="16"/>
      <c r="EQ39" s="16"/>
      <c r="ER39" s="16"/>
      <c r="ES39" s="16"/>
      <c r="ET39" s="16"/>
      <c r="EU39" s="16"/>
      <c r="EV39" s="16"/>
      <c r="EW39" s="16"/>
      <c r="EX39" s="16"/>
      <c r="EY39" s="16"/>
      <c r="EZ39" s="16"/>
      <c r="FA39" s="16"/>
      <c r="FB39" s="16"/>
      <c r="FC39" s="16"/>
      <c r="FD39" s="16"/>
      <c r="FE39" s="16"/>
      <c r="FF39" s="16"/>
      <c r="FG39" s="16"/>
      <c r="FH39" s="16"/>
      <c r="FI39" s="16"/>
      <c r="FJ39" s="16"/>
      <c r="FK39" s="16"/>
      <c r="FL39" s="16"/>
      <c r="FM39" s="16"/>
      <c r="FN39" s="16"/>
      <c r="FO39" s="16"/>
      <c r="FP39" s="16"/>
      <c r="FQ39" s="16"/>
      <c r="FR39" s="16"/>
      <c r="FS39" s="16"/>
      <c r="FT39" s="16"/>
      <c r="FU39" s="16"/>
      <c r="FV39" s="16"/>
      <c r="FW39" s="16"/>
      <c r="FX39" s="16"/>
      <c r="FY39" s="16"/>
      <c r="FZ39" s="16"/>
      <c r="GA39" s="16"/>
      <c r="GB39" s="16"/>
      <c r="GC39" s="16"/>
      <c r="GD39" s="16"/>
      <c r="GE39" s="16"/>
      <c r="GF39" s="16"/>
      <c r="GG39" s="16"/>
      <c r="GH39" s="16"/>
      <c r="GI39" s="16"/>
      <c r="GJ39" s="16"/>
      <c r="GK39" s="16"/>
      <c r="GL39" s="16"/>
      <c r="GM39" s="16"/>
      <c r="GN39" s="16"/>
      <c r="GO39" s="16"/>
    </row>
    <row r="40" ht="18.0" customHeight="1">
      <c r="A40" s="15">
        <v>39.0</v>
      </c>
      <c r="B40" s="16" t="s">
        <v>992</v>
      </c>
      <c r="C40" s="17" t="s">
        <v>1008</v>
      </c>
      <c r="D40" s="16" t="s">
        <v>320</v>
      </c>
      <c r="E40" s="15">
        <f>COUNTIF('Tổng hợp 75 trang đích'!$B$2:$B$2505,$D40)</f>
        <v>12</v>
      </c>
      <c r="F40" s="15">
        <f>COUNTIFS('Tổng hợp 75 trang đích'!$B$2:$B$2505,$D40,'Tổng hợp 75 trang đích'!$K$2:$K$2505,"PHÙ HỢP CAO")</f>
        <v>3</v>
      </c>
      <c r="G40" s="15">
        <f>COUNTIFS('Tổng hợp 75 trang đích'!$B$2:$B$2505,$D40,'Tổng hợp 75 trang đích'!$K$2:$K$2505,"CÓ THỂ ĐI")</f>
        <v>2</v>
      </c>
      <c r="H40" s="15">
        <f>COUNTIFS('Tổng hợp 75 trang đích'!$B$2:$B$2505,$D40,'Tổng hợp 75 trang đích'!$K$2:$K$2505,"CẦN SOÁT")</f>
        <v>7</v>
      </c>
      <c r="I40" s="19" t="s">
        <v>256</v>
      </c>
      <c r="J40" s="19" t="b">
        <v>0</v>
      </c>
      <c r="K40" s="20" t="s">
        <v>258</v>
      </c>
      <c r="L40" s="16" t="str">
        <f>IFERROR(__xludf.DUMMYFUNCTION("IFERROR(TOROW(CHOOSECOLS(SORT(FILTER({'Tổng hợp 75 trang đích'!$J$2:$J$2505,'Tổng hợp 75 trang đích'!$I$2:$I$2505,MATCH('Tổng hợp 75 trang đích'!$K$2:$K$2505,{""PHÙ HỢP CAO"",""CÓ THỂ ĐI"",""CẦN SOÁT""},0)},'Tổng hợp 75 trang đích'!$B$2:$B$2505=$D40),3,TR"&amp;"UE),1,2)),"""")"),"1 đô la Mỹ bằng bao nhiêu tiền Việt")</f>
        <v>1 đô la Mỹ bằng bao nhiêu tiền Việt</v>
      </c>
      <c r="M40" s="21" t="str">
        <f>IFERROR(__xludf.DUMMYFUNCTION("""COMPUTED_VALUE"""),"https://techcombank.com/thong-tin/blog/xu-huong-ty-gia-usd")</f>
        <v>https://techcombank.com/thong-tin/blog/xu-huong-ty-gia-usd</v>
      </c>
      <c r="N40" s="16" t="str">
        <f>IFERROR(__xludf.DUMMYFUNCTION("""COMPUTED_VALUE"""),"1 đô bằng bao nhiêu tiền Việt")</f>
        <v>1 đô bằng bao nhiêu tiền Việt</v>
      </c>
      <c r="O40" s="21" t="str">
        <f>IFERROR(__xludf.DUMMYFUNCTION("""COMPUTED_VALUE"""),"https://techcombank.com/thong-tin/blog/dieu-kien-mua-usd-tu-ngan-hang")</f>
        <v>https://techcombank.com/thong-tin/blog/dieu-kien-mua-usd-tu-ngan-hang</v>
      </c>
      <c r="P40" s="16" t="str">
        <f>IFERROR(__xludf.DUMMYFUNCTION("""COMPUTED_VALUE"""),"tỷ giá USD/VND")</f>
        <v>tỷ giá USD/VND</v>
      </c>
      <c r="Q40" s="21" t="str">
        <f>IFERROR(__xludf.DUMMYFUNCTION("""COMPUTED_VALUE"""),"https://techcombank.com/thong-tin/blog/1-cent-bang-bao-nhieu-tien-viet")</f>
        <v>https://techcombank.com/thong-tin/blog/1-cent-bang-bao-nhieu-tien-viet</v>
      </c>
      <c r="R40" s="16" t="str">
        <f>IFERROR(__xludf.DUMMYFUNCTION("""COMPUTED_VALUE"""),"1 đô la Mỹ bằng bao nhiêu tiền Việt")</f>
        <v>1 đô la Mỹ bằng bao nhiêu tiền Việt</v>
      </c>
      <c r="S40" s="21" t="str">
        <f>IFERROR(__xludf.DUMMYFUNCTION("""COMPUTED_VALUE"""),"https://techcombank.com/thong-tin/blog/lai-suat-gui-tiet-kiem-usd")</f>
        <v>https://techcombank.com/thong-tin/blog/lai-suat-gui-tiet-kiem-usd</v>
      </c>
      <c r="T40" s="16" t="str">
        <f>IFERROR(__xludf.DUMMYFUNCTION("""COMPUTED_VALUE"""),"1 đô bằng bao nhiêu tiền Việt")</f>
        <v>1 đô bằng bao nhiêu tiền Việt</v>
      </c>
      <c r="U40" s="21" t="str">
        <f>IFERROR(__xludf.DUMMYFUNCTION("""COMPUTED_VALUE"""),"https://techcombank.com/thong-tin/blog/chuyen-tien-tu-my-ve-viet-nam")</f>
        <v>https://techcombank.com/thong-tin/blog/chuyen-tien-tu-my-ve-viet-nam</v>
      </c>
      <c r="V40" s="16" t="str">
        <f>IFERROR(__xludf.DUMMYFUNCTION("""COMPUTED_VALUE"""),"tỷ giá USD/VND")</f>
        <v>tỷ giá USD/VND</v>
      </c>
      <c r="W40" s="21" t="str">
        <f>IFERROR(__xludf.DUMMYFUNCTION("""COMPUTED_VALUE"""),"https://techcombank.com/thong-tin/blog/vang-my-ky")</f>
        <v>https://techcombank.com/thong-tin/blog/vang-my-ky</v>
      </c>
      <c r="X40" s="16" t="str">
        <f>IFERROR(__xludf.DUMMYFUNCTION("""COMPUTED_VALUE"""),"1 đô la Mỹ bằng bao nhiêu tiền Việt")</f>
        <v>1 đô la Mỹ bằng bao nhiêu tiền Việt</v>
      </c>
      <c r="Y40" s="21" t="str">
        <f>IFERROR(__xludf.DUMMYFUNCTION("""COMPUTED_VALUE"""),"https://techcombank.com/thong-tin/blog/han-muc-mua-ngoai-te-khi-di-du-lich")</f>
        <v>https://techcombank.com/thong-tin/blog/han-muc-mua-ngoai-te-khi-di-du-lich</v>
      </c>
      <c r="Z40" s="16" t="str">
        <f>IFERROR(__xludf.DUMMYFUNCTION("""COMPUTED_VALUE"""),"1 đô bằng bao nhiêu tiền Việt")</f>
        <v>1 đô bằng bao nhiêu tiền Việt</v>
      </c>
      <c r="AA40" s="21" t="str">
        <f>IFERROR(__xludf.DUMMYFUNCTION("""COMPUTED_VALUE"""),"https://techcombank.com/thong-tin/blog/cam-nang-dinh-cu-my")</f>
        <v>https://techcombank.com/thong-tin/blog/cam-nang-dinh-cu-my</v>
      </c>
      <c r="AB40" s="16" t="str">
        <f>IFERROR(__xludf.DUMMYFUNCTION("""COMPUTED_VALUE"""),"tỷ giá USD/VND")</f>
        <v>tỷ giá USD/VND</v>
      </c>
      <c r="AC40" s="21" t="str">
        <f>IFERROR(__xludf.DUMMYFUNCTION("""COMPUTED_VALUE"""),"https://techcombank.com/thong-tin/blog/gui-tiet-kiem-usd")</f>
        <v>https://techcombank.com/thong-tin/blog/gui-tiet-kiem-usd</v>
      </c>
      <c r="AD40" s="16" t="str">
        <f>IFERROR(__xludf.DUMMYFUNCTION("""COMPUTED_VALUE"""),"1 đô la Mỹ bằng bao nhiêu tiền Việt")</f>
        <v>1 đô la Mỹ bằng bao nhiêu tiền Việt</v>
      </c>
      <c r="AE40" s="21" t="str">
        <f>IFERROR(__xludf.DUMMYFUNCTION("""COMPUTED_VALUE"""),"https://techcombank.com/thong-tin/blog/doi-tien-do-o-dau")</f>
        <v>https://techcombank.com/thong-tin/blog/doi-tien-do-o-dau</v>
      </c>
      <c r="AF40" s="16" t="str">
        <f>IFERROR(__xludf.DUMMYFUNCTION("""COMPUTED_VALUE"""),"1 đô bằng bao nhiêu tiền Việt")</f>
        <v>1 đô bằng bao nhiêu tiền Việt</v>
      </c>
      <c r="AG40" s="21" t="str">
        <f>IFERROR(__xludf.DUMMYFUNCTION("""COMPUTED_VALUE"""),"https://techcombank.com/thong-tin/blog/chuyen-tien-di-uc")</f>
        <v>https://techcombank.com/thong-tin/blog/chuyen-tien-di-uc</v>
      </c>
      <c r="AH40" s="16" t="str">
        <f>IFERROR(__xludf.DUMMYFUNCTION("""COMPUTED_VALUE"""),"tỷ giá USD/VND")</f>
        <v>tỷ giá USD/VND</v>
      </c>
      <c r="AI40" s="21" t="str">
        <f>IFERROR(__xludf.DUMMYFUNCTION("""COMPUTED_VALUE"""),"https://techcombank.com/thong-tin/blog/1-trieu-do-bang-bao-nhieu-tien-viet")</f>
        <v>https://techcombank.com/thong-tin/blog/1-trieu-do-bang-bao-nhieu-tien-viet</v>
      </c>
      <c r="AJ40" s="16"/>
      <c r="AK40" s="16"/>
      <c r="AL40" s="16"/>
      <c r="AM40" s="16"/>
      <c r="AN40" s="16"/>
      <c r="AO40" s="16"/>
      <c r="AP40" s="16"/>
      <c r="AQ40" s="16"/>
      <c r="AR40" s="16"/>
      <c r="AS40" s="16"/>
      <c r="AT40" s="16"/>
      <c r="AU40" s="16"/>
      <c r="AV40" s="16"/>
      <c r="AW40" s="16"/>
      <c r="AX40" s="16"/>
      <c r="AY40" s="16"/>
      <c r="AZ40" s="16"/>
      <c r="BA40" s="16"/>
      <c r="BB40" s="16"/>
      <c r="BC40" s="16"/>
      <c r="BD40" s="16"/>
      <c r="BE40" s="16"/>
      <c r="BF40" s="16"/>
      <c r="BG40" s="16"/>
      <c r="BH40" s="16"/>
      <c r="BI40" s="16"/>
      <c r="BJ40" s="16"/>
      <c r="BK40" s="16"/>
      <c r="BL40" s="16"/>
      <c r="BM40" s="16"/>
      <c r="BN40" s="16"/>
      <c r="BO40" s="16"/>
      <c r="BP40" s="16"/>
      <c r="BQ40" s="16"/>
      <c r="BR40" s="16"/>
      <c r="BS40" s="16"/>
      <c r="BT40" s="16"/>
      <c r="BU40" s="16"/>
      <c r="BV40" s="16"/>
      <c r="BW40" s="16"/>
      <c r="BX40" s="16"/>
      <c r="BY40" s="16"/>
      <c r="BZ40" s="16"/>
      <c r="CA40" s="16"/>
      <c r="CB40" s="16"/>
      <c r="CC40" s="16"/>
      <c r="CD40" s="16"/>
      <c r="CE40" s="16"/>
      <c r="CF40" s="16"/>
      <c r="CG40" s="16"/>
      <c r="CH40" s="16"/>
      <c r="CI40" s="16"/>
      <c r="CJ40" s="16"/>
      <c r="CK40" s="16"/>
      <c r="CL40" s="16"/>
      <c r="CM40" s="16"/>
      <c r="CN40" s="16"/>
      <c r="CO40" s="16"/>
      <c r="CP40" s="16"/>
      <c r="CQ40" s="16"/>
      <c r="CR40" s="16"/>
      <c r="CS40" s="16"/>
      <c r="CT40" s="16"/>
      <c r="CU40" s="16"/>
      <c r="CV40" s="16"/>
      <c r="CW40" s="16"/>
      <c r="CX40" s="16"/>
      <c r="CY40" s="16"/>
      <c r="CZ40" s="16"/>
      <c r="DA40" s="16"/>
      <c r="DB40" s="16"/>
      <c r="DC40" s="16"/>
      <c r="DD40" s="16"/>
      <c r="DE40" s="16"/>
      <c r="DF40" s="16"/>
      <c r="DG40" s="16"/>
      <c r="DH40" s="16"/>
      <c r="DI40" s="16"/>
      <c r="DJ40" s="16"/>
      <c r="DK40" s="16"/>
      <c r="DL40" s="16"/>
      <c r="DM40" s="16"/>
      <c r="DN40" s="16"/>
      <c r="DO40" s="16"/>
      <c r="DP40" s="16"/>
      <c r="DQ40" s="16"/>
      <c r="DR40" s="16"/>
      <c r="DS40" s="16"/>
      <c r="DT40" s="16"/>
      <c r="DU40" s="16"/>
      <c r="DV40" s="16"/>
      <c r="DW40" s="16"/>
      <c r="DX40" s="16"/>
      <c r="DY40" s="16"/>
      <c r="DZ40" s="16"/>
      <c r="EA40" s="16"/>
      <c r="EB40" s="16"/>
      <c r="EC40" s="16"/>
      <c r="ED40" s="16"/>
      <c r="EE40" s="16"/>
      <c r="EF40" s="16"/>
      <c r="EG40" s="16"/>
      <c r="EH40" s="16"/>
      <c r="EI40" s="16"/>
      <c r="EJ40" s="16"/>
      <c r="EK40" s="16"/>
      <c r="EL40" s="16"/>
      <c r="EM40" s="16"/>
      <c r="EN40" s="16"/>
      <c r="EO40" s="16"/>
      <c r="EP40" s="16"/>
      <c r="EQ40" s="16"/>
      <c r="ER40" s="16"/>
      <c r="ES40" s="16"/>
      <c r="ET40" s="16"/>
      <c r="EU40" s="16"/>
      <c r="EV40" s="16"/>
      <c r="EW40" s="16"/>
      <c r="EX40" s="16"/>
      <c r="EY40" s="16"/>
      <c r="EZ40" s="16"/>
      <c r="FA40" s="16"/>
      <c r="FB40" s="16"/>
      <c r="FC40" s="16"/>
      <c r="FD40" s="16"/>
      <c r="FE40" s="16"/>
      <c r="FF40" s="16"/>
      <c r="FG40" s="16"/>
      <c r="FH40" s="16"/>
      <c r="FI40" s="16"/>
      <c r="FJ40" s="16"/>
      <c r="FK40" s="16"/>
      <c r="FL40" s="16"/>
      <c r="FM40" s="16"/>
      <c r="FN40" s="16"/>
      <c r="FO40" s="16"/>
      <c r="FP40" s="16"/>
      <c r="FQ40" s="16"/>
      <c r="FR40" s="16"/>
      <c r="FS40" s="16"/>
      <c r="FT40" s="16"/>
      <c r="FU40" s="16"/>
      <c r="FV40" s="16"/>
      <c r="FW40" s="16"/>
      <c r="FX40" s="16"/>
      <c r="FY40" s="16"/>
      <c r="FZ40" s="16"/>
      <c r="GA40" s="16"/>
      <c r="GB40" s="16"/>
      <c r="GC40" s="16"/>
      <c r="GD40" s="16"/>
      <c r="GE40" s="16"/>
      <c r="GF40" s="16"/>
      <c r="GG40" s="16"/>
      <c r="GH40" s="16"/>
      <c r="GI40" s="16"/>
      <c r="GJ40" s="16"/>
      <c r="GK40" s="16"/>
      <c r="GL40" s="16"/>
      <c r="GM40" s="16"/>
      <c r="GN40" s="16"/>
      <c r="GO40" s="16"/>
    </row>
    <row r="41" ht="18.0" customHeight="1">
      <c r="A41" s="15">
        <v>40.0</v>
      </c>
      <c r="B41" s="16" t="s">
        <v>992</v>
      </c>
      <c r="C41" s="17" t="s">
        <v>1026</v>
      </c>
      <c r="D41" s="16" t="s">
        <v>322</v>
      </c>
      <c r="E41" s="15">
        <f>COUNTIF('Tổng hợp 75 trang đích'!$B$2:$B$2505,$D41)</f>
        <v>8</v>
      </c>
      <c r="F41" s="15">
        <f>COUNTIFS('Tổng hợp 75 trang đích'!$B$2:$B$2505,$D41,'Tổng hợp 75 trang đích'!$K$2:$K$2505,"PHÙ HỢP CAO")</f>
        <v>4</v>
      </c>
      <c r="G41" s="15">
        <f>COUNTIFS('Tổng hợp 75 trang đích'!$B$2:$B$2505,$D41,'Tổng hợp 75 trang đích'!$K$2:$K$2505,"CÓ THỂ ĐI")</f>
        <v>1</v>
      </c>
      <c r="H41" s="15">
        <f>COUNTIFS('Tổng hợp 75 trang đích'!$B$2:$B$2505,$D41,'Tổng hợp 75 trang đích'!$K$2:$K$2505,"CẦN SOÁT")</f>
        <v>3</v>
      </c>
      <c r="I41" s="19" t="s">
        <v>256</v>
      </c>
      <c r="J41" s="19" t="b">
        <v>0</v>
      </c>
      <c r="K41" s="20" t="s">
        <v>258</v>
      </c>
      <c r="L41" s="16" t="str">
        <f>IFERROR(__xludf.DUMMYFUNCTION("IFERROR(TOROW(CHOOSECOLS(SORT(FILTER({'Tổng hợp 75 trang đích'!$J$2:$J$2505,'Tổng hợp 75 trang đích'!$I$2:$I$2505,MATCH('Tổng hợp 75 trang đích'!$K$2:$K$2505,{""PHÙ HỢP CAO"",""CÓ THỂ ĐI"",""CẦN SOÁT""},0)},'Tổng hợp 75 trang đích'!$B$2:$B$2505=$D41),3,TR"&amp;"UE),1,2)),"""")"),"tiền Nhật")</f>
        <v>tiền Nhật</v>
      </c>
      <c r="M41" s="21" t="str">
        <f>IFERROR(__xludf.DUMMYFUNCTION("""COMPUTED_VALUE"""),"https://techcombank.com/thong-tin/blog/thanh-toan-khi-du-lich-nhat-ban")</f>
        <v>https://techcombank.com/thong-tin/blog/thanh-toan-khi-du-lich-nhat-ban</v>
      </c>
      <c r="N41" s="16" t="str">
        <f>IFERROR(__xludf.DUMMYFUNCTION("""COMPUTED_VALUE"""),"tiền Yên Nhật")</f>
        <v>tiền Yên Nhật</v>
      </c>
      <c r="O41" s="21" t="str">
        <f>IFERROR(__xludf.DUMMYFUNCTION("""COMPUTED_VALUE"""),"https://techcombank.com/thong-tin/blog/chuyen-tien-tu-nhat-ve-viet-nam")</f>
        <v>https://techcombank.com/thong-tin/blog/chuyen-tien-tu-nhat-ve-viet-nam</v>
      </c>
      <c r="P41" s="16" t="str">
        <f>IFERROR(__xludf.DUMMYFUNCTION("""COMPUTED_VALUE"""),"tiền Nhật")</f>
        <v>tiền Nhật</v>
      </c>
      <c r="Q41" s="21" t="str">
        <f>IFERROR(__xludf.DUMMYFUNCTION("""COMPUTED_VALUE"""),"https://techcombank.com/thong-tin/blog/1-yen-bang-bao-nhieu-tien-viet-nam")</f>
        <v>https://techcombank.com/thong-tin/blog/1-yen-bang-bao-nhieu-tien-viet-nam</v>
      </c>
      <c r="R41" s="16" t="str">
        <f>IFERROR(__xludf.DUMMYFUNCTION("""COMPUTED_VALUE"""),"tiền Yên Nhật")</f>
        <v>tiền Yên Nhật</v>
      </c>
      <c r="S41" s="21" t="str">
        <f>IFERROR(__xludf.DUMMYFUNCTION("""COMPUTED_VALUE"""),"https://techcombank.com/thong-tin/blog/1-man-bang-bao-nhieu-tien-viet")</f>
        <v>https://techcombank.com/thong-tin/blog/1-man-bang-bao-nhieu-tien-viet</v>
      </c>
      <c r="T41" s="16" t="str">
        <f>IFERROR(__xludf.DUMMYFUNCTION("""COMPUTED_VALUE"""),"tiền Nhật")</f>
        <v>tiền Nhật</v>
      </c>
      <c r="U41" s="21" t="str">
        <f>IFERROR(__xludf.DUMMYFUNCTION("""COMPUTED_VALUE"""),"https://techcombank.com/thong-tin/blog/cach-tiet-kiem-tien-cua-nguoi-nhat")</f>
        <v>https://techcombank.com/thong-tin/blog/cach-tiet-kiem-tien-cua-nguoi-nhat</v>
      </c>
      <c r="V41" s="16" t="str">
        <f>IFERROR(__xludf.DUMMYFUNCTION("""COMPUTED_VALUE"""),"tiền Yên Nhật")</f>
        <v>tiền Yên Nhật</v>
      </c>
      <c r="W41" s="21" t="str">
        <f>IFERROR(__xludf.DUMMYFUNCTION("""COMPUTED_VALUE"""),"https://techcombank.com/thong-tin/blog/chixmax")</f>
        <v>https://techcombank.com/thong-tin/blog/chixmax</v>
      </c>
      <c r="X41" s="16" t="str">
        <f>IFERROR(__xludf.DUMMYFUNCTION("""COMPUTED_VALUE"""),"tiền Nhật")</f>
        <v>tiền Nhật</v>
      </c>
      <c r="Y41" s="21" t="str">
        <f>IFERROR(__xludf.DUMMYFUNCTION("""COMPUTED_VALUE"""),"https://techcombank.com/thong-tin/blog/han-muc-mua-ngoai-te-khi-di-du-lich")</f>
        <v>https://techcombank.com/thong-tin/blog/han-muc-mua-ngoai-te-khi-di-du-lich</v>
      </c>
      <c r="Z41" s="16" t="str">
        <f>IFERROR(__xludf.DUMMYFUNCTION("""COMPUTED_VALUE"""),"tiền Yên Nhật")</f>
        <v>tiền Yên Nhật</v>
      </c>
      <c r="AA41" s="21" t="str">
        <f>IFERROR(__xludf.DUMMYFUNCTION("""COMPUTED_VALUE"""),"https://techcombank.com/thong-tin/blog/1000-yen-bang-bao-nhieu-tien-viet")</f>
        <v>https://techcombank.com/thong-tin/blog/1000-yen-bang-bao-nhieu-tien-viet</v>
      </c>
      <c r="AB41" s="16"/>
      <c r="AC41" s="16"/>
      <c r="AD41" s="16"/>
      <c r="AE41" s="16"/>
      <c r="AF41" s="16"/>
      <c r="AG41" s="16"/>
      <c r="AH41" s="16"/>
      <c r="AI41" s="16"/>
      <c r="AJ41" s="16"/>
      <c r="AK41" s="16"/>
      <c r="AL41" s="16"/>
      <c r="AM41" s="16"/>
      <c r="AN41" s="16"/>
      <c r="AO41" s="16"/>
      <c r="AP41" s="16"/>
      <c r="AQ41" s="16"/>
      <c r="AR41" s="16"/>
      <c r="AS41" s="16"/>
      <c r="AT41" s="16"/>
      <c r="AU41" s="16"/>
      <c r="AV41" s="16"/>
      <c r="AW41" s="16"/>
      <c r="AX41" s="16"/>
      <c r="AY41" s="16"/>
      <c r="AZ41" s="16"/>
      <c r="BA41" s="16"/>
      <c r="BB41" s="16"/>
      <c r="BC41" s="16"/>
      <c r="BD41" s="16"/>
      <c r="BE41" s="16"/>
      <c r="BF41" s="16"/>
      <c r="BG41" s="16"/>
      <c r="BH41" s="16"/>
      <c r="BI41" s="16"/>
      <c r="BJ41" s="16"/>
      <c r="BK41" s="16"/>
      <c r="BL41" s="16"/>
      <c r="BM41" s="16"/>
      <c r="BN41" s="16"/>
      <c r="BO41" s="16"/>
      <c r="BP41" s="16"/>
      <c r="BQ41" s="16"/>
      <c r="BR41" s="16"/>
      <c r="BS41" s="16"/>
      <c r="BT41" s="16"/>
      <c r="BU41" s="16"/>
      <c r="BV41" s="16"/>
      <c r="BW41" s="16"/>
      <c r="BX41" s="16"/>
      <c r="BY41" s="16"/>
      <c r="BZ41" s="16"/>
      <c r="CA41" s="16"/>
      <c r="CB41" s="16"/>
      <c r="CC41" s="16"/>
      <c r="CD41" s="16"/>
      <c r="CE41" s="16"/>
      <c r="CF41" s="16"/>
      <c r="CG41" s="16"/>
      <c r="CH41" s="16"/>
      <c r="CI41" s="16"/>
      <c r="CJ41" s="16"/>
      <c r="CK41" s="16"/>
      <c r="CL41" s="16"/>
      <c r="CM41" s="16"/>
      <c r="CN41" s="16"/>
      <c r="CO41" s="16"/>
      <c r="CP41" s="16"/>
      <c r="CQ41" s="16"/>
      <c r="CR41" s="16"/>
      <c r="CS41" s="16"/>
      <c r="CT41" s="16"/>
      <c r="CU41" s="16"/>
      <c r="CV41" s="16"/>
      <c r="CW41" s="16"/>
      <c r="CX41" s="16"/>
      <c r="CY41" s="16"/>
      <c r="CZ41" s="16"/>
      <c r="DA41" s="16"/>
      <c r="DB41" s="16"/>
      <c r="DC41" s="16"/>
      <c r="DD41" s="16"/>
      <c r="DE41" s="16"/>
      <c r="DF41" s="16"/>
      <c r="DG41" s="16"/>
      <c r="DH41" s="16"/>
      <c r="DI41" s="16"/>
      <c r="DJ41" s="16"/>
      <c r="DK41" s="16"/>
      <c r="DL41" s="16"/>
      <c r="DM41" s="16"/>
      <c r="DN41" s="16"/>
      <c r="DO41" s="16"/>
      <c r="DP41" s="16"/>
      <c r="DQ41" s="16"/>
      <c r="DR41" s="16"/>
      <c r="DS41" s="16"/>
      <c r="DT41" s="16"/>
      <c r="DU41" s="16"/>
      <c r="DV41" s="16"/>
      <c r="DW41" s="16"/>
      <c r="DX41" s="16"/>
      <c r="DY41" s="16"/>
      <c r="DZ41" s="16"/>
      <c r="EA41" s="16"/>
      <c r="EB41" s="16"/>
      <c r="EC41" s="16"/>
      <c r="ED41" s="16"/>
      <c r="EE41" s="16"/>
      <c r="EF41" s="16"/>
      <c r="EG41" s="16"/>
      <c r="EH41" s="16"/>
      <c r="EI41" s="16"/>
      <c r="EJ41" s="16"/>
      <c r="EK41" s="16"/>
      <c r="EL41" s="16"/>
      <c r="EM41" s="16"/>
      <c r="EN41" s="16"/>
      <c r="EO41" s="16"/>
      <c r="EP41" s="16"/>
      <c r="EQ41" s="16"/>
      <c r="ER41" s="16"/>
      <c r="ES41" s="16"/>
      <c r="ET41" s="16"/>
      <c r="EU41" s="16"/>
      <c r="EV41" s="16"/>
      <c r="EW41" s="16"/>
      <c r="EX41" s="16"/>
      <c r="EY41" s="16"/>
      <c r="EZ41" s="16"/>
      <c r="FA41" s="16"/>
      <c r="FB41" s="16"/>
      <c r="FC41" s="16"/>
      <c r="FD41" s="16"/>
      <c r="FE41" s="16"/>
      <c r="FF41" s="16"/>
      <c r="FG41" s="16"/>
      <c r="FH41" s="16"/>
      <c r="FI41" s="16"/>
      <c r="FJ41" s="16"/>
      <c r="FK41" s="16"/>
      <c r="FL41" s="16"/>
      <c r="FM41" s="16"/>
      <c r="FN41" s="16"/>
      <c r="FO41" s="16"/>
      <c r="FP41" s="16"/>
      <c r="FQ41" s="16"/>
      <c r="FR41" s="16"/>
      <c r="FS41" s="16"/>
      <c r="FT41" s="16"/>
      <c r="FU41" s="16"/>
      <c r="FV41" s="16"/>
      <c r="FW41" s="16"/>
      <c r="FX41" s="16"/>
      <c r="FY41" s="16"/>
      <c r="FZ41" s="16"/>
      <c r="GA41" s="16"/>
      <c r="GB41" s="16"/>
      <c r="GC41" s="16"/>
      <c r="GD41" s="16"/>
      <c r="GE41" s="16"/>
      <c r="GF41" s="16"/>
      <c r="GG41" s="16"/>
      <c r="GH41" s="16"/>
      <c r="GI41" s="16"/>
      <c r="GJ41" s="16"/>
      <c r="GK41" s="16"/>
      <c r="GL41" s="16"/>
      <c r="GM41" s="16"/>
      <c r="GN41" s="16"/>
      <c r="GO41" s="16"/>
    </row>
    <row r="42" ht="18.0" customHeight="1">
      <c r="A42" s="15">
        <v>41.0</v>
      </c>
      <c r="B42" s="16" t="s">
        <v>992</v>
      </c>
      <c r="C42" s="17" t="s">
        <v>1037</v>
      </c>
      <c r="D42" s="16" t="s">
        <v>323</v>
      </c>
      <c r="E42" s="15">
        <f>COUNTIF('Tổng hợp 75 trang đích'!$B$2:$B$2505,$D42)</f>
        <v>7</v>
      </c>
      <c r="F42" s="15">
        <f>COUNTIFS('Tổng hợp 75 trang đích'!$B$2:$B$2505,$D42,'Tổng hợp 75 trang đích'!$K$2:$K$2505,"PHÙ HỢP CAO")</f>
        <v>3</v>
      </c>
      <c r="G42" s="15">
        <f>COUNTIFS('Tổng hợp 75 trang đích'!$B$2:$B$2505,$D42,'Tổng hợp 75 trang đích'!$K$2:$K$2505,"CÓ THỂ ĐI")</f>
        <v>1</v>
      </c>
      <c r="H42" s="15">
        <f>COUNTIFS('Tổng hợp 75 trang đích'!$B$2:$B$2505,$D42,'Tổng hợp 75 trang đích'!$K$2:$K$2505,"CẦN SOÁT")</f>
        <v>3</v>
      </c>
      <c r="I42" s="19" t="s">
        <v>256</v>
      </c>
      <c r="J42" s="19" t="b">
        <v>0</v>
      </c>
      <c r="K42" s="20" t="s">
        <v>258</v>
      </c>
      <c r="L42" s="16" t="str">
        <f>IFERROR(__xludf.DUMMYFUNCTION("IFERROR(TOROW(CHOOSECOLS(SORT(FILTER({'Tổng hợp 75 trang đích'!$J$2:$J$2505,'Tổng hợp 75 trang đích'!$I$2:$I$2505,MATCH('Tổng hợp 75 trang đích'!$K$2:$K$2505,{""PHÙ HỢP CAO"",""CÓ THỂ ĐI"",""CẦN SOÁT""},0)},'Tổng hợp 75 trang đích'!$B$2:$B$2505=$D42),3,TR"&amp;"UE),1,2)),"""")"),"1 Yên bằng bao nhiêu tiền Việt")</f>
        <v>1 Yên bằng bao nhiêu tiền Việt</v>
      </c>
      <c r="M42" s="21" t="str">
        <f>IFERROR(__xludf.DUMMYFUNCTION("""COMPUTED_VALUE"""),"https://techcombank.com/thong-tin/blog/1000-yen-bang-bao-nhieu-tien-viet")</f>
        <v>https://techcombank.com/thong-tin/blog/1000-yen-bang-bao-nhieu-tien-viet</v>
      </c>
      <c r="N42" s="16" t="str">
        <f>IFERROR(__xludf.DUMMYFUNCTION("""COMPUTED_VALUE"""),"tỷ giá Yên Nhật")</f>
        <v>tỷ giá Yên Nhật</v>
      </c>
      <c r="O42" s="21" t="str">
        <f>IFERROR(__xludf.DUMMYFUNCTION("""COMPUTED_VALUE"""),"https://techcombank.com/thong-tin/blog/tien-nhat")</f>
        <v>https://techcombank.com/thong-tin/blog/tien-nhat</v>
      </c>
      <c r="P42" s="16" t="str">
        <f>IFERROR(__xludf.DUMMYFUNCTION("""COMPUTED_VALUE"""),"1 Yên bằng bao nhiêu tiền Việt")</f>
        <v>1 Yên bằng bao nhiêu tiền Việt</v>
      </c>
      <c r="Q42" s="21" t="str">
        <f>IFERROR(__xludf.DUMMYFUNCTION("""COMPUTED_VALUE"""),"https://techcombank.com/thong-tin/blog/1-man-bang-bao-nhieu-tien-viet")</f>
        <v>https://techcombank.com/thong-tin/blog/1-man-bang-bao-nhieu-tien-viet</v>
      </c>
      <c r="R42" s="16" t="str">
        <f>IFERROR(__xludf.DUMMYFUNCTION("""COMPUTED_VALUE"""),"tỷ giá Yên Nhật")</f>
        <v>tỷ giá Yên Nhật</v>
      </c>
      <c r="S42" s="21" t="str">
        <f>IFERROR(__xludf.DUMMYFUNCTION("""COMPUTED_VALUE"""),"https://techcombank.com/thong-tin/blog/chuyen-tien-tu-nhat-ve-viet-nam")</f>
        <v>https://techcombank.com/thong-tin/blog/chuyen-tien-tu-nhat-ve-viet-nam</v>
      </c>
      <c r="T42" s="16" t="str">
        <f>IFERROR(__xludf.DUMMYFUNCTION("""COMPUTED_VALUE"""),"1 Yên bằng bao nhiêu tiền Việt")</f>
        <v>1 Yên bằng bao nhiêu tiền Việt</v>
      </c>
      <c r="U42" s="21" t="str">
        <f>IFERROR(__xludf.DUMMYFUNCTION("""COMPUTED_VALUE"""),"https://techcombank.com/thong-tin/blog/chixmax")</f>
        <v>https://techcombank.com/thong-tin/blog/chixmax</v>
      </c>
      <c r="V42" s="16" t="str">
        <f>IFERROR(__xludf.DUMMYFUNCTION("""COMPUTED_VALUE"""),"tỷ giá Yên Nhật")</f>
        <v>tỷ giá Yên Nhật</v>
      </c>
      <c r="W42" s="21" t="str">
        <f>IFERROR(__xludf.DUMMYFUNCTION("""COMPUTED_VALUE"""),"https://techcombank.com/thong-tin/blog/han-muc-mua-ngoai-te-khi-di-du-lich")</f>
        <v>https://techcombank.com/thong-tin/blog/han-muc-mua-ngoai-te-khi-di-du-lich</v>
      </c>
      <c r="X42" s="16" t="str">
        <f>IFERROR(__xludf.DUMMYFUNCTION("""COMPUTED_VALUE"""),"1 Yên bằng bao nhiêu tiền Việt")</f>
        <v>1 Yên bằng bao nhiêu tiền Việt</v>
      </c>
      <c r="Y42" s="21" t="str">
        <f>IFERROR(__xludf.DUMMYFUNCTION("""COMPUTED_VALUE"""),"https://techcombank.com/thong-tin/blog/thanh-toan-khi-du-lich-nhat-ban")</f>
        <v>https://techcombank.com/thong-tin/blog/thanh-toan-khi-du-lich-nhat-ban</v>
      </c>
      <c r="Z42" s="16"/>
      <c r="AA42" s="16"/>
      <c r="AB42" s="16"/>
      <c r="AC42" s="16"/>
      <c r="AD42" s="16"/>
      <c r="AE42" s="16"/>
      <c r="AF42" s="16"/>
      <c r="AG42" s="16"/>
      <c r="AH42" s="16"/>
      <c r="AI42" s="16"/>
      <c r="AJ42" s="16"/>
      <c r="AK42" s="16"/>
      <c r="AL42" s="16"/>
      <c r="AM42" s="16"/>
      <c r="AN42" s="16"/>
      <c r="AO42" s="16"/>
      <c r="AP42" s="16"/>
      <c r="AQ42" s="16"/>
      <c r="AR42" s="16"/>
      <c r="AS42" s="16"/>
      <c r="AT42" s="16"/>
      <c r="AU42" s="16"/>
      <c r="AV42" s="16"/>
      <c r="AW42" s="16"/>
      <c r="AX42" s="16"/>
      <c r="AY42" s="16"/>
      <c r="AZ42" s="16"/>
      <c r="BA42" s="16"/>
      <c r="BB42" s="16"/>
      <c r="BC42" s="16"/>
      <c r="BD42" s="16"/>
      <c r="BE42" s="16"/>
      <c r="BF42" s="16"/>
      <c r="BG42" s="16"/>
      <c r="BH42" s="16"/>
      <c r="BI42" s="16"/>
      <c r="BJ42" s="16"/>
      <c r="BK42" s="16"/>
      <c r="BL42" s="16"/>
      <c r="BM42" s="16"/>
      <c r="BN42" s="16"/>
      <c r="BO42" s="16"/>
      <c r="BP42" s="16"/>
      <c r="BQ42" s="16"/>
      <c r="BR42" s="16"/>
      <c r="BS42" s="16"/>
      <c r="BT42" s="16"/>
      <c r="BU42" s="16"/>
      <c r="BV42" s="16"/>
      <c r="BW42" s="16"/>
      <c r="BX42" s="16"/>
      <c r="BY42" s="16"/>
      <c r="BZ42" s="16"/>
      <c r="CA42" s="16"/>
      <c r="CB42" s="16"/>
      <c r="CC42" s="16"/>
      <c r="CD42" s="16"/>
      <c r="CE42" s="16"/>
      <c r="CF42" s="16"/>
      <c r="CG42" s="16"/>
      <c r="CH42" s="16"/>
      <c r="CI42" s="16"/>
      <c r="CJ42" s="16"/>
      <c r="CK42" s="16"/>
      <c r="CL42" s="16"/>
      <c r="CM42" s="16"/>
      <c r="CN42" s="16"/>
      <c r="CO42" s="16"/>
      <c r="CP42" s="16"/>
      <c r="CQ42" s="16"/>
      <c r="CR42" s="16"/>
      <c r="CS42" s="16"/>
      <c r="CT42" s="16"/>
      <c r="CU42" s="16"/>
      <c r="CV42" s="16"/>
      <c r="CW42" s="16"/>
      <c r="CX42" s="16"/>
      <c r="CY42" s="16"/>
      <c r="CZ42" s="16"/>
      <c r="DA42" s="16"/>
      <c r="DB42" s="16"/>
      <c r="DC42" s="16"/>
      <c r="DD42" s="16"/>
      <c r="DE42" s="16"/>
      <c r="DF42" s="16"/>
      <c r="DG42" s="16"/>
      <c r="DH42" s="16"/>
      <c r="DI42" s="16"/>
      <c r="DJ42" s="16"/>
      <c r="DK42" s="16"/>
      <c r="DL42" s="16"/>
      <c r="DM42" s="16"/>
      <c r="DN42" s="16"/>
      <c r="DO42" s="16"/>
      <c r="DP42" s="16"/>
      <c r="DQ42" s="16"/>
      <c r="DR42" s="16"/>
      <c r="DS42" s="16"/>
      <c r="DT42" s="16"/>
      <c r="DU42" s="16"/>
      <c r="DV42" s="16"/>
      <c r="DW42" s="16"/>
      <c r="DX42" s="16"/>
      <c r="DY42" s="16"/>
      <c r="DZ42" s="16"/>
      <c r="EA42" s="16"/>
      <c r="EB42" s="16"/>
      <c r="EC42" s="16"/>
      <c r="ED42" s="16"/>
      <c r="EE42" s="16"/>
      <c r="EF42" s="16"/>
      <c r="EG42" s="16"/>
      <c r="EH42" s="16"/>
      <c r="EI42" s="16"/>
      <c r="EJ42" s="16"/>
      <c r="EK42" s="16"/>
      <c r="EL42" s="16"/>
      <c r="EM42" s="16"/>
      <c r="EN42" s="16"/>
      <c r="EO42" s="16"/>
      <c r="EP42" s="16"/>
      <c r="EQ42" s="16"/>
      <c r="ER42" s="16"/>
      <c r="ES42" s="16"/>
      <c r="ET42" s="16"/>
      <c r="EU42" s="16"/>
      <c r="EV42" s="16"/>
      <c r="EW42" s="16"/>
      <c r="EX42" s="16"/>
      <c r="EY42" s="16"/>
      <c r="EZ42" s="16"/>
      <c r="FA42" s="16"/>
      <c r="FB42" s="16"/>
      <c r="FC42" s="16"/>
      <c r="FD42" s="16"/>
      <c r="FE42" s="16"/>
      <c r="FF42" s="16"/>
      <c r="FG42" s="16"/>
      <c r="FH42" s="16"/>
      <c r="FI42" s="16"/>
      <c r="FJ42" s="16"/>
      <c r="FK42" s="16"/>
      <c r="FL42" s="16"/>
      <c r="FM42" s="16"/>
      <c r="FN42" s="16"/>
      <c r="FO42" s="16"/>
      <c r="FP42" s="16"/>
      <c r="FQ42" s="16"/>
      <c r="FR42" s="16"/>
      <c r="FS42" s="16"/>
      <c r="FT42" s="16"/>
      <c r="FU42" s="16"/>
      <c r="FV42" s="16"/>
      <c r="FW42" s="16"/>
      <c r="FX42" s="16"/>
      <c r="FY42" s="16"/>
      <c r="FZ42" s="16"/>
      <c r="GA42" s="16"/>
      <c r="GB42" s="16"/>
      <c r="GC42" s="16"/>
      <c r="GD42" s="16"/>
      <c r="GE42" s="16"/>
      <c r="GF42" s="16"/>
      <c r="GG42" s="16"/>
      <c r="GH42" s="16"/>
      <c r="GI42" s="16"/>
      <c r="GJ42" s="16"/>
      <c r="GK42" s="16"/>
      <c r="GL42" s="16"/>
      <c r="GM42" s="16"/>
      <c r="GN42" s="16"/>
      <c r="GO42" s="16"/>
    </row>
    <row r="43" ht="18.0" customHeight="1">
      <c r="A43" s="15">
        <v>42.0</v>
      </c>
      <c r="B43" s="16" t="s">
        <v>992</v>
      </c>
      <c r="C43" s="17" t="s">
        <v>1046</v>
      </c>
      <c r="D43" s="16" t="s">
        <v>324</v>
      </c>
      <c r="E43" s="15">
        <f>COUNTIF('Tổng hợp 75 trang đích'!$B$2:$B$2505,$D43)</f>
        <v>5</v>
      </c>
      <c r="F43" s="15">
        <f>COUNTIFS('Tổng hợp 75 trang đích'!$B$2:$B$2505,$D43,'Tổng hợp 75 trang đích'!$K$2:$K$2505,"PHÙ HỢP CAO")</f>
        <v>4</v>
      </c>
      <c r="G43" s="15">
        <f>COUNTIFS('Tổng hợp 75 trang đích'!$B$2:$B$2505,$D43,'Tổng hợp 75 trang đích'!$K$2:$K$2505,"CÓ THỂ ĐI")</f>
        <v>1</v>
      </c>
      <c r="H43" s="15">
        <f>COUNTIFS('Tổng hợp 75 trang đích'!$B$2:$B$2505,$D43,'Tổng hợp 75 trang đích'!$K$2:$K$2505,"CẦN SOÁT")</f>
        <v>0</v>
      </c>
      <c r="I43" s="19" t="s">
        <v>256</v>
      </c>
      <c r="J43" s="19" t="b">
        <v>0</v>
      </c>
      <c r="K43" s="20" t="s">
        <v>258</v>
      </c>
      <c r="L43" s="16" t="str">
        <f>IFERROR(__xludf.DUMMYFUNCTION("IFERROR(TOROW(CHOOSECOLS(SORT(FILTER({'Tổng hợp 75 trang đích'!$J$2:$J$2505,'Tổng hợp 75 trang đích'!$I$2:$I$2505,MATCH('Tổng hợp 75 trang đích'!$K$2:$K$2505,{""PHÙ HỢP CAO"",""CÓ THỂ ĐI"",""CẦN SOÁT""},0)},'Tổng hợp 75 trang đích'!$B$2:$B$2505=$D43),3,TR"&amp;"UE),1,2)),"""")"),"1 Won bằng bao nhiêu tiền Việt")</f>
        <v>1 Won bằng bao nhiêu tiền Việt</v>
      </c>
      <c r="M43" s="21" t="str">
        <f>IFERROR(__xludf.DUMMYFUNCTION("""COMPUTED_VALUE"""),"https://techcombank.com/thong-tin/blog/1-trieu-won-bang-bao-nhieu-tien-viet")</f>
        <v>https://techcombank.com/thong-tin/blog/1-trieu-won-bang-bao-nhieu-tien-viet</v>
      </c>
      <c r="N43" s="16" t="str">
        <f>IFERROR(__xludf.DUMMYFUNCTION("""COMPUTED_VALUE"""),"tỷ giá Won")</f>
        <v>tỷ giá Won</v>
      </c>
      <c r="O43" s="21" t="str">
        <f>IFERROR(__xludf.DUMMYFUNCTION("""COMPUTED_VALUE"""),"https://techcombank.com/thong-tin/blog/1000-won-bang-bao-nhieu-tien-viet")</f>
        <v>https://techcombank.com/thong-tin/blog/1000-won-bang-bao-nhieu-tien-viet</v>
      </c>
      <c r="P43" s="16" t="str">
        <f>IFERROR(__xludf.DUMMYFUNCTION("""COMPUTED_VALUE"""),"1 Won bằng bao nhiêu tiền Việt")</f>
        <v>1 Won bằng bao nhiêu tiền Việt</v>
      </c>
      <c r="Q43" s="21" t="str">
        <f>IFERROR(__xludf.DUMMYFUNCTION("""COMPUTED_VALUE"""),"https://techcombank.com/thong-tin/blog/thanh-toan-khi-du-lich-han-quoc")</f>
        <v>https://techcombank.com/thong-tin/blog/thanh-toan-khi-du-lich-han-quoc</v>
      </c>
      <c r="R43" s="16" t="str">
        <f>IFERROR(__xludf.DUMMYFUNCTION("""COMPUTED_VALUE"""),"tỷ giá Won")</f>
        <v>tỷ giá Won</v>
      </c>
      <c r="S43" s="21" t="str">
        <f>IFERROR(__xludf.DUMMYFUNCTION("""COMPUTED_VALUE"""),"https://techcombank.com/thong-tin/blog/chuyen-tien-tu-han-sang-viet-nam")</f>
        <v>https://techcombank.com/thong-tin/blog/chuyen-tien-tu-han-sang-viet-nam</v>
      </c>
      <c r="T43" s="16" t="str">
        <f>IFERROR(__xludf.DUMMYFUNCTION("""COMPUTED_VALUE"""),"1 Won bằng bao nhiêu tiền Việt")</f>
        <v>1 Won bằng bao nhiêu tiền Việt</v>
      </c>
      <c r="U43" s="21" t="str">
        <f>IFERROR(__xludf.DUMMYFUNCTION("""COMPUTED_VALUE"""),"https://techcombank.com/thong-tin/blog/ty-gia-cac-ngan-hang")</f>
        <v>https://techcombank.com/thong-tin/blog/ty-gia-cac-ngan-hang</v>
      </c>
      <c r="V43" s="16"/>
      <c r="W43" s="16"/>
      <c r="X43" s="16"/>
      <c r="Y43" s="16"/>
      <c r="Z43" s="16"/>
      <c r="AA43" s="16"/>
      <c r="AB43" s="16"/>
      <c r="AC43" s="16"/>
      <c r="AD43" s="16"/>
      <c r="AE43" s="16"/>
      <c r="AF43" s="16"/>
      <c r="AG43" s="16"/>
      <c r="AH43" s="16"/>
      <c r="AI43" s="16"/>
      <c r="AJ43" s="16"/>
      <c r="AK43" s="16"/>
      <c r="AL43" s="16"/>
      <c r="AM43" s="16"/>
      <c r="AN43" s="16"/>
      <c r="AO43" s="16"/>
      <c r="AP43" s="16"/>
      <c r="AQ43" s="16"/>
      <c r="AR43" s="16"/>
      <c r="AS43" s="16"/>
      <c r="AT43" s="16"/>
      <c r="AU43" s="16"/>
      <c r="AV43" s="16"/>
      <c r="AW43" s="16"/>
      <c r="AX43" s="16"/>
      <c r="AY43" s="16"/>
      <c r="AZ43" s="16"/>
      <c r="BA43" s="16"/>
      <c r="BB43" s="16"/>
      <c r="BC43" s="16"/>
      <c r="BD43" s="16"/>
      <c r="BE43" s="16"/>
      <c r="BF43" s="16"/>
      <c r="BG43" s="16"/>
      <c r="BH43" s="16"/>
      <c r="BI43" s="16"/>
      <c r="BJ43" s="16"/>
      <c r="BK43" s="16"/>
      <c r="BL43" s="16"/>
      <c r="BM43" s="16"/>
      <c r="BN43" s="16"/>
      <c r="BO43" s="16"/>
      <c r="BP43" s="16"/>
      <c r="BQ43" s="16"/>
      <c r="BR43" s="16"/>
      <c r="BS43" s="16"/>
      <c r="BT43" s="16"/>
      <c r="BU43" s="16"/>
      <c r="BV43" s="16"/>
      <c r="BW43" s="16"/>
      <c r="BX43" s="16"/>
      <c r="BY43" s="16"/>
      <c r="BZ43" s="16"/>
      <c r="CA43" s="16"/>
      <c r="CB43" s="16"/>
      <c r="CC43" s="16"/>
      <c r="CD43" s="16"/>
      <c r="CE43" s="16"/>
      <c r="CF43" s="16"/>
      <c r="CG43" s="16"/>
      <c r="CH43" s="16"/>
      <c r="CI43" s="16"/>
      <c r="CJ43" s="16"/>
      <c r="CK43" s="16"/>
      <c r="CL43" s="16"/>
      <c r="CM43" s="16"/>
      <c r="CN43" s="16"/>
      <c r="CO43" s="16"/>
      <c r="CP43" s="16"/>
      <c r="CQ43" s="16"/>
      <c r="CR43" s="16"/>
      <c r="CS43" s="16"/>
      <c r="CT43" s="16"/>
      <c r="CU43" s="16"/>
      <c r="CV43" s="16"/>
      <c r="CW43" s="16"/>
      <c r="CX43" s="16"/>
      <c r="CY43" s="16"/>
      <c r="CZ43" s="16"/>
      <c r="DA43" s="16"/>
      <c r="DB43" s="16"/>
      <c r="DC43" s="16"/>
      <c r="DD43" s="16"/>
      <c r="DE43" s="16"/>
      <c r="DF43" s="16"/>
      <c r="DG43" s="16"/>
      <c r="DH43" s="16"/>
      <c r="DI43" s="16"/>
      <c r="DJ43" s="16"/>
      <c r="DK43" s="16"/>
      <c r="DL43" s="16"/>
      <c r="DM43" s="16"/>
      <c r="DN43" s="16"/>
      <c r="DO43" s="16"/>
      <c r="DP43" s="16"/>
      <c r="DQ43" s="16"/>
      <c r="DR43" s="16"/>
      <c r="DS43" s="16"/>
      <c r="DT43" s="16"/>
      <c r="DU43" s="16"/>
      <c r="DV43" s="16"/>
      <c r="DW43" s="16"/>
      <c r="DX43" s="16"/>
      <c r="DY43" s="16"/>
      <c r="DZ43" s="16"/>
      <c r="EA43" s="16"/>
      <c r="EB43" s="16"/>
      <c r="EC43" s="16"/>
      <c r="ED43" s="16"/>
      <c r="EE43" s="16"/>
      <c r="EF43" s="16"/>
      <c r="EG43" s="16"/>
      <c r="EH43" s="16"/>
      <c r="EI43" s="16"/>
      <c r="EJ43" s="16"/>
      <c r="EK43" s="16"/>
      <c r="EL43" s="16"/>
      <c r="EM43" s="16"/>
      <c r="EN43" s="16"/>
      <c r="EO43" s="16"/>
      <c r="EP43" s="16"/>
      <c r="EQ43" s="16"/>
      <c r="ER43" s="16"/>
      <c r="ES43" s="16"/>
      <c r="ET43" s="16"/>
      <c r="EU43" s="16"/>
      <c r="EV43" s="16"/>
      <c r="EW43" s="16"/>
      <c r="EX43" s="16"/>
      <c r="EY43" s="16"/>
      <c r="EZ43" s="16"/>
      <c r="FA43" s="16"/>
      <c r="FB43" s="16"/>
      <c r="FC43" s="16"/>
      <c r="FD43" s="16"/>
      <c r="FE43" s="16"/>
      <c r="FF43" s="16"/>
      <c r="FG43" s="16"/>
      <c r="FH43" s="16"/>
      <c r="FI43" s="16"/>
      <c r="FJ43" s="16"/>
      <c r="FK43" s="16"/>
      <c r="FL43" s="16"/>
      <c r="FM43" s="16"/>
      <c r="FN43" s="16"/>
      <c r="FO43" s="16"/>
      <c r="FP43" s="16"/>
      <c r="FQ43" s="16"/>
      <c r="FR43" s="16"/>
      <c r="FS43" s="16"/>
      <c r="FT43" s="16"/>
      <c r="FU43" s="16"/>
      <c r="FV43" s="16"/>
      <c r="FW43" s="16"/>
      <c r="FX43" s="16"/>
      <c r="FY43" s="16"/>
      <c r="FZ43" s="16"/>
      <c r="GA43" s="16"/>
      <c r="GB43" s="16"/>
      <c r="GC43" s="16"/>
      <c r="GD43" s="16"/>
      <c r="GE43" s="16"/>
      <c r="GF43" s="16"/>
      <c r="GG43" s="16"/>
      <c r="GH43" s="16"/>
      <c r="GI43" s="16"/>
      <c r="GJ43" s="16"/>
      <c r="GK43" s="16"/>
      <c r="GL43" s="16"/>
      <c r="GM43" s="16"/>
      <c r="GN43" s="16"/>
      <c r="GO43" s="16"/>
    </row>
    <row r="44" ht="18.0" customHeight="1">
      <c r="A44" s="15">
        <v>43.0</v>
      </c>
      <c r="B44" s="16" t="s">
        <v>992</v>
      </c>
      <c r="C44" s="17" t="s">
        <v>1057</v>
      </c>
      <c r="D44" s="16" t="s">
        <v>326</v>
      </c>
      <c r="E44" s="15">
        <f>COUNTIF('Tổng hợp 75 trang đích'!$B$2:$B$2505,$D44)</f>
        <v>5</v>
      </c>
      <c r="F44" s="15">
        <f>COUNTIFS('Tổng hợp 75 trang đích'!$B$2:$B$2505,$D44,'Tổng hợp 75 trang đích'!$K$2:$K$2505,"PHÙ HỢP CAO")</f>
        <v>1</v>
      </c>
      <c r="G44" s="15">
        <f>COUNTIFS('Tổng hợp 75 trang đích'!$B$2:$B$2505,$D44,'Tổng hợp 75 trang đích'!$K$2:$K$2505,"CÓ THỂ ĐI")</f>
        <v>3</v>
      </c>
      <c r="H44" s="15">
        <f>COUNTIFS('Tổng hợp 75 trang đích'!$B$2:$B$2505,$D44,'Tổng hợp 75 trang đích'!$K$2:$K$2505,"CẦN SOÁT")</f>
        <v>1</v>
      </c>
      <c r="I44" s="19" t="s">
        <v>256</v>
      </c>
      <c r="J44" s="19" t="b">
        <v>0</v>
      </c>
      <c r="K44" s="20" t="s">
        <v>258</v>
      </c>
      <c r="L44" s="16" t="str">
        <f>IFERROR(__xludf.DUMMYFUNCTION("IFERROR(TOROW(CHOOSECOLS(SORT(FILTER({'Tổng hợp 75 trang đích'!$J$2:$J$2505,'Tổng hợp 75 trang đích'!$I$2:$I$2505,MATCH('Tổng hợp 75 trang đích'!$K$2:$K$2505,{""PHÙ HỢP CAO"",""CÓ THỂ ĐI"",""CẦN SOÁT""},0)},'Tổng hợp 75 trang đích'!$B$2:$B$2505=$D44),3,TR"&amp;"UE),1,2)),"""")"),"tiền Đài Loan")</f>
        <v>tiền Đài Loan</v>
      </c>
      <c r="M44" s="21" t="str">
        <f>IFERROR(__xludf.DUMMYFUNCTION("""COMPUTED_VALUE"""),"https://techcombank.com/thong-tin/blog/1-van-tien-dai-loan-bang-bao-nhieu-tien-viet")</f>
        <v>https://techcombank.com/thong-tin/blog/1-van-tien-dai-loan-bang-bao-nhieu-tien-viet</v>
      </c>
      <c r="N44" s="16" t="str">
        <f>IFERROR(__xludf.DUMMYFUNCTION("""COMPUTED_VALUE"""),"Tân Đài tệ")</f>
        <v>Tân Đài tệ</v>
      </c>
      <c r="O44" s="21" t="str">
        <f>IFERROR(__xludf.DUMMYFUNCTION("""COMPUTED_VALUE"""),"https://techcombank.com/thong-tin/blog/ngoai-te-la-gi")</f>
        <v>https://techcombank.com/thong-tin/blog/ngoai-te-la-gi</v>
      </c>
      <c r="P44" s="16" t="str">
        <f>IFERROR(__xludf.DUMMYFUNCTION("""COMPUTED_VALUE"""),"tỷ giá Đài tệ")</f>
        <v>tỷ giá Đài tệ</v>
      </c>
      <c r="Q44" s="21" t="str">
        <f>IFERROR(__xludf.DUMMYFUNCTION("""COMPUTED_VALUE"""),"https://techcombank.com/thong-tin/blog/ty-gia-cac-ngan-hang")</f>
        <v>https://techcombank.com/thong-tin/blog/ty-gia-cac-ngan-hang</v>
      </c>
      <c r="R44" s="16" t="str">
        <f>IFERROR(__xludf.DUMMYFUNCTION("""COMPUTED_VALUE"""),"tiền Đài Loan")</f>
        <v>tiền Đài Loan</v>
      </c>
      <c r="S44" s="21" t="str">
        <f>IFERROR(__xludf.DUMMYFUNCTION("""COMPUTED_VALUE"""),"https://techcombank.com/thong-tin/blog/han-muc-mua-ngoai-te-khi-di-du-lich")</f>
        <v>https://techcombank.com/thong-tin/blog/han-muc-mua-ngoai-te-khi-di-du-lich</v>
      </c>
      <c r="T44" s="16" t="str">
        <f>IFERROR(__xludf.DUMMYFUNCTION("""COMPUTED_VALUE"""),"Tân Đài tệ")</f>
        <v>Tân Đài tệ</v>
      </c>
      <c r="U44" s="21" t="str">
        <f>IFERROR(__xludf.DUMMYFUNCTION("""COMPUTED_VALUE"""),"https://techcombank.com/thong-tin/blog/shang-chi")</f>
        <v>https://techcombank.com/thong-tin/blog/shang-chi</v>
      </c>
      <c r="V44" s="16"/>
      <c r="W44" s="16"/>
      <c r="X44" s="16"/>
      <c r="Y44" s="16"/>
      <c r="Z44" s="16"/>
      <c r="AA44" s="16"/>
      <c r="AB44" s="16"/>
      <c r="AC44" s="16"/>
      <c r="AD44" s="16"/>
      <c r="AE44" s="16"/>
      <c r="AF44" s="16"/>
      <c r="AG44" s="16"/>
      <c r="AH44" s="16"/>
      <c r="AI44" s="16"/>
      <c r="AJ44" s="16"/>
      <c r="AK44" s="16"/>
      <c r="AL44" s="16"/>
      <c r="AM44" s="16"/>
      <c r="AN44" s="16"/>
      <c r="AO44" s="16"/>
      <c r="AP44" s="16"/>
      <c r="AQ44" s="16"/>
      <c r="AR44" s="16"/>
      <c r="AS44" s="16"/>
      <c r="AT44" s="16"/>
      <c r="AU44" s="16"/>
      <c r="AV44" s="16"/>
      <c r="AW44" s="16"/>
      <c r="AX44" s="16"/>
      <c r="AY44" s="16"/>
      <c r="AZ44" s="16"/>
      <c r="BA44" s="16"/>
      <c r="BB44" s="16"/>
      <c r="BC44" s="16"/>
      <c r="BD44" s="16"/>
      <c r="BE44" s="16"/>
      <c r="BF44" s="16"/>
      <c r="BG44" s="16"/>
      <c r="BH44" s="16"/>
      <c r="BI44" s="16"/>
      <c r="BJ44" s="16"/>
      <c r="BK44" s="16"/>
      <c r="BL44" s="16"/>
      <c r="BM44" s="16"/>
      <c r="BN44" s="16"/>
      <c r="BO44" s="16"/>
      <c r="BP44" s="16"/>
      <c r="BQ44" s="16"/>
      <c r="BR44" s="16"/>
      <c r="BS44" s="16"/>
      <c r="BT44" s="16"/>
      <c r="BU44" s="16"/>
      <c r="BV44" s="16"/>
      <c r="BW44" s="16"/>
      <c r="BX44" s="16"/>
      <c r="BY44" s="16"/>
      <c r="BZ44" s="16"/>
      <c r="CA44" s="16"/>
      <c r="CB44" s="16"/>
      <c r="CC44" s="16"/>
      <c r="CD44" s="16"/>
      <c r="CE44" s="16"/>
      <c r="CF44" s="16"/>
      <c r="CG44" s="16"/>
      <c r="CH44" s="16"/>
      <c r="CI44" s="16"/>
      <c r="CJ44" s="16"/>
      <c r="CK44" s="16"/>
      <c r="CL44" s="16"/>
      <c r="CM44" s="16"/>
      <c r="CN44" s="16"/>
      <c r="CO44" s="16"/>
      <c r="CP44" s="16"/>
      <c r="CQ44" s="16"/>
      <c r="CR44" s="16"/>
      <c r="CS44" s="16"/>
      <c r="CT44" s="16"/>
      <c r="CU44" s="16"/>
      <c r="CV44" s="16"/>
      <c r="CW44" s="16"/>
      <c r="CX44" s="16"/>
      <c r="CY44" s="16"/>
      <c r="CZ44" s="16"/>
      <c r="DA44" s="16"/>
      <c r="DB44" s="16"/>
      <c r="DC44" s="16"/>
      <c r="DD44" s="16"/>
      <c r="DE44" s="16"/>
      <c r="DF44" s="16"/>
      <c r="DG44" s="16"/>
      <c r="DH44" s="16"/>
      <c r="DI44" s="16"/>
      <c r="DJ44" s="16"/>
      <c r="DK44" s="16"/>
      <c r="DL44" s="16"/>
      <c r="DM44" s="16"/>
      <c r="DN44" s="16"/>
      <c r="DO44" s="16"/>
      <c r="DP44" s="16"/>
      <c r="DQ44" s="16"/>
      <c r="DR44" s="16"/>
      <c r="DS44" s="16"/>
      <c r="DT44" s="16"/>
      <c r="DU44" s="16"/>
      <c r="DV44" s="16"/>
      <c r="DW44" s="16"/>
      <c r="DX44" s="16"/>
      <c r="DY44" s="16"/>
      <c r="DZ44" s="16"/>
      <c r="EA44" s="16"/>
      <c r="EB44" s="16"/>
      <c r="EC44" s="16"/>
      <c r="ED44" s="16"/>
      <c r="EE44" s="16"/>
      <c r="EF44" s="16"/>
      <c r="EG44" s="16"/>
      <c r="EH44" s="16"/>
      <c r="EI44" s="16"/>
      <c r="EJ44" s="16"/>
      <c r="EK44" s="16"/>
      <c r="EL44" s="16"/>
      <c r="EM44" s="16"/>
      <c r="EN44" s="16"/>
      <c r="EO44" s="16"/>
      <c r="EP44" s="16"/>
      <c r="EQ44" s="16"/>
      <c r="ER44" s="16"/>
      <c r="ES44" s="16"/>
      <c r="ET44" s="16"/>
      <c r="EU44" s="16"/>
      <c r="EV44" s="16"/>
      <c r="EW44" s="16"/>
      <c r="EX44" s="16"/>
      <c r="EY44" s="16"/>
      <c r="EZ44" s="16"/>
      <c r="FA44" s="16"/>
      <c r="FB44" s="16"/>
      <c r="FC44" s="16"/>
      <c r="FD44" s="16"/>
      <c r="FE44" s="16"/>
      <c r="FF44" s="16"/>
      <c r="FG44" s="16"/>
      <c r="FH44" s="16"/>
      <c r="FI44" s="16"/>
      <c r="FJ44" s="16"/>
      <c r="FK44" s="16"/>
      <c r="FL44" s="16"/>
      <c r="FM44" s="16"/>
      <c r="FN44" s="16"/>
      <c r="FO44" s="16"/>
      <c r="FP44" s="16"/>
      <c r="FQ44" s="16"/>
      <c r="FR44" s="16"/>
      <c r="FS44" s="16"/>
      <c r="FT44" s="16"/>
      <c r="FU44" s="16"/>
      <c r="FV44" s="16"/>
      <c r="FW44" s="16"/>
      <c r="FX44" s="16"/>
      <c r="FY44" s="16"/>
      <c r="FZ44" s="16"/>
      <c r="GA44" s="16"/>
      <c r="GB44" s="16"/>
      <c r="GC44" s="16"/>
      <c r="GD44" s="16"/>
      <c r="GE44" s="16"/>
      <c r="GF44" s="16"/>
      <c r="GG44" s="16"/>
      <c r="GH44" s="16"/>
      <c r="GI44" s="16"/>
      <c r="GJ44" s="16"/>
      <c r="GK44" s="16"/>
      <c r="GL44" s="16"/>
      <c r="GM44" s="16"/>
      <c r="GN44" s="16"/>
      <c r="GO44" s="16"/>
    </row>
    <row r="45" ht="18.0" customHeight="1">
      <c r="A45" s="15">
        <v>44.0</v>
      </c>
      <c r="B45" s="16" t="s">
        <v>992</v>
      </c>
      <c r="C45" s="17" t="s">
        <v>1066</v>
      </c>
      <c r="D45" s="16" t="s">
        <v>328</v>
      </c>
      <c r="E45" s="15">
        <f>COUNTIF('Tổng hợp 75 trang đích'!$B$2:$B$2505,$D45)</f>
        <v>7</v>
      </c>
      <c r="F45" s="15">
        <f>COUNTIFS('Tổng hợp 75 trang đích'!$B$2:$B$2505,$D45,'Tổng hợp 75 trang đích'!$K$2:$K$2505,"PHÙ HỢP CAO")</f>
        <v>4</v>
      </c>
      <c r="G45" s="15">
        <f>COUNTIFS('Tổng hợp 75 trang đích'!$B$2:$B$2505,$D45,'Tổng hợp 75 trang đích'!$K$2:$K$2505,"CÓ THỂ ĐI")</f>
        <v>1</v>
      </c>
      <c r="H45" s="15">
        <f>COUNTIFS('Tổng hợp 75 trang đích'!$B$2:$B$2505,$D45,'Tổng hợp 75 trang đích'!$K$2:$K$2505,"CẦN SOÁT")</f>
        <v>2</v>
      </c>
      <c r="I45" s="19" t="s">
        <v>256</v>
      </c>
      <c r="J45" s="19" t="b">
        <v>0</v>
      </c>
      <c r="K45" s="20" t="s">
        <v>258</v>
      </c>
      <c r="L45" s="16" t="str">
        <f>IFERROR(__xludf.DUMMYFUNCTION("IFERROR(TOROW(CHOOSECOLS(SORT(FILTER({'Tổng hợp 75 trang đích'!$J$2:$J$2505,'Tổng hợp 75 trang đích'!$I$2:$I$2505,MATCH('Tổng hợp 75 trang đích'!$K$2:$K$2505,{""PHÙ HỢP CAO"",""CÓ THỂ ĐI"",""CẦN SOÁT""},0)},'Tổng hợp 75 trang đích'!$B$2:$B$2505=$D45),3,TR"&amp;"UE),1,2)),"""")"),"1 Man bằng bao nhiêu tiền Việt")</f>
        <v>1 Man bằng bao nhiêu tiền Việt</v>
      </c>
      <c r="M45" s="21" t="str">
        <f>IFERROR(__xludf.DUMMYFUNCTION("""COMPUTED_VALUE"""),"https://techcombank.com/thong-tin/blog/tien-nhat")</f>
        <v>https://techcombank.com/thong-tin/blog/tien-nhat</v>
      </c>
      <c r="N45" s="16" t="str">
        <f>IFERROR(__xludf.DUMMYFUNCTION("""COMPUTED_VALUE"""),"1 Man Nhật")</f>
        <v>1 Man Nhật</v>
      </c>
      <c r="O45" s="21" t="str">
        <f>IFERROR(__xludf.DUMMYFUNCTION("""COMPUTED_VALUE"""),"https://techcombank.com/thong-tin/blog/1-yen-bang-bao-nhieu-tien-viet-nam")</f>
        <v>https://techcombank.com/thong-tin/blog/1-yen-bang-bao-nhieu-tien-viet-nam</v>
      </c>
      <c r="P45" s="16" t="str">
        <f>IFERROR(__xludf.DUMMYFUNCTION("""COMPUTED_VALUE"""),"1 Man bằng bao nhiêu tiền Việt")</f>
        <v>1 Man bằng bao nhiêu tiền Việt</v>
      </c>
      <c r="Q45" s="21" t="str">
        <f>IFERROR(__xludf.DUMMYFUNCTION("""COMPUTED_VALUE"""),"https://techcombank.com/thong-tin/blog/1000-yen-bang-bao-nhieu-tien-viet")</f>
        <v>https://techcombank.com/thong-tin/blog/1000-yen-bang-bao-nhieu-tien-viet</v>
      </c>
      <c r="R45" s="16" t="str">
        <f>IFERROR(__xludf.DUMMYFUNCTION("""COMPUTED_VALUE"""),"1 Man Nhật")</f>
        <v>1 Man Nhật</v>
      </c>
      <c r="S45" s="21" t="str">
        <f>IFERROR(__xludf.DUMMYFUNCTION("""COMPUTED_VALUE"""),"https://techcombank.com/thong-tin/blog/chuyen-tien-tu-nhat-ve-viet-nam")</f>
        <v>https://techcombank.com/thong-tin/blog/chuyen-tien-tu-nhat-ve-viet-nam</v>
      </c>
      <c r="T45" s="16" t="str">
        <f>IFERROR(__xludf.DUMMYFUNCTION("""COMPUTED_VALUE"""),"1 Man bằng bao nhiêu tiền Việt")</f>
        <v>1 Man bằng bao nhiêu tiền Việt</v>
      </c>
      <c r="U45" s="21" t="str">
        <f>IFERROR(__xludf.DUMMYFUNCTION("""COMPUTED_VALUE"""),"https://techcombank.com/thong-tin/blog/thanh-toan-khi-du-lich-nhat-ban")</f>
        <v>https://techcombank.com/thong-tin/blog/thanh-toan-khi-du-lich-nhat-ban</v>
      </c>
      <c r="V45" s="16" t="str">
        <f>IFERROR(__xludf.DUMMYFUNCTION("""COMPUTED_VALUE"""),"1 Man Nhật")</f>
        <v>1 Man Nhật</v>
      </c>
      <c r="W45" s="21" t="str">
        <f>IFERROR(__xludf.DUMMYFUNCTION("""COMPUTED_VALUE"""),"https://techcombank.com/thong-tin/blog/chixmax")</f>
        <v>https://techcombank.com/thong-tin/blog/chixmax</v>
      </c>
      <c r="X45" s="16" t="str">
        <f>IFERROR(__xludf.DUMMYFUNCTION("""COMPUTED_VALUE"""),"1 Man bằng bao nhiêu tiền Việt")</f>
        <v>1 Man bằng bao nhiêu tiền Việt</v>
      </c>
      <c r="Y45" s="21" t="str">
        <f>IFERROR(__xludf.DUMMYFUNCTION("""COMPUTED_VALUE"""),"https://techcombank.com/thong-tin/blog/han-muc-mua-ngoai-te-khi-di-du-lich")</f>
        <v>https://techcombank.com/thong-tin/blog/han-muc-mua-ngoai-te-khi-di-du-lich</v>
      </c>
      <c r="Z45" s="16"/>
      <c r="AA45" s="16"/>
      <c r="AB45" s="16"/>
      <c r="AC45" s="16"/>
      <c r="AD45" s="16"/>
      <c r="AE45" s="16"/>
      <c r="AF45" s="16"/>
      <c r="AG45" s="16"/>
      <c r="AH45" s="16"/>
      <c r="AI45" s="16"/>
      <c r="AJ45" s="16"/>
      <c r="AK45" s="16"/>
      <c r="AL45" s="16"/>
      <c r="AM45" s="16"/>
      <c r="AN45" s="16"/>
      <c r="AO45" s="16"/>
      <c r="AP45" s="16"/>
      <c r="AQ45" s="16"/>
      <c r="AR45" s="16"/>
      <c r="AS45" s="16"/>
      <c r="AT45" s="16"/>
      <c r="AU45" s="16"/>
      <c r="AV45" s="16"/>
      <c r="AW45" s="16"/>
      <c r="AX45" s="16"/>
      <c r="AY45" s="16"/>
      <c r="AZ45" s="16"/>
      <c r="BA45" s="16"/>
      <c r="BB45" s="16"/>
      <c r="BC45" s="16"/>
      <c r="BD45" s="16"/>
      <c r="BE45" s="16"/>
      <c r="BF45" s="16"/>
      <c r="BG45" s="16"/>
      <c r="BH45" s="16"/>
      <c r="BI45" s="16"/>
      <c r="BJ45" s="16"/>
      <c r="BK45" s="16"/>
      <c r="BL45" s="16"/>
      <c r="BM45" s="16"/>
      <c r="BN45" s="16"/>
      <c r="BO45" s="16"/>
      <c r="BP45" s="16"/>
      <c r="BQ45" s="16"/>
      <c r="BR45" s="16"/>
      <c r="BS45" s="16"/>
      <c r="BT45" s="16"/>
      <c r="BU45" s="16"/>
      <c r="BV45" s="16"/>
      <c r="BW45" s="16"/>
      <c r="BX45" s="16"/>
      <c r="BY45" s="16"/>
      <c r="BZ45" s="16"/>
      <c r="CA45" s="16"/>
      <c r="CB45" s="16"/>
      <c r="CC45" s="16"/>
      <c r="CD45" s="16"/>
      <c r="CE45" s="16"/>
      <c r="CF45" s="16"/>
      <c r="CG45" s="16"/>
      <c r="CH45" s="16"/>
      <c r="CI45" s="16"/>
      <c r="CJ45" s="16"/>
      <c r="CK45" s="16"/>
      <c r="CL45" s="16"/>
      <c r="CM45" s="16"/>
      <c r="CN45" s="16"/>
      <c r="CO45" s="16"/>
      <c r="CP45" s="16"/>
      <c r="CQ45" s="16"/>
      <c r="CR45" s="16"/>
      <c r="CS45" s="16"/>
      <c r="CT45" s="16"/>
      <c r="CU45" s="16"/>
      <c r="CV45" s="16"/>
      <c r="CW45" s="16"/>
      <c r="CX45" s="16"/>
      <c r="CY45" s="16"/>
      <c r="CZ45" s="16"/>
      <c r="DA45" s="16"/>
      <c r="DB45" s="16"/>
      <c r="DC45" s="16"/>
      <c r="DD45" s="16"/>
      <c r="DE45" s="16"/>
      <c r="DF45" s="16"/>
      <c r="DG45" s="16"/>
      <c r="DH45" s="16"/>
      <c r="DI45" s="16"/>
      <c r="DJ45" s="16"/>
      <c r="DK45" s="16"/>
      <c r="DL45" s="16"/>
      <c r="DM45" s="16"/>
      <c r="DN45" s="16"/>
      <c r="DO45" s="16"/>
      <c r="DP45" s="16"/>
      <c r="DQ45" s="16"/>
      <c r="DR45" s="16"/>
      <c r="DS45" s="16"/>
      <c r="DT45" s="16"/>
      <c r="DU45" s="16"/>
      <c r="DV45" s="16"/>
      <c r="DW45" s="16"/>
      <c r="DX45" s="16"/>
      <c r="DY45" s="16"/>
      <c r="DZ45" s="16"/>
      <c r="EA45" s="16"/>
      <c r="EB45" s="16"/>
      <c r="EC45" s="16"/>
      <c r="ED45" s="16"/>
      <c r="EE45" s="16"/>
      <c r="EF45" s="16"/>
      <c r="EG45" s="16"/>
      <c r="EH45" s="16"/>
      <c r="EI45" s="16"/>
      <c r="EJ45" s="16"/>
      <c r="EK45" s="16"/>
      <c r="EL45" s="16"/>
      <c r="EM45" s="16"/>
      <c r="EN45" s="16"/>
      <c r="EO45" s="16"/>
      <c r="EP45" s="16"/>
      <c r="EQ45" s="16"/>
      <c r="ER45" s="16"/>
      <c r="ES45" s="16"/>
      <c r="ET45" s="16"/>
      <c r="EU45" s="16"/>
      <c r="EV45" s="16"/>
      <c r="EW45" s="16"/>
      <c r="EX45" s="16"/>
      <c r="EY45" s="16"/>
      <c r="EZ45" s="16"/>
      <c r="FA45" s="16"/>
      <c r="FB45" s="16"/>
      <c r="FC45" s="16"/>
      <c r="FD45" s="16"/>
      <c r="FE45" s="16"/>
      <c r="FF45" s="16"/>
      <c r="FG45" s="16"/>
      <c r="FH45" s="16"/>
      <c r="FI45" s="16"/>
      <c r="FJ45" s="16"/>
      <c r="FK45" s="16"/>
      <c r="FL45" s="16"/>
      <c r="FM45" s="16"/>
      <c r="FN45" s="16"/>
      <c r="FO45" s="16"/>
      <c r="FP45" s="16"/>
      <c r="FQ45" s="16"/>
      <c r="FR45" s="16"/>
      <c r="FS45" s="16"/>
      <c r="FT45" s="16"/>
      <c r="FU45" s="16"/>
      <c r="FV45" s="16"/>
      <c r="FW45" s="16"/>
      <c r="FX45" s="16"/>
      <c r="FY45" s="16"/>
      <c r="FZ45" s="16"/>
      <c r="GA45" s="16"/>
      <c r="GB45" s="16"/>
      <c r="GC45" s="16"/>
      <c r="GD45" s="16"/>
      <c r="GE45" s="16"/>
      <c r="GF45" s="16"/>
      <c r="GG45" s="16"/>
      <c r="GH45" s="16"/>
      <c r="GI45" s="16"/>
      <c r="GJ45" s="16"/>
      <c r="GK45" s="16"/>
      <c r="GL45" s="16"/>
      <c r="GM45" s="16"/>
      <c r="GN45" s="16"/>
      <c r="GO45" s="16"/>
    </row>
    <row r="46" ht="18.0" customHeight="1">
      <c r="A46" s="15">
        <v>45.0</v>
      </c>
      <c r="B46" s="16" t="s">
        <v>992</v>
      </c>
      <c r="C46" s="17" t="s">
        <v>1074</v>
      </c>
      <c r="D46" s="16" t="s">
        <v>329</v>
      </c>
      <c r="E46" s="15">
        <f>COUNTIF('Tổng hợp 75 trang đích'!$B$2:$B$2505,$D46)</f>
        <v>5</v>
      </c>
      <c r="F46" s="15">
        <f>COUNTIFS('Tổng hợp 75 trang đích'!$B$2:$B$2505,$D46,'Tổng hợp 75 trang đích'!$K$2:$K$2505,"PHÙ HỢP CAO")</f>
        <v>2</v>
      </c>
      <c r="G46" s="15">
        <f>COUNTIFS('Tổng hợp 75 trang đích'!$B$2:$B$2505,$D46,'Tổng hợp 75 trang đích'!$K$2:$K$2505,"CÓ THỂ ĐI")</f>
        <v>3</v>
      </c>
      <c r="H46" s="15">
        <f>COUNTIFS('Tổng hợp 75 trang đích'!$B$2:$B$2505,$D46,'Tổng hợp 75 trang đích'!$K$2:$K$2505,"CẦN SOÁT")</f>
        <v>0</v>
      </c>
      <c r="I46" s="19" t="s">
        <v>256</v>
      </c>
      <c r="J46" s="19" t="b">
        <v>0</v>
      </c>
      <c r="K46" s="20" t="s">
        <v>258</v>
      </c>
      <c r="L46" s="16" t="str">
        <f>IFERROR(__xludf.DUMMYFUNCTION("IFERROR(TOROW(CHOOSECOLS(SORT(FILTER({'Tổng hợp 75 trang đích'!$J$2:$J$2505,'Tổng hợp 75 trang đích'!$I$2:$I$2505,MATCH('Tổng hợp 75 trang đích'!$K$2:$K$2505,{""PHÙ HỢP CAO"",""CÓ THỂ ĐI"",""CẦN SOÁT""},0)},'Tổng hợp 75 trang đích'!$B$2:$B$2505=$D46),3,TR"&amp;"UE),1,2)),"""")"),"tiền Thái Lan")</f>
        <v>tiền Thái Lan</v>
      </c>
      <c r="M46" s="21" t="str">
        <f>IFERROR(__xludf.DUMMYFUNCTION("""COMPUTED_VALUE"""),"https://techcombank.com/thong-tin/blog/thanh-toan-khi-du-lich-thai-lan")</f>
        <v>https://techcombank.com/thong-tin/blog/thanh-toan-khi-du-lich-thai-lan</v>
      </c>
      <c r="N46" s="16" t="str">
        <f>IFERROR(__xludf.DUMMYFUNCTION("""COMPUTED_VALUE"""),"tiền Baht Thái")</f>
        <v>tiền Baht Thái</v>
      </c>
      <c r="O46" s="21" t="str">
        <f>IFERROR(__xludf.DUMMYFUNCTION("""COMPUTED_VALUE"""),"https://techcombank.com/thong-tin/blog/thanh-toan-qr-thai-lan")</f>
        <v>https://techcombank.com/thong-tin/blog/thanh-toan-qr-thai-lan</v>
      </c>
      <c r="P46" s="16" t="str">
        <f>IFERROR(__xludf.DUMMYFUNCTION("""COMPUTED_VALUE"""),"tiền Baht")</f>
        <v>tiền Baht</v>
      </c>
      <c r="Q46" s="21" t="str">
        <f>IFERROR(__xludf.DUMMYFUNCTION("""COMPUTED_VALUE"""),"https://techcombank.com/thong-tin/blog/han-muc-mua-ngoai-te-khi-di-du-lich")</f>
        <v>https://techcombank.com/thong-tin/blog/han-muc-mua-ngoai-te-khi-di-du-lich</v>
      </c>
      <c r="R46" s="16" t="str">
        <f>IFERROR(__xludf.DUMMYFUNCTION("""COMPUTED_VALUE"""),"tiền Thái Lan")</f>
        <v>tiền Thái Lan</v>
      </c>
      <c r="S46" s="21" t="str">
        <f>IFERROR(__xludf.DUMMYFUNCTION("""COMPUTED_VALUE"""),"https://techcombank.com/thong-tin/blog/di-du-lich-nuoc-ngoai-can-chuan-bi-gi")</f>
        <v>https://techcombank.com/thong-tin/blog/di-du-lich-nuoc-ngoai-can-chuan-bi-gi</v>
      </c>
      <c r="T46" s="16" t="str">
        <f>IFERROR(__xludf.DUMMYFUNCTION("""COMPUTED_VALUE"""),"tiền Baht Thái")</f>
        <v>tiền Baht Thái</v>
      </c>
      <c r="U46" s="21" t="str">
        <f>IFERROR(__xludf.DUMMYFUNCTION("""COMPUTED_VALUE"""),"https://techcombank.com/thong-tin/blog/thanh-toan-bang-the-quoc-te")</f>
        <v>https://techcombank.com/thong-tin/blog/thanh-toan-bang-the-quoc-te</v>
      </c>
      <c r="V46" s="16"/>
      <c r="W46" s="16"/>
      <c r="X46" s="16"/>
      <c r="Y46" s="16"/>
      <c r="Z46" s="16"/>
      <c r="AA46" s="16"/>
      <c r="AB46" s="16"/>
      <c r="AC46" s="16"/>
      <c r="AD46" s="16"/>
      <c r="AE46" s="16"/>
      <c r="AF46" s="16"/>
      <c r="AG46" s="16"/>
      <c r="AH46" s="16"/>
      <c r="AI46" s="16"/>
      <c r="AJ46" s="16"/>
      <c r="AK46" s="16"/>
      <c r="AL46" s="16"/>
      <c r="AM46" s="16"/>
      <c r="AN46" s="16"/>
      <c r="AO46" s="16"/>
      <c r="AP46" s="16"/>
      <c r="AQ46" s="16"/>
      <c r="AR46" s="16"/>
      <c r="AS46" s="16"/>
      <c r="AT46" s="16"/>
      <c r="AU46" s="16"/>
      <c r="AV46" s="16"/>
      <c r="AW46" s="16"/>
      <c r="AX46" s="16"/>
      <c r="AY46" s="16"/>
      <c r="AZ46" s="16"/>
      <c r="BA46" s="16"/>
      <c r="BB46" s="16"/>
      <c r="BC46" s="16"/>
      <c r="BD46" s="16"/>
      <c r="BE46" s="16"/>
      <c r="BF46" s="16"/>
      <c r="BG46" s="16"/>
      <c r="BH46" s="16"/>
      <c r="BI46" s="16"/>
      <c r="BJ46" s="16"/>
      <c r="BK46" s="16"/>
      <c r="BL46" s="16"/>
      <c r="BM46" s="16"/>
      <c r="BN46" s="16"/>
      <c r="BO46" s="16"/>
      <c r="BP46" s="16"/>
      <c r="BQ46" s="16"/>
      <c r="BR46" s="16"/>
      <c r="BS46" s="16"/>
      <c r="BT46" s="16"/>
      <c r="BU46" s="16"/>
      <c r="BV46" s="16"/>
      <c r="BW46" s="16"/>
      <c r="BX46" s="16"/>
      <c r="BY46" s="16"/>
      <c r="BZ46" s="16"/>
      <c r="CA46" s="16"/>
      <c r="CB46" s="16"/>
      <c r="CC46" s="16"/>
      <c r="CD46" s="16"/>
      <c r="CE46" s="16"/>
      <c r="CF46" s="16"/>
      <c r="CG46" s="16"/>
      <c r="CH46" s="16"/>
      <c r="CI46" s="16"/>
      <c r="CJ46" s="16"/>
      <c r="CK46" s="16"/>
      <c r="CL46" s="16"/>
      <c r="CM46" s="16"/>
      <c r="CN46" s="16"/>
      <c r="CO46" s="16"/>
      <c r="CP46" s="16"/>
      <c r="CQ46" s="16"/>
      <c r="CR46" s="16"/>
      <c r="CS46" s="16"/>
      <c r="CT46" s="16"/>
      <c r="CU46" s="16"/>
      <c r="CV46" s="16"/>
      <c r="CW46" s="16"/>
      <c r="CX46" s="16"/>
      <c r="CY46" s="16"/>
      <c r="CZ46" s="16"/>
      <c r="DA46" s="16"/>
      <c r="DB46" s="16"/>
      <c r="DC46" s="16"/>
      <c r="DD46" s="16"/>
      <c r="DE46" s="16"/>
      <c r="DF46" s="16"/>
      <c r="DG46" s="16"/>
      <c r="DH46" s="16"/>
      <c r="DI46" s="16"/>
      <c r="DJ46" s="16"/>
      <c r="DK46" s="16"/>
      <c r="DL46" s="16"/>
      <c r="DM46" s="16"/>
      <c r="DN46" s="16"/>
      <c r="DO46" s="16"/>
      <c r="DP46" s="16"/>
      <c r="DQ46" s="16"/>
      <c r="DR46" s="16"/>
      <c r="DS46" s="16"/>
      <c r="DT46" s="16"/>
      <c r="DU46" s="16"/>
      <c r="DV46" s="16"/>
      <c r="DW46" s="16"/>
      <c r="DX46" s="16"/>
      <c r="DY46" s="16"/>
      <c r="DZ46" s="16"/>
      <c r="EA46" s="16"/>
      <c r="EB46" s="16"/>
      <c r="EC46" s="16"/>
      <c r="ED46" s="16"/>
      <c r="EE46" s="16"/>
      <c r="EF46" s="16"/>
      <c r="EG46" s="16"/>
      <c r="EH46" s="16"/>
      <c r="EI46" s="16"/>
      <c r="EJ46" s="16"/>
      <c r="EK46" s="16"/>
      <c r="EL46" s="16"/>
      <c r="EM46" s="16"/>
      <c r="EN46" s="16"/>
      <c r="EO46" s="16"/>
      <c r="EP46" s="16"/>
      <c r="EQ46" s="16"/>
      <c r="ER46" s="16"/>
      <c r="ES46" s="16"/>
      <c r="ET46" s="16"/>
      <c r="EU46" s="16"/>
      <c r="EV46" s="16"/>
      <c r="EW46" s="16"/>
      <c r="EX46" s="16"/>
      <c r="EY46" s="16"/>
      <c r="EZ46" s="16"/>
      <c r="FA46" s="16"/>
      <c r="FB46" s="16"/>
      <c r="FC46" s="16"/>
      <c r="FD46" s="16"/>
      <c r="FE46" s="16"/>
      <c r="FF46" s="16"/>
      <c r="FG46" s="16"/>
      <c r="FH46" s="16"/>
      <c r="FI46" s="16"/>
      <c r="FJ46" s="16"/>
      <c r="FK46" s="16"/>
      <c r="FL46" s="16"/>
      <c r="FM46" s="16"/>
      <c r="FN46" s="16"/>
      <c r="FO46" s="16"/>
      <c r="FP46" s="16"/>
      <c r="FQ46" s="16"/>
      <c r="FR46" s="16"/>
      <c r="FS46" s="16"/>
      <c r="FT46" s="16"/>
      <c r="FU46" s="16"/>
      <c r="FV46" s="16"/>
      <c r="FW46" s="16"/>
      <c r="FX46" s="16"/>
      <c r="FY46" s="16"/>
      <c r="FZ46" s="16"/>
      <c r="GA46" s="16"/>
      <c r="GB46" s="16"/>
      <c r="GC46" s="16"/>
      <c r="GD46" s="16"/>
      <c r="GE46" s="16"/>
      <c r="GF46" s="16"/>
      <c r="GG46" s="16"/>
      <c r="GH46" s="16"/>
      <c r="GI46" s="16"/>
      <c r="GJ46" s="16"/>
      <c r="GK46" s="16"/>
      <c r="GL46" s="16"/>
      <c r="GM46" s="16"/>
      <c r="GN46" s="16"/>
      <c r="GO46" s="16"/>
    </row>
    <row r="47" ht="18.0" customHeight="1">
      <c r="A47" s="15">
        <v>46.0</v>
      </c>
      <c r="B47" s="16" t="s">
        <v>992</v>
      </c>
      <c r="C47" s="17" t="s">
        <v>1096</v>
      </c>
      <c r="D47" s="16" t="s">
        <v>330</v>
      </c>
      <c r="E47" s="15">
        <f>COUNTIF('Tổng hợp 75 trang đích'!$B$2:$B$2505,$D47)</f>
        <v>13</v>
      </c>
      <c r="F47" s="15">
        <f>COUNTIFS('Tổng hợp 75 trang đích'!$B$2:$B$2505,$D47,'Tổng hợp 75 trang đích'!$K$2:$K$2505,"PHÙ HỢP CAO")</f>
        <v>1</v>
      </c>
      <c r="G47" s="15">
        <f>COUNTIFS('Tổng hợp 75 trang đích'!$B$2:$B$2505,$D47,'Tổng hợp 75 trang đích'!$K$2:$K$2505,"CÓ THỂ ĐI")</f>
        <v>3</v>
      </c>
      <c r="H47" s="15">
        <f>COUNTIFS('Tổng hợp 75 trang đích'!$B$2:$B$2505,$D47,'Tổng hợp 75 trang đích'!$K$2:$K$2505,"CẦN SOÁT")</f>
        <v>9</v>
      </c>
      <c r="I47" s="19" t="s">
        <v>256</v>
      </c>
      <c r="J47" s="19" t="b">
        <v>0</v>
      </c>
      <c r="K47" s="20" t="s">
        <v>258</v>
      </c>
      <c r="L47" s="16" t="str">
        <f>IFERROR(__xludf.DUMMYFUNCTION("IFERROR(TOROW(CHOOSECOLS(SORT(FILTER({'Tổng hợp 75 trang đích'!$J$2:$J$2505,'Tổng hợp 75 trang đích'!$I$2:$I$2505,MATCH('Tổng hợp 75 trang đích'!$K$2:$K$2505,{""PHÙ HỢP CAO"",""CÓ THỂ ĐI"",""CẦN SOÁT""},0)},'Tổng hợp 75 trang đích'!$B$2:$B$2505=$D47),3,TR"&amp;"UE),1,2)),"""")"),"1 triệu đô bằng bao nhiêu tiền Việt")</f>
        <v>1 triệu đô bằng bao nhiêu tiền Việt</v>
      </c>
      <c r="M47" s="21" t="str">
        <f>IFERROR(__xludf.DUMMYFUNCTION("""COMPUTED_VALUE"""),"https://techcombank.com/thong-tin/blog/1-dong-do-la-my-bang-bao-nhieu-tien-viet-nam")</f>
        <v>https://techcombank.com/thong-tin/blog/1-dong-do-la-my-bang-bao-nhieu-tien-viet-nam</v>
      </c>
      <c r="N47" s="16" t="str">
        <f>IFERROR(__xludf.DUMMYFUNCTION("""COMPUTED_VALUE"""),"1 triệu đô bằng bao nhiêu tiền Việt")</f>
        <v>1 triệu đô bằng bao nhiêu tiền Việt</v>
      </c>
      <c r="O47" s="21" t="str">
        <f>IFERROR(__xludf.DUMMYFUNCTION("""COMPUTED_VALUE"""),"https://techcombank.com/thong-tin/blog/high-net-worth-client-va-ultra-high-net-worth-client")</f>
        <v>https://techcombank.com/thong-tin/blog/high-net-worth-client-va-ultra-high-net-worth-client</v>
      </c>
      <c r="P47" s="16" t="str">
        <f>IFERROR(__xludf.DUMMYFUNCTION("""COMPUTED_VALUE"""),"1 triệu đô bằng bao nhiêu tiền Việt")</f>
        <v>1 triệu đô bằng bao nhiêu tiền Việt</v>
      </c>
      <c r="Q47" s="21" t="str">
        <f>IFERROR(__xludf.DUMMYFUNCTION("""COMPUTED_VALUE"""),"https://techcombank.com/thong-tin/blog/xu-huong-ty-gia-usd")</f>
        <v>https://techcombank.com/thong-tin/blog/xu-huong-ty-gia-usd</v>
      </c>
      <c r="R47" s="16" t="str">
        <f>IFERROR(__xludf.DUMMYFUNCTION("""COMPUTED_VALUE"""),"1 triệu đô bằng bao nhiêu tiền Việt")</f>
        <v>1 triệu đô bằng bao nhiêu tiền Việt</v>
      </c>
      <c r="S47" s="21" t="str">
        <f>IFERROR(__xludf.DUMMYFUNCTION("""COMPUTED_VALUE"""),"https://techcombank.com/thong-tin/blog/gia-tri-tai-san-rong")</f>
        <v>https://techcombank.com/thong-tin/blog/gia-tri-tai-san-rong</v>
      </c>
      <c r="T47" s="16" t="str">
        <f>IFERROR(__xludf.DUMMYFUNCTION("""COMPUTED_VALUE"""),"1 triệu đô bằng bao nhiêu tiền Việt")</f>
        <v>1 triệu đô bằng bao nhiêu tiền Việt</v>
      </c>
      <c r="U47" s="21" t="str">
        <f>IFERROR(__xludf.DUMMYFUNCTION("""COMPUTED_VALUE"""),"https://techcombank.com/thong-tin/blog/lai-suat-gui-tiet-kiem-usd")</f>
        <v>https://techcombank.com/thong-tin/blog/lai-suat-gui-tiet-kiem-usd</v>
      </c>
      <c r="V47" s="16" t="str">
        <f>IFERROR(__xludf.DUMMYFUNCTION("""COMPUTED_VALUE"""),"1 triệu đô bằng bao nhiêu tiền Việt")</f>
        <v>1 triệu đô bằng bao nhiêu tiền Việt</v>
      </c>
      <c r="W47" s="21" t="str">
        <f>IFERROR(__xludf.DUMMYFUNCTION("""COMPUTED_VALUE"""),"https://techcombank.com/thong-tin/blog/gui-tiet-kiem-usd")</f>
        <v>https://techcombank.com/thong-tin/blog/gui-tiet-kiem-usd</v>
      </c>
      <c r="X47" s="16" t="str">
        <f>IFERROR(__xludf.DUMMYFUNCTION("""COMPUTED_VALUE"""),"1 triệu đô bằng bao nhiêu tiền Việt")</f>
        <v>1 triệu đô bằng bao nhiêu tiền Việt</v>
      </c>
      <c r="Y47" s="21" t="str">
        <f>IFERROR(__xludf.DUMMYFUNCTION("""COMPUTED_VALUE"""),"https://techcombank.com/thong-tin/blog/doi-tien-do-o-dau")</f>
        <v>https://techcombank.com/thong-tin/blog/doi-tien-do-o-dau</v>
      </c>
      <c r="Z47" s="16" t="str">
        <f>IFERROR(__xludf.DUMMYFUNCTION("""COMPUTED_VALUE"""),"1 triệu đô bằng bao nhiêu tiền Việt")</f>
        <v>1 triệu đô bằng bao nhiêu tiền Việt</v>
      </c>
      <c r="AA47" s="21" t="str">
        <f>IFERROR(__xludf.DUMMYFUNCTION("""COMPUTED_VALUE"""),"https://techcombank.com/thong-tin/blog/dieu-kien-mua-usd-tu-ngan-hang")</f>
        <v>https://techcombank.com/thong-tin/blog/dieu-kien-mua-usd-tu-ngan-hang</v>
      </c>
      <c r="AB47" s="16" t="str">
        <f>IFERROR(__xludf.DUMMYFUNCTION("""COMPUTED_VALUE"""),"1 triệu đô bằng bao nhiêu tiền Việt")</f>
        <v>1 triệu đô bằng bao nhiêu tiền Việt</v>
      </c>
      <c r="AC47" s="21" t="str">
        <f>IFERROR(__xludf.DUMMYFUNCTION("""COMPUTED_VALUE"""),"https://techcombank.com/thong-tin/blog/tien-singapore")</f>
        <v>https://techcombank.com/thong-tin/blog/tien-singapore</v>
      </c>
      <c r="AD47" s="16" t="str">
        <f>IFERROR(__xludf.DUMMYFUNCTION("""COMPUTED_VALUE"""),"1 triệu đô bằng bao nhiêu tiền Việt")</f>
        <v>1 triệu đô bằng bao nhiêu tiền Việt</v>
      </c>
      <c r="AE47" s="21" t="str">
        <f>IFERROR(__xludf.DUMMYFUNCTION("""COMPUTED_VALUE"""),"https://techcombank.com/thong-tin/blog/chuyen-tien-di-uc")</f>
        <v>https://techcombank.com/thong-tin/blog/chuyen-tien-di-uc</v>
      </c>
      <c r="AF47" s="16" t="str">
        <f>IFERROR(__xludf.DUMMYFUNCTION("""COMPUTED_VALUE"""),"1 triệu đô bằng bao nhiêu tiền Việt")</f>
        <v>1 triệu đô bằng bao nhiêu tiền Việt</v>
      </c>
      <c r="AG47" s="21" t="str">
        <f>IFERROR(__xludf.DUMMYFUNCTION("""COMPUTED_VALUE"""),"https://techcombank.com/thong-tin/blog/chuyen-tien-tu-my-ve-viet-nam")</f>
        <v>https://techcombank.com/thong-tin/blog/chuyen-tien-tu-my-ve-viet-nam</v>
      </c>
      <c r="AH47" s="16" t="str">
        <f>IFERROR(__xludf.DUMMYFUNCTION("""COMPUTED_VALUE"""),"1 triệu đô bằng bao nhiêu tiền Việt")</f>
        <v>1 triệu đô bằng bao nhiêu tiền Việt</v>
      </c>
      <c r="AI47" s="21" t="str">
        <f>IFERROR(__xludf.DUMMYFUNCTION("""COMPUTED_VALUE"""),"https://techcombank.com/thong-tin/blog/1-cent-bang-bao-nhieu-tien-viet")</f>
        <v>https://techcombank.com/thong-tin/blog/1-cent-bang-bao-nhieu-tien-viet</v>
      </c>
      <c r="AJ47" s="16" t="str">
        <f>IFERROR(__xludf.DUMMYFUNCTION("""COMPUTED_VALUE"""),"1 triệu đô bằng bao nhiêu tiền Việt")</f>
        <v>1 triệu đô bằng bao nhiêu tiền Việt</v>
      </c>
      <c r="AK47" s="21" t="str">
        <f>IFERROR(__xludf.DUMMYFUNCTION("""COMPUTED_VALUE"""),"https://techcombank.com/thong-tin/blog/1-do-uc-bang-bao-nhieu-tien-viet")</f>
        <v>https://techcombank.com/thong-tin/blog/1-do-uc-bang-bao-nhieu-tien-viet</v>
      </c>
      <c r="AL47" s="16"/>
      <c r="AM47" s="16"/>
      <c r="AN47" s="16"/>
      <c r="AO47" s="16"/>
      <c r="AP47" s="16"/>
      <c r="AQ47" s="16"/>
      <c r="AR47" s="16"/>
      <c r="AS47" s="16"/>
      <c r="AT47" s="16"/>
      <c r="AU47" s="16"/>
      <c r="AV47" s="16"/>
      <c r="AW47" s="16"/>
      <c r="AX47" s="16"/>
      <c r="AY47" s="16"/>
      <c r="AZ47" s="16"/>
      <c r="BA47" s="16"/>
      <c r="BB47" s="16"/>
      <c r="BC47" s="16"/>
      <c r="BD47" s="16"/>
      <c r="BE47" s="16"/>
      <c r="BF47" s="16"/>
      <c r="BG47" s="16"/>
      <c r="BH47" s="16"/>
      <c r="BI47" s="16"/>
      <c r="BJ47" s="16"/>
      <c r="BK47" s="16"/>
      <c r="BL47" s="16"/>
      <c r="BM47" s="16"/>
      <c r="BN47" s="16"/>
      <c r="BO47" s="16"/>
      <c r="BP47" s="16"/>
      <c r="BQ47" s="16"/>
      <c r="BR47" s="16"/>
      <c r="BS47" s="16"/>
      <c r="BT47" s="16"/>
      <c r="BU47" s="16"/>
      <c r="BV47" s="16"/>
      <c r="BW47" s="16"/>
      <c r="BX47" s="16"/>
      <c r="BY47" s="16"/>
      <c r="BZ47" s="16"/>
      <c r="CA47" s="16"/>
      <c r="CB47" s="16"/>
      <c r="CC47" s="16"/>
      <c r="CD47" s="16"/>
      <c r="CE47" s="16"/>
      <c r="CF47" s="16"/>
      <c r="CG47" s="16"/>
      <c r="CH47" s="16"/>
      <c r="CI47" s="16"/>
      <c r="CJ47" s="16"/>
      <c r="CK47" s="16"/>
      <c r="CL47" s="16"/>
      <c r="CM47" s="16"/>
      <c r="CN47" s="16"/>
      <c r="CO47" s="16"/>
      <c r="CP47" s="16"/>
      <c r="CQ47" s="16"/>
      <c r="CR47" s="16"/>
      <c r="CS47" s="16"/>
      <c r="CT47" s="16"/>
      <c r="CU47" s="16"/>
      <c r="CV47" s="16"/>
      <c r="CW47" s="16"/>
      <c r="CX47" s="16"/>
      <c r="CY47" s="16"/>
      <c r="CZ47" s="16"/>
      <c r="DA47" s="16"/>
      <c r="DB47" s="16"/>
      <c r="DC47" s="16"/>
      <c r="DD47" s="16"/>
      <c r="DE47" s="16"/>
      <c r="DF47" s="16"/>
      <c r="DG47" s="16"/>
      <c r="DH47" s="16"/>
      <c r="DI47" s="16"/>
      <c r="DJ47" s="16"/>
      <c r="DK47" s="16"/>
      <c r="DL47" s="16"/>
      <c r="DM47" s="16"/>
      <c r="DN47" s="16"/>
      <c r="DO47" s="16"/>
      <c r="DP47" s="16"/>
      <c r="DQ47" s="16"/>
      <c r="DR47" s="16"/>
      <c r="DS47" s="16"/>
      <c r="DT47" s="16"/>
      <c r="DU47" s="16"/>
      <c r="DV47" s="16"/>
      <c r="DW47" s="16"/>
      <c r="DX47" s="16"/>
      <c r="DY47" s="16"/>
      <c r="DZ47" s="16"/>
      <c r="EA47" s="16"/>
      <c r="EB47" s="16"/>
      <c r="EC47" s="16"/>
      <c r="ED47" s="16"/>
      <c r="EE47" s="16"/>
      <c r="EF47" s="16"/>
      <c r="EG47" s="16"/>
      <c r="EH47" s="16"/>
      <c r="EI47" s="16"/>
      <c r="EJ47" s="16"/>
      <c r="EK47" s="16"/>
      <c r="EL47" s="16"/>
      <c r="EM47" s="16"/>
      <c r="EN47" s="16"/>
      <c r="EO47" s="16"/>
      <c r="EP47" s="16"/>
      <c r="EQ47" s="16"/>
      <c r="ER47" s="16"/>
      <c r="ES47" s="16"/>
      <c r="ET47" s="16"/>
      <c r="EU47" s="16"/>
      <c r="EV47" s="16"/>
      <c r="EW47" s="16"/>
      <c r="EX47" s="16"/>
      <c r="EY47" s="16"/>
      <c r="EZ47" s="16"/>
      <c r="FA47" s="16"/>
      <c r="FB47" s="16"/>
      <c r="FC47" s="16"/>
      <c r="FD47" s="16"/>
      <c r="FE47" s="16"/>
      <c r="FF47" s="16"/>
      <c r="FG47" s="16"/>
      <c r="FH47" s="16"/>
      <c r="FI47" s="16"/>
      <c r="FJ47" s="16"/>
      <c r="FK47" s="16"/>
      <c r="FL47" s="16"/>
      <c r="FM47" s="16"/>
      <c r="FN47" s="16"/>
      <c r="FO47" s="16"/>
      <c r="FP47" s="16"/>
      <c r="FQ47" s="16"/>
      <c r="FR47" s="16"/>
      <c r="FS47" s="16"/>
      <c r="FT47" s="16"/>
      <c r="FU47" s="16"/>
      <c r="FV47" s="16"/>
      <c r="FW47" s="16"/>
      <c r="FX47" s="16"/>
      <c r="FY47" s="16"/>
      <c r="FZ47" s="16"/>
      <c r="GA47" s="16"/>
      <c r="GB47" s="16"/>
      <c r="GC47" s="16"/>
      <c r="GD47" s="16"/>
      <c r="GE47" s="16"/>
      <c r="GF47" s="16"/>
      <c r="GG47" s="16"/>
      <c r="GH47" s="16"/>
      <c r="GI47" s="16"/>
      <c r="GJ47" s="16"/>
      <c r="GK47" s="16"/>
      <c r="GL47" s="16"/>
      <c r="GM47" s="16"/>
      <c r="GN47" s="16"/>
      <c r="GO47" s="16"/>
    </row>
    <row r="48" ht="18.0" customHeight="1">
      <c r="A48" s="15">
        <v>47.0</v>
      </c>
      <c r="B48" s="16" t="s">
        <v>992</v>
      </c>
      <c r="C48" s="17" t="s">
        <v>1105</v>
      </c>
      <c r="D48" s="16" t="s">
        <v>331</v>
      </c>
      <c r="E48" s="15">
        <f>COUNTIF('Tổng hợp 75 trang đích'!$B$2:$B$2505,$D48)</f>
        <v>4</v>
      </c>
      <c r="F48" s="15">
        <f>COUNTIFS('Tổng hợp 75 trang đích'!$B$2:$B$2505,$D48,'Tổng hợp 75 trang đích'!$K$2:$K$2505,"PHÙ HỢP CAO")</f>
        <v>3</v>
      </c>
      <c r="G48" s="15">
        <f>COUNTIFS('Tổng hợp 75 trang đích'!$B$2:$B$2505,$D48,'Tổng hợp 75 trang đích'!$K$2:$K$2505,"CÓ THỂ ĐI")</f>
        <v>1</v>
      </c>
      <c r="H48" s="15">
        <f>COUNTIFS('Tổng hợp 75 trang đích'!$B$2:$B$2505,$D48,'Tổng hợp 75 trang đích'!$K$2:$K$2505,"CẦN SOÁT")</f>
        <v>0</v>
      </c>
      <c r="I48" s="19" t="s">
        <v>256</v>
      </c>
      <c r="J48" s="19" t="b">
        <v>0</v>
      </c>
      <c r="K48" s="20" t="s">
        <v>258</v>
      </c>
      <c r="L48" s="16" t="str">
        <f>IFERROR(__xludf.DUMMYFUNCTION("IFERROR(TOROW(CHOOSECOLS(SORT(FILTER({'Tổng hợp 75 trang đích'!$J$2:$J$2505,'Tổng hợp 75 trang đích'!$I$2:$I$2505,MATCH('Tổng hợp 75 trang đích'!$K$2:$K$2505,{""PHÙ HỢP CAO"",""CÓ THỂ ĐI"",""CẦN SOÁT""},0)},'Tổng hợp 75 trang đích'!$B$2:$B$2505=$D48),3,TR"&amp;"UE),1,2)),"""")"),"1000 Won bằng bao nhiêu tiền Việt")</f>
        <v>1000 Won bằng bao nhiêu tiền Việt</v>
      </c>
      <c r="M48" s="21" t="str">
        <f>IFERROR(__xludf.DUMMYFUNCTION("""COMPUTED_VALUE"""),"https://techcombank.com/thong-tin/blog/1-won-bang-bao-nhieu-tien-viet")</f>
        <v>https://techcombank.com/thong-tin/blog/1-won-bang-bao-nhieu-tien-viet</v>
      </c>
      <c r="N48" s="16" t="str">
        <f>IFERROR(__xludf.DUMMYFUNCTION("""COMPUTED_VALUE"""),"1,000 won")</f>
        <v>1,000 won</v>
      </c>
      <c r="O48" s="21" t="str">
        <f>IFERROR(__xludf.DUMMYFUNCTION("""COMPUTED_VALUE"""),"https://techcombank.com/thong-tin/blog/1-trieu-won-bang-bao-nhieu-tien-viet")</f>
        <v>https://techcombank.com/thong-tin/blog/1-trieu-won-bang-bao-nhieu-tien-viet</v>
      </c>
      <c r="P48" s="16" t="str">
        <f>IFERROR(__xludf.DUMMYFUNCTION("""COMPUTED_VALUE"""),"1000 Won bằng bao nhiêu tiền Việt")</f>
        <v>1000 Won bằng bao nhiêu tiền Việt</v>
      </c>
      <c r="Q48" s="21" t="str">
        <f>IFERROR(__xludf.DUMMYFUNCTION("""COMPUTED_VALUE"""),"https://techcombank.com/thong-tin/blog/thanh-toan-khi-du-lich-han-quoc")</f>
        <v>https://techcombank.com/thong-tin/blog/thanh-toan-khi-du-lich-han-quoc</v>
      </c>
      <c r="R48" s="16" t="str">
        <f>IFERROR(__xludf.DUMMYFUNCTION("""COMPUTED_VALUE"""),"1,000 won")</f>
        <v>1,000 won</v>
      </c>
      <c r="S48" s="21" t="str">
        <f>IFERROR(__xludf.DUMMYFUNCTION("""COMPUTED_VALUE"""),"https://techcombank.com/thong-tin/blog/chuyen-tien-tu-han-sang-viet-nam")</f>
        <v>https://techcombank.com/thong-tin/blog/chuyen-tien-tu-han-sang-viet-nam</v>
      </c>
      <c r="T48" s="16"/>
      <c r="U48" s="16"/>
      <c r="V48" s="16"/>
      <c r="W48" s="16"/>
      <c r="X48" s="16"/>
      <c r="Y48" s="16"/>
      <c r="Z48" s="16"/>
      <c r="AA48" s="16"/>
      <c r="AB48" s="16"/>
      <c r="AC48" s="16"/>
      <c r="AD48" s="16"/>
      <c r="AE48" s="16"/>
      <c r="AF48" s="16"/>
      <c r="AG48" s="16"/>
      <c r="AH48" s="16"/>
      <c r="AI48" s="16"/>
      <c r="AJ48" s="16"/>
      <c r="AK48" s="16"/>
      <c r="AL48" s="16"/>
      <c r="AM48" s="16"/>
      <c r="AN48" s="16"/>
      <c r="AO48" s="16"/>
      <c r="AP48" s="16"/>
      <c r="AQ48" s="16"/>
      <c r="AR48" s="16"/>
      <c r="AS48" s="16"/>
      <c r="AT48" s="16"/>
      <c r="AU48" s="16"/>
      <c r="AV48" s="16"/>
      <c r="AW48" s="16"/>
      <c r="AX48" s="16"/>
      <c r="AY48" s="16"/>
      <c r="AZ48" s="16"/>
      <c r="BA48" s="16"/>
      <c r="BB48" s="16"/>
      <c r="BC48" s="16"/>
      <c r="BD48" s="16"/>
      <c r="BE48" s="16"/>
      <c r="BF48" s="16"/>
      <c r="BG48" s="16"/>
      <c r="BH48" s="16"/>
      <c r="BI48" s="16"/>
      <c r="BJ48" s="16"/>
      <c r="BK48" s="16"/>
      <c r="BL48" s="16"/>
      <c r="BM48" s="16"/>
      <c r="BN48" s="16"/>
      <c r="BO48" s="16"/>
      <c r="BP48" s="16"/>
      <c r="BQ48" s="16"/>
      <c r="BR48" s="16"/>
      <c r="BS48" s="16"/>
      <c r="BT48" s="16"/>
      <c r="BU48" s="16"/>
      <c r="BV48" s="16"/>
      <c r="BW48" s="16"/>
      <c r="BX48" s="16"/>
      <c r="BY48" s="16"/>
      <c r="BZ48" s="16"/>
      <c r="CA48" s="16"/>
      <c r="CB48" s="16"/>
      <c r="CC48" s="16"/>
      <c r="CD48" s="16"/>
      <c r="CE48" s="16"/>
      <c r="CF48" s="16"/>
      <c r="CG48" s="16"/>
      <c r="CH48" s="16"/>
      <c r="CI48" s="16"/>
      <c r="CJ48" s="16"/>
      <c r="CK48" s="16"/>
      <c r="CL48" s="16"/>
      <c r="CM48" s="16"/>
      <c r="CN48" s="16"/>
      <c r="CO48" s="16"/>
      <c r="CP48" s="16"/>
      <c r="CQ48" s="16"/>
      <c r="CR48" s="16"/>
      <c r="CS48" s="16"/>
      <c r="CT48" s="16"/>
      <c r="CU48" s="16"/>
      <c r="CV48" s="16"/>
      <c r="CW48" s="16"/>
      <c r="CX48" s="16"/>
      <c r="CY48" s="16"/>
      <c r="CZ48" s="16"/>
      <c r="DA48" s="16"/>
      <c r="DB48" s="16"/>
      <c r="DC48" s="16"/>
      <c r="DD48" s="16"/>
      <c r="DE48" s="16"/>
      <c r="DF48" s="16"/>
      <c r="DG48" s="16"/>
      <c r="DH48" s="16"/>
      <c r="DI48" s="16"/>
      <c r="DJ48" s="16"/>
      <c r="DK48" s="16"/>
      <c r="DL48" s="16"/>
      <c r="DM48" s="16"/>
      <c r="DN48" s="16"/>
      <c r="DO48" s="16"/>
      <c r="DP48" s="16"/>
      <c r="DQ48" s="16"/>
      <c r="DR48" s="16"/>
      <c r="DS48" s="16"/>
      <c r="DT48" s="16"/>
      <c r="DU48" s="16"/>
      <c r="DV48" s="16"/>
      <c r="DW48" s="16"/>
      <c r="DX48" s="16"/>
      <c r="DY48" s="16"/>
      <c r="DZ48" s="16"/>
      <c r="EA48" s="16"/>
      <c r="EB48" s="16"/>
      <c r="EC48" s="16"/>
      <c r="ED48" s="16"/>
      <c r="EE48" s="16"/>
      <c r="EF48" s="16"/>
      <c r="EG48" s="16"/>
      <c r="EH48" s="16"/>
      <c r="EI48" s="16"/>
      <c r="EJ48" s="16"/>
      <c r="EK48" s="16"/>
      <c r="EL48" s="16"/>
      <c r="EM48" s="16"/>
      <c r="EN48" s="16"/>
      <c r="EO48" s="16"/>
      <c r="EP48" s="16"/>
      <c r="EQ48" s="16"/>
      <c r="ER48" s="16"/>
      <c r="ES48" s="16"/>
      <c r="ET48" s="16"/>
      <c r="EU48" s="16"/>
      <c r="EV48" s="16"/>
      <c r="EW48" s="16"/>
      <c r="EX48" s="16"/>
      <c r="EY48" s="16"/>
      <c r="EZ48" s="16"/>
      <c r="FA48" s="16"/>
      <c r="FB48" s="16"/>
      <c r="FC48" s="16"/>
      <c r="FD48" s="16"/>
      <c r="FE48" s="16"/>
      <c r="FF48" s="16"/>
      <c r="FG48" s="16"/>
      <c r="FH48" s="16"/>
      <c r="FI48" s="16"/>
      <c r="FJ48" s="16"/>
      <c r="FK48" s="16"/>
      <c r="FL48" s="16"/>
      <c r="FM48" s="16"/>
      <c r="FN48" s="16"/>
      <c r="FO48" s="16"/>
      <c r="FP48" s="16"/>
      <c r="FQ48" s="16"/>
      <c r="FR48" s="16"/>
      <c r="FS48" s="16"/>
      <c r="FT48" s="16"/>
      <c r="FU48" s="16"/>
      <c r="FV48" s="16"/>
      <c r="FW48" s="16"/>
      <c r="FX48" s="16"/>
      <c r="FY48" s="16"/>
      <c r="FZ48" s="16"/>
      <c r="GA48" s="16"/>
      <c r="GB48" s="16"/>
      <c r="GC48" s="16"/>
      <c r="GD48" s="16"/>
      <c r="GE48" s="16"/>
      <c r="GF48" s="16"/>
      <c r="GG48" s="16"/>
      <c r="GH48" s="16"/>
      <c r="GI48" s="16"/>
      <c r="GJ48" s="16"/>
      <c r="GK48" s="16"/>
      <c r="GL48" s="16"/>
      <c r="GM48" s="16"/>
      <c r="GN48" s="16"/>
      <c r="GO48" s="16"/>
    </row>
    <row r="49" ht="18.0" customHeight="1">
      <c r="A49" s="15">
        <v>48.0</v>
      </c>
      <c r="B49" s="16" t="s">
        <v>992</v>
      </c>
      <c r="C49" s="17" t="s">
        <v>1113</v>
      </c>
      <c r="D49" s="16" t="s">
        <v>332</v>
      </c>
      <c r="E49" s="15">
        <f>COUNTIF('Tổng hợp 75 trang đích'!$B$2:$B$2505,$D49)</f>
        <v>35</v>
      </c>
      <c r="F49" s="15">
        <f>COUNTIFS('Tổng hợp 75 trang đích'!$B$2:$B$2505,$D49,'Tổng hợp 75 trang đích'!$K$2:$K$2505,"PHÙ HỢP CAO")</f>
        <v>5</v>
      </c>
      <c r="G49" s="15">
        <f>COUNTIFS('Tổng hợp 75 trang đích'!$B$2:$B$2505,$D49,'Tổng hợp 75 trang đích'!$K$2:$K$2505,"CÓ THỂ ĐI")</f>
        <v>0</v>
      </c>
      <c r="H49" s="15">
        <f>COUNTIFS('Tổng hợp 75 trang đích'!$B$2:$B$2505,$D49,'Tổng hợp 75 trang đích'!$K$2:$K$2505,"CẦN SOÁT")</f>
        <v>30</v>
      </c>
      <c r="I49" s="19" t="s">
        <v>256</v>
      </c>
      <c r="J49" s="19" t="b">
        <v>0</v>
      </c>
      <c r="K49" s="20" t="s">
        <v>258</v>
      </c>
      <c r="L49" s="16" t="str">
        <f>IFERROR(__xludf.DUMMYFUNCTION("IFERROR(TOROW(CHOOSECOLS(SORT(FILTER({'Tổng hợp 75 trang đích'!$J$2:$J$2505,'Tổng hợp 75 trang đích'!$I$2:$I$2505,MATCH('Tổng hợp 75 trang đích'!$K$2:$K$2505,{""PHÙ HỢP CAO"",""CÓ THỂ ĐI"",""CẦN SOÁT""},0)},'Tổng hợp 75 trang đích'!$B$2:$B$2505=$D49),3,TR"&amp;"UE),1,2)),"""")"),"cách nhận tiền từ nước ngoài về Việt Nam")</f>
        <v>cách nhận tiền từ nước ngoài về Việt Nam</v>
      </c>
      <c r="M49" s="21" t="str">
        <f>IFERROR(__xludf.DUMMYFUNCTION("""COMPUTED_VALUE"""),"https://techcombank.com/thong-tin/blog/kieu-hoi-la-gi")</f>
        <v>https://techcombank.com/thong-tin/blog/kieu-hoi-la-gi</v>
      </c>
      <c r="N49" s="16" t="str">
        <f>IFERROR(__xludf.DUMMYFUNCTION("""COMPUTED_VALUE"""),"nhận tiền từ nước ngoài")</f>
        <v>nhận tiền từ nước ngoài</v>
      </c>
      <c r="O49" s="21" t="str">
        <f>IFERROR(__xludf.DUMMYFUNCTION("""COMPUTED_VALUE"""),"https://techcombank.com/thong-tin/blog/nhan-tien-western-union")</f>
        <v>https://techcombank.com/thong-tin/blog/nhan-tien-western-union</v>
      </c>
      <c r="P49" s="16" t="str">
        <f>IFERROR(__xludf.DUMMYFUNCTION("""COMPUTED_VALUE"""),"nhận kiều hối")</f>
        <v>nhận kiều hối</v>
      </c>
      <c r="Q49" s="21" t="str">
        <f>IFERROR(__xludf.DUMMYFUNCTION("""COMPUTED_VALUE"""),"https://techcombank.com/thong-tin/blog/ma-swift-ngan-hang")</f>
        <v>https://techcombank.com/thong-tin/blog/ma-swift-ngan-hang</v>
      </c>
      <c r="R49" s="16" t="str">
        <f>IFERROR(__xludf.DUMMYFUNCTION("""COMPUTED_VALUE"""),"cách nhận tiền từ nước ngoài về Việt Nam")</f>
        <v>cách nhận tiền từ nước ngoài về Việt Nam</v>
      </c>
      <c r="S49" s="21" t="str">
        <f>IFERROR(__xludf.DUMMYFUNCTION("""COMPUTED_VALUE"""),"https://techcombank.com/thong-tin/blog/chuyen-tien-tu-my-ve-viet-nam")</f>
        <v>https://techcombank.com/thong-tin/blog/chuyen-tien-tu-my-ve-viet-nam</v>
      </c>
      <c r="T49" s="16" t="str">
        <f>IFERROR(__xludf.DUMMYFUNCTION("""COMPUTED_VALUE"""),"nhận tiền từ nước ngoài")</f>
        <v>nhận tiền từ nước ngoài</v>
      </c>
      <c r="U49" s="21" t="str">
        <f>IFERROR(__xludf.DUMMYFUNCTION("""COMPUTED_VALUE"""),"https://techcombank.com/thong-tin/blog/remittance-la-gi")</f>
        <v>https://techcombank.com/thong-tin/blog/remittance-la-gi</v>
      </c>
      <c r="V49" s="16" t="str">
        <f>IFERROR(__xludf.DUMMYFUNCTION("""COMPUTED_VALUE"""),"nhận kiều hối")</f>
        <v>nhận kiều hối</v>
      </c>
      <c r="W49" s="21" t="str">
        <f>IFERROR(__xludf.DUMMYFUNCTION("""COMPUTED_VALUE"""),"https://techcombank.com/thong-tin/blog/thanh-toan-quoc-te")</f>
        <v>https://techcombank.com/thong-tin/blog/thanh-toan-quoc-te</v>
      </c>
      <c r="X49" s="16" t="str">
        <f>IFERROR(__xludf.DUMMYFUNCTION("""COMPUTED_VALUE"""),"cách nhận tiền từ nước ngoài về Việt Nam")</f>
        <v>cách nhận tiền từ nước ngoài về Việt Nam</v>
      </c>
      <c r="Y49" s="21" t="str">
        <f>IFERROR(__xludf.DUMMYFUNCTION("""COMPUTED_VALUE"""),"https://techcombank.com/thong-tin/blog/bao-hiem-du-lich-quoc-te-nao-tot")</f>
        <v>https://techcombank.com/thong-tin/blog/bao-hiem-du-lich-quoc-te-nao-tot</v>
      </c>
      <c r="Z49" s="16" t="str">
        <f>IFERROR(__xludf.DUMMYFUNCTION("""COMPUTED_VALUE"""),"nhận tiền từ nước ngoài")</f>
        <v>nhận tiền từ nước ngoài</v>
      </c>
      <c r="AA49" s="21" t="str">
        <f>IFERROR(__xludf.DUMMYFUNCTION("""COMPUTED_VALUE"""),"https://techcombank.com/thong-tin/blog/ma-buu-chinh-the-tin-dung")</f>
        <v>https://techcombank.com/thong-tin/blog/ma-buu-chinh-the-tin-dung</v>
      </c>
      <c r="AB49" s="16" t="str">
        <f>IFERROR(__xludf.DUMMYFUNCTION("""COMPUTED_VALUE"""),"nhận kiều hối")</f>
        <v>nhận kiều hối</v>
      </c>
      <c r="AC49" s="21" t="str">
        <f>IFERROR(__xludf.DUMMYFUNCTION("""COMPUTED_VALUE"""),"https://techcombank.com/thong-tin/blog/the-tin-dung-quoc-te")</f>
        <v>https://techcombank.com/thong-tin/blog/the-tin-dung-quoc-te</v>
      </c>
      <c r="AD49" s="16" t="str">
        <f>IFERROR(__xludf.DUMMYFUNCTION("""COMPUTED_VALUE"""),"cách nhận tiền từ nước ngoài về Việt Nam")</f>
        <v>cách nhận tiền từ nước ngoài về Việt Nam</v>
      </c>
      <c r="AE49" s="21" t="str">
        <f>IFERROR(__xludf.DUMMYFUNCTION("""COMPUTED_VALUE"""),"https://techcombank.com/thong-tin/blog/bib-techcombank")</f>
        <v>https://techcombank.com/thong-tin/blog/bib-techcombank</v>
      </c>
      <c r="AF49" s="16" t="str">
        <f>IFERROR(__xludf.DUMMYFUNCTION("""COMPUTED_VALUE"""),"nhận tiền từ nước ngoài")</f>
        <v>nhận tiền từ nước ngoài</v>
      </c>
      <c r="AG49" s="21" t="str">
        <f>IFERROR(__xludf.DUMMYFUNCTION("""COMPUTED_VALUE"""),"https://techcombank.com/thong-tin/blog/the-ghi-no-noi-dia")</f>
        <v>https://techcombank.com/thong-tin/blog/the-ghi-no-noi-dia</v>
      </c>
      <c r="AH49" s="16" t="str">
        <f>IFERROR(__xludf.DUMMYFUNCTION("""COMPUTED_VALUE"""),"nhận kiều hối")</f>
        <v>nhận kiều hối</v>
      </c>
      <c r="AI49" s="21" t="str">
        <f>IFERROR(__xludf.DUMMYFUNCTION("""COMPUTED_VALUE"""),"https://techcombank.com/thong-tin/blog/iban-la-gi")</f>
        <v>https://techcombank.com/thong-tin/blog/iban-la-gi</v>
      </c>
      <c r="AJ49" s="16" t="str">
        <f>IFERROR(__xludf.DUMMYFUNCTION("""COMPUTED_VALUE"""),"cách nhận tiền từ nước ngoài về Việt Nam")</f>
        <v>cách nhận tiền từ nước ngoài về Việt Nam</v>
      </c>
      <c r="AK49" s="21" t="str">
        <f>IFERROR(__xludf.DUMMYFUNCTION("""COMPUTED_VALUE"""),"https://techcombank.com/thong-tin/blog/the-tin-dung-noi-dia")</f>
        <v>https://techcombank.com/thong-tin/blog/the-tin-dung-noi-dia</v>
      </c>
      <c r="AL49" s="16" t="str">
        <f>IFERROR(__xludf.DUMMYFUNCTION("""COMPUTED_VALUE"""),"nhận tiền từ nước ngoài")</f>
        <v>nhận tiền từ nước ngoài</v>
      </c>
      <c r="AM49" s="21" t="str">
        <f>IFERROR(__xludf.DUMMYFUNCTION("""COMPUTED_VALUE"""),"https://techcombank.com/thong-tin/blog/app-ngan-hang-co-dung-duoc-o-nuoc-ngoai")</f>
        <v>https://techcombank.com/thong-tin/blog/app-ngan-hang-co-dung-duoc-o-nuoc-ngoai</v>
      </c>
      <c r="AN49" s="16" t="str">
        <f>IFERROR(__xludf.DUMMYFUNCTION("""COMPUTED_VALUE"""),"nhận kiều hối")</f>
        <v>nhận kiều hối</v>
      </c>
      <c r="AO49" s="21" t="str">
        <f>IFERROR(__xludf.DUMMYFUNCTION("""COMPUTED_VALUE"""),"https://techcombank.com/thong-tin/blog/cashback-the-thanh-toan")</f>
        <v>https://techcombank.com/thong-tin/blog/cashback-the-thanh-toan</v>
      </c>
      <c r="AP49" s="16" t="str">
        <f>IFERROR(__xludf.DUMMYFUNCTION("""COMPUTED_VALUE"""),"cách nhận tiền từ nước ngoài về Việt Nam")</f>
        <v>cách nhận tiền từ nước ngoài về Việt Nam</v>
      </c>
      <c r="AQ49" s="21" t="str">
        <f>IFERROR(__xludf.DUMMYFUNCTION("""COMPUTED_VALUE"""),"https://techcombank.com/thong-tin/blog/lam-the-thanh-toan-quoc-te")</f>
        <v>https://techcombank.com/thong-tin/blog/lam-the-thanh-toan-quoc-te</v>
      </c>
      <c r="AR49" s="16" t="str">
        <f>IFERROR(__xludf.DUMMYFUNCTION("""COMPUTED_VALUE"""),"nhận tiền từ nước ngoài")</f>
        <v>nhận tiền từ nước ngoài</v>
      </c>
      <c r="AS49" s="21" t="str">
        <f>IFERROR(__xludf.DUMMYFUNCTION("""COMPUTED_VALUE"""),"https://techcombank.com/thong-tin/blog/the-ghi-no-visa-la-gi")</f>
        <v>https://techcombank.com/thong-tin/blog/the-ghi-no-visa-la-gi</v>
      </c>
      <c r="AT49" s="16" t="str">
        <f>IFERROR(__xludf.DUMMYFUNCTION("""COMPUTED_VALUE"""),"nhận kiều hối")</f>
        <v>nhận kiều hối</v>
      </c>
      <c r="AU49" s="21" t="str">
        <f>IFERROR(__xludf.DUMMYFUNCTION("""COMPUTED_VALUE"""),"https://techcombank.com/thong-tin/blog/the-visa-co-thanh-toan-quoc-te-duoc-khong")</f>
        <v>https://techcombank.com/thong-tin/blog/the-visa-co-thanh-toan-quoc-te-duoc-khong</v>
      </c>
      <c r="AV49" s="16" t="str">
        <f>IFERROR(__xludf.DUMMYFUNCTION("""COMPUTED_VALUE"""),"cách nhận tiền từ nước ngoài về Việt Nam")</f>
        <v>cách nhận tiền từ nước ngoài về Việt Nam</v>
      </c>
      <c r="AW49" s="21" t="str">
        <f>IFERROR(__xludf.DUMMYFUNCTION("""COMPUTED_VALUE"""),"https://techcombank.com/thong-tin/blog/chuyen-tien-dinh-cu")</f>
        <v>https://techcombank.com/thong-tin/blog/chuyen-tien-dinh-cu</v>
      </c>
      <c r="AX49" s="16" t="str">
        <f>IFERROR(__xludf.DUMMYFUNCTION("""COMPUTED_VALUE"""),"nhận tiền từ nước ngoài")</f>
        <v>nhận tiền từ nước ngoài</v>
      </c>
      <c r="AY49" s="21" t="str">
        <f>IFERROR(__xludf.DUMMYFUNCTION("""COMPUTED_VALUE"""),"https://techcombank.com/thong-tin/blog/thanh-toan-bang-the-quoc-te")</f>
        <v>https://techcombank.com/thong-tin/blog/thanh-toan-bang-the-quoc-te</v>
      </c>
      <c r="AZ49" s="16" t="str">
        <f>IFERROR(__xludf.DUMMYFUNCTION("""COMPUTED_VALUE"""),"nhận kiều hối")</f>
        <v>nhận kiều hối</v>
      </c>
      <c r="BA49" s="21" t="str">
        <f>IFERROR(__xludf.DUMMYFUNCTION("""COMPUTED_VALUE"""),"https://techcombank.com/thong-tin/blog/han-muc-mua-ngoai-te-khi-di-du-lich")</f>
        <v>https://techcombank.com/thong-tin/blog/han-muc-mua-ngoai-te-khi-di-du-lich</v>
      </c>
      <c r="BB49" s="16" t="str">
        <f>IFERROR(__xludf.DUMMYFUNCTION("""COMPUTED_VALUE"""),"cách nhận tiền từ nước ngoài về Việt Nam")</f>
        <v>cách nhận tiền từ nước ngoài về Việt Nam</v>
      </c>
      <c r="BC49" s="21" t="str">
        <f>IFERROR(__xludf.DUMMYFUNCTION("""COMPUTED_VALUE"""),"https://techcombank.com/thong-tin/blog/ngoai-te-la-gi")</f>
        <v>https://techcombank.com/thong-tin/blog/ngoai-te-la-gi</v>
      </c>
      <c r="BD49" s="16" t="str">
        <f>IFERROR(__xludf.DUMMYFUNCTION("""COMPUTED_VALUE"""),"nhận tiền từ nước ngoài")</f>
        <v>nhận tiền từ nước ngoài</v>
      </c>
      <c r="BE49" s="21" t="str">
        <f>IFERROR(__xludf.DUMMYFUNCTION("""COMPUTED_VALUE"""),"https://techcombank.com/thong-tin/blog/nen-lam-the-visa-hay-noi-dia")</f>
        <v>https://techcombank.com/thong-tin/blog/nen-lam-the-visa-hay-noi-dia</v>
      </c>
      <c r="BF49" s="16" t="str">
        <f>IFERROR(__xludf.DUMMYFUNCTION("""COMPUTED_VALUE"""),"nhận kiều hối")</f>
        <v>nhận kiều hối</v>
      </c>
      <c r="BG49" s="21" t="str">
        <f>IFERROR(__xludf.DUMMYFUNCTION("""COMPUTED_VALUE"""),"https://techcombank.com/thong-tin/blog/dinh-cu-chau-au")</f>
        <v>https://techcombank.com/thong-tin/blog/dinh-cu-chau-au</v>
      </c>
      <c r="BH49" s="16" t="str">
        <f>IFERROR(__xludf.DUMMYFUNCTION("""COMPUTED_VALUE"""),"cách nhận tiền từ nước ngoài về Việt Nam")</f>
        <v>cách nhận tiền từ nước ngoài về Việt Nam</v>
      </c>
      <c r="BI49" s="21" t="str">
        <f>IFERROR(__xludf.DUMMYFUNCTION("""COMPUTED_VALUE"""),"https://techcombank.com/thong-tin/blog/vay-du-hoc")</f>
        <v>https://techcombank.com/thong-tin/blog/vay-du-hoc</v>
      </c>
      <c r="BJ49" s="16" t="str">
        <f>IFERROR(__xludf.DUMMYFUNCTION("""COMPUTED_VALUE"""),"nhận tiền từ nước ngoài")</f>
        <v>nhận tiền từ nước ngoài</v>
      </c>
      <c r="BK49" s="21" t="str">
        <f>IFERROR(__xludf.DUMMYFUNCTION("""COMPUTED_VALUE"""),"https://techcombank.com/thong-tin/blog/di-du-lich-nuoc-ngoai-can-chuan-bi-gi")</f>
        <v>https://techcombank.com/thong-tin/blog/di-du-lich-nuoc-ngoai-can-chuan-bi-gi</v>
      </c>
      <c r="BL49" s="16" t="str">
        <f>IFERROR(__xludf.DUMMYFUNCTION("""COMPUTED_VALUE"""),"nhận kiều hối")</f>
        <v>nhận kiều hối</v>
      </c>
      <c r="BM49" s="21" t="str">
        <f>IFERROR(__xludf.DUMMYFUNCTION("""COMPUTED_VALUE"""),"https://techcombank.com/thong-tin/blog/thu-tuc-chuyen-tien-ra-nuoc-ngoai")</f>
        <v>https://techcombank.com/thong-tin/blog/thu-tuc-chuyen-tien-ra-nuoc-ngoai</v>
      </c>
      <c r="BN49" s="16" t="str">
        <f>IFERROR(__xludf.DUMMYFUNCTION("""COMPUTED_VALUE"""),"cách nhận tiền từ nước ngoài về Việt Nam")</f>
        <v>cách nhận tiền từ nước ngoài về Việt Nam</v>
      </c>
      <c r="BO49" s="21" t="str">
        <f>IFERROR(__xludf.DUMMYFUNCTION("""COMPUTED_VALUE"""),"https://techcombank.com/thong-tin/blog/gui-tien-sang-nuoc-ngoai")</f>
        <v>https://techcombank.com/thong-tin/blog/gui-tien-sang-nuoc-ngoai</v>
      </c>
      <c r="BP49" s="16" t="str">
        <f>IFERROR(__xludf.DUMMYFUNCTION("""COMPUTED_VALUE"""),"nhận tiền từ nước ngoài")</f>
        <v>nhận tiền từ nước ngoài</v>
      </c>
      <c r="BQ49" s="21" t="str">
        <f>IFERROR(__xludf.DUMMYFUNCTION("""COMPUTED_VALUE"""),"https://techcombank.com/thong-tin/blog/gia-ca-phe-hom-nay")</f>
        <v>https://techcombank.com/thong-tin/blog/gia-ca-phe-hom-nay</v>
      </c>
      <c r="BR49" s="16" t="str">
        <f>IFERROR(__xludf.DUMMYFUNCTION("""COMPUTED_VALUE"""),"nhận kiều hối")</f>
        <v>nhận kiều hối</v>
      </c>
      <c r="BS49" s="21" t="str">
        <f>IFERROR(__xludf.DUMMYFUNCTION("""COMPUTED_VALUE"""),"https://techcombank.com/thong-tin/blog/gui-tien-du-hoc")</f>
        <v>https://techcombank.com/thong-tin/blog/gui-tien-du-hoc</v>
      </c>
      <c r="BT49" s="16" t="str">
        <f>IFERROR(__xludf.DUMMYFUNCTION("""COMPUTED_VALUE"""),"cách nhận tiền từ nước ngoài về Việt Nam")</f>
        <v>cách nhận tiền từ nước ngoài về Việt Nam</v>
      </c>
      <c r="BU49" s="21" t="str">
        <f>IFERROR(__xludf.DUMMYFUNCTION("""COMPUTED_VALUE"""),"https://techcombank.com/thong-tin/blog/chuyen-tien-tro-cap-than-nhan-o-nuoc-ngoai")</f>
        <v>https://techcombank.com/thong-tin/blog/chuyen-tien-tro-cap-than-nhan-o-nuoc-ngoai</v>
      </c>
      <c r="BV49" s="16" t="str">
        <f>IFERROR(__xludf.DUMMYFUNCTION("""COMPUTED_VALUE"""),"nhận tiền từ nước ngoài")</f>
        <v>nhận tiền từ nước ngoài</v>
      </c>
      <c r="BW49" s="21" t="str">
        <f>IFERROR(__xludf.DUMMYFUNCTION("""COMPUTED_VALUE"""),"https://techcombank.com/thong-tin/blog/tien-singapore")</f>
        <v>https://techcombank.com/thong-tin/blog/tien-singapore</v>
      </c>
      <c r="BX49" s="16" t="str">
        <f>IFERROR(__xludf.DUMMYFUNCTION("""COMPUTED_VALUE"""),"nhận kiều hối")</f>
        <v>nhận kiều hối</v>
      </c>
      <c r="BY49" s="21" t="str">
        <f>IFERROR(__xludf.DUMMYFUNCTION("""COMPUTED_VALUE"""),"https://techcombank.com/thong-tin/blog/chuyen-tien-di-uc")</f>
        <v>https://techcombank.com/thong-tin/blog/chuyen-tien-di-uc</v>
      </c>
      <c r="BZ49" s="16" t="str">
        <f>IFERROR(__xludf.DUMMYFUNCTION("""COMPUTED_VALUE"""),"cách nhận tiền từ nước ngoài về Việt Nam")</f>
        <v>cách nhận tiền từ nước ngoài về Việt Nam</v>
      </c>
      <c r="CA49" s="21" t="str">
        <f>IFERROR(__xludf.DUMMYFUNCTION("""COMPUTED_VALUE"""),"https://techcombank.com/thong-tin/blog/1000-yen-bang-bao-nhieu-tien-viet")</f>
        <v>https://techcombank.com/thong-tin/blog/1000-yen-bang-bao-nhieu-tien-viet</v>
      </c>
      <c r="CB49" s="16" t="str">
        <f>IFERROR(__xludf.DUMMYFUNCTION("""COMPUTED_VALUE"""),"nhận tiền từ nước ngoài")</f>
        <v>nhận tiền từ nước ngoài</v>
      </c>
      <c r="CC49" s="21" t="str">
        <f>IFERROR(__xludf.DUMMYFUNCTION("""COMPUTED_VALUE"""),"https://techcombank.com/thong-tin/blog/xu-huong-ty-gia-usd")</f>
        <v>https://techcombank.com/thong-tin/blog/xu-huong-ty-gia-usd</v>
      </c>
      <c r="CD49" s="16"/>
      <c r="CE49" s="16"/>
      <c r="CF49" s="16"/>
      <c r="CG49" s="16"/>
      <c r="CH49" s="16"/>
      <c r="CI49" s="16"/>
      <c r="CJ49" s="16"/>
      <c r="CK49" s="16"/>
      <c r="CL49" s="16"/>
      <c r="CM49" s="16"/>
      <c r="CN49" s="16"/>
      <c r="CO49" s="16"/>
      <c r="CP49" s="16"/>
      <c r="CQ49" s="16"/>
      <c r="CR49" s="16"/>
      <c r="CS49" s="16"/>
      <c r="CT49" s="16"/>
      <c r="CU49" s="16"/>
      <c r="CV49" s="16"/>
      <c r="CW49" s="16"/>
      <c r="CX49" s="16"/>
      <c r="CY49" s="16"/>
      <c r="CZ49" s="16"/>
      <c r="DA49" s="16"/>
      <c r="DB49" s="16"/>
      <c r="DC49" s="16"/>
      <c r="DD49" s="16"/>
      <c r="DE49" s="16"/>
      <c r="DF49" s="16"/>
      <c r="DG49" s="16"/>
      <c r="DH49" s="16"/>
      <c r="DI49" s="16"/>
      <c r="DJ49" s="16"/>
      <c r="DK49" s="16"/>
      <c r="DL49" s="16"/>
      <c r="DM49" s="16"/>
      <c r="DN49" s="16"/>
      <c r="DO49" s="16"/>
      <c r="DP49" s="16"/>
      <c r="DQ49" s="16"/>
      <c r="DR49" s="16"/>
      <c r="DS49" s="16"/>
      <c r="DT49" s="16"/>
      <c r="DU49" s="16"/>
      <c r="DV49" s="16"/>
      <c r="DW49" s="16"/>
      <c r="DX49" s="16"/>
      <c r="DY49" s="16"/>
      <c r="DZ49" s="16"/>
      <c r="EA49" s="16"/>
      <c r="EB49" s="16"/>
      <c r="EC49" s="16"/>
      <c r="ED49" s="16"/>
      <c r="EE49" s="16"/>
      <c r="EF49" s="16"/>
      <c r="EG49" s="16"/>
      <c r="EH49" s="16"/>
      <c r="EI49" s="16"/>
      <c r="EJ49" s="16"/>
      <c r="EK49" s="16"/>
      <c r="EL49" s="16"/>
      <c r="EM49" s="16"/>
      <c r="EN49" s="16"/>
      <c r="EO49" s="16"/>
      <c r="EP49" s="16"/>
      <c r="EQ49" s="16"/>
      <c r="ER49" s="16"/>
      <c r="ES49" s="16"/>
      <c r="ET49" s="16"/>
      <c r="EU49" s="16"/>
      <c r="EV49" s="16"/>
      <c r="EW49" s="16"/>
      <c r="EX49" s="16"/>
      <c r="EY49" s="16"/>
      <c r="EZ49" s="16"/>
      <c r="FA49" s="16"/>
      <c r="FB49" s="16"/>
      <c r="FC49" s="16"/>
      <c r="FD49" s="16"/>
      <c r="FE49" s="16"/>
      <c r="FF49" s="16"/>
      <c r="FG49" s="16"/>
      <c r="FH49" s="16"/>
      <c r="FI49" s="16"/>
      <c r="FJ49" s="16"/>
      <c r="FK49" s="16"/>
      <c r="FL49" s="16"/>
      <c r="FM49" s="16"/>
      <c r="FN49" s="16"/>
      <c r="FO49" s="16"/>
      <c r="FP49" s="16"/>
      <c r="FQ49" s="16"/>
      <c r="FR49" s="16"/>
      <c r="FS49" s="16"/>
      <c r="FT49" s="16"/>
      <c r="FU49" s="16"/>
      <c r="FV49" s="16"/>
      <c r="FW49" s="16"/>
      <c r="FX49" s="16"/>
      <c r="FY49" s="16"/>
      <c r="FZ49" s="16"/>
      <c r="GA49" s="16"/>
      <c r="GB49" s="16"/>
      <c r="GC49" s="16"/>
      <c r="GD49" s="16"/>
      <c r="GE49" s="16"/>
      <c r="GF49" s="16"/>
      <c r="GG49" s="16"/>
      <c r="GH49" s="16"/>
      <c r="GI49" s="16"/>
      <c r="GJ49" s="16"/>
      <c r="GK49" s="16"/>
      <c r="GL49" s="16"/>
      <c r="GM49" s="16"/>
      <c r="GN49" s="16"/>
      <c r="GO49" s="16"/>
    </row>
    <row r="50" ht="18.0" customHeight="1">
      <c r="A50" s="15">
        <v>49.0</v>
      </c>
      <c r="B50" s="16" t="s">
        <v>992</v>
      </c>
      <c r="C50" s="17" t="s">
        <v>1126</v>
      </c>
      <c r="D50" s="16" t="s">
        <v>333</v>
      </c>
      <c r="E50" s="15">
        <f>COUNTIF('Tổng hợp 75 trang đích'!$B$2:$B$2505,$D50)</f>
        <v>52</v>
      </c>
      <c r="F50" s="15">
        <f>COUNTIFS('Tổng hợp 75 trang đích'!$B$2:$B$2505,$D50,'Tổng hợp 75 trang đích'!$K$2:$K$2505,"PHÙ HỢP CAO")</f>
        <v>2</v>
      </c>
      <c r="G50" s="15">
        <f>COUNTIFS('Tổng hợp 75 trang đích'!$B$2:$B$2505,$D50,'Tổng hợp 75 trang đích'!$K$2:$K$2505,"CÓ THỂ ĐI")</f>
        <v>3</v>
      </c>
      <c r="H50" s="15">
        <f>COUNTIFS('Tổng hợp 75 trang đích'!$B$2:$B$2505,$D50,'Tổng hợp 75 trang đích'!$K$2:$K$2505,"CẦN SOÁT")</f>
        <v>47</v>
      </c>
      <c r="I50" s="19" t="s">
        <v>256</v>
      </c>
      <c r="J50" s="19" t="b">
        <v>0</v>
      </c>
      <c r="K50" s="20" t="s">
        <v>258</v>
      </c>
      <c r="L50" s="16" t="str">
        <f>IFERROR(__xludf.DUMMYFUNCTION("IFERROR(TOROW(CHOOSECOLS(SORT(FILTER({'Tổng hợp 75 trang đích'!$J$2:$J$2505,'Tổng hợp 75 trang đích'!$I$2:$I$2505,MATCH('Tổng hợp 75 trang đích'!$K$2:$K$2505,{""PHÙ HỢP CAO"",""CÓ THỂ ĐI"",""CẦN SOÁT""},0)},'Tổng hợp 75 trang đích'!$B$2:$B$2505=$D50),3,TR"&amp;"UE),1,2)),"""")"),"đổi tiền đô ở đâu")</f>
        <v>đổi tiền đô ở đâu</v>
      </c>
      <c r="M50" s="21" t="str">
        <f>IFERROR(__xludf.DUMMYFUNCTION("""COMPUTED_VALUE"""),"https://techcombank.com/thong-tin/blog/dieu-kien-mua-usd-tu-ngan-hang")</f>
        <v>https://techcombank.com/thong-tin/blog/dieu-kien-mua-usd-tu-ngan-hang</v>
      </c>
      <c r="N50" s="16" t="str">
        <f>IFERROR(__xludf.DUMMYFUNCTION("""COMPUTED_VALUE"""),"đổi USD ở đâu")</f>
        <v>đổi USD ở đâu</v>
      </c>
      <c r="O50" s="21" t="str">
        <f>IFERROR(__xludf.DUMMYFUNCTION("""COMPUTED_VALUE"""),"https://techcombank.com/thong-tin/blog/han-muc-mua-ngoai-te-khi-di-du-lich")</f>
        <v>https://techcombank.com/thong-tin/blog/han-muc-mua-ngoai-te-khi-di-du-lich</v>
      </c>
      <c r="P50" s="16" t="str">
        <f>IFERROR(__xludf.DUMMYFUNCTION("""COMPUTED_VALUE"""),"đổi tiền đô ở đâu")</f>
        <v>đổi tiền đô ở đâu</v>
      </c>
      <c r="Q50" s="21" t="str">
        <f>IFERROR(__xludf.DUMMYFUNCTION("""COMPUTED_VALUE"""),"https://techcombank.com/thong-tin/blog/ty-gia-cac-ngan-hang")</f>
        <v>https://techcombank.com/thong-tin/blog/ty-gia-cac-ngan-hang</v>
      </c>
      <c r="R50" s="16" t="str">
        <f>IFERROR(__xludf.DUMMYFUNCTION("""COMPUTED_VALUE"""),"đổi USD ở đâu")</f>
        <v>đổi USD ở đâu</v>
      </c>
      <c r="S50" s="21" t="str">
        <f>IFERROR(__xludf.DUMMYFUNCTION("""COMPUTED_VALUE"""),"https://techcombank.com/thong-tin/blog/di-du-lich-nuoc-ngoai-can-chuan-bi-gi")</f>
        <v>https://techcombank.com/thong-tin/blog/di-du-lich-nuoc-ngoai-can-chuan-bi-gi</v>
      </c>
      <c r="T50" s="16" t="str">
        <f>IFERROR(__xludf.DUMMYFUNCTION("""COMPUTED_VALUE"""),"đổi tiền đô ở đâu")</f>
        <v>đổi tiền đô ở đâu</v>
      </c>
      <c r="U50" s="21" t="str">
        <f>IFERROR(__xludf.DUMMYFUNCTION("""COMPUTED_VALUE"""),"https://techcombank.com/thong-tin/blog/1-trieu-do-bang-bao-nhieu-tien-viet")</f>
        <v>https://techcombank.com/thong-tin/blog/1-trieu-do-bang-bao-nhieu-tien-viet</v>
      </c>
      <c r="V50" s="16" t="str">
        <f>IFERROR(__xludf.DUMMYFUNCTION("""COMPUTED_VALUE"""),"đổi USD ở đâu")</f>
        <v>đổi USD ở đâu</v>
      </c>
      <c r="W50" s="21" t="str">
        <f>IFERROR(__xludf.DUMMYFUNCTION("""COMPUTED_VALUE"""),"https://techcombank.com/thong-tin/blog/gui-tiet-kiem-ngoai-te")</f>
        <v>https://techcombank.com/thong-tin/blog/gui-tiet-kiem-ngoai-te</v>
      </c>
      <c r="X50" s="16" t="str">
        <f>IFERROR(__xludf.DUMMYFUNCTION("""COMPUTED_VALUE"""),"đổi tiền đô ở đâu")</f>
        <v>đổi tiền đô ở đâu</v>
      </c>
      <c r="Y50" s="21" t="str">
        <f>IFERROR(__xludf.DUMMYFUNCTION("""COMPUTED_VALUE"""),"https://techcombank.com/thong-tin/blog/chuyen-tien-dinh-cu")</f>
        <v>https://techcombank.com/thong-tin/blog/chuyen-tien-dinh-cu</v>
      </c>
      <c r="Z50" s="16" t="str">
        <f>IFERROR(__xludf.DUMMYFUNCTION("""COMPUTED_VALUE"""),"đổi USD ở đâu")</f>
        <v>đổi USD ở đâu</v>
      </c>
      <c r="AA50" s="21" t="str">
        <f>IFERROR(__xludf.DUMMYFUNCTION("""COMPUTED_VALUE"""),"https://techcombank.com/thong-tin/blog/ngoai-te-la-gi")</f>
        <v>https://techcombank.com/thong-tin/blog/ngoai-te-la-gi</v>
      </c>
      <c r="AB50" s="16" t="str">
        <f>IFERROR(__xludf.DUMMYFUNCTION("""COMPUTED_VALUE"""),"đổi tiền đô ở đâu")</f>
        <v>đổi tiền đô ở đâu</v>
      </c>
      <c r="AC50" s="21" t="str">
        <f>IFERROR(__xludf.DUMMYFUNCTION("""COMPUTED_VALUE"""),"https://techcombank.com/thong-tin/blog/tai-khoan-ngan-hang-la-gi")</f>
        <v>https://techcombank.com/thong-tin/blog/tai-khoan-ngan-hang-la-gi</v>
      </c>
      <c r="AD50" s="16" t="str">
        <f>IFERROR(__xludf.DUMMYFUNCTION("""COMPUTED_VALUE"""),"đổi USD ở đâu")</f>
        <v>đổi USD ở đâu</v>
      </c>
      <c r="AE50" s="21" t="str">
        <f>IFERROR(__xludf.DUMMYFUNCTION("""COMPUTED_VALUE"""),"https://techcombank.com/thong-tin/blog/lai-suat-gui-tiet-kiem-usd")</f>
        <v>https://techcombank.com/thong-tin/blog/lai-suat-gui-tiet-kiem-usd</v>
      </c>
      <c r="AF50" s="16" t="str">
        <f>IFERROR(__xludf.DUMMYFUNCTION("""COMPUTED_VALUE"""),"đổi tiền đô ở đâu")</f>
        <v>đổi tiền đô ở đâu</v>
      </c>
      <c r="AG50" s="21" t="str">
        <f>IFERROR(__xludf.DUMMYFUNCTION("""COMPUTED_VALUE"""),"https://techcombank.com/thong-tin/blog/gui-tiet-kiem-usd")</f>
        <v>https://techcombank.com/thong-tin/blog/gui-tiet-kiem-usd</v>
      </c>
      <c r="AH50" s="16" t="str">
        <f>IFERROR(__xludf.DUMMYFUNCTION("""COMPUTED_VALUE"""),"đổi USD ở đâu")</f>
        <v>đổi USD ở đâu</v>
      </c>
      <c r="AI50" s="21" t="str">
        <f>IFERROR(__xludf.DUMMYFUNCTION("""COMPUTED_VALUE"""),"https://techcombank.com/thong-tin/blog/gui-tien-sang-nuoc-ngoai")</f>
        <v>https://techcombank.com/thong-tin/blog/gui-tien-sang-nuoc-ngoai</v>
      </c>
      <c r="AJ50" s="16" t="str">
        <f>IFERROR(__xludf.DUMMYFUNCTION("""COMPUTED_VALUE"""),"đổi tiền đô ở đâu")</f>
        <v>đổi tiền đô ở đâu</v>
      </c>
      <c r="AK50" s="21" t="str">
        <f>IFERROR(__xludf.DUMMYFUNCTION("""COMPUTED_VALUE"""),"https://techcombank.com/thong-tin/blog/quy-dinh-ve-mua-ban-ngoai-te-cua-doanh-nghiep")</f>
        <v>https://techcombank.com/thong-tin/blog/quy-dinh-ve-mua-ban-ngoai-te-cua-doanh-nghiep</v>
      </c>
      <c r="AL50" s="16" t="str">
        <f>IFERROR(__xludf.DUMMYFUNCTION("""COMPUTED_VALUE"""),"đổi USD ở đâu")</f>
        <v>đổi USD ở đâu</v>
      </c>
      <c r="AM50" s="21" t="str">
        <f>IFERROR(__xludf.DUMMYFUNCTION("""COMPUTED_VALUE"""),"https://techcombank.com/thong-tin/blog/gia-ca-phe-hom-nay")</f>
        <v>https://techcombank.com/thong-tin/blog/gia-ca-phe-hom-nay</v>
      </c>
      <c r="AN50" s="16" t="str">
        <f>IFERROR(__xludf.DUMMYFUNCTION("""COMPUTED_VALUE"""),"đổi tiền đô ở đâu")</f>
        <v>đổi tiền đô ở đâu</v>
      </c>
      <c r="AO50" s="21" t="str">
        <f>IFERROR(__xludf.DUMMYFUNCTION("""COMPUTED_VALUE"""),"https://techcombank.com/thong-tin/blog/chuyen-tien-tu-duc-ve-viet-nam")</f>
        <v>https://techcombank.com/thong-tin/blog/chuyen-tien-tu-duc-ve-viet-nam</v>
      </c>
      <c r="AP50" s="16" t="str">
        <f>IFERROR(__xludf.DUMMYFUNCTION("""COMPUTED_VALUE"""),"đổi USD ở đâu")</f>
        <v>đổi USD ở đâu</v>
      </c>
      <c r="AQ50" s="21" t="str">
        <f>IFERROR(__xludf.DUMMYFUNCTION("""COMPUTED_VALUE"""),"https://techcombank.com/thong-tin/blog/gui-tien-du-hoc")</f>
        <v>https://techcombank.com/thong-tin/blog/gui-tien-du-hoc</v>
      </c>
      <c r="AR50" s="16" t="str">
        <f>IFERROR(__xludf.DUMMYFUNCTION("""COMPUTED_VALUE"""),"đổi tiền đô ở đâu")</f>
        <v>đổi tiền đô ở đâu</v>
      </c>
      <c r="AS50" s="21" t="str">
        <f>IFERROR(__xludf.DUMMYFUNCTION("""COMPUTED_VALUE"""),"https://techcombank.com/thong-tin/blog/ngoai-hoi-la-gi")</f>
        <v>https://techcombank.com/thong-tin/blog/ngoai-hoi-la-gi</v>
      </c>
      <c r="AT50" s="16" t="str">
        <f>IFERROR(__xludf.DUMMYFUNCTION("""COMPUTED_VALUE"""),"đổi USD ở đâu")</f>
        <v>đổi USD ở đâu</v>
      </c>
      <c r="AU50" s="21" t="str">
        <f>IFERROR(__xludf.DUMMYFUNCTION("""COMPUTED_VALUE"""),"https://techcombank.com/thong-tin/blog/dinar-kuwait")</f>
        <v>https://techcombank.com/thong-tin/blog/dinar-kuwait</v>
      </c>
      <c r="AV50" s="16" t="str">
        <f>IFERROR(__xludf.DUMMYFUNCTION("""COMPUTED_VALUE"""),"đổi tiền đô ở đâu")</f>
        <v>đổi tiền đô ở đâu</v>
      </c>
      <c r="AW50" s="21" t="str">
        <f>IFERROR(__xludf.DUMMYFUNCTION("""COMPUTED_VALUE"""),"https://techcombank.com/thong-tin/blog/phi-chuyen-doi-ngoai-te")</f>
        <v>https://techcombank.com/thong-tin/blog/phi-chuyen-doi-ngoai-te</v>
      </c>
      <c r="AX50" s="16" t="str">
        <f>IFERROR(__xludf.DUMMYFUNCTION("""COMPUTED_VALUE"""),"đổi USD ở đâu")</f>
        <v>đổi USD ở đâu</v>
      </c>
      <c r="AY50" s="21" t="str">
        <f>IFERROR(__xludf.DUMMYFUNCTION("""COMPUTED_VALUE"""),"https://techcombank.com/thong-tin/blog/chuyen-tien-tu-han-sang-viet-nam")</f>
        <v>https://techcombank.com/thong-tin/blog/chuyen-tien-tu-han-sang-viet-nam</v>
      </c>
      <c r="AZ50" s="16" t="str">
        <f>IFERROR(__xludf.DUMMYFUNCTION("""COMPUTED_VALUE"""),"đổi tiền đô ở đâu")</f>
        <v>đổi tiền đô ở đâu</v>
      </c>
      <c r="BA50" s="21" t="str">
        <f>IFERROR(__xludf.DUMMYFUNCTION("""COMPUTED_VALUE"""),"https://techcombank.com/thong-tin/blog/chuyen-tien-tu-nhat-ve-viet-nam")</f>
        <v>https://techcombank.com/thong-tin/blog/chuyen-tien-tu-nhat-ve-viet-nam</v>
      </c>
      <c r="BB50" s="16" t="str">
        <f>IFERROR(__xludf.DUMMYFUNCTION("""COMPUTED_VALUE"""),"đổi USD ở đâu")</f>
        <v>đổi USD ở đâu</v>
      </c>
      <c r="BC50" s="21" t="str">
        <f>IFERROR(__xludf.DUMMYFUNCTION("""COMPUTED_VALUE"""),"https://techcombank.com/thong-tin/blog/tien-singapore")</f>
        <v>https://techcombank.com/thong-tin/blog/tien-singapore</v>
      </c>
      <c r="BD50" s="16" t="str">
        <f>IFERROR(__xludf.DUMMYFUNCTION("""COMPUTED_VALUE"""),"đổi tiền đô ở đâu")</f>
        <v>đổi tiền đô ở đâu</v>
      </c>
      <c r="BE50" s="21" t="str">
        <f>IFERROR(__xludf.DUMMYFUNCTION("""COMPUTED_VALUE"""),"https://techcombank.com/thong-tin/blog/tien-thai-lan")</f>
        <v>https://techcombank.com/thong-tin/blog/tien-thai-lan</v>
      </c>
      <c r="BF50" s="16" t="str">
        <f>IFERROR(__xludf.DUMMYFUNCTION("""COMPUTED_VALUE"""),"đổi USD ở đâu")</f>
        <v>đổi USD ở đâu</v>
      </c>
      <c r="BG50" s="21" t="str">
        <f>IFERROR(__xludf.DUMMYFUNCTION("""COMPUTED_VALUE"""),"https://techcombank.com/thong-tin/blog/tien-nhat")</f>
        <v>https://techcombank.com/thong-tin/blog/tien-nhat</v>
      </c>
      <c r="BH50" s="16" t="str">
        <f>IFERROR(__xludf.DUMMYFUNCTION("""COMPUTED_VALUE"""),"đổi tiền đô ở đâu")</f>
        <v>đổi tiền đô ở đâu</v>
      </c>
      <c r="BI50" s="21" t="str">
        <f>IFERROR(__xludf.DUMMYFUNCTION("""COMPUTED_VALUE"""),"https://techcombank.com/thong-tin/blog/1-man-bang-bao-nhieu-tien-viet")</f>
        <v>https://techcombank.com/thong-tin/blog/1-man-bang-bao-nhieu-tien-viet</v>
      </c>
      <c r="BJ50" s="16" t="str">
        <f>IFERROR(__xludf.DUMMYFUNCTION("""COMPUTED_VALUE"""),"đổi USD ở đâu")</f>
        <v>đổi USD ở đâu</v>
      </c>
      <c r="BK50" s="21" t="str">
        <f>IFERROR(__xludf.DUMMYFUNCTION("""COMPUTED_VALUE"""),"https://techcombank.com/thong-tin/blog/chuyen-tien-di-uc")</f>
        <v>https://techcombank.com/thong-tin/blog/chuyen-tien-di-uc</v>
      </c>
      <c r="BL50" s="16" t="str">
        <f>IFERROR(__xludf.DUMMYFUNCTION("""COMPUTED_VALUE"""),"đổi tiền đô ở đâu")</f>
        <v>đổi tiền đô ở đâu</v>
      </c>
      <c r="BM50" s="21" t="str">
        <f>IFERROR(__xludf.DUMMYFUNCTION("""COMPUTED_VALUE"""),"https://techcombank.com/thong-tin/blog/tien-lao")</f>
        <v>https://techcombank.com/thong-tin/blog/tien-lao</v>
      </c>
      <c r="BN50" s="16" t="str">
        <f>IFERROR(__xludf.DUMMYFUNCTION("""COMPUTED_VALUE"""),"đổi USD ở đâu")</f>
        <v>đổi USD ở đâu</v>
      </c>
      <c r="BO50" s="21" t="str">
        <f>IFERROR(__xludf.DUMMYFUNCTION("""COMPUTED_VALUE"""),"https://techcombank.com/thong-tin/blog/chuyen-tien-tu-my-ve-viet-nam")</f>
        <v>https://techcombank.com/thong-tin/blog/chuyen-tien-tu-my-ve-viet-nam</v>
      </c>
      <c r="BP50" s="16" t="str">
        <f>IFERROR(__xludf.DUMMYFUNCTION("""COMPUTED_VALUE"""),"đổi tiền đô ở đâu")</f>
        <v>đổi tiền đô ở đâu</v>
      </c>
      <c r="BQ50" s="21" t="str">
        <f>IFERROR(__xludf.DUMMYFUNCTION("""COMPUTED_VALUE"""),"https://techcombank.com/thong-tin/blog/1000-won-bang-bao-nhieu-tien-viet")</f>
        <v>https://techcombank.com/thong-tin/blog/1000-won-bang-bao-nhieu-tien-viet</v>
      </c>
      <c r="BR50" s="16" t="str">
        <f>IFERROR(__xludf.DUMMYFUNCTION("""COMPUTED_VALUE"""),"đổi USD ở đâu")</f>
        <v>đổi USD ở đâu</v>
      </c>
      <c r="BS50" s="21" t="str">
        <f>IFERROR(__xludf.DUMMYFUNCTION("""COMPUTED_VALUE"""),"https://techcombank.com/thong-tin/blog/tien-dai-loan")</f>
        <v>https://techcombank.com/thong-tin/blog/tien-dai-loan</v>
      </c>
      <c r="BT50" s="16" t="str">
        <f>IFERROR(__xludf.DUMMYFUNCTION("""COMPUTED_VALUE"""),"đổi tiền đô ở đâu")</f>
        <v>đổi tiền đô ở đâu</v>
      </c>
      <c r="BU50" s="21" t="str">
        <f>IFERROR(__xludf.DUMMYFUNCTION("""COMPUTED_VALUE"""),"https://techcombank.com/thong-tin/blog/tien-trung-quoc")</f>
        <v>https://techcombank.com/thong-tin/blog/tien-trung-quoc</v>
      </c>
      <c r="BV50" s="16" t="str">
        <f>IFERROR(__xludf.DUMMYFUNCTION("""COMPUTED_VALUE"""),"đổi USD ở đâu")</f>
        <v>đổi USD ở đâu</v>
      </c>
      <c r="BW50" s="21" t="str">
        <f>IFERROR(__xludf.DUMMYFUNCTION("""COMPUTED_VALUE"""),"https://techcombank.com/thong-tin/blog/1-van-te-bang-bao-nhieu-tien-viet")</f>
        <v>https://techcombank.com/thong-tin/blog/1-van-te-bang-bao-nhieu-tien-viet</v>
      </c>
      <c r="BX50" s="16" t="str">
        <f>IFERROR(__xludf.DUMMYFUNCTION("""COMPUTED_VALUE"""),"đổi tiền đô ở đâu")</f>
        <v>đổi tiền đô ở đâu</v>
      </c>
      <c r="BY50" s="21" t="str">
        <f>IFERROR(__xludf.DUMMYFUNCTION("""COMPUTED_VALUE"""),"https://techcombank.com/thong-tin/blog/1-cent-bang-bao-nhieu-tien-viet")</f>
        <v>https://techcombank.com/thong-tin/blog/1-cent-bang-bao-nhieu-tien-viet</v>
      </c>
      <c r="BZ50" s="16" t="str">
        <f>IFERROR(__xludf.DUMMYFUNCTION("""COMPUTED_VALUE"""),"đổi USD ở đâu")</f>
        <v>đổi USD ở đâu</v>
      </c>
      <c r="CA50" s="21" t="str">
        <f>IFERROR(__xludf.DUMMYFUNCTION("""COMPUTED_VALUE"""),"https://techcombank.com/thong-tin/blog/1000-te-bang-bao-nhieu-tien-viet")</f>
        <v>https://techcombank.com/thong-tin/blog/1000-te-bang-bao-nhieu-tien-viet</v>
      </c>
      <c r="CB50" s="16" t="str">
        <f>IFERROR(__xludf.DUMMYFUNCTION("""COMPUTED_VALUE"""),"đổi tiền đô ở đâu")</f>
        <v>đổi tiền đô ở đâu</v>
      </c>
      <c r="CC50" s="21" t="str">
        <f>IFERROR(__xludf.DUMMYFUNCTION("""COMPUTED_VALUE"""),"https://techcombank.com/thong-tin/blog/100-riel-bang-bao-nhieu-tien-viet-nam")</f>
        <v>https://techcombank.com/thong-tin/blog/100-riel-bang-bao-nhieu-tien-viet-nam</v>
      </c>
      <c r="CD50" s="16" t="str">
        <f>IFERROR(__xludf.DUMMYFUNCTION("""COMPUTED_VALUE"""),"đổi USD ở đâu")</f>
        <v>đổi USD ở đâu</v>
      </c>
      <c r="CE50" s="21" t="str">
        <f>IFERROR(__xludf.DUMMYFUNCTION("""COMPUTED_VALUE"""),"https://techcombank.com/thong-tin/blog/tien-malaysia")</f>
        <v>https://techcombank.com/thong-tin/blog/tien-malaysia</v>
      </c>
      <c r="CF50" s="16" t="str">
        <f>IFERROR(__xludf.DUMMYFUNCTION("""COMPUTED_VALUE"""),"đổi tiền đô ở đâu")</f>
        <v>đổi tiền đô ở đâu</v>
      </c>
      <c r="CG50" s="21" t="str">
        <f>IFERROR(__xludf.DUMMYFUNCTION("""COMPUTED_VALUE"""),"https://techcombank.com/thong-tin/blog/tien-indonesia")</f>
        <v>https://techcombank.com/thong-tin/blog/tien-indonesia</v>
      </c>
      <c r="CH50" s="16" t="str">
        <f>IFERROR(__xludf.DUMMYFUNCTION("""COMPUTED_VALUE"""),"đổi USD ở đâu")</f>
        <v>đổi USD ở đâu</v>
      </c>
      <c r="CI50" s="21" t="str">
        <f>IFERROR(__xludf.DUMMYFUNCTION("""COMPUTED_VALUE"""),"https://techcombank.com/thong-tin/blog/1000-yen-bang-bao-nhieu-tien-viet")</f>
        <v>https://techcombank.com/thong-tin/blog/1000-yen-bang-bao-nhieu-tien-viet</v>
      </c>
      <c r="CJ50" s="16" t="str">
        <f>IFERROR(__xludf.DUMMYFUNCTION("""COMPUTED_VALUE"""),"đổi tiền đô ở đâu")</f>
        <v>đổi tiền đô ở đâu</v>
      </c>
      <c r="CK50" s="21" t="str">
        <f>IFERROR(__xludf.DUMMYFUNCTION("""COMPUTED_VALUE"""),"https://techcombank.com/thong-tin/blog/xu-huong-ty-gia-usd")</f>
        <v>https://techcombank.com/thong-tin/blog/xu-huong-ty-gia-usd</v>
      </c>
      <c r="CL50" s="16" t="str">
        <f>IFERROR(__xludf.DUMMYFUNCTION("""COMPUTED_VALUE"""),"đổi USD ở đâu")</f>
        <v>đổi USD ở đâu</v>
      </c>
      <c r="CM50" s="21" t="str">
        <f>IFERROR(__xludf.DUMMYFUNCTION("""COMPUTED_VALUE"""),"https://techcombank.com/thong-tin/blog/vnd-to-myr")</f>
        <v>https://techcombank.com/thong-tin/blog/vnd-to-myr</v>
      </c>
      <c r="CN50" s="16" t="str">
        <f>IFERROR(__xludf.DUMMYFUNCTION("""COMPUTED_VALUE"""),"đổi tiền đô ở đâu")</f>
        <v>đổi tiền đô ở đâu</v>
      </c>
      <c r="CO50" s="21" t="str">
        <f>IFERROR(__xludf.DUMMYFUNCTION("""COMPUTED_VALUE"""),"https://techcombank.com/thong-tin/blog/1-van-tien-dai-loan-bang-bao-nhieu-tien-viet")</f>
        <v>https://techcombank.com/thong-tin/blog/1-van-tien-dai-loan-bang-bao-nhieu-tien-viet</v>
      </c>
      <c r="CP50" s="16" t="str">
        <f>IFERROR(__xludf.DUMMYFUNCTION("""COMPUTED_VALUE"""),"đổi USD ở đâu")</f>
        <v>đổi USD ở đâu</v>
      </c>
      <c r="CQ50" s="21" t="str">
        <f>IFERROR(__xludf.DUMMYFUNCTION("""COMPUTED_VALUE"""),"https://techcombank.com/thong-tin/blog/1-dong-do-la-my-bang-bao-nhieu-tien-viet-nam")</f>
        <v>https://techcombank.com/thong-tin/blog/1-dong-do-la-my-bang-bao-nhieu-tien-viet-nam</v>
      </c>
      <c r="CR50" s="16" t="str">
        <f>IFERROR(__xludf.DUMMYFUNCTION("""COMPUTED_VALUE"""),"đổi tiền đô ở đâu")</f>
        <v>đổi tiền đô ở đâu</v>
      </c>
      <c r="CS50" s="21" t="str">
        <f>IFERROR(__xludf.DUMMYFUNCTION("""COMPUTED_VALUE"""),"https://techcombank.com/thong-tin/blog/1-won-bang-bao-nhieu-tien-viet")</f>
        <v>https://techcombank.com/thong-tin/blog/1-won-bang-bao-nhieu-tien-viet</v>
      </c>
      <c r="CT50" s="16" t="str">
        <f>IFERROR(__xludf.DUMMYFUNCTION("""COMPUTED_VALUE"""),"đổi USD ở đâu")</f>
        <v>đổi USD ở đâu</v>
      </c>
      <c r="CU50" s="21" t="str">
        <f>IFERROR(__xludf.DUMMYFUNCTION("""COMPUTED_VALUE"""),"https://techcombank.com/thong-tin/blog/1-trieu-won-bang-bao-nhieu-tien-viet")</f>
        <v>https://techcombank.com/thong-tin/blog/1-trieu-won-bang-bao-nhieu-tien-viet</v>
      </c>
      <c r="CV50" s="16" t="str">
        <f>IFERROR(__xludf.DUMMYFUNCTION("""COMPUTED_VALUE"""),"đổi tiền đô ở đâu")</f>
        <v>đổi tiền đô ở đâu</v>
      </c>
      <c r="CW50" s="21" t="str">
        <f>IFERROR(__xludf.DUMMYFUNCTION("""COMPUTED_VALUE"""),"https://techcombank.com/thong-tin/blog/1-te-bang-bao-nhieu-tien-viet-nam")</f>
        <v>https://techcombank.com/thong-tin/blog/1-te-bang-bao-nhieu-tien-viet-nam</v>
      </c>
      <c r="CX50" s="16" t="str">
        <f>IFERROR(__xludf.DUMMYFUNCTION("""COMPUTED_VALUE"""),"đổi USD ở đâu")</f>
        <v>đổi USD ở đâu</v>
      </c>
      <c r="CY50" s="21" t="str">
        <f>IFERROR(__xludf.DUMMYFUNCTION("""COMPUTED_VALUE"""),"https://techcombank.com/thong-tin/blog/1-yen-bang-bao-nhieu-tien-viet-nam")</f>
        <v>https://techcombank.com/thong-tin/blog/1-yen-bang-bao-nhieu-tien-viet-nam</v>
      </c>
      <c r="CZ50" s="16" t="str">
        <f>IFERROR(__xludf.DUMMYFUNCTION("""COMPUTED_VALUE"""),"đổi tiền đô ở đâu")</f>
        <v>đổi tiền đô ở đâu</v>
      </c>
      <c r="DA50" s="21" t="str">
        <f>IFERROR(__xludf.DUMMYFUNCTION("""COMPUTED_VALUE"""),"https://techcombank.com/thong-tin/blog/cach-tinh-ty-gia-ky-han")</f>
        <v>https://techcombank.com/thong-tin/blog/cach-tinh-ty-gia-ky-han</v>
      </c>
      <c r="DB50" s="16" t="str">
        <f>IFERROR(__xludf.DUMMYFUNCTION("""COMPUTED_VALUE"""),"đổi USD ở đâu")</f>
        <v>đổi USD ở đâu</v>
      </c>
      <c r="DC50" s="21" t="str">
        <f>IFERROR(__xludf.DUMMYFUNCTION("""COMPUTED_VALUE"""),"https://techcombank.com/thong-tin/blog/bien-dong-ty-gia-voi-doanh-nghiep-sme")</f>
        <v>https://techcombank.com/thong-tin/blog/bien-dong-ty-gia-voi-doanh-nghiep-sme</v>
      </c>
      <c r="DD50" s="16" t="str">
        <f>IFERROR(__xludf.DUMMYFUNCTION("""COMPUTED_VALUE"""),"đổi tiền đô ở đâu")</f>
        <v>đổi tiền đô ở đâu</v>
      </c>
      <c r="DE50" s="21" t="str">
        <f>IFERROR(__xludf.DUMMYFUNCTION("""COMPUTED_VALUE"""),"https://techcombank.com/thong-tin/blog/1-euro-bang-bao-nhieu-tien-viet")</f>
        <v>https://techcombank.com/thong-tin/blog/1-euro-bang-bao-nhieu-tien-viet</v>
      </c>
      <c r="DF50" s="16" t="str">
        <f>IFERROR(__xludf.DUMMYFUNCTION("""COMPUTED_VALUE"""),"đổi USD ở đâu")</f>
        <v>đổi USD ở đâu</v>
      </c>
      <c r="DG50" s="21" t="str">
        <f>IFERROR(__xludf.DUMMYFUNCTION("""COMPUTED_VALUE"""),"https://techcombank.com/thong-tin/blog/1-do-uc-bang-bao-nhieu-tien-viet")</f>
        <v>https://techcombank.com/thong-tin/blog/1-do-uc-bang-bao-nhieu-tien-viet</v>
      </c>
      <c r="DH50" s="16" t="str">
        <f>IFERROR(__xludf.DUMMYFUNCTION("""COMPUTED_VALUE"""),"đổi tiền đô ở đâu")</f>
        <v>đổi tiền đô ở đâu</v>
      </c>
      <c r="DI50" s="21" t="str">
        <f>IFERROR(__xludf.DUMMYFUNCTION("""COMPUTED_VALUE"""),"https://techcombank.com/thong-tin/blog/ty-gia-la-gi")</f>
        <v>https://techcombank.com/thong-tin/blog/ty-gia-la-gi</v>
      </c>
      <c r="DJ50" s="16" t="str">
        <f>IFERROR(__xludf.DUMMYFUNCTION("""COMPUTED_VALUE"""),"đổi USD ở đâu")</f>
        <v>đổi USD ở đâu</v>
      </c>
      <c r="DK50" s="21" t="str">
        <f>IFERROR(__xludf.DUMMYFUNCTION("""COMPUTED_VALUE"""),"https://techcombank.com/thong-tin/blog/ty-gia-hoi-doai-la-gi")</f>
        <v>https://techcombank.com/thong-tin/blog/ty-gia-hoi-doai-la-gi</v>
      </c>
      <c r="DL50" s="16"/>
      <c r="DM50" s="16"/>
      <c r="DN50" s="16"/>
      <c r="DO50" s="16"/>
      <c r="DP50" s="16"/>
      <c r="DQ50" s="16"/>
      <c r="DR50" s="16"/>
      <c r="DS50" s="16"/>
      <c r="DT50" s="16"/>
      <c r="DU50" s="16"/>
      <c r="DV50" s="16"/>
      <c r="DW50" s="16"/>
      <c r="DX50" s="16"/>
      <c r="DY50" s="16"/>
      <c r="DZ50" s="16"/>
      <c r="EA50" s="16"/>
      <c r="EB50" s="16"/>
      <c r="EC50" s="16"/>
      <c r="ED50" s="16"/>
      <c r="EE50" s="16"/>
      <c r="EF50" s="16"/>
      <c r="EG50" s="16"/>
      <c r="EH50" s="16"/>
      <c r="EI50" s="16"/>
      <c r="EJ50" s="16"/>
      <c r="EK50" s="16"/>
      <c r="EL50" s="16"/>
      <c r="EM50" s="16"/>
      <c r="EN50" s="16"/>
      <c r="EO50" s="16"/>
      <c r="EP50" s="16"/>
      <c r="EQ50" s="16"/>
      <c r="ER50" s="16"/>
      <c r="ES50" s="16"/>
      <c r="ET50" s="16"/>
      <c r="EU50" s="16"/>
      <c r="EV50" s="16"/>
      <c r="EW50" s="16"/>
      <c r="EX50" s="16"/>
      <c r="EY50" s="16"/>
      <c r="EZ50" s="16"/>
      <c r="FA50" s="16"/>
      <c r="FB50" s="16"/>
      <c r="FC50" s="16"/>
      <c r="FD50" s="16"/>
      <c r="FE50" s="16"/>
      <c r="FF50" s="16"/>
      <c r="FG50" s="16"/>
      <c r="FH50" s="16"/>
      <c r="FI50" s="16"/>
      <c r="FJ50" s="16"/>
      <c r="FK50" s="16"/>
      <c r="FL50" s="16"/>
      <c r="FM50" s="16"/>
      <c r="FN50" s="16"/>
      <c r="FO50" s="16"/>
      <c r="FP50" s="16"/>
      <c r="FQ50" s="16"/>
      <c r="FR50" s="16"/>
      <c r="FS50" s="16"/>
      <c r="FT50" s="16"/>
      <c r="FU50" s="16"/>
      <c r="FV50" s="16"/>
      <c r="FW50" s="16"/>
      <c r="FX50" s="16"/>
      <c r="FY50" s="16"/>
      <c r="FZ50" s="16"/>
      <c r="GA50" s="16"/>
      <c r="GB50" s="16"/>
      <c r="GC50" s="16"/>
      <c r="GD50" s="16"/>
      <c r="GE50" s="16"/>
      <c r="GF50" s="16"/>
      <c r="GG50" s="16"/>
      <c r="GH50" s="16"/>
      <c r="GI50" s="16"/>
      <c r="GJ50" s="16"/>
      <c r="GK50" s="16"/>
      <c r="GL50" s="16"/>
      <c r="GM50" s="16"/>
      <c r="GN50" s="16"/>
      <c r="GO50" s="16"/>
    </row>
    <row r="51" ht="18.0" customHeight="1">
      <c r="A51" s="15">
        <v>50.0</v>
      </c>
      <c r="B51" s="16" t="s">
        <v>1136</v>
      </c>
      <c r="C51" s="17" t="s">
        <v>1140</v>
      </c>
      <c r="D51" s="16" t="s">
        <v>336</v>
      </c>
      <c r="E51" s="15">
        <f>COUNTIF('Tổng hợp 75 trang đích'!$B$2:$B$2505,$D51)</f>
        <v>64</v>
      </c>
      <c r="F51" s="15">
        <f>COUNTIFS('Tổng hợp 75 trang đích'!$B$2:$B$2505,$D51,'Tổng hợp 75 trang đích'!$K$2:$K$2505,"PHÙ HỢP CAO")</f>
        <v>4</v>
      </c>
      <c r="G51" s="15">
        <f>COUNTIFS('Tổng hợp 75 trang đích'!$B$2:$B$2505,$D51,'Tổng hợp 75 trang đích'!$K$2:$K$2505,"CÓ THỂ ĐI")</f>
        <v>1</v>
      </c>
      <c r="H51" s="15">
        <f>COUNTIFS('Tổng hợp 75 trang đích'!$B$2:$B$2505,$D51,'Tổng hợp 75 trang đích'!$K$2:$K$2505,"CẦN SOÁT")</f>
        <v>59</v>
      </c>
      <c r="I51" s="19" t="s">
        <v>256</v>
      </c>
      <c r="J51" s="19" t="b">
        <v>0</v>
      </c>
      <c r="K51" s="20" t="s">
        <v>258</v>
      </c>
      <c r="L51" s="16" t="str">
        <f>IFERROR(__xludf.DUMMYFUNCTION("IFERROR(TOROW(CHOOSECOLS(SORT(FILTER({'Tổng hợp 75 trang đích'!$J$2:$J$2505,'Tổng hợp 75 trang đích'!$I$2:$I$2505,MATCH('Tổng hợp 75 trang đích'!$K$2:$K$2505,{""PHÙ HỢP CAO"",""CÓ THỂ ĐI"",""CẦN SOÁT""},0)},'Tổng hợp 75 trang đích'!$B$2:$B$2505=$D51),3,TR"&amp;"UE),1,2)),"""")"),"vay ngân hàng 1 tỷ mỗi tháng trả bao nhiêu")</f>
        <v>vay ngân hàng 1 tỷ mỗi tháng trả bao nhiêu</v>
      </c>
      <c r="M51" s="21" t="str">
        <f>IFERROR(__xludf.DUMMYFUNCTION("""COMPUTED_VALUE"""),"https://techcombank.com/thong-tin/blog/co-nen-vay-ngan-hang-mua-nha")</f>
        <v>https://techcombank.com/thong-tin/blog/co-nen-vay-ngan-hang-mua-nha</v>
      </c>
      <c r="N51" s="16" t="str">
        <f>IFERROR(__xludf.DUMMYFUNCTION("""COMPUTED_VALUE"""),"vay 1 tỷ mỗi tháng trả bao nhiêu")</f>
        <v>vay 1 tỷ mỗi tháng trả bao nhiêu</v>
      </c>
      <c r="O51" s="21" t="str">
        <f>IFERROR(__xludf.DUMMYFUNCTION("""COMPUTED_VALUE"""),"https://techcombank.com/thong-tin/blog/thu-tuc-vay-ngan-hang-mua-nha")</f>
        <v>https://techcombank.com/thong-tin/blog/thu-tuc-vay-ngan-hang-mua-nha</v>
      </c>
      <c r="P51" s="16" t="str">
        <f>IFERROR(__xludf.DUMMYFUNCTION("""COMPUTED_VALUE"""),"vay 1 tỷ trong 20 năm mỗi tháng trả bao nhiêu")</f>
        <v>vay 1 tỷ trong 20 năm mỗi tháng trả bao nhiêu</v>
      </c>
      <c r="Q51" s="21" t="str">
        <f>IFERROR(__xludf.DUMMYFUNCTION("""COMPUTED_VALUE"""),"https://techcombank.com/thong-tin/blog/kinh-nghiem-vay-tien-mua-nha")</f>
        <v>https://techcombank.com/thong-tin/blog/kinh-nghiem-vay-tien-mua-nha</v>
      </c>
      <c r="R51" s="16" t="str">
        <f>IFERROR(__xludf.DUMMYFUNCTION("""COMPUTED_VALUE"""),"vay ngân hàng 1 tỷ mỗi tháng trả bao nhiêu")</f>
        <v>vay ngân hàng 1 tỷ mỗi tháng trả bao nhiêu</v>
      </c>
      <c r="S51" s="21" t="str">
        <f>IFERROR(__xludf.DUMMYFUNCTION("""COMPUTED_VALUE"""),"https://techcombank.com/thong-tin/blog/vay-mua-chung-cu")</f>
        <v>https://techcombank.com/thong-tin/blog/vay-mua-chung-cu</v>
      </c>
      <c r="T51" s="16" t="str">
        <f>IFERROR(__xludf.DUMMYFUNCTION("""COMPUTED_VALUE"""),"vay 1 tỷ mỗi tháng trả bao nhiêu")</f>
        <v>vay 1 tỷ mỗi tháng trả bao nhiêu</v>
      </c>
      <c r="U51" s="21" t="str">
        <f>IFERROR(__xludf.DUMMYFUNCTION("""COMPUTED_VALUE"""),"https://techcombank.com/thong-tin/blog/lai-suat-vay-the-chap")</f>
        <v>https://techcombank.com/thong-tin/blog/lai-suat-vay-the-chap</v>
      </c>
      <c r="V51" s="16" t="str">
        <f>IFERROR(__xludf.DUMMYFUNCTION("""COMPUTED_VALUE"""),"vay 1 tỷ trong 20 năm mỗi tháng trả bao nhiêu")</f>
        <v>vay 1 tỷ trong 20 năm mỗi tháng trả bao nhiêu</v>
      </c>
      <c r="W51" s="21" t="str">
        <f>IFERROR(__xludf.DUMMYFUNCTION("""COMPUTED_VALUE"""),"https://techcombank.com/thong-tin/blog/thu-tuc-vay-von-kinh-doanh-nho")</f>
        <v>https://techcombank.com/thong-tin/blog/thu-tuc-vay-von-kinh-doanh-nho</v>
      </c>
      <c r="X51" s="16" t="str">
        <f>IFERROR(__xludf.DUMMYFUNCTION("""COMPUTED_VALUE"""),"vay ngân hàng 1 tỷ mỗi tháng trả bao nhiêu")</f>
        <v>vay ngân hàng 1 tỷ mỗi tháng trả bao nhiêu</v>
      </c>
      <c r="Y51" s="21" t="str">
        <f>IFERROR(__xludf.DUMMYFUNCTION("""COMPUTED_VALUE"""),"https://techcombank.com/thong-tin/blog/cac-hinh-thuc-vay-von-ngan-hang")</f>
        <v>https://techcombank.com/thong-tin/blog/cac-hinh-thuc-vay-von-ngan-hang</v>
      </c>
      <c r="Z51" s="16" t="str">
        <f>IFERROR(__xludf.DUMMYFUNCTION("""COMPUTED_VALUE"""),"vay 1 tỷ mỗi tháng trả bao nhiêu")</f>
        <v>vay 1 tỷ mỗi tháng trả bao nhiêu</v>
      </c>
      <c r="AA51" s="21" t="str">
        <f>IFERROR(__xludf.DUMMYFUNCTION("""COMPUTED_VALUE"""),"https://techcombank.com/thong-tin/blog/vay-the-chap-kinh-doanh")</f>
        <v>https://techcombank.com/thong-tin/blog/vay-the-chap-kinh-doanh</v>
      </c>
      <c r="AB51" s="16" t="str">
        <f>IFERROR(__xludf.DUMMYFUNCTION("""COMPUTED_VALUE"""),"vay 1 tỷ trong 20 năm mỗi tháng trả bao nhiêu")</f>
        <v>vay 1 tỷ trong 20 năm mỗi tháng trả bao nhiêu</v>
      </c>
      <c r="AC51" s="21" t="str">
        <f>IFERROR(__xludf.DUMMYFUNCTION("""COMPUTED_VALUE"""),"https://techcombank.com/thong-tin/blog/co-nen-mua-o-to-tra-gop")</f>
        <v>https://techcombank.com/thong-tin/blog/co-nen-mua-o-to-tra-gop</v>
      </c>
      <c r="AD51" s="16" t="str">
        <f>IFERROR(__xludf.DUMMYFUNCTION("""COMPUTED_VALUE"""),"vay ngân hàng 1 tỷ mỗi tháng trả bao nhiêu")</f>
        <v>vay ngân hàng 1 tỷ mỗi tháng trả bao nhiêu</v>
      </c>
      <c r="AE51" s="21" t="str">
        <f>IFERROR(__xludf.DUMMYFUNCTION("""COMPUTED_VALUE"""),"https://techcombank.com/thong-tin/blog/vay-the-chap-khong-tra-duoc")</f>
        <v>https://techcombank.com/thong-tin/blog/vay-the-chap-khong-tra-duoc</v>
      </c>
      <c r="AF51" s="16" t="str">
        <f>IFERROR(__xludf.DUMMYFUNCTION("""COMPUTED_VALUE"""),"vay 1 tỷ mỗi tháng trả bao nhiêu")</f>
        <v>vay 1 tỷ mỗi tháng trả bao nhiêu</v>
      </c>
      <c r="AG51" s="21" t="str">
        <f>IFERROR(__xludf.DUMMYFUNCTION("""COMPUTED_VALUE"""),"https://techcombank.com/thong-tin/blog/vay-the-chap-so-bao-hiem-xa-hoi")</f>
        <v>https://techcombank.com/thong-tin/blog/vay-the-chap-so-bao-hiem-xa-hoi</v>
      </c>
      <c r="AH51" s="16" t="str">
        <f>IFERROR(__xludf.DUMMYFUNCTION("""COMPUTED_VALUE"""),"vay 1 tỷ trong 20 năm mỗi tháng trả bao nhiêu")</f>
        <v>vay 1 tỷ trong 20 năm mỗi tháng trả bao nhiêu</v>
      </c>
      <c r="AI51" s="21" t="str">
        <f>IFERROR(__xludf.DUMMYFUNCTION("""COMPUTED_VALUE"""),"https://techcombank.com/thong-tin/blog/vay-300-trieu")</f>
        <v>https://techcombank.com/thong-tin/blog/vay-300-trieu</v>
      </c>
      <c r="AJ51" s="16" t="str">
        <f>IFERROR(__xludf.DUMMYFUNCTION("""COMPUTED_VALUE"""),"vay ngân hàng 1 tỷ mỗi tháng trả bao nhiêu")</f>
        <v>vay ngân hàng 1 tỷ mỗi tháng trả bao nhiêu</v>
      </c>
      <c r="AK51" s="21" t="str">
        <f>IFERROR(__xludf.DUMMYFUNCTION("""COMPUTED_VALUE"""),"https://techcombank.com/thong-tin/blog/thanh-toan-phi-quan-ly-chung-cu")</f>
        <v>https://techcombank.com/thong-tin/blog/thanh-toan-phi-quan-ly-chung-cu</v>
      </c>
      <c r="AL51" s="16" t="str">
        <f>IFERROR(__xludf.DUMMYFUNCTION("""COMPUTED_VALUE"""),"vay 1 tỷ mỗi tháng trả bao nhiêu")</f>
        <v>vay 1 tỷ mỗi tháng trả bao nhiêu</v>
      </c>
      <c r="AM51" s="21" t="str">
        <f>IFERROR(__xludf.DUMMYFUNCTION("""COMPUTED_VALUE"""),"https://techcombank.com/thong-tin/blog/nen-vay-the-chap-ngan-hang-nao")</f>
        <v>https://techcombank.com/thong-tin/blog/nen-vay-the-chap-ngan-hang-nao</v>
      </c>
      <c r="AN51" s="16" t="str">
        <f>IFERROR(__xludf.DUMMYFUNCTION("""COMPUTED_VALUE"""),"vay 1 tỷ trong 20 năm mỗi tháng trả bao nhiêu")</f>
        <v>vay 1 tỷ trong 20 năm mỗi tháng trả bao nhiêu</v>
      </c>
      <c r="AO51" s="21" t="str">
        <f>IFERROR(__xludf.DUMMYFUNCTION("""COMPUTED_VALUE"""),"https://techcombank.com/thong-tin/blog/mua-truoc-tra-sau")</f>
        <v>https://techcombank.com/thong-tin/blog/mua-truoc-tra-sau</v>
      </c>
      <c r="AP51" s="16" t="str">
        <f>IFERROR(__xludf.DUMMYFUNCTION("""COMPUTED_VALUE"""),"vay ngân hàng 1 tỷ mỗi tháng trả bao nhiêu")</f>
        <v>vay ngân hàng 1 tỷ mỗi tháng trả bao nhiêu</v>
      </c>
      <c r="AQ51" s="21" t="str">
        <f>IFERROR(__xludf.DUMMYFUNCTION("""COMPUTED_VALUE"""),"https://techcombank.com/thong-tin/blog/vay-the-chap-la-gi")</f>
        <v>https://techcombank.com/thong-tin/blog/vay-the-chap-la-gi</v>
      </c>
      <c r="AR51" s="16" t="str">
        <f>IFERROR(__xludf.DUMMYFUNCTION("""COMPUTED_VALUE"""),"vay 1 tỷ mỗi tháng trả bao nhiêu")</f>
        <v>vay 1 tỷ mỗi tháng trả bao nhiêu</v>
      </c>
      <c r="AS51" s="21" t="str">
        <f>IFERROR(__xludf.DUMMYFUNCTION("""COMPUTED_VALUE"""),"https://techcombank.com/thong-tin/blog/the-visa-de-lam-gi")</f>
        <v>https://techcombank.com/thong-tin/blog/the-visa-de-lam-gi</v>
      </c>
      <c r="AT51" s="16" t="str">
        <f>IFERROR(__xludf.DUMMYFUNCTION("""COMPUTED_VALUE"""),"vay 1 tỷ trong 20 năm mỗi tháng trả bao nhiêu")</f>
        <v>vay 1 tỷ trong 20 năm mỗi tháng trả bao nhiêu</v>
      </c>
      <c r="AU51" s="21" t="str">
        <f>IFERROR(__xludf.DUMMYFUNCTION("""COMPUTED_VALUE"""),"https://techcombank.com/thong-tin/blog/rui-ro-khi-vay-the-chap-ngan-hang")</f>
        <v>https://techcombank.com/thong-tin/blog/rui-ro-khi-vay-the-chap-ngan-hang</v>
      </c>
      <c r="AV51" s="16" t="str">
        <f>IFERROR(__xludf.DUMMYFUNCTION("""COMPUTED_VALUE"""),"vay ngân hàng 1 tỷ mỗi tháng trả bao nhiêu")</f>
        <v>vay ngân hàng 1 tỷ mỗi tháng trả bao nhiêu</v>
      </c>
      <c r="AW51" s="21" t="str">
        <f>IFERROR(__xludf.DUMMYFUNCTION("""COMPUTED_VALUE"""),"https://techcombank.com/thong-tin/blog/vay-tin-chap-va-vay-the-chap")</f>
        <v>https://techcombank.com/thong-tin/blog/vay-tin-chap-va-vay-the-chap</v>
      </c>
      <c r="AX51" s="16" t="str">
        <f>IFERROR(__xludf.DUMMYFUNCTION("""COMPUTED_VALUE"""),"vay 1 tỷ mỗi tháng trả bao nhiêu")</f>
        <v>vay 1 tỷ mỗi tháng trả bao nhiêu</v>
      </c>
      <c r="AY51" s="21" t="str">
        <f>IFERROR(__xludf.DUMMYFUNCTION("""COMPUTED_VALUE"""),"https://techcombank.com/thong-tin/blog/kinh-nghiem-vay-the-chap-ngan-hang")</f>
        <v>https://techcombank.com/thong-tin/blog/kinh-nghiem-vay-the-chap-ngan-hang</v>
      </c>
      <c r="AZ51" s="16" t="str">
        <f>IFERROR(__xludf.DUMMYFUNCTION("""COMPUTED_VALUE"""),"vay 1 tỷ trong 20 năm mỗi tháng trả bao nhiêu")</f>
        <v>vay 1 tỷ trong 20 năm mỗi tháng trả bao nhiêu</v>
      </c>
      <c r="BA51" s="21" t="str">
        <f>IFERROR(__xludf.DUMMYFUNCTION("""COMPUTED_VALUE"""),"https://techcombank.com/thong-tin/blog/vay-mua-xe-tra-gop-ngan-hang-nao-tot-nhat")</f>
        <v>https://techcombank.com/thong-tin/blog/vay-mua-xe-tra-gop-ngan-hang-nao-tot-nhat</v>
      </c>
      <c r="BB51" s="16" t="str">
        <f>IFERROR(__xludf.DUMMYFUNCTION("""COMPUTED_VALUE"""),"vay ngân hàng 1 tỷ mỗi tháng trả bao nhiêu")</f>
        <v>vay ngân hàng 1 tỷ mỗi tháng trả bao nhiêu</v>
      </c>
      <c r="BC51" s="21" t="str">
        <f>IFERROR(__xludf.DUMMYFUNCTION("""COMPUTED_VALUE"""),"https://techcombank.com/thong-tin/blog/chuyen-gia-du-doan-gia-bat-dong-san-2025-va-cac-no-luc-tu-ngan-hang")</f>
        <v>https://techcombank.com/thong-tin/blog/chuyen-gia-du-doan-gia-bat-dong-san-2025-va-cac-no-luc-tu-ngan-hang</v>
      </c>
      <c r="BD51" s="16" t="str">
        <f>IFERROR(__xludf.DUMMYFUNCTION("""COMPUTED_VALUE"""),"vay 1 tỷ mỗi tháng trả bao nhiêu")</f>
        <v>vay 1 tỷ mỗi tháng trả bao nhiêu</v>
      </c>
      <c r="BE51" s="21" t="str">
        <f>IFERROR(__xludf.DUMMYFUNCTION("""COMPUTED_VALUE"""),"https://techcombank.com/thong-tin/blog/vay-mua-nha-tra-gop")</f>
        <v>https://techcombank.com/thong-tin/blog/vay-mua-nha-tra-gop</v>
      </c>
      <c r="BF51" s="16" t="str">
        <f>IFERROR(__xludf.DUMMYFUNCTION("""COMPUTED_VALUE"""),"vay 1 tỷ trong 20 năm mỗi tháng trả bao nhiêu")</f>
        <v>vay 1 tỷ trong 20 năm mỗi tháng trả bao nhiêu</v>
      </c>
      <c r="BG51" s="21" t="str">
        <f>IFERROR(__xludf.DUMMYFUNCTION("""COMPUTED_VALUE"""),"https://techcombank.com/thong-tin/blog/quy-trinh-tat-toan-khoan-vay-the-chap")</f>
        <v>https://techcombank.com/thong-tin/blog/quy-trinh-tat-toan-khoan-vay-the-chap</v>
      </c>
      <c r="BH51" s="16" t="str">
        <f>IFERROR(__xludf.DUMMYFUNCTION("""COMPUTED_VALUE"""),"vay ngân hàng 1 tỷ mỗi tháng trả bao nhiêu")</f>
        <v>vay ngân hàng 1 tỷ mỗi tháng trả bao nhiêu</v>
      </c>
      <c r="BI51" s="21" t="str">
        <f>IFERROR(__xludf.DUMMYFUNCTION("""COMPUTED_VALUE"""),"https://techcombank.com/thong-tin/blog/vay-the-chap-xe-o-to-cu")</f>
        <v>https://techcombank.com/thong-tin/blog/vay-the-chap-xe-o-to-cu</v>
      </c>
      <c r="BJ51" s="16" t="str">
        <f>IFERROR(__xludf.DUMMYFUNCTION("""COMPUTED_VALUE"""),"vay 1 tỷ mỗi tháng trả bao nhiêu")</f>
        <v>vay 1 tỷ mỗi tháng trả bao nhiêu</v>
      </c>
      <c r="BK51" s="21" t="str">
        <f>IFERROR(__xludf.DUMMYFUNCTION("""COMPUTED_VALUE"""),"https://techcombank.com/thong-tin/blog/vay-40-trieu")</f>
        <v>https://techcombank.com/thong-tin/blog/vay-40-trieu</v>
      </c>
      <c r="BL51" s="16" t="str">
        <f>IFERROR(__xludf.DUMMYFUNCTION("""COMPUTED_VALUE"""),"vay 1 tỷ trong 20 năm mỗi tháng trả bao nhiêu")</f>
        <v>vay 1 tỷ trong 20 năm mỗi tháng trả bao nhiêu</v>
      </c>
      <c r="BM51" s="21" t="str">
        <f>IFERROR(__xludf.DUMMYFUNCTION("""COMPUTED_VALUE"""),"https://techcombank.com/thong-tin/blog/vay-the-chap-qua-luong")</f>
        <v>https://techcombank.com/thong-tin/blog/vay-the-chap-qua-luong</v>
      </c>
      <c r="BN51" s="16" t="str">
        <f>IFERROR(__xludf.DUMMYFUNCTION("""COMPUTED_VALUE"""),"vay ngân hàng 1 tỷ mỗi tháng trả bao nhiêu")</f>
        <v>vay ngân hàng 1 tỷ mỗi tháng trả bao nhiêu</v>
      </c>
      <c r="BO51" s="21" t="str">
        <f>IFERROR(__xludf.DUMMYFUNCTION("""COMPUTED_VALUE"""),"https://techcombank.com/thong-tin/blog/thu-tuc-mua-xe-tra-gop")</f>
        <v>https://techcombank.com/thong-tin/blog/thu-tuc-mua-xe-tra-gop</v>
      </c>
      <c r="BP51" s="16" t="str">
        <f>IFERROR(__xludf.DUMMYFUNCTION("""COMPUTED_VALUE"""),"vay 1 tỷ mỗi tháng trả bao nhiêu")</f>
        <v>vay 1 tỷ mỗi tháng trả bao nhiêu</v>
      </c>
      <c r="BQ51" s="21" t="str">
        <f>IFERROR(__xludf.DUMMYFUNCTION("""COMPUTED_VALUE"""),"https://techcombank.com/thong-tin/blog/vay-100-trieu")</f>
        <v>https://techcombank.com/thong-tin/blog/vay-100-trieu</v>
      </c>
      <c r="BR51" s="16" t="str">
        <f>IFERROR(__xludf.DUMMYFUNCTION("""COMPUTED_VALUE"""),"vay 1 tỷ trong 20 năm mỗi tháng trả bao nhiêu")</f>
        <v>vay 1 tỷ trong 20 năm mỗi tháng trả bao nhiêu</v>
      </c>
      <c r="BS51" s="21" t="str">
        <f>IFERROR(__xludf.DUMMYFUNCTION("""COMPUTED_VALUE"""),"https://techcombank.com/thong-tin/blog/tra-gop-shopee")</f>
        <v>https://techcombank.com/thong-tin/blog/tra-gop-shopee</v>
      </c>
      <c r="BT51" s="16" t="str">
        <f>IFERROR(__xludf.DUMMYFUNCTION("""COMPUTED_VALUE"""),"vay ngân hàng 1 tỷ mỗi tháng trả bao nhiêu")</f>
        <v>vay ngân hàng 1 tỷ mỗi tháng trả bao nhiêu</v>
      </c>
      <c r="BU51" s="21" t="str">
        <f>IFERROR(__xludf.DUMMYFUNCTION("""COMPUTED_VALUE"""),"https://techcombank.com/thong-tin/blog/tra-gop-hoc-phi")</f>
        <v>https://techcombank.com/thong-tin/blog/tra-gop-hoc-phi</v>
      </c>
      <c r="BV51" s="16" t="str">
        <f>IFERROR(__xludf.DUMMYFUNCTION("""COMPUTED_VALUE"""),"vay 1 tỷ mỗi tháng trả bao nhiêu")</f>
        <v>vay 1 tỷ mỗi tháng trả bao nhiêu</v>
      </c>
      <c r="BW51" s="21" t="str">
        <f>IFERROR(__xludf.DUMMYFUNCTION("""COMPUTED_VALUE"""),"https://techcombank.com/thong-tin/blog/thanh-toan-tra-gop-qua-the-tin-dung")</f>
        <v>https://techcombank.com/thong-tin/blog/thanh-toan-tra-gop-qua-the-tin-dung</v>
      </c>
      <c r="BX51" s="16" t="str">
        <f>IFERROR(__xludf.DUMMYFUNCTION("""COMPUTED_VALUE"""),"vay 1 tỷ trong 20 năm mỗi tháng trả bao nhiêu")</f>
        <v>vay 1 tỷ trong 20 năm mỗi tháng trả bao nhiêu</v>
      </c>
      <c r="BY51" s="21" t="str">
        <f>IFERROR(__xludf.DUMMYFUNCTION("""COMPUTED_VALUE"""),"https://techcombank.com/thong-tin/blog/tra-gop-lazada")</f>
        <v>https://techcombank.com/thong-tin/blog/tra-gop-lazada</v>
      </c>
      <c r="BZ51" s="16" t="str">
        <f>IFERROR(__xludf.DUMMYFUNCTION("""COMPUTED_VALUE"""),"vay ngân hàng 1 tỷ mỗi tháng trả bao nhiêu")</f>
        <v>vay ngân hàng 1 tỷ mỗi tháng trả bao nhiêu</v>
      </c>
      <c r="CA51" s="21" t="str">
        <f>IFERROR(__xludf.DUMMYFUNCTION("""COMPUTED_VALUE"""),"https://techcombank.com/thong-tin/blog/bi-quyet-tiet-kiem-tien-mua-nha")</f>
        <v>https://techcombank.com/thong-tin/blog/bi-quyet-tiet-kiem-tien-mua-nha</v>
      </c>
      <c r="CB51" s="16" t="str">
        <f>IFERROR(__xludf.DUMMYFUNCTION("""COMPUTED_VALUE"""),"vay 1 tỷ mỗi tháng trả bao nhiêu")</f>
        <v>vay 1 tỷ mỗi tháng trả bao nhiêu</v>
      </c>
      <c r="CC51" s="21" t="str">
        <f>IFERROR(__xludf.DUMMYFUNCTION("""COMPUTED_VALUE"""),"https://techcombank.com/thong-tin/blog/lai-suat-vay-the-chap-so-do")</f>
        <v>https://techcombank.com/thong-tin/blog/lai-suat-vay-the-chap-so-do</v>
      </c>
      <c r="CD51" s="16" t="str">
        <f>IFERROR(__xludf.DUMMYFUNCTION("""COMPUTED_VALUE"""),"vay 1 tỷ trong 20 năm mỗi tháng trả bao nhiêu")</f>
        <v>vay 1 tỷ trong 20 năm mỗi tháng trả bao nhiêu</v>
      </c>
      <c r="CE51" s="21" t="str">
        <f>IFERROR(__xludf.DUMMYFUNCTION("""COMPUTED_VALUE"""),"https://techcombank.com/thong-tin/blog/nen-mua-xe-tra-gop-hay-tra-thang")</f>
        <v>https://techcombank.com/thong-tin/blog/nen-mua-xe-tra-gop-hay-tra-thang</v>
      </c>
      <c r="CF51" s="16" t="str">
        <f>IFERROR(__xludf.DUMMYFUNCTION("""COMPUTED_VALUE"""),"vay ngân hàng 1 tỷ mỗi tháng trả bao nhiêu")</f>
        <v>vay ngân hàng 1 tỷ mỗi tháng trả bao nhiêu</v>
      </c>
      <c r="CG51" s="21" t="str">
        <f>IFERROR(__xludf.DUMMYFUNCTION("""COMPUTED_VALUE"""),"https://techcombank.com/thong-tin/blog/vay-15-trieu")</f>
        <v>https://techcombank.com/thong-tin/blog/vay-15-trieu</v>
      </c>
      <c r="CH51" s="16" t="str">
        <f>IFERROR(__xludf.DUMMYFUNCTION("""COMPUTED_VALUE"""),"vay 1 tỷ mỗi tháng trả bao nhiêu")</f>
        <v>vay 1 tỷ mỗi tháng trả bao nhiêu</v>
      </c>
      <c r="CI51" s="21" t="str">
        <f>IFERROR(__xludf.DUMMYFUNCTION("""COMPUTED_VALUE"""),"https://techcombank.com/thong-tin/blog/lam-ho-so-tra-gop-dien-thoai")</f>
        <v>https://techcombank.com/thong-tin/blog/lam-ho-so-tra-gop-dien-thoai</v>
      </c>
      <c r="CJ51" s="16" t="str">
        <f>IFERROR(__xludf.DUMMYFUNCTION("""COMPUTED_VALUE"""),"vay 1 tỷ trong 20 năm mỗi tháng trả bao nhiêu")</f>
        <v>vay 1 tỷ trong 20 năm mỗi tháng trả bao nhiêu</v>
      </c>
      <c r="CK51" s="21" t="str">
        <f>IFERROR(__xludf.DUMMYFUNCTION("""COMPUTED_VALUE"""),"https://techcombank.com/thong-tin/blog/vay-the-chap-so-hong")</f>
        <v>https://techcombank.com/thong-tin/blog/vay-the-chap-so-hong</v>
      </c>
      <c r="CL51" s="16" t="str">
        <f>IFERROR(__xludf.DUMMYFUNCTION("""COMPUTED_VALUE"""),"vay ngân hàng 1 tỷ mỗi tháng trả bao nhiêu")</f>
        <v>vay ngân hàng 1 tỷ mỗi tháng trả bao nhiêu</v>
      </c>
      <c r="CM51" s="21" t="str">
        <f>IFERROR(__xludf.DUMMYFUNCTION("""COMPUTED_VALUE"""),"https://techcombank.com/thong-tin/blog/vay-30-trieu")</f>
        <v>https://techcombank.com/thong-tin/blog/vay-30-trieu</v>
      </c>
      <c r="CN51" s="16" t="str">
        <f>IFERROR(__xludf.DUMMYFUNCTION("""COMPUTED_VALUE"""),"vay 1 tỷ mỗi tháng trả bao nhiêu")</f>
        <v>vay 1 tỷ mỗi tháng trả bao nhiêu</v>
      </c>
      <c r="CO51" s="21" t="str">
        <f>IFERROR(__xludf.DUMMYFUNCTION("""COMPUTED_VALUE"""),"https://techcombank.com/thong-tin/blog/cach-su-dung-the-tin-dung")</f>
        <v>https://techcombank.com/thong-tin/blog/cach-su-dung-the-tin-dung</v>
      </c>
      <c r="CP51" s="16" t="str">
        <f>IFERROR(__xludf.DUMMYFUNCTION("""COMPUTED_VALUE"""),"vay 1 tỷ trong 20 năm mỗi tháng trả bao nhiêu")</f>
        <v>vay 1 tỷ trong 20 năm mỗi tháng trả bao nhiêu</v>
      </c>
      <c r="CQ51" s="21" t="str">
        <f>IFERROR(__xludf.DUMMYFUNCTION("""COMPUTED_VALUE"""),"https://techcombank.com/thong-tin/blog/vay-mua-nha-o-xa-hoi")</f>
        <v>https://techcombank.com/thong-tin/blog/vay-mua-nha-o-xa-hoi</v>
      </c>
      <c r="CR51" s="16" t="str">
        <f>IFERROR(__xludf.DUMMYFUNCTION("""COMPUTED_VALUE"""),"vay ngân hàng 1 tỷ mỗi tháng trả bao nhiêu")</f>
        <v>vay ngân hàng 1 tỷ mỗi tháng trả bao nhiêu</v>
      </c>
      <c r="CS51" s="21" t="str">
        <f>IFERROR(__xludf.DUMMYFUNCTION("""COMPUTED_VALUE"""),"https://techcombank.com/thong-tin/blog/vay-200-trieu")</f>
        <v>https://techcombank.com/thong-tin/blog/vay-200-trieu</v>
      </c>
      <c r="CT51" s="16" t="str">
        <f>IFERROR(__xludf.DUMMYFUNCTION("""COMPUTED_VALUE"""),"vay 1 tỷ mỗi tháng trả bao nhiêu")</f>
        <v>vay 1 tỷ mỗi tháng trả bao nhiêu</v>
      </c>
      <c r="CU51" s="21" t="str">
        <f>IFERROR(__xludf.DUMMYFUNCTION("""COMPUTED_VALUE"""),"https://techcombank.com/thong-tin/blog/kinh-nghiem-vay-tien-ngan-hang-xay-nha")</f>
        <v>https://techcombank.com/thong-tin/blog/kinh-nghiem-vay-tien-ngan-hang-xay-nha</v>
      </c>
      <c r="CV51" s="16" t="str">
        <f>IFERROR(__xludf.DUMMYFUNCTION("""COMPUTED_VALUE"""),"vay 1 tỷ trong 20 năm mỗi tháng trả bao nhiêu")</f>
        <v>vay 1 tỷ trong 20 năm mỗi tháng trả bao nhiêu</v>
      </c>
      <c r="CW51" s="21" t="str">
        <f>IFERROR(__xludf.DUMMYFUNCTION("""COMPUTED_VALUE"""),"https://techcombank.com/thong-tin/blog/giai-ngan-vay-the-chap")</f>
        <v>https://techcombank.com/thong-tin/blog/giai-ngan-vay-the-chap</v>
      </c>
      <c r="CX51" s="16" t="str">
        <f>IFERROR(__xludf.DUMMYFUNCTION("""COMPUTED_VALUE"""),"vay ngân hàng 1 tỷ mỗi tháng trả bao nhiêu")</f>
        <v>vay ngân hàng 1 tỷ mỗi tháng trả bao nhiêu</v>
      </c>
      <c r="CY51" s="21" t="str">
        <f>IFERROR(__xludf.DUMMYFUNCTION("""COMPUTED_VALUE"""),"https://techcombank.com/thong-tin/blog/tra-gop-qua-the-tin-dung")</f>
        <v>https://techcombank.com/thong-tin/blog/tra-gop-qua-the-tin-dung</v>
      </c>
      <c r="CZ51" s="16" t="str">
        <f>IFERROR(__xludf.DUMMYFUNCTION("""COMPUTED_VALUE"""),"vay 1 tỷ mỗi tháng trả bao nhiêu")</f>
        <v>vay 1 tỷ mỗi tháng trả bao nhiêu</v>
      </c>
      <c r="DA51" s="21" t="str">
        <f>IFERROR(__xludf.DUMMYFUNCTION("""COMPUTED_VALUE"""),"https://techcombank.com/thong-tin/blog/cach-su-dung-the-visa-techcombank")</f>
        <v>https://techcombank.com/thong-tin/blog/cach-su-dung-the-visa-techcombank</v>
      </c>
      <c r="DB51" s="16" t="str">
        <f>IFERROR(__xludf.DUMMYFUNCTION("""COMPUTED_VALUE"""),"vay 1 tỷ trong 20 năm mỗi tháng trả bao nhiêu")</f>
        <v>vay 1 tỷ trong 20 năm mỗi tháng trả bao nhiêu</v>
      </c>
      <c r="DC51" s="21" t="str">
        <f>IFERROR(__xludf.DUMMYFUNCTION("""COMPUTED_VALUE"""),"https://techcombank.com/thong-tin/blog/no-xau-co-vay-the-chap-duoc-khong")</f>
        <v>https://techcombank.com/thong-tin/blog/no-xau-co-vay-the-chap-duoc-khong</v>
      </c>
      <c r="DD51" s="16" t="str">
        <f>IFERROR(__xludf.DUMMYFUNCTION("""COMPUTED_VALUE"""),"vay ngân hàng 1 tỷ mỗi tháng trả bao nhiêu")</f>
        <v>vay ngân hàng 1 tỷ mỗi tháng trả bao nhiêu</v>
      </c>
      <c r="DE51" s="21" t="str">
        <f>IFERROR(__xludf.DUMMYFUNCTION("""COMPUTED_VALUE"""),"https://techcombank.com/thong-tin/blog/han-muc-vay-the-chap-so-do")</f>
        <v>https://techcombank.com/thong-tin/blog/han-muc-vay-the-chap-so-do</v>
      </c>
      <c r="DF51" s="16" t="str">
        <f>IFERROR(__xludf.DUMMYFUNCTION("""COMPUTED_VALUE"""),"vay 1 tỷ mỗi tháng trả bao nhiêu")</f>
        <v>vay 1 tỷ mỗi tháng trả bao nhiêu</v>
      </c>
      <c r="DG51" s="21" t="str">
        <f>IFERROR(__xludf.DUMMYFUNCTION("""COMPUTED_VALUE"""),"https://techcombank.com/thong-tin/blog/mua-nha-tra-gop-dua-truoc-100-trieu")</f>
        <v>https://techcombank.com/thong-tin/blog/mua-nha-tra-gop-dua-truoc-100-trieu</v>
      </c>
      <c r="DH51" s="16" t="str">
        <f>IFERROR(__xludf.DUMMYFUNCTION("""COMPUTED_VALUE"""),"vay 1 tỷ trong 20 năm mỗi tháng trả bao nhiêu")</f>
        <v>vay 1 tỷ trong 20 năm mỗi tháng trả bao nhiêu</v>
      </c>
      <c r="DI51" s="21" t="str">
        <f>IFERROR(__xludf.DUMMYFUNCTION("""COMPUTED_VALUE"""),"https://techcombank.com/thong-tin/blog/phi-vay-the-chap")</f>
        <v>https://techcombank.com/thong-tin/blog/phi-vay-the-chap</v>
      </c>
      <c r="DJ51" s="16" t="str">
        <f>IFERROR(__xludf.DUMMYFUNCTION("""COMPUTED_VALUE"""),"vay ngân hàng 1 tỷ mỗi tháng trả bao nhiêu")</f>
        <v>vay ngân hàng 1 tỷ mỗi tháng trả bao nhiêu</v>
      </c>
      <c r="DK51" s="21" t="str">
        <f>IFERROR(__xludf.DUMMYFUNCTION("""COMPUTED_VALUE"""),"https://techcombank.com/thong-tin/blog/vay-the-chap-toi-da-duoc-bao-nhieu")</f>
        <v>https://techcombank.com/thong-tin/blog/vay-the-chap-toi-da-duoc-bao-nhieu</v>
      </c>
      <c r="DL51" s="16" t="str">
        <f>IFERROR(__xludf.DUMMYFUNCTION("""COMPUTED_VALUE"""),"vay 1 tỷ mỗi tháng trả bao nhiêu")</f>
        <v>vay 1 tỷ mỗi tháng trả bao nhiêu</v>
      </c>
      <c r="DM51" s="21" t="str">
        <f>IFERROR(__xludf.DUMMYFUNCTION("""COMPUTED_VALUE"""),"https://techcombank.com/thong-tin/blog/dieu-kien-vay-the-chap")</f>
        <v>https://techcombank.com/thong-tin/blog/dieu-kien-vay-the-chap</v>
      </c>
      <c r="DN51" s="16" t="str">
        <f>IFERROR(__xludf.DUMMYFUNCTION("""COMPUTED_VALUE"""),"vay 1 tỷ trong 20 năm mỗi tháng trả bao nhiêu")</f>
        <v>vay 1 tỷ trong 20 năm mỗi tháng trả bao nhiêu</v>
      </c>
      <c r="DO51" s="21" t="str">
        <f>IFERROR(__xludf.DUMMYFUNCTION("""COMPUTED_VALUE"""),"https://techcombank.com/thong-tin/blog/lai-suat-vay-mua-o-to")</f>
        <v>https://techcombank.com/thong-tin/blog/lai-suat-vay-mua-o-to</v>
      </c>
      <c r="DP51" s="16" t="str">
        <f>IFERROR(__xludf.DUMMYFUNCTION("""COMPUTED_VALUE"""),"vay ngân hàng 1 tỷ mỗi tháng trả bao nhiêu")</f>
        <v>vay ngân hàng 1 tỷ mỗi tháng trả bao nhiêu</v>
      </c>
      <c r="DQ51" s="21" t="str">
        <f>IFERROR(__xludf.DUMMYFUNCTION("""COMPUTED_VALUE"""),"https://techcombank.com/thong-tin/blog/the-chap-la-gi")</f>
        <v>https://techcombank.com/thong-tin/blog/the-chap-la-gi</v>
      </c>
      <c r="DR51" s="16" t="str">
        <f>IFERROR(__xludf.DUMMYFUNCTION("""COMPUTED_VALUE"""),"vay 1 tỷ mỗi tháng trả bao nhiêu")</f>
        <v>vay 1 tỷ mỗi tháng trả bao nhiêu</v>
      </c>
      <c r="DS51" s="21" t="str">
        <f>IFERROR(__xludf.DUMMYFUNCTION("""COMPUTED_VALUE"""),"https://techcombank.com/thong-tin/blog/co-100-trieu-co-mua-nen-mua-tra-gop")</f>
        <v>https://techcombank.com/thong-tin/blog/co-100-trieu-co-mua-nen-mua-tra-gop</v>
      </c>
      <c r="DT51" s="16" t="str">
        <f>IFERROR(__xludf.DUMMYFUNCTION("""COMPUTED_VALUE"""),"vay 1 tỷ trong 20 năm mỗi tháng trả bao nhiêu")</f>
        <v>vay 1 tỷ trong 20 năm mỗi tháng trả bao nhiêu</v>
      </c>
      <c r="DU51" s="21" t="str">
        <f>IFERROR(__xludf.DUMMYFUNCTION("""COMPUTED_VALUE"""),"https://techcombank.com/thong-tin/blog/dang-vay-tra-gop-co-vay-them-duoc-khong")</f>
        <v>https://techcombank.com/thong-tin/blog/dang-vay-tra-gop-co-vay-them-duoc-khong</v>
      </c>
      <c r="DV51" s="16" t="str">
        <f>IFERROR(__xludf.DUMMYFUNCTION("""COMPUTED_VALUE"""),"vay ngân hàng 1 tỷ mỗi tháng trả bao nhiêu")</f>
        <v>vay ngân hàng 1 tỷ mỗi tháng trả bao nhiêu</v>
      </c>
      <c r="DW51" s="21" t="str">
        <f>IFERROR(__xludf.DUMMYFUNCTION("""COMPUTED_VALUE"""),"https://techcombank.com/thong-tin/blog/vay-the-chap-khong-chung-minh-thu-nhap")</f>
        <v>https://techcombank.com/thong-tin/blog/vay-the-chap-khong-chung-minh-thu-nhap</v>
      </c>
      <c r="DX51" s="16" t="str">
        <f>IFERROR(__xludf.DUMMYFUNCTION("""COMPUTED_VALUE"""),"vay 1 tỷ mỗi tháng trả bao nhiêu")</f>
        <v>vay 1 tỷ mỗi tháng trả bao nhiêu</v>
      </c>
      <c r="DY51" s="21" t="str">
        <f>IFERROR(__xludf.DUMMYFUNCTION("""COMPUTED_VALUE"""),"https://techcombank.com/thong-tin/blog/bao-hiem-vat-chat-xe-o-to")</f>
        <v>https://techcombank.com/thong-tin/blog/bao-hiem-vat-chat-xe-o-to</v>
      </c>
      <c r="DZ51" s="16" t="str">
        <f>IFERROR(__xludf.DUMMYFUNCTION("""COMPUTED_VALUE"""),"vay 1 tỷ trong 20 năm mỗi tháng trả bao nhiêu")</f>
        <v>vay 1 tỷ trong 20 năm mỗi tháng trả bao nhiêu</v>
      </c>
      <c r="EA51" s="21" t="str">
        <f>IFERROR(__xludf.DUMMYFUNCTION("""COMPUTED_VALUE"""),"https://techcombank.com/thong-tin/blog/han-muc-tra-gop-the-tin-dung")</f>
        <v>https://techcombank.com/thong-tin/blog/han-muc-tra-gop-the-tin-dung</v>
      </c>
      <c r="EB51" s="16" t="str">
        <f>IFERROR(__xludf.DUMMYFUNCTION("""COMPUTED_VALUE"""),"vay ngân hàng 1 tỷ mỗi tháng trả bao nhiêu")</f>
        <v>vay ngân hàng 1 tỷ mỗi tháng trả bao nhiêu</v>
      </c>
      <c r="EC51" s="21" t="str">
        <f>IFERROR(__xludf.DUMMYFUNCTION("""COMPUTED_VALUE"""),"https://techcombank.com/thong-tin/blog/vay-tra-gop")</f>
        <v>https://techcombank.com/thong-tin/blog/vay-tra-gop</v>
      </c>
      <c r="ED51" s="16" t="str">
        <f>IFERROR(__xludf.DUMMYFUNCTION("""COMPUTED_VALUE"""),"vay 1 tỷ mỗi tháng trả bao nhiêu")</f>
        <v>vay 1 tỷ mỗi tháng trả bao nhiêu</v>
      </c>
      <c r="EE51" s="21" t="str">
        <f>IFERROR(__xludf.DUMMYFUNCTION("""COMPUTED_VALUE"""),"https://techcombank.com/thong-tin/blog/vay-20-trieu")</f>
        <v>https://techcombank.com/thong-tin/blog/vay-20-trieu</v>
      </c>
      <c r="EF51" s="16" t="str">
        <f>IFERROR(__xludf.DUMMYFUNCTION("""COMPUTED_VALUE"""),"vay 1 tỷ trong 20 năm mỗi tháng trả bao nhiêu")</f>
        <v>vay 1 tỷ trong 20 năm mỗi tháng trả bao nhiêu</v>
      </c>
      <c r="EG51" s="21" t="str">
        <f>IFERROR(__xludf.DUMMYFUNCTION("""COMPUTED_VALUE"""),"https://techcombank.com/thong-tin/blog/vay-mua-dien-thoai")</f>
        <v>https://techcombank.com/thong-tin/blog/vay-mua-dien-thoai</v>
      </c>
      <c r="EH51" s="16" t="str">
        <f>IFERROR(__xludf.DUMMYFUNCTION("""COMPUTED_VALUE"""),"vay ngân hàng 1 tỷ mỗi tháng trả bao nhiêu")</f>
        <v>vay ngân hàng 1 tỷ mỗi tháng trả bao nhiêu</v>
      </c>
      <c r="EI51" s="21" t="str">
        <f>IFERROR(__xludf.DUMMYFUNCTION("""COMPUTED_VALUE"""),"https://techcombank.com/thong-tin/blog/vay-the-chap-hop-dong-mua-ban-can-ho")</f>
        <v>https://techcombank.com/thong-tin/blog/vay-the-chap-hop-dong-mua-ban-can-ho</v>
      </c>
      <c r="EJ51" s="16"/>
      <c r="EK51" s="16"/>
      <c r="EL51" s="16"/>
      <c r="EM51" s="16"/>
      <c r="EN51" s="16"/>
      <c r="EO51" s="16"/>
      <c r="EP51" s="16"/>
      <c r="EQ51" s="16"/>
      <c r="ER51" s="16"/>
      <c r="ES51" s="16"/>
      <c r="ET51" s="16"/>
      <c r="EU51" s="16"/>
      <c r="EV51" s="16"/>
      <c r="EW51" s="16"/>
      <c r="EX51" s="16"/>
      <c r="EY51" s="16"/>
      <c r="EZ51" s="16"/>
      <c r="FA51" s="16"/>
      <c r="FB51" s="16"/>
      <c r="FC51" s="16"/>
      <c r="FD51" s="16"/>
      <c r="FE51" s="16"/>
      <c r="FF51" s="16"/>
      <c r="FG51" s="16"/>
      <c r="FH51" s="16"/>
      <c r="FI51" s="16"/>
      <c r="FJ51" s="16"/>
      <c r="FK51" s="16"/>
      <c r="FL51" s="16"/>
      <c r="FM51" s="16"/>
      <c r="FN51" s="16"/>
      <c r="FO51" s="16"/>
      <c r="FP51" s="16"/>
      <c r="FQ51" s="16"/>
      <c r="FR51" s="16"/>
      <c r="FS51" s="16"/>
      <c r="FT51" s="16"/>
      <c r="FU51" s="16"/>
      <c r="FV51" s="16"/>
      <c r="FW51" s="16"/>
      <c r="FX51" s="16"/>
      <c r="FY51" s="16"/>
      <c r="FZ51" s="16"/>
      <c r="GA51" s="16"/>
      <c r="GB51" s="16"/>
      <c r="GC51" s="16"/>
      <c r="GD51" s="16"/>
      <c r="GE51" s="16"/>
      <c r="GF51" s="16"/>
      <c r="GG51" s="16"/>
      <c r="GH51" s="16"/>
      <c r="GI51" s="16"/>
      <c r="GJ51" s="16"/>
      <c r="GK51" s="16"/>
      <c r="GL51" s="16"/>
      <c r="GM51" s="16"/>
      <c r="GN51" s="16"/>
      <c r="GO51" s="16"/>
    </row>
    <row r="52" ht="18.0" customHeight="1">
      <c r="A52" s="15">
        <v>51.0</v>
      </c>
      <c r="B52" s="16" t="s">
        <v>1163</v>
      </c>
      <c r="C52" s="17" t="s">
        <v>1168</v>
      </c>
      <c r="D52" s="16" t="s">
        <v>338</v>
      </c>
      <c r="E52" s="15">
        <f>COUNTIF('Tổng hợp 75 trang đích'!$B$2:$B$2505,$D52)</f>
        <v>63</v>
      </c>
      <c r="F52" s="15">
        <f>COUNTIFS('Tổng hợp 75 trang đích'!$B$2:$B$2505,$D52,'Tổng hợp 75 trang đích'!$K$2:$K$2505,"PHÙ HỢP CAO")</f>
        <v>3</v>
      </c>
      <c r="G52" s="15">
        <f>COUNTIFS('Tổng hợp 75 trang đích'!$B$2:$B$2505,$D52,'Tổng hợp 75 trang đích'!$K$2:$K$2505,"CÓ THỂ ĐI")</f>
        <v>2</v>
      </c>
      <c r="H52" s="15">
        <f>COUNTIFS('Tổng hợp 75 trang đích'!$B$2:$B$2505,$D52,'Tổng hợp 75 trang đích'!$K$2:$K$2505,"CẦN SOÁT")</f>
        <v>58</v>
      </c>
      <c r="I52" s="19" t="s">
        <v>256</v>
      </c>
      <c r="J52" s="19" t="b">
        <v>0</v>
      </c>
      <c r="K52" s="20" t="s">
        <v>258</v>
      </c>
      <c r="L52" s="16" t="str">
        <f>IFERROR(__xludf.DUMMYFUNCTION("IFERROR(TOROW(CHOOSECOLS(SORT(FILTER({'Tổng hợp 75 trang đích'!$J$2:$J$2505,'Tổng hợp 75 trang đích'!$I$2:$I$2505,MATCH('Tổng hợp 75 trang đích'!$K$2:$K$2505,{""PHÙ HỢP CAO"",""CÓ THỂ ĐI"",""CẦN SOÁT""},0)},'Tổng hợp 75 trang đích'!$B$2:$B$2505=$D52),3,TR"&amp;"UE),1,2)),"""")"),"voucher Traveloka")</f>
        <v>voucher Traveloka</v>
      </c>
      <c r="M52" s="21" t="str">
        <f>IFERROR(__xludf.DUMMYFUNCTION("""COMPUTED_VALUE"""),"https://techcombank.com/thong-tin/blog/dat-ve-may-bay")</f>
        <v>https://techcombank.com/thong-tin/blog/dat-ve-may-bay</v>
      </c>
      <c r="N52" s="16" t="str">
        <f>IFERROR(__xludf.DUMMYFUNCTION("""COMPUTED_VALUE"""),"cách lấy voucher Traveloka")</f>
        <v>cách lấy voucher Traveloka</v>
      </c>
      <c r="O52" s="21" t="str">
        <f>IFERROR(__xludf.DUMMYFUNCTION("""COMPUTED_VALUE"""),"https://techcombank.com/thong-tin/blog/mua-ve-may-bay-gia-re")</f>
        <v>https://techcombank.com/thong-tin/blog/mua-ve-may-bay-gia-re</v>
      </c>
      <c r="P52" s="16" t="str">
        <f>IFERROR(__xludf.DUMMYFUNCTION("""COMPUTED_VALUE"""),"voucher Traveloka")</f>
        <v>voucher Traveloka</v>
      </c>
      <c r="Q52" s="21" t="str">
        <f>IFERROR(__xludf.DUMMYFUNCTION("""COMPUTED_VALUE"""),"https://techcombank.com/thong-tin/blog/techcombank-oneu")</f>
        <v>https://techcombank.com/thong-tin/blog/techcombank-oneu</v>
      </c>
      <c r="R52" s="16" t="str">
        <f>IFERROR(__xludf.DUMMYFUNCTION("""COMPUTED_VALUE"""),"cách lấy voucher Traveloka")</f>
        <v>cách lấy voucher Traveloka</v>
      </c>
      <c r="S52" s="21" t="str">
        <f>IFERROR(__xludf.DUMMYFUNCTION("""COMPUTED_VALUE"""),"https://techcombank.com/thong-tin/blog/tich-diem-doi-qua")</f>
        <v>https://techcombank.com/thong-tin/blog/tich-diem-doi-qua</v>
      </c>
      <c r="T52" s="16" t="str">
        <f>IFERROR(__xludf.DUMMYFUNCTION("""COMPUTED_VALUE"""),"voucher Traveloka")</f>
        <v>voucher Traveloka</v>
      </c>
      <c r="U52" s="21" t="str">
        <f>IFERROR(__xludf.DUMMYFUNCTION("""COMPUTED_VALUE"""),"https://techcombank.com/thong-tin/blog/tiet-kiem-khi-di-du-lich")</f>
        <v>https://techcombank.com/thong-tin/blog/tiet-kiem-khi-di-du-lich</v>
      </c>
      <c r="V52" s="16" t="str">
        <f>IFERROR(__xludf.DUMMYFUNCTION("""COMPUTED_VALUE"""),"cách lấy voucher Traveloka")</f>
        <v>cách lấy voucher Traveloka</v>
      </c>
      <c r="W52" s="21" t="str">
        <f>IFERROR(__xludf.DUMMYFUNCTION("""COMPUTED_VALUE"""),"https://techcombank.com/thong-tin/blog/giam-gia-be")</f>
        <v>https://techcombank.com/thong-tin/blog/giam-gia-be</v>
      </c>
      <c r="X52" s="16" t="str">
        <f>IFERROR(__xludf.DUMMYFUNCTION("""COMPUTED_VALUE"""),"voucher Traveloka")</f>
        <v>voucher Traveloka</v>
      </c>
      <c r="Y52" s="21" t="str">
        <f>IFERROR(__xludf.DUMMYFUNCTION("""COMPUTED_VALUE"""),"https://techcombank.com/thong-tin/blog/4p-pizza")</f>
        <v>https://techcombank.com/thong-tin/blog/4p-pizza</v>
      </c>
      <c r="Z52" s="16" t="str">
        <f>IFERROR(__xludf.DUMMYFUNCTION("""COMPUTED_VALUE"""),"cách lấy voucher Traveloka")</f>
        <v>cách lấy voucher Traveloka</v>
      </c>
      <c r="AA52" s="21" t="str">
        <f>IFERROR(__xludf.DUMMYFUNCTION("""COMPUTED_VALUE"""),"https://techcombank.com/thong-tin/blog/doi-dam-bay")</f>
        <v>https://techcombank.com/thong-tin/blog/doi-dam-bay</v>
      </c>
      <c r="AB52" s="16" t="str">
        <f>IFERROR(__xludf.DUMMYFUNCTION("""COMPUTED_VALUE"""),"voucher Traveloka")</f>
        <v>voucher Traveloka</v>
      </c>
      <c r="AC52" s="21" t="str">
        <f>IFERROR(__xludf.DUMMYFUNCTION("""COMPUTED_VALUE"""),"https://techcombank.com/thong-tin/blog/voucher-the-coffee-house")</f>
        <v>https://techcombank.com/thong-tin/blog/voucher-the-coffee-house</v>
      </c>
      <c r="AD52" s="16" t="str">
        <f>IFERROR(__xludf.DUMMYFUNCTION("""COMPUTED_VALUE"""),"cách lấy voucher Traveloka")</f>
        <v>cách lấy voucher Traveloka</v>
      </c>
      <c r="AE52" s="21" t="str">
        <f>IFERROR(__xludf.DUMMYFUNCTION("""COMPUTED_VALUE"""),"https://techcombank.com/thong-tin/blog/yakimono")</f>
        <v>https://techcombank.com/thong-tin/blog/yakimono</v>
      </c>
      <c r="AF52" s="16" t="str">
        <f>IFERROR(__xludf.DUMMYFUNCTION("""COMPUTED_VALUE"""),"voucher Traveloka")</f>
        <v>voucher Traveloka</v>
      </c>
      <c r="AG52" s="21" t="str">
        <f>IFERROR(__xludf.DUMMYFUNCTION("""COMPUTED_VALUE"""),"https://techcombank.com/thong-tin/blog/chixmax")</f>
        <v>https://techcombank.com/thong-tin/blog/chixmax</v>
      </c>
      <c r="AH52" s="16" t="str">
        <f>IFERROR(__xludf.DUMMYFUNCTION("""COMPUTED_VALUE"""),"cách lấy voucher Traveloka")</f>
        <v>cách lấy voucher Traveloka</v>
      </c>
      <c r="AI52" s="21" t="str">
        <f>IFERROR(__xludf.DUMMYFUNCTION("""COMPUTED_VALUE"""),"https://techcombank.com/thong-tin/blog/kichi-kichi")</f>
        <v>https://techcombank.com/thong-tin/blog/kichi-kichi</v>
      </c>
      <c r="AJ52" s="16" t="str">
        <f>IFERROR(__xludf.DUMMYFUNCTION("""COMPUTED_VALUE"""),"voucher Traveloka")</f>
        <v>voucher Traveloka</v>
      </c>
      <c r="AK52" s="21" t="str">
        <f>IFERROR(__xludf.DUMMYFUNCTION("""COMPUTED_VALUE"""),"https://techcombank.com/thong-tin/blog/ma-giam-gia-shopee")</f>
        <v>https://techcombank.com/thong-tin/blog/ma-giam-gia-shopee</v>
      </c>
      <c r="AL52" s="16" t="str">
        <f>IFERROR(__xludf.DUMMYFUNCTION("""COMPUTED_VALUE"""),"cách lấy voucher Traveloka")</f>
        <v>cách lấy voucher Traveloka</v>
      </c>
      <c r="AM52" s="21" t="str">
        <f>IFERROR(__xludf.DUMMYFUNCTION("""COMPUTED_VALUE"""),"https://techcombank.com/thong-tin/blog/voucher-starbucks")</f>
        <v>https://techcombank.com/thong-tin/blog/voucher-starbucks</v>
      </c>
      <c r="AN52" s="16" t="str">
        <f>IFERROR(__xludf.DUMMYFUNCTION("""COMPUTED_VALUE"""),"voucher Traveloka")</f>
        <v>voucher Traveloka</v>
      </c>
      <c r="AO52" s="21" t="str">
        <f>IFERROR(__xludf.DUMMYFUNCTION("""COMPUTED_VALUE"""),"https://techcombank.com/thong-tin/blog/voucher-cgv")</f>
        <v>https://techcombank.com/thong-tin/blog/voucher-cgv</v>
      </c>
      <c r="AP52" s="16" t="str">
        <f>IFERROR(__xludf.DUMMYFUNCTION("""COMPUTED_VALUE"""),"cách lấy voucher Traveloka")</f>
        <v>cách lấy voucher Traveloka</v>
      </c>
      <c r="AQ52" s="21" t="str">
        <f>IFERROR(__xludf.DUMMYFUNCTION("""COMPUTED_VALUE"""),"https://techcombank.com/thong-tin/blog/cua-hang-tien-loi")</f>
        <v>https://techcombank.com/thong-tin/blog/cua-hang-tien-loi</v>
      </c>
      <c r="AR52" s="16" t="str">
        <f>IFERROR(__xludf.DUMMYFUNCTION("""COMPUTED_VALUE"""),"voucher Traveloka")</f>
        <v>voucher Traveloka</v>
      </c>
      <c r="AS52" s="21" t="str">
        <f>IFERROR(__xludf.DUMMYFUNCTION("""COMPUTED_VALUE"""),"https://techcombank.com/thong-tin/blog/voucher-highland")</f>
        <v>https://techcombank.com/thong-tin/blog/voucher-highland</v>
      </c>
      <c r="AT52" s="16" t="str">
        <f>IFERROR(__xludf.DUMMYFUNCTION("""COMPUTED_VALUE"""),"cách lấy voucher Traveloka")</f>
        <v>cách lấy voucher Traveloka</v>
      </c>
      <c r="AU52" s="21" t="str">
        <f>IFERROR(__xludf.DUMMYFUNCTION("""COMPUTED_VALUE"""),"https://techcombank.com/thong-tin/blog/ma-giam-xanh-sm")</f>
        <v>https://techcombank.com/thong-tin/blog/ma-giam-xanh-sm</v>
      </c>
      <c r="AV52" s="16" t="str">
        <f>IFERROR(__xludf.DUMMYFUNCTION("""COMPUTED_VALUE"""),"voucher Traveloka")</f>
        <v>voucher Traveloka</v>
      </c>
      <c r="AW52" s="21" t="str">
        <f>IFERROR(__xludf.DUMMYFUNCTION("""COMPUTED_VALUE"""),"https://techcombank.com/thong-tin/blog/voucher-kfc")</f>
        <v>https://techcombank.com/thong-tin/blog/voucher-kfc</v>
      </c>
      <c r="AX52" s="16" t="str">
        <f>IFERROR(__xludf.DUMMYFUNCTION("""COMPUTED_VALUE"""),"cách lấy voucher Traveloka")</f>
        <v>cách lấy voucher Traveloka</v>
      </c>
      <c r="AY52" s="21" t="str">
        <f>IFERROR(__xludf.DUMMYFUNCTION("""COMPUTED_VALUE"""),"https://techcombank.com/thong-tin/blog/mr-eco")</f>
        <v>https://techcombank.com/thong-tin/blog/mr-eco</v>
      </c>
      <c r="AZ52" s="16" t="str">
        <f>IFERROR(__xludf.DUMMYFUNCTION("""COMPUTED_VALUE"""),"voucher Traveloka")</f>
        <v>voucher Traveloka</v>
      </c>
      <c r="BA52" s="21" t="str">
        <f>IFERROR(__xludf.DUMMYFUNCTION("""COMPUTED_VALUE"""),"https://techcombank.com/thong-tin/blog/voucher-phuc-long")</f>
        <v>https://techcombank.com/thong-tin/blog/voucher-phuc-long</v>
      </c>
      <c r="BB52" s="16" t="str">
        <f>IFERROR(__xludf.DUMMYFUNCTION("""COMPUTED_VALUE"""),"cách lấy voucher Traveloka")</f>
        <v>cách lấy voucher Traveloka</v>
      </c>
      <c r="BC52" s="21" t="str">
        <f>IFERROR(__xludf.DUMMYFUNCTION("""COMPUTED_VALUE"""),"https://techcombank.com/thong-tin/blog/voucher-grab")</f>
        <v>https://techcombank.com/thong-tin/blog/voucher-grab</v>
      </c>
      <c r="BD52" s="16" t="str">
        <f>IFERROR(__xludf.DUMMYFUNCTION("""COMPUTED_VALUE"""),"voucher Traveloka")</f>
        <v>voucher Traveloka</v>
      </c>
      <c r="BE52" s="21" t="str">
        <f>IFERROR(__xludf.DUMMYFUNCTION("""COMPUTED_VALUE"""),"https://techcombank.com/thong-tin/blog/dat-xe-xanh-sm")</f>
        <v>https://techcombank.com/thong-tin/blog/dat-xe-xanh-sm</v>
      </c>
      <c r="BF52" s="16" t="str">
        <f>IFERROR(__xludf.DUMMYFUNCTION("""COMPUTED_VALUE"""),"cách lấy voucher Traveloka")</f>
        <v>cách lấy voucher Traveloka</v>
      </c>
      <c r="BG52" s="21" t="str">
        <f>IFERROR(__xludf.DUMMYFUNCTION("""COMPUTED_VALUE"""),"https://techcombank.com/thong-tin/blog/shang-chi")</f>
        <v>https://techcombank.com/thong-tin/blog/shang-chi</v>
      </c>
      <c r="BH52" s="16" t="str">
        <f>IFERROR(__xludf.DUMMYFUNCTION("""COMPUTED_VALUE"""),"voucher Traveloka")</f>
        <v>voucher Traveloka</v>
      </c>
      <c r="BI52" s="21" t="str">
        <f>IFERROR(__xludf.DUMMYFUNCTION("""COMPUTED_VALUE"""),"https://techcombank.com/thong-tin/blog/tous-les-jours")</f>
        <v>https://techcombank.com/thong-tin/blog/tous-les-jours</v>
      </c>
      <c r="BJ52" s="16" t="str">
        <f>IFERROR(__xludf.DUMMYFUNCTION("""COMPUTED_VALUE"""),"cách lấy voucher Traveloka")</f>
        <v>cách lấy voucher Traveloka</v>
      </c>
      <c r="BK52" s="21" t="str">
        <f>IFERROR(__xludf.DUMMYFUNCTION("""COMPUTED_VALUE"""),"https://techcombank.com/thong-tin/blog/woomaster")</f>
        <v>https://techcombank.com/thong-tin/blog/woomaster</v>
      </c>
      <c r="BL52" s="16" t="str">
        <f>IFERROR(__xludf.DUMMYFUNCTION("""COMPUTED_VALUE"""),"voucher Traveloka")</f>
        <v>voucher Traveloka</v>
      </c>
      <c r="BM52" s="21" t="str">
        <f>IFERROR(__xludf.DUMMYFUNCTION("""COMPUTED_VALUE"""),"https://techcombank.com/thong-tin/blog/voucher-xanh-sm")</f>
        <v>https://techcombank.com/thong-tin/blog/voucher-xanh-sm</v>
      </c>
      <c r="BN52" s="16" t="str">
        <f>IFERROR(__xludf.DUMMYFUNCTION("""COMPUTED_VALUE"""),"cách lấy voucher Traveloka")</f>
        <v>cách lấy voucher Traveloka</v>
      </c>
      <c r="BO52" s="21" t="str">
        <f>IFERROR(__xludf.DUMMYFUNCTION("""COMPUTED_VALUE"""),"https://techcombank.com/thong-tin/blog/diem-loyalty-la-gi")</f>
        <v>https://techcombank.com/thong-tin/blog/diem-loyalty-la-gi</v>
      </c>
      <c r="BP52" s="16" t="str">
        <f>IFERROR(__xludf.DUMMYFUNCTION("""COMPUTED_VALUE"""),"voucher Traveloka")</f>
        <v>voucher Traveloka</v>
      </c>
      <c r="BQ52" s="21" t="str">
        <f>IFERROR(__xludf.DUMMYFUNCTION("""COMPUTED_VALUE"""),"https://techcombank.com/thong-tin/blog/thanh-toan-ve-may-bay-online")</f>
        <v>https://techcombank.com/thong-tin/blog/thanh-toan-ve-may-bay-online</v>
      </c>
      <c r="BR52" s="16" t="str">
        <f>IFERROR(__xludf.DUMMYFUNCTION("""COMPUTED_VALUE"""),"cách lấy voucher Traveloka")</f>
        <v>cách lấy voucher Traveloka</v>
      </c>
      <c r="BS52" s="21" t="str">
        <f>IFERROR(__xludf.DUMMYFUNCTION("""COMPUTED_VALUE"""),"https://techcombank.com/thong-tin/blog/uu-dai-mua-ve-may-bay-bang-the-tin-dung")</f>
        <v>https://techcombank.com/thong-tin/blog/uu-dai-mua-ve-may-bay-bang-the-tin-dung</v>
      </c>
      <c r="BT52" s="16" t="str">
        <f>IFERROR(__xludf.DUMMYFUNCTION("""COMPUTED_VALUE"""),"voucher Traveloka")</f>
        <v>voucher Traveloka</v>
      </c>
      <c r="BU52" s="21" t="str">
        <f>IFERROR(__xludf.DUMMYFUNCTION("""COMPUTED_VALUE"""),"https://techcombank.com/thong-tin/blog/dac-san-hai-phong")</f>
        <v>https://techcombank.com/thong-tin/blog/dac-san-hai-phong</v>
      </c>
      <c r="BV52" s="16" t="str">
        <f>IFERROR(__xludf.DUMMYFUNCTION("""COMPUTED_VALUE"""),"cách lấy voucher Traveloka")</f>
        <v>cách lấy voucher Traveloka</v>
      </c>
      <c r="BW52" s="21" t="str">
        <f>IFERROR(__xludf.DUMMYFUNCTION("""COMPUTED_VALUE"""),"https://techcombank.com/thong-tin/blog/bao-hiem-du-lich-quoc-te-nao-tot")</f>
        <v>https://techcombank.com/thong-tin/blog/bao-hiem-du-lich-quoc-te-nao-tot</v>
      </c>
      <c r="BX52" s="16" t="str">
        <f>IFERROR(__xludf.DUMMYFUNCTION("""COMPUTED_VALUE"""),"voucher Traveloka")</f>
        <v>voucher Traveloka</v>
      </c>
      <c r="BY52" s="21" t="str">
        <f>IFERROR(__xludf.DUMMYFUNCTION("""COMPUTED_VALUE"""),"https://techcombank.com/thong-tin/blog/dac-san-ha-long")</f>
        <v>https://techcombank.com/thong-tin/blog/dac-san-ha-long</v>
      </c>
      <c r="BZ52" s="16" t="str">
        <f>IFERROR(__xludf.DUMMYFUNCTION("""COMPUTED_VALUE"""),"cách lấy voucher Traveloka")</f>
        <v>cách lấy voucher Traveloka</v>
      </c>
      <c r="CA52" s="21" t="str">
        <f>IFERROR(__xludf.DUMMYFUNCTION("""COMPUTED_VALUE"""),"https://techcombank.com/thong-tin/blog/minigame-world-cup")</f>
        <v>https://techcombank.com/thong-tin/blog/minigame-world-cup</v>
      </c>
      <c r="CB52" s="16" t="str">
        <f>IFERROR(__xludf.DUMMYFUNCTION("""COMPUTED_VALUE"""),"voucher Traveloka")</f>
        <v>voucher Traveloka</v>
      </c>
      <c r="CC52" s="21" t="str">
        <f>IFERROR(__xludf.DUMMYFUNCTION("""COMPUTED_VALUE"""),"https://techcombank.com/thong-tin/blog/voucher-winmart")</f>
        <v>https://techcombank.com/thong-tin/blog/voucher-winmart</v>
      </c>
      <c r="CD52" s="16" t="str">
        <f>IFERROR(__xludf.DUMMYFUNCTION("""COMPUTED_VALUE"""),"cách lấy voucher Traveloka")</f>
        <v>cách lấy voucher Traveloka</v>
      </c>
      <c r="CE52" s="21" t="str">
        <f>IFERROR(__xludf.DUMMYFUNCTION("""COMPUTED_VALUE"""),"https://techcombank.com/thong-tin/blog/bao-hiem-hanh-ly")</f>
        <v>https://techcombank.com/thong-tin/blog/bao-hiem-hanh-ly</v>
      </c>
      <c r="CF52" s="16" t="str">
        <f>IFERROR(__xludf.DUMMYFUNCTION("""COMPUTED_VALUE"""),"voucher Traveloka")</f>
        <v>voucher Traveloka</v>
      </c>
      <c r="CG52" s="21" t="str">
        <f>IFERROR(__xludf.DUMMYFUNCTION("""COMPUTED_VALUE"""),"https://techcombank.com/thong-tin/blog/dac-san-da-nang")</f>
        <v>https://techcombank.com/thong-tin/blog/dac-san-da-nang</v>
      </c>
      <c r="CH52" s="16" t="str">
        <f>IFERROR(__xludf.DUMMYFUNCTION("""COMPUTED_VALUE"""),"cách lấy voucher Traveloka")</f>
        <v>cách lấy voucher Traveloka</v>
      </c>
      <c r="CI52" s="21" t="str">
        <f>IFERROR(__xludf.DUMMYFUNCTION("""COMPUTED_VALUE"""),"https://techcombank.com/thong-tin/blog/dac-san-nha-trang")</f>
        <v>https://techcombank.com/thong-tin/blog/dac-san-nha-trang</v>
      </c>
      <c r="CJ52" s="16" t="str">
        <f>IFERROR(__xludf.DUMMYFUNCTION("""COMPUTED_VALUE"""),"voucher Traveloka")</f>
        <v>voucher Traveloka</v>
      </c>
      <c r="CK52" s="21" t="str">
        <f>IFERROR(__xludf.DUMMYFUNCTION("""COMPUTED_VALUE"""),"https://techcombank.com/thong-tin/blog/ban-do-du-lich")</f>
        <v>https://techcombank.com/thong-tin/blog/ban-do-du-lich</v>
      </c>
      <c r="CL52" s="16" t="str">
        <f>IFERROR(__xludf.DUMMYFUNCTION("""COMPUTED_VALUE"""),"cách lấy voucher Traveloka")</f>
        <v>cách lấy voucher Traveloka</v>
      </c>
      <c r="CM52" s="21" t="str">
        <f>IFERROR(__xludf.DUMMYFUNCTION("""COMPUTED_VALUE"""),"https://techcombank.com/thong-tin/blog/bib-techcombank")</f>
        <v>https://techcombank.com/thong-tin/blog/bib-techcombank</v>
      </c>
      <c r="CN52" s="16" t="str">
        <f>IFERROR(__xludf.DUMMYFUNCTION("""COMPUTED_VALUE"""),"voucher Traveloka")</f>
        <v>voucher Traveloka</v>
      </c>
      <c r="CO52" s="21" t="str">
        <f>IFERROR(__xludf.DUMMYFUNCTION("""COMPUTED_VALUE"""),"https://techcombank.com/thong-tin/blog/giao-thong-xanh")</f>
        <v>https://techcombank.com/thong-tin/blog/giao-thong-xanh</v>
      </c>
      <c r="CP52" s="16" t="str">
        <f>IFERROR(__xludf.DUMMYFUNCTION("""COMPUTED_VALUE"""),"cách lấy voucher Traveloka")</f>
        <v>cách lấy voucher Traveloka</v>
      </c>
      <c r="CQ52" s="21" t="str">
        <f>IFERROR(__xludf.DUMMYFUNCTION("""COMPUTED_VALUE"""),"https://techcombank.com/thong-tin/blog/voucher-jollibee")</f>
        <v>https://techcombank.com/thong-tin/blog/voucher-jollibee</v>
      </c>
      <c r="CR52" s="16" t="str">
        <f>IFERROR(__xludf.DUMMYFUNCTION("""COMPUTED_VALUE"""),"voucher Traveloka")</f>
        <v>voucher Traveloka</v>
      </c>
      <c r="CS52" s="21" t="str">
        <f>IFERROR(__xludf.DUMMYFUNCTION("""COMPUTED_VALUE"""),"https://techcombank.com/thong-tin/blog/voucher-the-pizza-company")</f>
        <v>https://techcombank.com/thong-tin/blog/voucher-the-pizza-company</v>
      </c>
      <c r="CT52" s="16" t="str">
        <f>IFERROR(__xludf.DUMMYFUNCTION("""COMPUTED_VALUE"""),"cách lấy voucher Traveloka")</f>
        <v>cách lấy voucher Traveloka</v>
      </c>
      <c r="CU52" s="21" t="str">
        <f>IFERROR(__xludf.DUMMYFUNCTION("""COMPUTED_VALUE"""),"https://techcombank.com/thong-tin/blog/ma-giam-gia-phela")</f>
        <v>https://techcombank.com/thong-tin/blog/ma-giam-gia-phela</v>
      </c>
      <c r="CV52" s="16" t="str">
        <f>IFERROR(__xludf.DUMMYFUNCTION("""COMPUTED_VALUE"""),"voucher Traveloka")</f>
        <v>voucher Traveloka</v>
      </c>
      <c r="CW52" s="21" t="str">
        <f>IFERROR(__xludf.DUMMYFUNCTION("""COMPUTED_VALUE"""),"https://techcombank.com/thong-tin/blog/voucher-golden-gate")</f>
        <v>https://techcombank.com/thong-tin/blog/voucher-golden-gate</v>
      </c>
      <c r="CX52" s="16" t="str">
        <f>IFERROR(__xludf.DUMMYFUNCTION("""COMPUTED_VALUE"""),"cách lấy voucher Traveloka")</f>
        <v>cách lấy voucher Traveloka</v>
      </c>
      <c r="CY52" s="21" t="str">
        <f>IFERROR(__xludf.DUMMYFUNCTION("""COMPUTED_VALUE"""),"https://techcombank.com/thong-tin/blog/voucher-coopmart")</f>
        <v>https://techcombank.com/thong-tin/blog/voucher-coopmart</v>
      </c>
      <c r="CZ52" s="16" t="str">
        <f>IFERROR(__xludf.DUMMYFUNCTION("""COMPUTED_VALUE"""),"voucher Traveloka")</f>
        <v>voucher Traveloka</v>
      </c>
      <c r="DA52" s="21" t="str">
        <f>IFERROR(__xludf.DUMMYFUNCTION("""COMPUTED_VALUE"""),"https://techcombank.com/thong-tin/blog/the-tin-dung-vip")</f>
        <v>https://techcombank.com/thong-tin/blog/the-tin-dung-vip</v>
      </c>
      <c r="DB52" s="16" t="str">
        <f>IFERROR(__xludf.DUMMYFUNCTION("""COMPUTED_VALUE"""),"cách lấy voucher Traveloka")</f>
        <v>cách lấy voucher Traveloka</v>
      </c>
      <c r="DC52" s="21" t="str">
        <f>IFERROR(__xludf.DUMMYFUNCTION("""COMPUTED_VALUE"""),"https://techcombank.com/thong-tin/blog/ma-giam-gia-al-frescos")</f>
        <v>https://techcombank.com/thong-tin/blog/ma-giam-gia-al-frescos</v>
      </c>
      <c r="DD52" s="16" t="str">
        <f>IFERROR(__xludf.DUMMYFUNCTION("""COMPUTED_VALUE"""),"voucher Traveloka")</f>
        <v>voucher Traveloka</v>
      </c>
      <c r="DE52" s="21" t="str">
        <f>IFERROR(__xludf.DUMMYFUNCTION("""COMPUTED_VALUE"""),"https://techcombank.com/thong-tin/blog/voucher-katinat")</f>
        <v>https://techcombank.com/thong-tin/blog/voucher-katinat</v>
      </c>
      <c r="DF52" s="16" t="str">
        <f>IFERROR(__xludf.DUMMYFUNCTION("""COMPUTED_VALUE"""),"cách lấy voucher Traveloka")</f>
        <v>cách lấy voucher Traveloka</v>
      </c>
      <c r="DG52" s="21" t="str">
        <f>IFERROR(__xludf.DUMMYFUNCTION("""COMPUTED_VALUE"""),"https://techcombank.com/thong-tin/blog/oneu")</f>
        <v>https://techcombank.com/thong-tin/blog/oneu</v>
      </c>
      <c r="DH52" s="16" t="str">
        <f>IFERROR(__xludf.DUMMYFUNCTION("""COMPUTED_VALUE"""),"voucher Traveloka")</f>
        <v>voucher Traveloka</v>
      </c>
      <c r="DI52" s="21" t="str">
        <f>IFERROR(__xludf.DUMMYFUNCTION("""COMPUTED_VALUE"""),"https://techcombank.com/thong-tin/blog/cach-huy-thanh-toan-tien-dien")</f>
        <v>https://techcombank.com/thong-tin/blog/cach-huy-thanh-toan-tien-dien</v>
      </c>
      <c r="DJ52" s="16" t="str">
        <f>IFERROR(__xludf.DUMMYFUNCTION("""COMPUTED_VALUE"""),"cách lấy voucher Traveloka")</f>
        <v>cách lấy voucher Traveloka</v>
      </c>
      <c r="DK52" s="21" t="str">
        <f>IFERROR(__xludf.DUMMYFUNCTION("""COMPUTED_VALUE"""),"https://techcombank.com/thong-tin/blog/thanh-toan-bang-the-quoc-te")</f>
        <v>https://techcombank.com/thong-tin/blog/thanh-toan-bang-the-quoc-te</v>
      </c>
      <c r="DL52" s="16" t="str">
        <f>IFERROR(__xludf.DUMMYFUNCTION("""COMPUTED_VALUE"""),"voucher Traveloka")</f>
        <v>voucher Traveloka</v>
      </c>
      <c r="DM52" s="21" t="str">
        <f>IFERROR(__xludf.DUMMYFUNCTION("""COMPUTED_VALUE"""),"https://techcombank.com/thong-tin/blog/han-muc-mua-ngoai-te-khi-di-du-lich")</f>
        <v>https://techcombank.com/thong-tin/blog/han-muc-mua-ngoai-te-khi-di-du-lich</v>
      </c>
      <c r="DN52" s="16" t="str">
        <f>IFERROR(__xludf.DUMMYFUNCTION("""COMPUTED_VALUE"""),"cách lấy voucher Traveloka")</f>
        <v>cách lấy voucher Traveloka</v>
      </c>
      <c r="DO52" s="21" t="str">
        <f>IFERROR(__xludf.DUMMYFUNCTION("""COMPUTED_VALUE"""),"https://techcombank.com/thong-tin/blog/chuong-trinh-khach-hang-than-thiet")</f>
        <v>https://techcombank.com/thong-tin/blog/chuong-trinh-khach-hang-than-thiet</v>
      </c>
      <c r="DP52" s="16" t="str">
        <f>IFERROR(__xludf.DUMMYFUNCTION("""COMPUTED_VALUE"""),"voucher Traveloka")</f>
        <v>voucher Traveloka</v>
      </c>
      <c r="DQ52" s="21" t="str">
        <f>IFERROR(__xludf.DUMMYFUNCTION("""COMPUTED_VALUE"""),"https://techcombank.com/thong-tin/blog/di-du-lich-nuoc-ngoai-can-chuan-bi-gi")</f>
        <v>https://techcombank.com/thong-tin/blog/di-du-lich-nuoc-ngoai-can-chuan-bi-gi</v>
      </c>
      <c r="DR52" s="16" t="str">
        <f>IFERROR(__xludf.DUMMYFUNCTION("""COMPUTED_VALUE"""),"cách lấy voucher Traveloka")</f>
        <v>cách lấy voucher Traveloka</v>
      </c>
      <c r="DS52" s="21" t="str">
        <f>IFERROR(__xludf.DUMMYFUNCTION("""COMPUTED_VALUE"""),"https://techcombank.com/thong-tin/blog/thanh-toan-khi-du-lich-han-quoc")</f>
        <v>https://techcombank.com/thong-tin/blog/thanh-toan-khi-du-lich-han-quoc</v>
      </c>
      <c r="DT52" s="16" t="str">
        <f>IFERROR(__xludf.DUMMYFUNCTION("""COMPUTED_VALUE"""),"voucher Traveloka")</f>
        <v>voucher Traveloka</v>
      </c>
      <c r="DU52" s="21" t="str">
        <f>IFERROR(__xludf.DUMMYFUNCTION("""COMPUTED_VALUE"""),"https://techcombank.com/thong-tin/blog/thanh-toan-khi-du-lich-nhat-ban")</f>
        <v>https://techcombank.com/thong-tin/blog/thanh-toan-khi-du-lich-nhat-ban</v>
      </c>
      <c r="DV52" s="16" t="str">
        <f>IFERROR(__xludf.DUMMYFUNCTION("""COMPUTED_VALUE"""),"cách lấy voucher Traveloka")</f>
        <v>cách lấy voucher Traveloka</v>
      </c>
      <c r="DW52" s="21" t="str">
        <f>IFERROR(__xludf.DUMMYFUNCTION("""COMPUTED_VALUE"""),"https://techcombank.com/thong-tin/blog/thanh-toan-khi-du-lich-hong-kong")</f>
        <v>https://techcombank.com/thong-tin/blog/thanh-toan-khi-du-lich-hong-kong</v>
      </c>
      <c r="DX52" s="16" t="str">
        <f>IFERROR(__xludf.DUMMYFUNCTION("""COMPUTED_VALUE"""),"voucher Traveloka")</f>
        <v>voucher Traveloka</v>
      </c>
      <c r="DY52" s="21" t="str">
        <f>IFERROR(__xludf.DUMMYFUNCTION("""COMPUTED_VALUE"""),"https://techcombank.com/thong-tin/blog/thanh-toan-khi-du-lich-trung-quoc")</f>
        <v>https://techcombank.com/thong-tin/blog/thanh-toan-khi-du-lich-trung-quoc</v>
      </c>
      <c r="DZ52" s="16" t="str">
        <f>IFERROR(__xludf.DUMMYFUNCTION("""COMPUTED_VALUE"""),"cách lấy voucher Traveloka")</f>
        <v>cách lấy voucher Traveloka</v>
      </c>
      <c r="EA52" s="21" t="str">
        <f>IFERROR(__xludf.DUMMYFUNCTION("""COMPUTED_VALUE"""),"https://techcombank.com/thong-tin/blog/thanh-toan-khi-du-lich-thai-lan")</f>
        <v>https://techcombank.com/thong-tin/blog/thanh-toan-khi-du-lich-thai-lan</v>
      </c>
      <c r="EB52" s="16" t="str">
        <f>IFERROR(__xludf.DUMMYFUNCTION("""COMPUTED_VALUE"""),"voucher Traveloka")</f>
        <v>voucher Traveloka</v>
      </c>
      <c r="EC52" s="21" t="str">
        <f>IFERROR(__xludf.DUMMYFUNCTION("""COMPUTED_VALUE"""),"https://techcombank.com/thong-tin/blog/thanh-toan-khi-du-lich-singapore")</f>
        <v>https://techcombank.com/thong-tin/blog/thanh-toan-khi-du-lich-singapore</v>
      </c>
      <c r="ED52" s="16" t="str">
        <f>IFERROR(__xludf.DUMMYFUNCTION("""COMPUTED_VALUE"""),"cách lấy voucher Traveloka")</f>
        <v>cách lấy voucher Traveloka</v>
      </c>
      <c r="EE52" s="21" t="str">
        <f>IFERROR(__xludf.DUMMYFUNCTION("""COMPUTED_VALUE"""),"https://techcombank.com/thong-tin/blog/100-riel-bang-bao-nhieu-tien-viet-nam")</f>
        <v>https://techcombank.com/thong-tin/blog/100-riel-bang-bao-nhieu-tien-viet-nam</v>
      </c>
      <c r="EF52" s="16" t="str">
        <f>IFERROR(__xludf.DUMMYFUNCTION("""COMPUTED_VALUE"""),"voucher Traveloka")</f>
        <v>voucher Traveloka</v>
      </c>
      <c r="EG52" s="21" t="str">
        <f>IFERROR(__xludf.DUMMYFUNCTION("""COMPUTED_VALUE"""),"https://techcombank.com/thong-tin/blog/tien-indonesia")</f>
        <v>https://techcombank.com/thong-tin/blog/tien-indonesia</v>
      </c>
      <c r="EH52" s="16"/>
      <c r="EI52" s="16"/>
      <c r="EJ52" s="16"/>
      <c r="EK52" s="16"/>
      <c r="EL52" s="16"/>
      <c r="EM52" s="16"/>
      <c r="EN52" s="16"/>
      <c r="EO52" s="16"/>
      <c r="EP52" s="16"/>
      <c r="EQ52" s="16"/>
      <c r="ER52" s="16"/>
      <c r="ES52" s="16"/>
      <c r="ET52" s="16"/>
      <c r="EU52" s="16"/>
      <c r="EV52" s="16"/>
      <c r="EW52" s="16"/>
      <c r="EX52" s="16"/>
      <c r="EY52" s="16"/>
      <c r="EZ52" s="16"/>
      <c r="FA52" s="16"/>
      <c r="FB52" s="16"/>
      <c r="FC52" s="16"/>
      <c r="FD52" s="16"/>
      <c r="FE52" s="16"/>
      <c r="FF52" s="16"/>
      <c r="FG52" s="16"/>
      <c r="FH52" s="16"/>
      <c r="FI52" s="16"/>
      <c r="FJ52" s="16"/>
      <c r="FK52" s="16"/>
      <c r="FL52" s="16"/>
      <c r="FM52" s="16"/>
      <c r="FN52" s="16"/>
      <c r="FO52" s="16"/>
      <c r="FP52" s="16"/>
      <c r="FQ52" s="16"/>
      <c r="FR52" s="16"/>
      <c r="FS52" s="16"/>
      <c r="FT52" s="16"/>
      <c r="FU52" s="16"/>
      <c r="FV52" s="16"/>
      <c r="FW52" s="16"/>
      <c r="FX52" s="16"/>
      <c r="FY52" s="16"/>
      <c r="FZ52" s="16"/>
      <c r="GA52" s="16"/>
      <c r="GB52" s="16"/>
      <c r="GC52" s="16"/>
      <c r="GD52" s="16"/>
      <c r="GE52" s="16"/>
      <c r="GF52" s="16"/>
      <c r="GG52" s="16"/>
      <c r="GH52" s="16"/>
      <c r="GI52" s="16"/>
      <c r="GJ52" s="16"/>
      <c r="GK52" s="16"/>
      <c r="GL52" s="16"/>
      <c r="GM52" s="16"/>
      <c r="GN52" s="16"/>
      <c r="GO52" s="16"/>
    </row>
    <row r="53" ht="18.0" customHeight="1">
      <c r="A53" s="15">
        <v>52.0</v>
      </c>
      <c r="B53" s="16" t="s">
        <v>1179</v>
      </c>
      <c r="C53" s="17" t="s">
        <v>1183</v>
      </c>
      <c r="D53" s="16" t="s">
        <v>339</v>
      </c>
      <c r="E53" s="15">
        <f>COUNTIF('Tổng hợp 75 trang đích'!$B$2:$B$2505,$D53)</f>
        <v>85</v>
      </c>
      <c r="F53" s="15">
        <f>COUNTIFS('Tổng hợp 75 trang đích'!$B$2:$B$2505,$D53,'Tổng hợp 75 trang đích'!$K$2:$K$2505,"PHÙ HỢP CAO")</f>
        <v>4</v>
      </c>
      <c r="G53" s="15">
        <f>COUNTIFS('Tổng hợp 75 trang đích'!$B$2:$B$2505,$D53,'Tổng hợp 75 trang đích'!$K$2:$K$2505,"CÓ THỂ ĐI")</f>
        <v>1</v>
      </c>
      <c r="H53" s="15">
        <f>COUNTIFS('Tổng hợp 75 trang đích'!$B$2:$B$2505,$D53,'Tổng hợp 75 trang đích'!$K$2:$K$2505,"CẦN SOÁT")</f>
        <v>80</v>
      </c>
      <c r="I53" s="19" t="s">
        <v>256</v>
      </c>
      <c r="J53" s="19" t="b">
        <v>0</v>
      </c>
      <c r="K53" s="20" t="s">
        <v>258</v>
      </c>
      <c r="L53" s="16" t="str">
        <f>IFERROR(__xludf.DUMMYFUNCTION("IFERROR(TOROW(CHOOSECOLS(SORT(FILTER({'Tổng hợp 75 trang đích'!$J$2:$J$2505,'Tổng hợp 75 trang đích'!$I$2:$I$2505,MATCH('Tổng hợp 75 trang đích'!$K$2:$K$2505,{""PHÙ HỢP CAO"",""CÓ THỂ ĐI"",""CẦN SOÁT""},0)},'Tổng hợp 75 trang đích'!$B$2:$B$2505=$D53),3,TR"&amp;"UE),1,2)),"""")"),"thuế hộ kinh doanh")</f>
        <v>thuế hộ kinh doanh</v>
      </c>
      <c r="M53" s="21" t="str">
        <f>IFERROR(__xludf.DUMMYFUNCTION("""COMPUTED_VALUE"""),"https://techcombank.com/thong-tin/blog/ho-kinh-doanh-la-gi")</f>
        <v>https://techcombank.com/thong-tin/blog/ho-kinh-doanh-la-gi</v>
      </c>
      <c r="N53" s="16" t="str">
        <f>IFERROR(__xludf.DUMMYFUNCTION("""COMPUTED_VALUE"""),"hộ kinh doanh đóng thuế như thế nào")</f>
        <v>hộ kinh doanh đóng thuế như thế nào</v>
      </c>
      <c r="O53" s="21" t="str">
        <f>IFERROR(__xludf.DUMMYFUNCTION("""COMPUTED_VALUE"""),"https://techcombank.com/thong-tin/blog/thue-khoan-ho-kinh-doanh-la-gi")</f>
        <v>https://techcombank.com/thong-tin/blog/thue-khoan-ho-kinh-doanh-la-gi</v>
      </c>
      <c r="P53" s="16" t="str">
        <f>IFERROR(__xludf.DUMMYFUNCTION("""COMPUTED_VALUE"""),"thuế hộ kinh doanh")</f>
        <v>thuế hộ kinh doanh</v>
      </c>
      <c r="Q53" s="21" t="str">
        <f>IFERROR(__xludf.DUMMYFUNCTION("""COMPUTED_VALUE"""),"https://techcombank.com/thong-tin/blog/nhung-ho-kinh-doanh-duoc-mien-thue")</f>
        <v>https://techcombank.com/thong-tin/blog/nhung-ho-kinh-doanh-duoc-mien-thue</v>
      </c>
      <c r="R53" s="16" t="str">
        <f>IFERROR(__xludf.DUMMYFUNCTION("""COMPUTED_VALUE"""),"hộ kinh doanh đóng thuế như thế nào")</f>
        <v>hộ kinh doanh đóng thuế như thế nào</v>
      </c>
      <c r="S53" s="21" t="str">
        <f>IFERROR(__xludf.DUMMYFUNCTION("""COMPUTED_VALUE"""),"https://techcombank.com/thong-tin/blog/truy-thu-thue-ho-kinh-doanh")</f>
        <v>https://techcombank.com/thong-tin/blog/truy-thu-thue-ho-kinh-doanh</v>
      </c>
      <c r="T53" s="16" t="str">
        <f>IFERROR(__xludf.DUMMYFUNCTION("""COMPUTED_VALUE"""),"thuế hộ kinh doanh")</f>
        <v>thuế hộ kinh doanh</v>
      </c>
      <c r="U53" s="21" t="str">
        <f>IFERROR(__xludf.DUMMYFUNCTION("""COMPUTED_VALUE"""),"https://techcombank.com/thong-tin/blog/thue-ho-kinh-doanh-2025")</f>
        <v>https://techcombank.com/thong-tin/blog/thue-ho-kinh-doanh-2025</v>
      </c>
      <c r="V53" s="16" t="str">
        <f>IFERROR(__xludf.DUMMYFUNCTION("""COMPUTED_VALUE"""),"hộ kinh doanh đóng thuế như thế nào")</f>
        <v>hộ kinh doanh đóng thuế như thế nào</v>
      </c>
      <c r="W53" s="21" t="str">
        <f>IFERROR(__xludf.DUMMYFUNCTION("""COMPUTED_VALUE"""),"https://techcombank.com/thong-tin/blog/hoan-thue-doanh-nghiep")</f>
        <v>https://techcombank.com/thong-tin/blog/hoan-thue-doanh-nghiep</v>
      </c>
      <c r="X53" s="16" t="str">
        <f>IFERROR(__xludf.DUMMYFUNCTION("""COMPUTED_VALUE"""),"thuế hộ kinh doanh")</f>
        <v>thuế hộ kinh doanh</v>
      </c>
      <c r="Y53" s="21" t="str">
        <f>IFERROR(__xludf.DUMMYFUNCTION("""COMPUTED_VALUE"""),"https://techcombank.com/thong-tin/blog/thanh-lap-ho-kinh-doanh-ca-the")</f>
        <v>https://techcombank.com/thong-tin/blog/thanh-lap-ho-kinh-doanh-ca-the</v>
      </c>
      <c r="Z53" s="16" t="str">
        <f>IFERROR(__xludf.DUMMYFUNCTION("""COMPUTED_VALUE"""),"hộ kinh doanh đóng thuế như thế nào")</f>
        <v>hộ kinh doanh đóng thuế như thế nào</v>
      </c>
      <c r="AA53" s="21" t="str">
        <f>IFERROR(__xludf.DUMMYFUNCTION("""COMPUTED_VALUE"""),"https://techcombank.com/thong-tin/blog/thue-doanh-nghiep-2025")</f>
        <v>https://techcombank.com/thong-tin/blog/thue-doanh-nghiep-2025</v>
      </c>
      <c r="AB53" s="16" t="str">
        <f>IFERROR(__xludf.DUMMYFUNCTION("""COMPUTED_VALUE"""),"thuế hộ kinh doanh")</f>
        <v>thuế hộ kinh doanh</v>
      </c>
      <c r="AC53" s="21" t="str">
        <f>IFERROR(__xludf.DUMMYFUNCTION("""COMPUTED_VALUE"""),"https://techcombank.com/thong-tin/blog/cach-tao-ma-qr")</f>
        <v>https://techcombank.com/thong-tin/blog/cach-tao-ma-qr</v>
      </c>
      <c r="AD53" s="16" t="str">
        <f>IFERROR(__xludf.DUMMYFUNCTION("""COMPUTED_VALUE"""),"hộ kinh doanh đóng thuế như thế nào")</f>
        <v>hộ kinh doanh đóng thuế như thế nào</v>
      </c>
      <c r="AE53" s="21" t="str">
        <f>IFERROR(__xludf.DUMMYFUNCTION("""COMPUTED_VALUE"""),"https://techcombank.com/thong-tin/blog/cach-tinh-thue-ho-kinh-doanh-nho-le")</f>
        <v>https://techcombank.com/thong-tin/blog/cach-tinh-thue-ho-kinh-doanh-nho-le</v>
      </c>
      <c r="AF53" s="16" t="str">
        <f>IFERROR(__xludf.DUMMYFUNCTION("""COMPUTED_VALUE"""),"thuế hộ kinh doanh")</f>
        <v>thuế hộ kinh doanh</v>
      </c>
      <c r="AG53" s="21" t="str">
        <f>IFERROR(__xludf.DUMMYFUNCTION("""COMPUTED_VALUE"""),"https://techcombank.com/thong-tin/blog/loi-ich-khi-ho-kinh-doanh-chuyen-len-doanh-nghiep")</f>
        <v>https://techcombank.com/thong-tin/blog/loi-ich-khi-ho-kinh-doanh-chuyen-len-doanh-nghiep</v>
      </c>
      <c r="AH53" s="16" t="str">
        <f>IFERROR(__xludf.DUMMYFUNCTION("""COMPUTED_VALUE"""),"hộ kinh doanh đóng thuế như thế nào")</f>
        <v>hộ kinh doanh đóng thuế như thế nào</v>
      </c>
      <c r="AI53" s="21" t="str">
        <f>IFERROR(__xludf.DUMMYFUNCTION("""COMPUTED_VALUE"""),"https://techcombank.com/thong-tin/blog/tiem-nang-chuyen-doi-tu-ho-kinh-doanh-len-doanh-nghiep-sme")</f>
        <v>https://techcombank.com/thong-tin/blog/tiem-nang-chuyen-doi-tu-ho-kinh-doanh-len-doanh-nghiep-sme</v>
      </c>
      <c r="AJ53" s="16" t="str">
        <f>IFERROR(__xludf.DUMMYFUNCTION("""COMPUTED_VALUE"""),"thuế hộ kinh doanh")</f>
        <v>thuế hộ kinh doanh</v>
      </c>
      <c r="AK53" s="21" t="str">
        <f>IFERROR(__xludf.DUMMYFUNCTION("""COMPUTED_VALUE"""),"https://techcombank.com/thong-tin/blog/quyet-toan-thue-thu-nhap-ca-nhan")</f>
        <v>https://techcombank.com/thong-tin/blog/quyet-toan-thue-thu-nhap-ca-nhan</v>
      </c>
      <c r="AL53" s="16" t="str">
        <f>IFERROR(__xludf.DUMMYFUNCTION("""COMPUTED_VALUE"""),"hộ kinh doanh đóng thuế như thế nào")</f>
        <v>hộ kinh doanh đóng thuế như thế nào</v>
      </c>
      <c r="AM53" s="21" t="str">
        <f>IFERROR(__xludf.DUMMYFUNCTION("""COMPUTED_VALUE"""),"https://techcombank.com/thong-tin/blog/cach-tinh-thue-thu-nhap-doanh-nghiep")</f>
        <v>https://techcombank.com/thong-tin/blog/cach-tinh-thue-thu-nhap-doanh-nghiep</v>
      </c>
      <c r="AN53" s="16" t="str">
        <f>IFERROR(__xludf.DUMMYFUNCTION("""COMPUTED_VALUE"""),"thuế hộ kinh doanh")</f>
        <v>thuế hộ kinh doanh</v>
      </c>
      <c r="AO53" s="21" t="str">
        <f>IFERROR(__xludf.DUMMYFUNCTION("""COMPUTED_VALUE"""),"https://techcombank.com/thong-tin/blog/lai-suat-vay-kinh-doanh")</f>
        <v>https://techcombank.com/thong-tin/blog/lai-suat-vay-kinh-doanh</v>
      </c>
      <c r="AP53" s="16" t="str">
        <f>IFERROR(__xludf.DUMMYFUNCTION("""COMPUTED_VALUE"""),"hộ kinh doanh đóng thuế như thế nào")</f>
        <v>hộ kinh doanh đóng thuế như thế nào</v>
      </c>
      <c r="AQ53" s="21" t="str">
        <f>IFERROR(__xludf.DUMMYFUNCTION("""COMPUTED_VALUE"""),"https://techcombank.com/thong-tin/blog/khoi-nghiep-truoc-chinh-sach-thue-moi")</f>
        <v>https://techcombank.com/thong-tin/blog/khoi-nghiep-truoc-chinh-sach-thue-moi</v>
      </c>
      <c r="AR53" s="16" t="str">
        <f>IFERROR(__xludf.DUMMYFUNCTION("""COMPUTED_VALUE"""),"thuế hộ kinh doanh")</f>
        <v>thuế hộ kinh doanh</v>
      </c>
      <c r="AS53" s="21" t="str">
        <f>IFERROR(__xludf.DUMMYFUNCTION("""COMPUTED_VALUE"""),"https://techcombank.com/thong-tin/blog/cach-tra-cuu-hoa-don-dien-tu")</f>
        <v>https://techcombank.com/thong-tin/blog/cach-tra-cuu-hoa-don-dien-tu</v>
      </c>
      <c r="AT53" s="16" t="str">
        <f>IFERROR(__xludf.DUMMYFUNCTION("""COMPUTED_VALUE"""),"hộ kinh doanh đóng thuế như thế nào")</f>
        <v>hộ kinh doanh đóng thuế như thế nào</v>
      </c>
      <c r="AU53" s="21" t="str">
        <f>IFERROR(__xludf.DUMMYFUNCTION("""COMPUTED_VALUE"""),"https://techcombank.com/thong-tin/blog/tra-cuu-no-thue-hai-quan")</f>
        <v>https://techcombank.com/thong-tin/blog/tra-cuu-no-thue-hai-quan</v>
      </c>
      <c r="AV53" s="16" t="str">
        <f>IFERROR(__xludf.DUMMYFUNCTION("""COMPUTED_VALUE"""),"thuế hộ kinh doanh")</f>
        <v>thuế hộ kinh doanh</v>
      </c>
      <c r="AW53" s="21" t="str">
        <f>IFERROR(__xludf.DUMMYFUNCTION("""COMPUTED_VALUE"""),"https://techcombank.com/thong-tin/blog/chuyen-doi-ho-kinh-doanh-len-doanh-nghiep")</f>
        <v>https://techcombank.com/thong-tin/blog/chuyen-doi-ho-kinh-doanh-len-doanh-nghiep</v>
      </c>
      <c r="AX53" s="16" t="str">
        <f>IFERROR(__xludf.DUMMYFUNCTION("""COMPUTED_VALUE"""),"hộ kinh doanh đóng thuế như thế nào")</f>
        <v>hộ kinh doanh đóng thuế như thế nào</v>
      </c>
      <c r="AY53" s="21" t="str">
        <f>IFERROR(__xludf.DUMMYFUNCTION("""COMPUTED_VALUE"""),"https://techcombank.com/thong-tin/blog/thanh-toan-khong-dung-tien-mat")</f>
        <v>https://techcombank.com/thong-tin/blog/thanh-toan-khong-dung-tien-mat</v>
      </c>
      <c r="AZ53" s="16" t="str">
        <f>IFERROR(__xludf.DUMMYFUNCTION("""COMPUTED_VALUE"""),"thuế hộ kinh doanh")</f>
        <v>thuế hộ kinh doanh</v>
      </c>
      <c r="BA53" s="21" t="str">
        <f>IFERROR(__xludf.DUMMYFUNCTION("""COMPUTED_VALUE"""),"https://techcombank.com/thong-tin/blog/mo-tai-khoan-ho-kinh-doanh")</f>
        <v>https://techcombank.com/thong-tin/blog/mo-tai-khoan-ho-kinh-doanh</v>
      </c>
      <c r="BB53" s="16" t="str">
        <f>IFERROR(__xludf.DUMMYFUNCTION("""COMPUTED_VALUE"""),"hộ kinh doanh đóng thuế như thế nào")</f>
        <v>hộ kinh doanh đóng thuế như thế nào</v>
      </c>
      <c r="BC53" s="21" t="str">
        <f>IFERROR(__xludf.DUMMYFUNCTION("""COMPUTED_VALUE"""),"https://techcombank.com/thong-tin/blog/nhung-chi-phi-khong-duoc-tru-khi-tinh-thue-tndn")</f>
        <v>https://techcombank.com/thong-tin/blog/nhung-chi-phi-khong-duoc-tru-khi-tinh-thue-tndn</v>
      </c>
      <c r="BD53" s="16" t="str">
        <f>IFERROR(__xludf.DUMMYFUNCTION("""COMPUTED_VALUE"""),"thuế hộ kinh doanh")</f>
        <v>thuế hộ kinh doanh</v>
      </c>
      <c r="BE53" s="21" t="str">
        <f>IFERROR(__xludf.DUMMYFUNCTION("""COMPUTED_VALUE"""),"https://techcombank.com/thong-tin/blog/giai-dap-ve-thue-doanh-nghiep")</f>
        <v>https://techcombank.com/thong-tin/blog/giai-dap-ve-thue-doanh-nghiep</v>
      </c>
      <c r="BF53" s="16" t="str">
        <f>IFERROR(__xludf.DUMMYFUNCTION("""COMPUTED_VALUE"""),"hộ kinh doanh đóng thuế như thế nào")</f>
        <v>hộ kinh doanh đóng thuế như thế nào</v>
      </c>
      <c r="BG53" s="21" t="str">
        <f>IFERROR(__xludf.DUMMYFUNCTION("""COMPUTED_VALUE"""),"https://techcombank.com/thong-tin/blog/nen-thanh-lap-ho-kinh-doanh-ke-khai-hay-doanh-nghiep")</f>
        <v>https://techcombank.com/thong-tin/blog/nen-thanh-lap-ho-kinh-doanh-ke-khai-hay-doanh-nghiep</v>
      </c>
      <c r="BH53" s="16" t="str">
        <f>IFERROR(__xludf.DUMMYFUNCTION("""COMPUTED_VALUE"""),"thuế hộ kinh doanh")</f>
        <v>thuế hộ kinh doanh</v>
      </c>
      <c r="BI53" s="21" t="str">
        <f>IFERROR(__xludf.DUMMYFUNCTION("""COMPUTED_VALUE"""),"https://techcombank.com/thong-tin/blog/due-diligence")</f>
        <v>https://techcombank.com/thong-tin/blog/due-diligence</v>
      </c>
      <c r="BJ53" s="16" t="str">
        <f>IFERROR(__xludf.DUMMYFUNCTION("""COMPUTED_VALUE"""),"hộ kinh doanh đóng thuế như thế nào")</f>
        <v>hộ kinh doanh đóng thuế như thế nào</v>
      </c>
      <c r="BK53" s="21" t="str">
        <f>IFERROR(__xludf.DUMMYFUNCTION("""COMPUTED_VALUE"""),"https://techcombank.com/thong-tin/blog/vay-tin-chap-ho-kinh-doanh")</f>
        <v>https://techcombank.com/thong-tin/blog/vay-tin-chap-ho-kinh-doanh</v>
      </c>
      <c r="BL53" s="16" t="str">
        <f>IFERROR(__xludf.DUMMYFUNCTION("""COMPUTED_VALUE"""),"thuế hộ kinh doanh")</f>
        <v>thuế hộ kinh doanh</v>
      </c>
      <c r="BM53" s="21" t="str">
        <f>IFERROR(__xludf.DUMMYFUNCTION("""COMPUTED_VALUE"""),"https://techcombank.com/thong-tin/blog/tra-cuu-no-thue-ho-kinh-doanh")</f>
        <v>https://techcombank.com/thong-tin/blog/tra-cuu-no-thue-ho-kinh-doanh</v>
      </c>
      <c r="BN53" s="16" t="str">
        <f>IFERROR(__xludf.DUMMYFUNCTION("""COMPUTED_VALUE"""),"hộ kinh doanh đóng thuế như thế nào")</f>
        <v>hộ kinh doanh đóng thuế như thế nào</v>
      </c>
      <c r="BO53" s="21" t="str">
        <f>IFERROR(__xludf.DUMMYFUNCTION("""COMPUTED_VALUE"""),"https://techcombank.com/thong-tin/blog/lien-ket-tai-khoan-ngan-hang-voi-etax-mobile")</f>
        <v>https://techcombank.com/thong-tin/blog/lien-ket-tai-khoan-ngan-hang-voi-etax-mobile</v>
      </c>
      <c r="BP53" s="16" t="str">
        <f>IFERROR(__xludf.DUMMYFUNCTION("""COMPUTED_VALUE"""),"thuế hộ kinh doanh")</f>
        <v>thuế hộ kinh doanh</v>
      </c>
      <c r="BQ53" s="21" t="str">
        <f>IFERROR(__xludf.DUMMYFUNCTION("""COMPUTED_VALUE"""),"https://techcombank.com/thong-tin/blog/thu-tuc-vay-von-kinh-doanh-nho")</f>
        <v>https://techcombank.com/thong-tin/blog/thu-tuc-vay-von-kinh-doanh-nho</v>
      </c>
      <c r="BR53" s="16" t="str">
        <f>IFERROR(__xludf.DUMMYFUNCTION("""COMPUTED_VALUE"""),"hộ kinh doanh đóng thuế như thế nào")</f>
        <v>hộ kinh doanh đóng thuế như thế nào</v>
      </c>
      <c r="BS53" s="21" t="str">
        <f>IFERROR(__xludf.DUMMYFUNCTION("""COMPUTED_VALUE"""),"https://techcombank.com/thong-tin/blog/kiem-tra-thue-ho-kinh-doanh")</f>
        <v>https://techcombank.com/thong-tin/blog/kiem-tra-thue-ho-kinh-doanh</v>
      </c>
      <c r="BT53" s="16" t="str">
        <f>IFERROR(__xludf.DUMMYFUNCTION("""COMPUTED_VALUE"""),"thuế hộ kinh doanh")</f>
        <v>thuế hộ kinh doanh</v>
      </c>
      <c r="BU53" s="21" t="str">
        <f>IFERROR(__xludf.DUMMYFUNCTION("""COMPUTED_VALUE"""),"https://techcombank.com/thong-tin/blog/cac-sai-lam-pho-bien-khi-chuyen-doi-ho-kinh-doanh-len-sme")</f>
        <v>https://techcombank.com/thong-tin/blog/cac-sai-lam-pho-bien-khi-chuyen-doi-ho-kinh-doanh-len-sme</v>
      </c>
      <c r="BV53" s="16" t="str">
        <f>IFERROR(__xludf.DUMMYFUNCTION("""COMPUTED_VALUE"""),"hộ kinh doanh đóng thuế như thế nào")</f>
        <v>hộ kinh doanh đóng thuế như thế nào</v>
      </c>
      <c r="BW53" s="21" t="str">
        <f>IFERROR(__xludf.DUMMYFUNCTION("""COMPUTED_VALUE"""),"https://techcombank.com/thong-tin/blog/giay-phep-kinh-doanh")</f>
        <v>https://techcombank.com/thong-tin/blog/giay-phep-kinh-doanh</v>
      </c>
      <c r="BX53" s="16" t="str">
        <f>IFERROR(__xludf.DUMMYFUNCTION("""COMPUTED_VALUE"""),"thuế hộ kinh doanh")</f>
        <v>thuế hộ kinh doanh</v>
      </c>
      <c r="BY53" s="21" t="str">
        <f>IFERROR(__xludf.DUMMYFUNCTION("""COMPUTED_VALUE"""),"https://techcombank.com/thong-tin/blog/tra-cuu-no-thue-ca-nhan")</f>
        <v>https://techcombank.com/thong-tin/blog/tra-cuu-no-thue-ca-nhan</v>
      </c>
      <c r="BZ53" s="16" t="str">
        <f>IFERROR(__xludf.DUMMYFUNCTION("""COMPUTED_VALUE"""),"hộ kinh doanh đóng thuế như thế nào")</f>
        <v>hộ kinh doanh đóng thuế như thế nào</v>
      </c>
      <c r="CA53" s="21" t="str">
        <f>IFERROR(__xludf.DUMMYFUNCTION("""COMPUTED_VALUE"""),"https://techcombank.com/thong-tin/blog/chuyen-doi-hoa-don-dien-tu")</f>
        <v>https://techcombank.com/thong-tin/blog/chuyen-doi-hoa-don-dien-tu</v>
      </c>
      <c r="CB53" s="16" t="str">
        <f>IFERROR(__xludf.DUMMYFUNCTION("""COMPUTED_VALUE"""),"thuế hộ kinh doanh")</f>
        <v>thuế hộ kinh doanh</v>
      </c>
      <c r="CC53" s="21" t="str">
        <f>IFERROR(__xludf.DUMMYFUNCTION("""COMPUTED_VALUE"""),"https://techcombank.com/thong-tin/blog/hoan-thue-thu-nhap-ca-nhan")</f>
        <v>https://techcombank.com/thong-tin/blog/hoan-thue-thu-nhap-ca-nhan</v>
      </c>
      <c r="CD53" s="16" t="str">
        <f>IFERROR(__xludf.DUMMYFUNCTION("""COMPUTED_VALUE"""),"hộ kinh doanh đóng thuế như thế nào")</f>
        <v>hộ kinh doanh đóng thuế như thế nào</v>
      </c>
      <c r="CE53" s="21" t="str">
        <f>IFERROR(__xludf.DUMMYFUNCTION("""COMPUTED_VALUE"""),"https://techcombank.com/thong-tin/blog/dang-ky-kinh-doanh-la-gi")</f>
        <v>https://techcombank.com/thong-tin/blog/dang-ky-kinh-doanh-la-gi</v>
      </c>
      <c r="CF53" s="16" t="str">
        <f>IFERROR(__xludf.DUMMYFUNCTION("""COMPUTED_VALUE"""),"thuế hộ kinh doanh")</f>
        <v>thuế hộ kinh doanh</v>
      </c>
      <c r="CG53" s="21" t="str">
        <f>IFERROR(__xludf.DUMMYFUNCTION("""COMPUTED_VALUE"""),"https://techcombank.com/thong-tin/blog/thay-doi-dia-chi-ho-kinh-doanh")</f>
        <v>https://techcombank.com/thong-tin/blog/thay-doi-dia-chi-ho-kinh-doanh</v>
      </c>
      <c r="CH53" s="16" t="str">
        <f>IFERROR(__xludf.DUMMYFUNCTION("""COMPUTED_VALUE"""),"hộ kinh doanh đóng thuế như thế nào")</f>
        <v>hộ kinh doanh đóng thuế như thế nào</v>
      </c>
      <c r="CI53" s="21" t="str">
        <f>IFERROR(__xludf.DUMMYFUNCTION("""COMPUTED_VALUE"""),"https://techcombank.com/thong-tin/blog/cach-dang-ky-ma-so-thue-ho-kinh-doanh-online")</f>
        <v>https://techcombank.com/thong-tin/blog/cach-dang-ky-ma-so-thue-ho-kinh-doanh-online</v>
      </c>
      <c r="CJ53" s="16" t="str">
        <f>IFERROR(__xludf.DUMMYFUNCTION("""COMPUTED_VALUE"""),"thuế hộ kinh doanh")</f>
        <v>thuế hộ kinh doanh</v>
      </c>
      <c r="CK53" s="21" t="str">
        <f>IFERROR(__xludf.DUMMYFUNCTION("""COMPUTED_VALUE"""),"https://techcombank.com/thong-tin/blog/luu-y-khi-chuyen-doi-tu-ho-kinh-doanh-len-doanh-nghiep")</f>
        <v>https://techcombank.com/thong-tin/blog/luu-y-khi-chuyen-doi-tu-ho-kinh-doanh-len-doanh-nghiep</v>
      </c>
      <c r="CL53" s="16" t="str">
        <f>IFERROR(__xludf.DUMMYFUNCTION("""COMPUTED_VALUE"""),"hộ kinh doanh đóng thuế như thế nào")</f>
        <v>hộ kinh doanh đóng thuế như thế nào</v>
      </c>
      <c r="CM53" s="21" t="str">
        <f>IFERROR(__xludf.DUMMYFUNCTION("""COMPUTED_VALUE"""),"https://techcombank.com/thong-tin/blog/cach-kiem-tra-tai-khoan-ngan-hang-cua-cong-ty")</f>
        <v>https://techcombank.com/thong-tin/blog/cach-kiem-tra-tai-khoan-ngan-hang-cua-cong-ty</v>
      </c>
      <c r="CN53" s="16" t="str">
        <f>IFERROR(__xludf.DUMMYFUNCTION("""COMPUTED_VALUE"""),"thuế hộ kinh doanh")</f>
        <v>thuế hộ kinh doanh</v>
      </c>
      <c r="CO53" s="21" t="str">
        <f>IFERROR(__xludf.DUMMYFUNCTION("""COMPUTED_VALUE"""),"https://techcombank.com/thong-tin/blog/kiem-tra-ma-so-thue-doanh-nghiep")</f>
        <v>https://techcombank.com/thong-tin/blog/kiem-tra-ma-so-thue-doanh-nghiep</v>
      </c>
      <c r="CP53" s="16" t="str">
        <f>IFERROR(__xludf.DUMMYFUNCTION("""COMPUTED_VALUE"""),"hộ kinh doanh đóng thuế như thế nào")</f>
        <v>hộ kinh doanh đóng thuế như thế nào</v>
      </c>
      <c r="CQ53" s="21" t="str">
        <f>IFERROR(__xludf.DUMMYFUNCTION("""COMPUTED_VALUE"""),"https://techcombank.com/thong-tin/blog/barcode-la-gi")</f>
        <v>https://techcombank.com/thong-tin/blog/barcode-la-gi</v>
      </c>
      <c r="CR53" s="16" t="str">
        <f>IFERROR(__xludf.DUMMYFUNCTION("""COMPUTED_VALUE"""),"thuế hộ kinh doanh")</f>
        <v>thuế hộ kinh doanh</v>
      </c>
      <c r="CS53" s="21" t="str">
        <f>IFERROR(__xludf.DUMMYFUNCTION("""COMPUTED_VALUE"""),"https://techcombank.com/thong-tin/blog/tra-cuu-ma-so-thue-ho-kinh-doanh")</f>
        <v>https://techcombank.com/thong-tin/blog/tra-cuu-ma-so-thue-ho-kinh-doanh</v>
      </c>
      <c r="CT53" s="16" t="str">
        <f>IFERROR(__xludf.DUMMYFUNCTION("""COMPUTED_VALUE"""),"hộ kinh doanh đóng thuế như thế nào")</f>
        <v>hộ kinh doanh đóng thuế như thế nào</v>
      </c>
      <c r="CU53" s="21" t="str">
        <f>IFERROR(__xludf.DUMMYFUNCTION("""COMPUTED_VALUE"""),"https://techcombank.com/thong-tin/blog/dang-ky-thue-ho-kinh-doanh-ca-the-online")</f>
        <v>https://techcombank.com/thong-tin/blog/dang-ky-thue-ho-kinh-doanh-ca-the-online</v>
      </c>
      <c r="CV53" s="16" t="str">
        <f>IFERROR(__xludf.DUMMYFUNCTION("""COMPUTED_VALUE"""),"thuế hộ kinh doanh")</f>
        <v>thuế hộ kinh doanh</v>
      </c>
      <c r="CW53" s="21" t="str">
        <f>IFERROR(__xludf.DUMMYFUNCTION("""COMPUTED_VALUE"""),"https://techcombank.com/thong-tin/blog/chuyen-doi-so-ho-kinh-doanh")</f>
        <v>https://techcombank.com/thong-tin/blog/chuyen-doi-so-ho-kinh-doanh</v>
      </c>
      <c r="CX53" s="16" t="str">
        <f>IFERROR(__xludf.DUMMYFUNCTION("""COMPUTED_VALUE"""),"hộ kinh doanh đóng thuế như thế nào")</f>
        <v>hộ kinh doanh đóng thuế như thế nào</v>
      </c>
      <c r="CY53" s="21" t="str">
        <f>IFERROR(__xludf.DUMMYFUNCTION("""COMPUTED_VALUE"""),"https://techcombank.com/thong-tin/blog/chinh-sach-thue-moi")</f>
        <v>https://techcombank.com/thong-tin/blog/chinh-sach-thue-moi</v>
      </c>
      <c r="CZ53" s="16" t="str">
        <f>IFERROR(__xludf.DUMMYFUNCTION("""COMPUTED_VALUE"""),"thuế hộ kinh doanh")</f>
        <v>thuế hộ kinh doanh</v>
      </c>
      <c r="DA53" s="21" t="str">
        <f>IFERROR(__xludf.DUMMYFUNCTION("""COMPUTED_VALUE"""),"https://techcombank.com/thong-tin/blog/hoa-don-dien-tu")</f>
        <v>https://techcombank.com/thong-tin/blog/hoa-don-dien-tu</v>
      </c>
      <c r="DB53" s="16" t="str">
        <f>IFERROR(__xludf.DUMMYFUNCTION("""COMPUTED_VALUE"""),"hộ kinh doanh đóng thuế như thế nào")</f>
        <v>hộ kinh doanh đóng thuế như thế nào</v>
      </c>
      <c r="DC53" s="21" t="str">
        <f>IFERROR(__xludf.DUMMYFUNCTION("""COMPUTED_VALUE"""),"https://techcombank.com/thong-tin/blog/luat-thuong-mai-dien-tu")</f>
        <v>https://techcombank.com/thong-tin/blog/luat-thuong-mai-dien-tu</v>
      </c>
      <c r="DD53" s="16" t="str">
        <f>IFERROR(__xludf.DUMMYFUNCTION("""COMPUTED_VALUE"""),"thuế hộ kinh doanh")</f>
        <v>thuế hộ kinh doanh</v>
      </c>
      <c r="DE53" s="21" t="str">
        <f>IFERROR(__xludf.DUMMYFUNCTION("""COMPUTED_VALUE"""),"https://techcombank.com/thong-tin/blog/ke-khai-thue-ho-kinh-doanh-ca-the-online")</f>
        <v>https://techcombank.com/thong-tin/blog/ke-khai-thue-ho-kinh-doanh-ca-the-online</v>
      </c>
      <c r="DF53" s="16" t="str">
        <f>IFERROR(__xludf.DUMMYFUNCTION("""COMPUTED_VALUE"""),"hộ kinh doanh đóng thuế như thế nào")</f>
        <v>hộ kinh doanh đóng thuế như thế nào</v>
      </c>
      <c r="DG53" s="21" t="str">
        <f>IFERROR(__xludf.DUMMYFUNCTION("""COMPUTED_VALUE"""),"https://techcombank.com/thong-tin/blog/vay-the-chap-kinh-doanh")</f>
        <v>https://techcombank.com/thong-tin/blog/vay-the-chap-kinh-doanh</v>
      </c>
      <c r="DH53" s="16" t="str">
        <f>IFERROR(__xludf.DUMMYFUNCTION("""COMPUTED_VALUE"""),"thuế hộ kinh doanh")</f>
        <v>thuế hộ kinh doanh</v>
      </c>
      <c r="DI53" s="21" t="str">
        <f>IFERROR(__xludf.DUMMYFUNCTION("""COMPUTED_VALUE"""),"https://techcombank.com/thong-tin/blog/thue-thuong-mai-dien-tu")</f>
        <v>https://techcombank.com/thong-tin/blog/thue-thuong-mai-dien-tu</v>
      </c>
      <c r="DJ53" s="16" t="str">
        <f>IFERROR(__xludf.DUMMYFUNCTION("""COMPUTED_VALUE"""),"hộ kinh doanh đóng thuế như thế nào")</f>
        <v>hộ kinh doanh đóng thuế như thế nào</v>
      </c>
      <c r="DK53" s="21" t="str">
        <f>IFERROR(__xludf.DUMMYFUNCTION("""COMPUTED_VALUE"""),"https://techcombank.com/thong-tin/blog/hieu-hiet-ve-tuan-thu-thue-cho-cac-doanh-nghiep-khoi-nghiep")</f>
        <v>https://techcombank.com/thong-tin/blog/hieu-hiet-ve-tuan-thu-thue-cho-cac-doanh-nghiep-khoi-nghiep</v>
      </c>
      <c r="DL53" s="16" t="str">
        <f>IFERROR(__xludf.DUMMYFUNCTION("""COMPUTED_VALUE"""),"thuế hộ kinh doanh")</f>
        <v>thuế hộ kinh doanh</v>
      </c>
      <c r="DM53" s="21" t="str">
        <f>IFERROR(__xludf.DUMMYFUNCTION("""COMPUTED_VALUE"""),"https://techcombank.com/thong-tin/blog/khai-bao-tai-khoan-ngan-hang-voi-co-quan-thue")</f>
        <v>https://techcombank.com/thong-tin/blog/khai-bao-tai-khoan-ngan-hang-voi-co-quan-thue</v>
      </c>
      <c r="DN53" s="16" t="str">
        <f>IFERROR(__xludf.DUMMYFUNCTION("""COMPUTED_VALUE"""),"hộ kinh doanh đóng thuế như thế nào")</f>
        <v>hộ kinh doanh đóng thuế như thế nào</v>
      </c>
      <c r="DO53" s="21" t="str">
        <f>IFERROR(__xludf.DUMMYFUNCTION("""COMPUTED_VALUE"""),"https://techcombank.com/thong-tin/blog/loi-nhuan")</f>
        <v>https://techcombank.com/thong-tin/blog/loi-nhuan</v>
      </c>
      <c r="DP53" s="16" t="str">
        <f>IFERROR(__xludf.DUMMYFUNCTION("""COMPUTED_VALUE"""),"thuế hộ kinh doanh")</f>
        <v>thuế hộ kinh doanh</v>
      </c>
      <c r="DQ53" s="21" t="str">
        <f>IFERROR(__xludf.DUMMYFUNCTION("""COMPUTED_VALUE"""),"https://techcombank.com/thong-tin/blog/hoa-don-dien-tu-ho-kinh-doanh")</f>
        <v>https://techcombank.com/thong-tin/blog/hoa-don-dien-tu-ho-kinh-doanh</v>
      </c>
      <c r="DR53" s="16" t="str">
        <f>IFERROR(__xludf.DUMMYFUNCTION("""COMPUTED_VALUE"""),"hộ kinh doanh đóng thuế như thế nào")</f>
        <v>hộ kinh doanh đóng thuế như thế nào</v>
      </c>
      <c r="DS53" s="21" t="str">
        <f>IFERROR(__xludf.DUMMYFUNCTION("""COMPUTED_VALUE"""),"https://techcombank.com/thong-tin/blog/chuan-bi-cho-doanh-nghiep-khoi-nghiep-truoc-nhung-thay-doi-ve-thue")</f>
        <v>https://techcombank.com/thong-tin/blog/chuan-bi-cho-doanh-nghiep-khoi-nghiep-truoc-nhung-thay-doi-ve-thue</v>
      </c>
      <c r="DT53" s="16" t="str">
        <f>IFERROR(__xludf.DUMMYFUNCTION("""COMPUTED_VALUE"""),"thuế hộ kinh doanh")</f>
        <v>thuế hộ kinh doanh</v>
      </c>
      <c r="DU53" s="21" t="str">
        <f>IFERROR(__xludf.DUMMYFUNCTION("""COMPUTED_VALUE"""),"https://techcombank.com/thong-tin/blog/dong-ma-so-thue-ho-kinh-doanh")</f>
        <v>https://techcombank.com/thong-tin/blog/dong-ma-so-thue-ho-kinh-doanh</v>
      </c>
      <c r="DV53" s="16" t="str">
        <f>IFERROR(__xludf.DUMMYFUNCTION("""COMPUTED_VALUE"""),"hộ kinh doanh đóng thuế như thế nào")</f>
        <v>hộ kinh doanh đóng thuế như thế nào</v>
      </c>
      <c r="DW53" s="21" t="str">
        <f>IFERROR(__xludf.DUMMYFUNCTION("""COMPUTED_VALUE"""),"https://techcombank.com/thong-tin/blog/thue-doanh-nghiep")</f>
        <v>https://techcombank.com/thong-tin/blog/thue-doanh-nghiep</v>
      </c>
      <c r="DX53" s="16" t="str">
        <f>IFERROR(__xludf.DUMMYFUNCTION("""COMPUTED_VALUE"""),"thuế hộ kinh doanh")</f>
        <v>thuế hộ kinh doanh</v>
      </c>
      <c r="DY53" s="21" t="str">
        <f>IFERROR(__xludf.DUMMYFUNCTION("""COMPUTED_VALUE"""),"https://techcombank.com/thong-tin/blog/one-stop-shop")</f>
        <v>https://techcombank.com/thong-tin/blog/one-stop-shop</v>
      </c>
      <c r="DZ53" s="16" t="str">
        <f>IFERROR(__xludf.DUMMYFUNCTION("""COMPUTED_VALUE"""),"hộ kinh doanh đóng thuế như thế nào")</f>
        <v>hộ kinh doanh đóng thuế như thế nào</v>
      </c>
      <c r="EA53" s="21" t="str">
        <f>IFERROR(__xludf.DUMMYFUNCTION("""COMPUTED_VALUE"""),"https://techcombank.com/thong-tin/blog/thue-phi-co-dinh-khi-chuyen-doi-tu-ho-kinh-doanh-len-doanh-nghiep")</f>
        <v>https://techcombank.com/thong-tin/blog/thue-phi-co-dinh-khi-chuyen-doi-tu-ho-kinh-doanh-len-doanh-nghiep</v>
      </c>
      <c r="EB53" s="16" t="str">
        <f>IFERROR(__xludf.DUMMYFUNCTION("""COMPUTED_VALUE"""),"thuế hộ kinh doanh")</f>
        <v>thuế hộ kinh doanh</v>
      </c>
      <c r="EC53" s="21" t="str">
        <f>IFERROR(__xludf.DUMMYFUNCTION("""COMPUTED_VALUE"""),"https://techcombank.com/thong-tin/blog/tim-hieu-ve-chinh-sach-thue-moi")</f>
        <v>https://techcombank.com/thong-tin/blog/tim-hieu-ve-chinh-sach-thue-moi</v>
      </c>
      <c r="ED53" s="16" t="str">
        <f>IFERROR(__xludf.DUMMYFUNCTION("""COMPUTED_VALUE"""),"hộ kinh doanh đóng thuế như thế nào")</f>
        <v>hộ kinh doanh đóng thuế như thế nào</v>
      </c>
      <c r="EE53" s="21" t="str">
        <f>IFERROR(__xludf.DUMMYFUNCTION("""COMPUTED_VALUE"""),"https://techcombank.com/thong-tin/blog/may-tinh-tien")</f>
        <v>https://techcombank.com/thong-tin/blog/may-tinh-tien</v>
      </c>
      <c r="EF53" s="16" t="str">
        <f>IFERROR(__xludf.DUMMYFUNCTION("""COMPUTED_VALUE"""),"thuế hộ kinh doanh")</f>
        <v>thuế hộ kinh doanh</v>
      </c>
      <c r="EG53" s="21" t="str">
        <f>IFERROR(__xludf.DUMMYFUNCTION("""COMPUTED_VALUE"""),"https://techcombank.com/thong-tin/blog/thue-thu-nhap-doanh-nghiep")</f>
        <v>https://techcombank.com/thong-tin/blog/thue-thu-nhap-doanh-nghiep</v>
      </c>
      <c r="EH53" s="16" t="str">
        <f>IFERROR(__xludf.DUMMYFUNCTION("""COMPUTED_VALUE"""),"hộ kinh doanh đóng thuế như thế nào")</f>
        <v>hộ kinh doanh đóng thuế như thế nào</v>
      </c>
      <c r="EI53" s="21" t="str">
        <f>IFERROR(__xludf.DUMMYFUNCTION("""COMPUTED_VALUE"""),"https://techcombank.com/thong-tin/blog/doanh-nghiep-moi-thanh-lap-duoc-uu-dai-gi")</f>
        <v>https://techcombank.com/thong-tin/blog/doanh-nghiep-moi-thanh-lap-duoc-uu-dai-gi</v>
      </c>
      <c r="EJ53" s="16" t="str">
        <f>IFERROR(__xludf.DUMMYFUNCTION("""COMPUTED_VALUE"""),"thuế hộ kinh doanh")</f>
        <v>thuế hộ kinh doanh</v>
      </c>
      <c r="EK53" s="21" t="str">
        <f>IFERROR(__xludf.DUMMYFUNCTION("""COMPUTED_VALUE"""),"https://techcombank.com/thong-tin/blog/quyet-toan-thue-doanh-nghiep")</f>
        <v>https://techcombank.com/thong-tin/blog/quyet-toan-thue-doanh-nghiep</v>
      </c>
      <c r="EL53" s="16" t="str">
        <f>IFERROR(__xludf.DUMMYFUNCTION("""COMPUTED_VALUE"""),"hộ kinh doanh đóng thuế như thế nào")</f>
        <v>hộ kinh doanh đóng thuế như thế nào</v>
      </c>
      <c r="EM53" s="21" t="str">
        <f>IFERROR(__xludf.DUMMYFUNCTION("""COMPUTED_VALUE"""),"https://techcombank.com/thong-tin/blog/dang-ky-ma-so-thue-ca-nhan")</f>
        <v>https://techcombank.com/thong-tin/blog/dang-ky-ma-so-thue-ca-nhan</v>
      </c>
      <c r="EN53" s="16" t="str">
        <f>IFERROR(__xludf.DUMMYFUNCTION("""COMPUTED_VALUE"""),"thuế hộ kinh doanh")</f>
        <v>thuế hộ kinh doanh</v>
      </c>
      <c r="EO53" s="21" t="str">
        <f>IFERROR(__xludf.DUMMYFUNCTION("""COMPUTED_VALUE"""),"https://techcombank.com/thong-tin/blog/ke-khai-thue-doanh-nghiep")</f>
        <v>https://techcombank.com/thong-tin/blog/ke-khai-thue-doanh-nghiep</v>
      </c>
      <c r="EP53" s="16" t="str">
        <f>IFERROR(__xludf.DUMMYFUNCTION("""COMPUTED_VALUE"""),"hộ kinh doanh đóng thuế như thế nào")</f>
        <v>hộ kinh doanh đóng thuế như thế nào</v>
      </c>
      <c r="EQ53" s="21" t="str">
        <f>IFERROR(__xludf.DUMMYFUNCTION("""COMPUTED_VALUE"""),"https://techcombank.com/thong-tin/blog/kinh-nghiem-chuyen-doi-tu-ho-kinh-doanh-len-doanh-nghiep")</f>
        <v>https://techcombank.com/thong-tin/blog/kinh-nghiem-chuyen-doi-tu-ho-kinh-doanh-len-doanh-nghiep</v>
      </c>
      <c r="ER53" s="16" t="str">
        <f>IFERROR(__xludf.DUMMYFUNCTION("""COMPUTED_VALUE"""),"thuế hộ kinh doanh")</f>
        <v>thuế hộ kinh doanh</v>
      </c>
      <c r="ES53" s="21" t="str">
        <f>IFERROR(__xludf.DUMMYFUNCTION("""COMPUTED_VALUE"""),"https://techcombank.com/thong-tin/blog/top-phan-mem-ban-hang")</f>
        <v>https://techcombank.com/thong-tin/blog/top-phan-mem-ban-hang</v>
      </c>
      <c r="ET53" s="16" t="str">
        <f>IFERROR(__xludf.DUMMYFUNCTION("""COMPUTED_VALUE"""),"hộ kinh doanh đóng thuế như thế nào")</f>
        <v>hộ kinh doanh đóng thuế như thế nào</v>
      </c>
      <c r="EU53" s="21" t="str">
        <f>IFERROR(__xludf.DUMMYFUNCTION("""COMPUTED_VALUE"""),"https://techcombank.com/thong-tin/blog/dieu-kien-vay-von-ngan-hang")</f>
        <v>https://techcombank.com/thong-tin/blog/dieu-kien-vay-von-ngan-hang</v>
      </c>
      <c r="EV53" s="16" t="str">
        <f>IFERROR(__xludf.DUMMYFUNCTION("""COMPUTED_VALUE"""),"thuế hộ kinh doanh")</f>
        <v>thuế hộ kinh doanh</v>
      </c>
      <c r="EW53" s="21" t="str">
        <f>IFERROR(__xludf.DUMMYFUNCTION("""COMPUTED_VALUE"""),"https://techcombank.com/thong-tin/blog/phat-cham-dang-ky-thue-ho-kinh-doanh")</f>
        <v>https://techcombank.com/thong-tin/blog/phat-cham-dang-ky-thue-ho-kinh-doanh</v>
      </c>
      <c r="EX53" s="16" t="str">
        <f>IFERROR(__xludf.DUMMYFUNCTION("""COMPUTED_VALUE"""),"hộ kinh doanh đóng thuế như thế nào")</f>
        <v>hộ kinh doanh đóng thuế như thế nào</v>
      </c>
      <c r="EY53" s="21" t="str">
        <f>IFERROR(__xludf.DUMMYFUNCTION("""COMPUTED_VALUE"""),"https://techcombank.com/thong-tin/blog/ho-kinh-doanh-ca-the")</f>
        <v>https://techcombank.com/thong-tin/blog/ho-kinh-doanh-ca-the</v>
      </c>
      <c r="EZ53" s="16" t="str">
        <f>IFERROR(__xludf.DUMMYFUNCTION("""COMPUTED_VALUE"""),"thuế hộ kinh doanh")</f>
        <v>thuế hộ kinh doanh</v>
      </c>
      <c r="FA53" s="21" t="str">
        <f>IFERROR(__xludf.DUMMYFUNCTION("""COMPUTED_VALUE"""),"https://techcombank.com/thong-tin/blog/phan-mem-xuat-hoa-don-dien-tu")</f>
        <v>https://techcombank.com/thong-tin/blog/phan-mem-xuat-hoa-don-dien-tu</v>
      </c>
      <c r="FB53" s="16" t="str">
        <f>IFERROR(__xludf.DUMMYFUNCTION("""COMPUTED_VALUE"""),"hộ kinh doanh đóng thuế như thế nào")</f>
        <v>hộ kinh doanh đóng thuế như thế nào</v>
      </c>
      <c r="FC53" s="21" t="str">
        <f>IFERROR(__xludf.DUMMYFUNCTION("""COMPUTED_VALUE"""),"https://techcombank.com/thong-tin/blog/tra-cuu-no-thue-doanh-nghiep")</f>
        <v>https://techcombank.com/thong-tin/blog/tra-cuu-no-thue-doanh-nghiep</v>
      </c>
      <c r="FD53" s="16" t="str">
        <f>IFERROR(__xludf.DUMMYFUNCTION("""COMPUTED_VALUE"""),"thuế hộ kinh doanh")</f>
        <v>thuế hộ kinh doanh</v>
      </c>
      <c r="FE53" s="21" t="str">
        <f>IFERROR(__xludf.DUMMYFUNCTION("""COMPUTED_VALUE"""),"https://techcombank.com/thong-tin/blog/nop-thue-hai-quan")</f>
        <v>https://techcombank.com/thong-tin/blog/nop-thue-hai-quan</v>
      </c>
      <c r="FF53" s="16" t="str">
        <f>IFERROR(__xludf.DUMMYFUNCTION("""COMPUTED_VALUE"""),"hộ kinh doanh đóng thuế như thế nào")</f>
        <v>hộ kinh doanh đóng thuế như thế nào</v>
      </c>
      <c r="FG53" s="21" t="str">
        <f>IFERROR(__xludf.DUMMYFUNCTION("""COMPUTED_VALUE"""),"https://techcombank.com/thong-tin/blog/tien-chuyen-vao-tai-khoan-co-bi-tinh-thue-khong")</f>
        <v>https://techcombank.com/thong-tin/blog/tien-chuyen-vao-tai-khoan-co-bi-tinh-thue-khong</v>
      </c>
      <c r="FH53" s="16" t="str">
        <f>IFERROR(__xludf.DUMMYFUNCTION("""COMPUTED_VALUE"""),"thuế hộ kinh doanh")</f>
        <v>thuế hộ kinh doanh</v>
      </c>
      <c r="FI53" s="21" t="str">
        <f>IFERROR(__xludf.DUMMYFUNCTION("""COMPUTED_VALUE"""),"https://techcombank.com/thong-tin/blog/cach-tinh-thue-thu-nhap-ca-nhan-2025")</f>
        <v>https://techcombank.com/thong-tin/blog/cach-tinh-thue-thu-nhap-ca-nhan-2025</v>
      </c>
      <c r="FJ53" s="16" t="str">
        <f>IFERROR(__xludf.DUMMYFUNCTION("""COMPUTED_VALUE"""),"hộ kinh doanh đóng thuế như thế nào")</f>
        <v>hộ kinh doanh đóng thuế như thế nào</v>
      </c>
      <c r="FK53" s="21" t="str">
        <f>IFERROR(__xludf.DUMMYFUNCTION("""COMPUTED_VALUE"""),"https://techcombank.com/thong-tin/blog/cach-lam-the-ngan-hang-chay-quang-cao-facebook")</f>
        <v>https://techcombank.com/thong-tin/blog/cach-lam-the-ngan-hang-chay-quang-cao-facebook</v>
      </c>
      <c r="FL53" s="16" t="str">
        <f>IFERROR(__xludf.DUMMYFUNCTION("""COMPUTED_VALUE"""),"thuế hộ kinh doanh")</f>
        <v>thuế hộ kinh doanh</v>
      </c>
      <c r="FM53" s="21" t="str">
        <f>IFERROR(__xludf.DUMMYFUNCTION("""COMPUTED_VALUE"""),"https://techcombank.com/thong-tin/blog/thue-thu-nhap-ca-nhan")</f>
        <v>https://techcombank.com/thong-tin/blog/thue-thu-nhap-ca-nhan</v>
      </c>
      <c r="FN53" s="16" t="str">
        <f>IFERROR(__xludf.DUMMYFUNCTION("""COMPUTED_VALUE"""),"hộ kinh doanh đóng thuế như thế nào")</f>
        <v>hộ kinh doanh đóng thuế như thế nào</v>
      </c>
      <c r="FO53" s="21" t="str">
        <f>IFERROR(__xludf.DUMMYFUNCTION("""COMPUTED_VALUE"""),"https://techcombank.com/thong-tin/blog/ho-kinh-doanh-can-gi-o-tai-khoan-ngan-hang")</f>
        <v>https://techcombank.com/thong-tin/blog/ho-kinh-doanh-can-gi-o-tai-khoan-ngan-hang</v>
      </c>
      <c r="FP53" s="16" t="str">
        <f>IFERROR(__xludf.DUMMYFUNCTION("""COMPUTED_VALUE"""),"thuế hộ kinh doanh")</f>
        <v>thuế hộ kinh doanh</v>
      </c>
      <c r="FQ53" s="21" t="str">
        <f>IFERROR(__xludf.DUMMYFUNCTION("""COMPUTED_VALUE"""),"https://techcombank.com/thong-tin/blog/kiem-tra-thue-thu-nhap-ca-nhan")</f>
        <v>https://techcombank.com/thong-tin/blog/kiem-tra-thue-thu-nhap-ca-nhan</v>
      </c>
      <c r="FR53" s="16" t="str">
        <f>IFERROR(__xludf.DUMMYFUNCTION("""COMPUTED_VALUE"""),"hộ kinh doanh đóng thuế như thế nào")</f>
        <v>hộ kinh doanh đóng thuế như thế nào</v>
      </c>
      <c r="FS53" s="21" t="str">
        <f>IFERROR(__xludf.DUMMYFUNCTION("""COMPUTED_VALUE"""),"https://techcombank.com/thong-tin/blog/thue-vat-la-gi")</f>
        <v>https://techcombank.com/thong-tin/blog/thue-vat-la-gi</v>
      </c>
      <c r="FT53" s="16" t="str">
        <f>IFERROR(__xludf.DUMMYFUNCTION("""COMPUTED_VALUE"""),"thuế hộ kinh doanh")</f>
        <v>thuế hộ kinh doanh</v>
      </c>
      <c r="FU53" s="21" t="str">
        <f>IFERROR(__xludf.DUMMYFUNCTION("""COMPUTED_VALUE"""),"https://techcombank.com/thong-tin/blog/nop-thue-dat-qua-ngan-hang")</f>
        <v>https://techcombank.com/thong-tin/blog/nop-thue-dat-qua-ngan-hang</v>
      </c>
      <c r="FV53" s="16" t="str">
        <f>IFERROR(__xludf.DUMMYFUNCTION("""COMPUTED_VALUE"""),"hộ kinh doanh đóng thuế như thế nào")</f>
        <v>hộ kinh doanh đóng thuế như thế nào</v>
      </c>
      <c r="FW53" s="21" t="str">
        <f>IFERROR(__xludf.DUMMYFUNCTION("""COMPUTED_VALUE"""),"https://techcombank.com/thong-tin/blog/chuyen-nhuong-chung-chi-tien-gui")</f>
        <v>https://techcombank.com/thong-tin/blog/chuyen-nhuong-chung-chi-tien-gui</v>
      </c>
      <c r="FX53" s="16" t="str">
        <f>IFERROR(__xludf.DUMMYFUNCTION("""COMPUTED_VALUE"""),"thuế hộ kinh doanh")</f>
        <v>thuế hộ kinh doanh</v>
      </c>
      <c r="FY53" s="21" t="str">
        <f>IFERROR(__xludf.DUMMYFUNCTION("""COMPUTED_VALUE"""),"https://techcombank.com/thong-tin/blog/cach-nop-thue-dien-tu")</f>
        <v>https://techcombank.com/thong-tin/blog/cach-nop-thue-dien-tu</v>
      </c>
      <c r="FZ53" s="16"/>
      <c r="GA53" s="16"/>
      <c r="GB53" s="16"/>
      <c r="GC53" s="16"/>
      <c r="GD53" s="16"/>
      <c r="GE53" s="16"/>
      <c r="GF53" s="16"/>
      <c r="GG53" s="16"/>
      <c r="GH53" s="16"/>
      <c r="GI53" s="16"/>
      <c r="GJ53" s="16"/>
      <c r="GK53" s="16"/>
      <c r="GL53" s="16"/>
      <c r="GM53" s="16"/>
      <c r="GN53" s="16"/>
      <c r="GO53" s="16"/>
    </row>
    <row r="54" ht="18.0" customHeight="1">
      <c r="A54" s="15">
        <v>53.0</v>
      </c>
      <c r="B54" s="16" t="s">
        <v>1179</v>
      </c>
      <c r="C54" s="17" t="s">
        <v>1203</v>
      </c>
      <c r="D54" s="16" t="s">
        <v>340</v>
      </c>
      <c r="E54" s="15">
        <f>COUNTIF('Tổng hợp 75 trang đích'!$B$2:$B$2505,$D54)</f>
        <v>19</v>
      </c>
      <c r="F54" s="15">
        <f>COUNTIFS('Tổng hợp 75 trang đích'!$B$2:$B$2505,$D54,'Tổng hợp 75 trang đích'!$K$2:$K$2505,"PHÙ HỢP CAO")</f>
        <v>2</v>
      </c>
      <c r="G54" s="15">
        <f>COUNTIFS('Tổng hợp 75 trang đích'!$B$2:$B$2505,$D54,'Tổng hợp 75 trang đích'!$K$2:$K$2505,"CÓ THỂ ĐI")</f>
        <v>3</v>
      </c>
      <c r="H54" s="15">
        <f>COUNTIFS('Tổng hợp 75 trang đích'!$B$2:$B$2505,$D54,'Tổng hợp 75 trang đích'!$K$2:$K$2505,"CẦN SOÁT")</f>
        <v>14</v>
      </c>
      <c r="I54" s="19" t="s">
        <v>256</v>
      </c>
      <c r="J54" s="19" t="b">
        <v>0</v>
      </c>
      <c r="K54" s="20" t="s">
        <v>258</v>
      </c>
      <c r="L54" s="16" t="str">
        <f>IFERROR(__xludf.DUMMYFUNCTION("IFERROR(TOROW(CHOOSECOLS(SORT(FILTER({'Tổng hợp 75 trang đích'!$J$2:$J$2505,'Tổng hợp 75 trang đích'!$I$2:$I$2505,MATCH('Tổng hợp 75 trang đích'!$K$2:$K$2505,{""PHÙ HỢP CAO"",""CÓ THỂ ĐI"",""CẦN SOÁT""},0)},'Tổng hợp 75 trang đích'!$B$2:$B$2505=$D54),3,TR"&amp;"UE),1,2)),"""")"),"mô hình kinh doanh là gì")</f>
        <v>mô hình kinh doanh là gì</v>
      </c>
      <c r="M54" s="21" t="str">
        <f>IFERROR(__xludf.DUMMYFUNCTION("""COMPUTED_VALUE"""),"https://techcombank.com/thong-tin/blog/nhuong-quyen-la-gi")</f>
        <v>https://techcombank.com/thong-tin/blog/nhuong-quyen-la-gi</v>
      </c>
      <c r="N54" s="16" t="str">
        <f>IFERROR(__xludf.DUMMYFUNCTION("""COMPUTED_VALUE"""),"mô hình kinh doanh")</f>
        <v>mô hình kinh doanh</v>
      </c>
      <c r="O54" s="21" t="str">
        <f>IFERROR(__xludf.DUMMYFUNCTION("""COMPUTED_VALUE"""),"https://techcombank.com/thong-tin/blog/kinh-doanh-online")</f>
        <v>https://techcombank.com/thong-tin/blog/kinh-doanh-online</v>
      </c>
      <c r="P54" s="16" t="str">
        <f>IFERROR(__xludf.DUMMYFUNCTION("""COMPUTED_VALUE"""),"mô hình kinh doanh là gì")</f>
        <v>mô hình kinh doanh là gì</v>
      </c>
      <c r="Q54" s="21" t="str">
        <f>IFERROR(__xludf.DUMMYFUNCTION("""COMPUTED_VALUE"""),"https://techcombank.com/thong-tin/blog/one-stop-shop")</f>
        <v>https://techcombank.com/thong-tin/blog/one-stop-shop</v>
      </c>
      <c r="R54" s="16" t="str">
        <f>IFERROR(__xludf.DUMMYFUNCTION("""COMPUTED_VALUE"""),"mô hình kinh doanh")</f>
        <v>mô hình kinh doanh</v>
      </c>
      <c r="S54" s="21" t="str">
        <f>IFERROR(__xludf.DUMMYFUNCTION("""COMPUTED_VALUE"""),"https://techcombank.com/thong-tin/blog/cac-loai-hinh-doanh-nghiep")</f>
        <v>https://techcombank.com/thong-tin/blog/cac-loai-hinh-doanh-nghiep</v>
      </c>
      <c r="T54" s="16" t="str">
        <f>IFERROR(__xludf.DUMMYFUNCTION("""COMPUTED_VALUE"""),"mô hình kinh doanh là gì")</f>
        <v>mô hình kinh doanh là gì</v>
      </c>
      <c r="U54" s="21" t="str">
        <f>IFERROR(__xludf.DUMMYFUNCTION("""COMPUTED_VALUE"""),"https://techcombank.com/thong-tin/blog/merchant-la-gi")</f>
        <v>https://techcombank.com/thong-tin/blog/merchant-la-gi</v>
      </c>
      <c r="V54" s="16" t="str">
        <f>IFERROR(__xludf.DUMMYFUNCTION("""COMPUTED_VALUE"""),"mô hình kinh doanh")</f>
        <v>mô hình kinh doanh</v>
      </c>
      <c r="W54" s="21" t="str">
        <f>IFERROR(__xludf.DUMMYFUNCTION("""COMPUTED_VALUE"""),"https://techcombank.com/thong-tin/blog/huong-dan-dang-ky-thanh-lap-doanh-nghiep")</f>
        <v>https://techcombank.com/thong-tin/blog/huong-dan-dang-ky-thanh-lap-doanh-nghiep</v>
      </c>
      <c r="X54" s="16" t="str">
        <f>IFERROR(__xludf.DUMMYFUNCTION("""COMPUTED_VALUE"""),"mô hình kinh doanh là gì")</f>
        <v>mô hình kinh doanh là gì</v>
      </c>
      <c r="Y54" s="21" t="str">
        <f>IFERROR(__xludf.DUMMYFUNCTION("""COMPUTED_VALUE"""),"https://techcombank.com/thong-tin/blog/khoi-nghiep-truoc-chinh-sach-thue-moi")</f>
        <v>https://techcombank.com/thong-tin/blog/khoi-nghiep-truoc-chinh-sach-thue-moi</v>
      </c>
      <c r="Z54" s="16" t="str">
        <f>IFERROR(__xludf.DUMMYFUNCTION("""COMPUTED_VALUE"""),"mô hình kinh doanh")</f>
        <v>mô hình kinh doanh</v>
      </c>
      <c r="AA54" s="21" t="str">
        <f>IFERROR(__xludf.DUMMYFUNCTION("""COMPUTED_VALUE"""),"https://techcombank.com/thong-tin/blog/mo-tai-khoan-ho-kinh-doanh")</f>
        <v>https://techcombank.com/thong-tin/blog/mo-tai-khoan-ho-kinh-doanh</v>
      </c>
      <c r="AB54" s="16" t="str">
        <f>IFERROR(__xludf.DUMMYFUNCTION("""COMPUTED_VALUE"""),"mô hình kinh doanh là gì")</f>
        <v>mô hình kinh doanh là gì</v>
      </c>
      <c r="AC54" s="21" t="str">
        <f>IFERROR(__xludf.DUMMYFUNCTION("""COMPUTED_VALUE"""),"https://techcombank.com/thong-tin/blog/quan-ly-chuoi-cua-hang")</f>
        <v>https://techcombank.com/thong-tin/blog/quan-ly-chuoi-cua-hang</v>
      </c>
      <c r="AD54" s="16" t="str">
        <f>IFERROR(__xludf.DUMMYFUNCTION("""COMPUTED_VALUE"""),"mô hình kinh doanh")</f>
        <v>mô hình kinh doanh</v>
      </c>
      <c r="AE54" s="21" t="str">
        <f>IFERROR(__xludf.DUMMYFUNCTION("""COMPUTED_VALUE"""),"https://techcombank.com/thong-tin/blog/kiem-tra-thue-ho-kinh-doanh")</f>
        <v>https://techcombank.com/thong-tin/blog/kiem-tra-thue-ho-kinh-doanh</v>
      </c>
      <c r="AF54" s="16" t="str">
        <f>IFERROR(__xludf.DUMMYFUNCTION("""COMPUTED_VALUE"""),"mô hình kinh doanh là gì")</f>
        <v>mô hình kinh doanh là gì</v>
      </c>
      <c r="AG54" s="21" t="str">
        <f>IFERROR(__xludf.DUMMYFUNCTION("""COMPUTED_VALUE"""),"https://techcombank.com/thong-tin/blog/giai-phap-quan-ly-chuoi-cua-hang")</f>
        <v>https://techcombank.com/thong-tin/blog/giai-phap-quan-ly-chuoi-cua-hang</v>
      </c>
      <c r="AH54" s="16" t="str">
        <f>IFERROR(__xludf.DUMMYFUNCTION("""COMPUTED_VALUE"""),"mô hình kinh doanh")</f>
        <v>mô hình kinh doanh</v>
      </c>
      <c r="AI54" s="21" t="str">
        <f>IFERROR(__xludf.DUMMYFUNCTION("""COMPUTED_VALUE"""),"https://techcombank.com/thong-tin/blog/cach-dang-ky-ma-so-thue-ho-kinh-doanh-online")</f>
        <v>https://techcombank.com/thong-tin/blog/cach-dang-ky-ma-so-thue-ho-kinh-doanh-online</v>
      </c>
      <c r="AJ54" s="16" t="str">
        <f>IFERROR(__xludf.DUMMYFUNCTION("""COMPUTED_VALUE"""),"mô hình kinh doanh là gì")</f>
        <v>mô hình kinh doanh là gì</v>
      </c>
      <c r="AK54" s="21" t="str">
        <f>IFERROR(__xludf.DUMMYFUNCTION("""COMPUTED_VALUE"""),"https://techcombank.com/thong-tin/blog/tra-cuu-ma-so-thue-ho-kinh-doanh")</f>
        <v>https://techcombank.com/thong-tin/blog/tra-cuu-ma-so-thue-ho-kinh-doanh</v>
      </c>
      <c r="AL54" s="16" t="str">
        <f>IFERROR(__xludf.DUMMYFUNCTION("""COMPUTED_VALUE"""),"mô hình kinh doanh")</f>
        <v>mô hình kinh doanh</v>
      </c>
      <c r="AM54" s="21" t="str">
        <f>IFERROR(__xludf.DUMMYFUNCTION("""COMPUTED_VALUE"""),"https://techcombank.com/thong-tin/blog/cua-hang-tien-loi")</f>
        <v>https://techcombank.com/thong-tin/blog/cua-hang-tien-loi</v>
      </c>
      <c r="AN54" s="16" t="str">
        <f>IFERROR(__xludf.DUMMYFUNCTION("""COMPUTED_VALUE"""),"mô hình kinh doanh là gì")</f>
        <v>mô hình kinh doanh là gì</v>
      </c>
      <c r="AO54" s="21" t="str">
        <f>IFERROR(__xludf.DUMMYFUNCTION("""COMPUTED_VALUE"""),"https://techcombank.com/thong-tin/blog/hieu-hiet-ve-tuan-thu-thue-cho-cac-doanh-nghiep-khoi-nghiep")</f>
        <v>https://techcombank.com/thong-tin/blog/hieu-hiet-ve-tuan-thu-thue-cho-cac-doanh-nghiep-khoi-nghiep</v>
      </c>
      <c r="AP54" s="16" t="str">
        <f>IFERROR(__xludf.DUMMYFUNCTION("""COMPUTED_VALUE"""),"mô hình kinh doanh")</f>
        <v>mô hình kinh doanh</v>
      </c>
      <c r="AQ54" s="21" t="str">
        <f>IFERROR(__xludf.DUMMYFUNCTION("""COMPUTED_VALUE"""),"https://techcombank.com/thong-tin/blog/vay-kinh-doanh-online")</f>
        <v>https://techcombank.com/thong-tin/blog/vay-kinh-doanh-online</v>
      </c>
      <c r="AR54" s="16" t="str">
        <f>IFERROR(__xludf.DUMMYFUNCTION("""COMPUTED_VALUE"""),"mô hình kinh doanh là gì")</f>
        <v>mô hình kinh doanh là gì</v>
      </c>
      <c r="AS54" s="21" t="str">
        <f>IFERROR(__xludf.DUMMYFUNCTION("""COMPUTED_VALUE"""),"https://techcombank.com/thong-tin/blog/chuan-bi-cho-doanh-nghiep-khoi-nghiep-truoc-nhung-thay-doi-ve-thue")</f>
        <v>https://techcombank.com/thong-tin/blog/chuan-bi-cho-doanh-nghiep-khoi-nghiep-truoc-nhung-thay-doi-ve-thue</v>
      </c>
      <c r="AT54" s="16" t="str">
        <f>IFERROR(__xludf.DUMMYFUNCTION("""COMPUTED_VALUE"""),"mô hình kinh doanh")</f>
        <v>mô hình kinh doanh</v>
      </c>
      <c r="AU54" s="21" t="str">
        <f>IFERROR(__xludf.DUMMYFUNCTION("""COMPUTED_VALUE"""),"https://techcombank.com/thong-tin/blog/quan-ly-chi-phi-doanh-nghiep")</f>
        <v>https://techcombank.com/thong-tin/blog/quan-ly-chi-phi-doanh-nghiep</v>
      </c>
      <c r="AV54" s="16" t="str">
        <f>IFERROR(__xludf.DUMMYFUNCTION("""COMPUTED_VALUE"""),"mô hình kinh doanh là gì")</f>
        <v>mô hình kinh doanh là gì</v>
      </c>
      <c r="AW54" s="21" t="str">
        <f>IFERROR(__xludf.DUMMYFUNCTION("""COMPUTED_VALUE"""),"https://techcombank.com/thong-tin/blog/tieu-dung-ben-vung")</f>
        <v>https://techcombank.com/thong-tin/blog/tieu-dung-ben-vung</v>
      </c>
      <c r="AX54" s="16"/>
      <c r="AY54" s="16"/>
      <c r="AZ54" s="16"/>
      <c r="BA54" s="16"/>
      <c r="BB54" s="16"/>
      <c r="BC54" s="16"/>
      <c r="BD54" s="16"/>
      <c r="BE54" s="16"/>
      <c r="BF54" s="16"/>
      <c r="BG54" s="16"/>
      <c r="BH54" s="16"/>
      <c r="BI54" s="16"/>
      <c r="BJ54" s="16"/>
      <c r="BK54" s="16"/>
      <c r="BL54" s="16"/>
      <c r="BM54" s="16"/>
      <c r="BN54" s="16"/>
      <c r="BO54" s="16"/>
      <c r="BP54" s="16"/>
      <c r="BQ54" s="16"/>
      <c r="BR54" s="16"/>
      <c r="BS54" s="16"/>
      <c r="BT54" s="16"/>
      <c r="BU54" s="16"/>
      <c r="BV54" s="16"/>
      <c r="BW54" s="16"/>
      <c r="BX54" s="16"/>
      <c r="BY54" s="16"/>
      <c r="BZ54" s="16"/>
      <c r="CA54" s="16"/>
      <c r="CB54" s="16"/>
      <c r="CC54" s="16"/>
      <c r="CD54" s="16"/>
      <c r="CE54" s="16"/>
      <c r="CF54" s="16"/>
      <c r="CG54" s="16"/>
      <c r="CH54" s="16"/>
      <c r="CI54" s="16"/>
      <c r="CJ54" s="16"/>
      <c r="CK54" s="16"/>
      <c r="CL54" s="16"/>
      <c r="CM54" s="16"/>
      <c r="CN54" s="16"/>
      <c r="CO54" s="16"/>
      <c r="CP54" s="16"/>
      <c r="CQ54" s="16"/>
      <c r="CR54" s="16"/>
      <c r="CS54" s="16"/>
      <c r="CT54" s="16"/>
      <c r="CU54" s="16"/>
      <c r="CV54" s="16"/>
      <c r="CW54" s="16"/>
      <c r="CX54" s="16"/>
      <c r="CY54" s="16"/>
      <c r="CZ54" s="16"/>
      <c r="DA54" s="16"/>
      <c r="DB54" s="16"/>
      <c r="DC54" s="16"/>
      <c r="DD54" s="16"/>
      <c r="DE54" s="16"/>
      <c r="DF54" s="16"/>
      <c r="DG54" s="16"/>
      <c r="DH54" s="16"/>
      <c r="DI54" s="16"/>
      <c r="DJ54" s="16"/>
      <c r="DK54" s="16"/>
      <c r="DL54" s="16"/>
      <c r="DM54" s="16"/>
      <c r="DN54" s="16"/>
      <c r="DO54" s="16"/>
      <c r="DP54" s="16"/>
      <c r="DQ54" s="16"/>
      <c r="DR54" s="16"/>
      <c r="DS54" s="16"/>
      <c r="DT54" s="16"/>
      <c r="DU54" s="16"/>
      <c r="DV54" s="16"/>
      <c r="DW54" s="16"/>
      <c r="DX54" s="16"/>
      <c r="DY54" s="16"/>
      <c r="DZ54" s="16"/>
      <c r="EA54" s="16"/>
      <c r="EB54" s="16"/>
      <c r="EC54" s="16"/>
      <c r="ED54" s="16"/>
      <c r="EE54" s="16"/>
      <c r="EF54" s="16"/>
      <c r="EG54" s="16"/>
      <c r="EH54" s="16"/>
      <c r="EI54" s="16"/>
      <c r="EJ54" s="16"/>
      <c r="EK54" s="16"/>
      <c r="EL54" s="16"/>
      <c r="EM54" s="16"/>
      <c r="EN54" s="16"/>
      <c r="EO54" s="16"/>
      <c r="EP54" s="16"/>
      <c r="EQ54" s="16"/>
      <c r="ER54" s="16"/>
      <c r="ES54" s="16"/>
      <c r="ET54" s="16"/>
      <c r="EU54" s="16"/>
      <c r="EV54" s="16"/>
      <c r="EW54" s="16"/>
      <c r="EX54" s="16"/>
      <c r="EY54" s="16"/>
      <c r="EZ54" s="16"/>
      <c r="FA54" s="16"/>
      <c r="FB54" s="16"/>
      <c r="FC54" s="16"/>
      <c r="FD54" s="16"/>
      <c r="FE54" s="16"/>
      <c r="FF54" s="16"/>
      <c r="FG54" s="16"/>
      <c r="FH54" s="16"/>
      <c r="FI54" s="16"/>
      <c r="FJ54" s="16"/>
      <c r="FK54" s="16"/>
      <c r="FL54" s="16"/>
      <c r="FM54" s="16"/>
      <c r="FN54" s="16"/>
      <c r="FO54" s="16"/>
      <c r="FP54" s="16"/>
      <c r="FQ54" s="16"/>
      <c r="FR54" s="16"/>
      <c r="FS54" s="16"/>
      <c r="FT54" s="16"/>
      <c r="FU54" s="16"/>
      <c r="FV54" s="16"/>
      <c r="FW54" s="16"/>
      <c r="FX54" s="16"/>
      <c r="FY54" s="16"/>
      <c r="FZ54" s="16"/>
      <c r="GA54" s="16"/>
      <c r="GB54" s="16"/>
      <c r="GC54" s="16"/>
      <c r="GD54" s="16"/>
      <c r="GE54" s="16"/>
      <c r="GF54" s="16"/>
      <c r="GG54" s="16"/>
      <c r="GH54" s="16"/>
      <c r="GI54" s="16"/>
      <c r="GJ54" s="16"/>
      <c r="GK54" s="16"/>
      <c r="GL54" s="16"/>
      <c r="GM54" s="16"/>
      <c r="GN54" s="16"/>
      <c r="GO54" s="16"/>
    </row>
    <row r="55" ht="18.0" customHeight="1">
      <c r="A55" s="15">
        <v>54.0</v>
      </c>
      <c r="B55" s="16" t="s">
        <v>1179</v>
      </c>
      <c r="C55" s="17" t="s">
        <v>1212</v>
      </c>
      <c r="D55" s="16" t="s">
        <v>341</v>
      </c>
      <c r="E55" s="15">
        <f>COUNTIF('Tổng hợp 75 trang đích'!$B$2:$B$2505,$D55)</f>
        <v>26</v>
      </c>
      <c r="F55" s="15">
        <f>COUNTIFS('Tổng hợp 75 trang đích'!$B$2:$B$2505,$D55,'Tổng hợp 75 trang đích'!$K$2:$K$2505,"PHÙ HỢP CAO")</f>
        <v>4</v>
      </c>
      <c r="G55" s="15">
        <f>COUNTIFS('Tổng hợp 75 trang đích'!$B$2:$B$2505,$D55,'Tổng hợp 75 trang đích'!$K$2:$K$2505,"CÓ THỂ ĐI")</f>
        <v>1</v>
      </c>
      <c r="H55" s="15">
        <f>COUNTIFS('Tổng hợp 75 trang đích'!$B$2:$B$2505,$D55,'Tổng hợp 75 trang đích'!$K$2:$K$2505,"CẦN SOÁT")</f>
        <v>21</v>
      </c>
      <c r="I55" s="19" t="s">
        <v>256</v>
      </c>
      <c r="J55" s="19" t="b">
        <v>0</v>
      </c>
      <c r="K55" s="20" t="s">
        <v>258</v>
      </c>
      <c r="L55" s="16" t="str">
        <f>IFERROR(__xludf.DUMMYFUNCTION("IFERROR(TOROW(CHOOSECOLS(SORT(FILTER({'Tổng hợp 75 trang đích'!$J$2:$J$2505,'Tổng hợp 75 trang đích'!$I$2:$I$2505,MATCH('Tổng hợp 75 trang đích'!$K$2:$K$2505,{""PHÙ HỢP CAO"",""CÓ THỂ ĐI"",""CẦN SOÁT""},0)},'Tổng hợp 75 trang đích'!$B$2:$B$2505=$D55),3,TR"&amp;"UE),1,2)),"""")"),"gửi mã QR ngân hàng")</f>
        <v>gửi mã QR ngân hàng</v>
      </c>
      <c r="M55" s="21" t="str">
        <f>IFERROR(__xludf.DUMMYFUNCTION("""COMPUTED_VALUE"""),"https://techcombank.com/thong-tin/blog/cach-tao-ma-qr")</f>
        <v>https://techcombank.com/thong-tin/blog/cach-tao-ma-qr</v>
      </c>
      <c r="N55" s="16" t="str">
        <f>IFERROR(__xludf.DUMMYFUNCTION("""COMPUTED_VALUE"""),"cách gửi mã QR ngân hàng")</f>
        <v>cách gửi mã QR ngân hàng</v>
      </c>
      <c r="O55" s="21" t="str">
        <f>IFERROR(__xludf.DUMMYFUNCTION("""COMPUTED_VALUE"""),"https://techcombank.com/thong-tin/blog/in-ma-qr-ngan-hang")</f>
        <v>https://techcombank.com/thong-tin/blog/in-ma-qr-ngan-hang</v>
      </c>
      <c r="P55" s="16" t="str">
        <f>IFERROR(__xludf.DUMMYFUNCTION("""COMPUTED_VALUE"""),"gửi mã QR ngân hàng")</f>
        <v>gửi mã QR ngân hàng</v>
      </c>
      <c r="Q55" s="21" t="str">
        <f>IFERROR(__xludf.DUMMYFUNCTION("""COMPUTED_VALUE"""),"https://techcombank.com/thong-tin/blog/lo-ma-qr-ngan-hang-co-sao-khong")</f>
        <v>https://techcombank.com/thong-tin/blog/lo-ma-qr-ngan-hang-co-sao-khong</v>
      </c>
      <c r="R55" s="16" t="str">
        <f>IFERROR(__xludf.DUMMYFUNCTION("""COMPUTED_VALUE"""),"cách gửi mã QR ngân hàng")</f>
        <v>cách gửi mã QR ngân hàng</v>
      </c>
      <c r="S55" s="21" t="str">
        <f>IFERROR(__xludf.DUMMYFUNCTION("""COMPUTED_VALUE"""),"https://techcombank.com/thong-tin/blog/lam-ma-qr-ngan-hang-co-mat-phi-khong")</f>
        <v>https://techcombank.com/thong-tin/blog/lam-ma-qr-ngan-hang-co-mat-phi-khong</v>
      </c>
      <c r="T55" s="16" t="str">
        <f>IFERROR(__xludf.DUMMYFUNCTION("""COMPUTED_VALUE"""),"gửi mã QR ngân hàng")</f>
        <v>gửi mã QR ngân hàng</v>
      </c>
      <c r="U55" s="21" t="str">
        <f>IFERROR(__xludf.DUMMYFUNCTION("""COMPUTED_VALUE"""),"https://techcombank.com/thong-tin/blog/ma-qr-ngan-hang-khong-hop-le")</f>
        <v>https://techcombank.com/thong-tin/blog/ma-qr-ngan-hang-khong-hop-le</v>
      </c>
      <c r="V55" s="16" t="str">
        <f>IFERROR(__xludf.DUMMYFUNCTION("""COMPUTED_VALUE"""),"cách gửi mã QR ngân hàng")</f>
        <v>cách gửi mã QR ngân hàng</v>
      </c>
      <c r="W55" s="21" t="str">
        <f>IFERROR(__xludf.DUMMYFUNCTION("""COMPUTED_VALUE"""),"https://techcombank.com/thong-tin/blog/quet-ma-qr-techcombank")</f>
        <v>https://techcombank.com/thong-tin/blog/quet-ma-qr-techcombank</v>
      </c>
      <c r="X55" s="16" t="str">
        <f>IFERROR(__xludf.DUMMYFUNCTION("""COMPUTED_VALUE"""),"gửi mã QR ngân hàng")</f>
        <v>gửi mã QR ngân hàng</v>
      </c>
      <c r="Y55" s="21" t="str">
        <f>IFERROR(__xludf.DUMMYFUNCTION("""COMPUTED_VALUE"""),"https://techcombank.com/thong-tin/blog/tao-ma-qr-thanh-toan-cho-cua-hang")</f>
        <v>https://techcombank.com/thong-tin/blog/tao-ma-qr-thanh-toan-cho-cua-hang</v>
      </c>
      <c r="Z55" s="16" t="str">
        <f>IFERROR(__xludf.DUMMYFUNCTION("""COMPUTED_VALUE"""),"cách gửi mã QR ngân hàng")</f>
        <v>cách gửi mã QR ngân hàng</v>
      </c>
      <c r="AA55" s="21" t="str">
        <f>IFERROR(__xludf.DUMMYFUNCTION("""COMPUTED_VALUE"""),"https://techcombank.com/thong-tin/blog/pos")</f>
        <v>https://techcombank.com/thong-tin/blog/pos</v>
      </c>
      <c r="AB55" s="16" t="str">
        <f>IFERROR(__xludf.DUMMYFUNCTION("""COMPUTED_VALUE"""),"gửi mã QR ngân hàng")</f>
        <v>gửi mã QR ngân hàng</v>
      </c>
      <c r="AC55" s="21" t="str">
        <f>IFERROR(__xludf.DUMMYFUNCTION("""COMPUTED_VALUE"""),"https://techcombank.com/thong-tin/blog/softpos")</f>
        <v>https://techcombank.com/thong-tin/blog/softpos</v>
      </c>
      <c r="AD55" s="16" t="str">
        <f>IFERROR(__xludf.DUMMYFUNCTION("""COMPUTED_VALUE"""),"cách gửi mã QR ngân hàng")</f>
        <v>cách gửi mã QR ngân hàng</v>
      </c>
      <c r="AE55" s="21" t="str">
        <f>IFERROR(__xludf.DUMMYFUNCTION("""COMPUTED_VALUE"""),"https://techcombank.com/thong-tin/blog/merchant-la-gi")</f>
        <v>https://techcombank.com/thong-tin/blog/merchant-la-gi</v>
      </c>
      <c r="AF55" s="16" t="str">
        <f>IFERROR(__xludf.DUMMYFUNCTION("""COMPUTED_VALUE"""),"gửi mã QR ngân hàng")</f>
        <v>gửi mã QR ngân hàng</v>
      </c>
      <c r="AG55" s="21" t="str">
        <f>IFERROR(__xludf.DUMMYFUNCTION("""COMPUTED_VALUE"""),"https://techcombank.com/thong-tin/blog/ma-qr-lam-gia-duoc-khong")</f>
        <v>https://techcombank.com/thong-tin/blog/ma-qr-lam-gia-duoc-khong</v>
      </c>
      <c r="AH55" s="16" t="str">
        <f>IFERROR(__xludf.DUMMYFUNCTION("""COMPUTED_VALUE"""),"cách gửi mã QR ngân hàng")</f>
        <v>cách gửi mã QR ngân hàng</v>
      </c>
      <c r="AI55" s="21" t="str">
        <f>IFERROR(__xludf.DUMMYFUNCTION("""COMPUTED_VALUE"""),"https://techcombank.com/thong-tin/blog/ma-qr-techcombank")</f>
        <v>https://techcombank.com/thong-tin/blog/ma-qr-techcombank</v>
      </c>
      <c r="AJ55" s="16" t="str">
        <f>IFERROR(__xludf.DUMMYFUNCTION("""COMPUTED_VALUE"""),"gửi mã QR ngân hàng")</f>
        <v>gửi mã QR ngân hàng</v>
      </c>
      <c r="AK55" s="21" t="str">
        <f>IFERROR(__xludf.DUMMYFUNCTION("""COMPUTED_VALUE"""),"https://techcombank.com/thong-tin/blog/so-sanh-ma-qr-va-ma-vach")</f>
        <v>https://techcombank.com/thong-tin/blog/so-sanh-ma-qr-va-ma-vach</v>
      </c>
      <c r="AL55" s="16" t="str">
        <f>IFERROR(__xludf.DUMMYFUNCTION("""COMPUTED_VALUE"""),"cách gửi mã QR ngân hàng")</f>
        <v>cách gửi mã QR ngân hàng</v>
      </c>
      <c r="AM55" s="21" t="str">
        <f>IFERROR(__xludf.DUMMYFUNCTION("""COMPUTED_VALUE"""),"https://techcombank.com/thong-tin/blog/qr-code-doanh-nghiep")</f>
        <v>https://techcombank.com/thong-tin/blog/qr-code-doanh-nghiep</v>
      </c>
      <c r="AN55" s="16" t="str">
        <f>IFERROR(__xludf.DUMMYFUNCTION("""COMPUTED_VALUE"""),"gửi mã QR ngân hàng")</f>
        <v>gửi mã QR ngân hàng</v>
      </c>
      <c r="AO55" s="21" t="str">
        <f>IFERROR(__xludf.DUMMYFUNCTION("""COMPUTED_VALUE"""),"https://techcombank.com/thong-tin/blog/thanh-toan-bang-ma-qr")</f>
        <v>https://techcombank.com/thong-tin/blog/thanh-toan-bang-ma-qr</v>
      </c>
      <c r="AP55" s="16" t="str">
        <f>IFERROR(__xludf.DUMMYFUNCTION("""COMPUTED_VALUE"""),"cách gửi mã QR ngân hàng")</f>
        <v>cách gửi mã QR ngân hàng</v>
      </c>
      <c r="AQ55" s="21" t="str">
        <f>IFERROR(__xludf.DUMMYFUNCTION("""COMPUTED_VALUE"""),"https://techcombank.com/thong-tin/blog/cach-tao-ma-qr-code-mien-phi")</f>
        <v>https://techcombank.com/thong-tin/blog/cach-tao-ma-qr-code-mien-phi</v>
      </c>
      <c r="AR55" s="16" t="str">
        <f>IFERROR(__xludf.DUMMYFUNCTION("""COMPUTED_VALUE"""),"gửi mã QR ngân hàng")</f>
        <v>gửi mã QR ngân hàng</v>
      </c>
      <c r="AS55" s="21" t="str">
        <f>IFERROR(__xludf.DUMMYFUNCTION("""COMPUTED_VALUE"""),"https://techcombank.com/thong-tin/blog/qr-dong")</f>
        <v>https://techcombank.com/thong-tin/blog/qr-dong</v>
      </c>
      <c r="AT55" s="16" t="str">
        <f>IFERROR(__xludf.DUMMYFUNCTION("""COMPUTED_VALUE"""),"cách gửi mã QR ngân hàng")</f>
        <v>cách gửi mã QR ngân hàng</v>
      </c>
      <c r="AU55" s="21" t="str">
        <f>IFERROR(__xludf.DUMMYFUNCTION("""COMPUTED_VALUE"""),"https://techcombank.com/thong-tin/blog/rut-tien-bang-ma-qr-khac-ngan-hang-duoc-khong")</f>
        <v>https://techcombank.com/thong-tin/blog/rut-tien-bang-ma-qr-khac-ngan-hang-duoc-khong</v>
      </c>
      <c r="AV55" s="16" t="str">
        <f>IFERROR(__xludf.DUMMYFUNCTION("""COMPUTED_VALUE"""),"gửi mã QR ngân hàng")</f>
        <v>gửi mã QR ngân hàng</v>
      </c>
      <c r="AW55" s="21" t="str">
        <f>IFERROR(__xludf.DUMMYFUNCTION("""COMPUTED_VALUE"""),"https://techcombank.com/thong-tin/blog/thanh-toan-ma-qr-tro-thanh-phuong-thuc-duoc-ua-chuong-va-trien-khai-manh-me")</f>
        <v>https://techcombank.com/thong-tin/blog/thanh-toan-ma-qr-tro-thanh-phuong-thuc-duoc-ua-chuong-va-trien-khai-manh-me</v>
      </c>
      <c r="AX55" s="16" t="str">
        <f>IFERROR(__xludf.DUMMYFUNCTION("""COMPUTED_VALUE"""),"cách gửi mã QR ngân hàng")</f>
        <v>cách gửi mã QR ngân hàng</v>
      </c>
      <c r="AY55" s="21" t="str">
        <f>IFERROR(__xludf.DUMMYFUNCTION("""COMPUTED_VALUE"""),"https://techcombank.com/thong-tin/blog/qr-code-phuong-thuc-thanh-toan-toi-uu-trong-ky-nguyen-so")</f>
        <v>https://techcombank.com/thong-tin/blog/qr-code-phuong-thuc-thanh-toan-toi-uu-trong-ky-nguyen-so</v>
      </c>
      <c r="AZ55" s="16" t="str">
        <f>IFERROR(__xludf.DUMMYFUNCTION("""COMPUTED_VALUE"""),"gửi mã QR ngân hàng")</f>
        <v>gửi mã QR ngân hàng</v>
      </c>
      <c r="BA55" s="21" t="str">
        <f>IFERROR(__xludf.DUMMYFUNCTION("""COMPUTED_VALUE"""),"https://techcombank.com/thong-tin/blog/rut-tien-bang-ma-qr-la-gi-cach-thuc-hien-nhu-the-nao")</f>
        <v>https://techcombank.com/thong-tin/blog/rut-tien-bang-ma-qr-la-gi-cach-thuc-hien-nhu-the-nao</v>
      </c>
      <c r="BB55" s="16" t="str">
        <f>IFERROR(__xludf.DUMMYFUNCTION("""COMPUTED_VALUE"""),"cách gửi mã QR ngân hàng")</f>
        <v>cách gửi mã QR ngân hàng</v>
      </c>
      <c r="BC55" s="21" t="str">
        <f>IFERROR(__xludf.DUMMYFUNCTION("""COMPUTED_VALUE"""),"https://techcombank.com/thong-tin/blog/cach-chuyen-khoan-bang-dien-thoai")</f>
        <v>https://techcombank.com/thong-tin/blog/cach-chuyen-khoan-bang-dien-thoai</v>
      </c>
      <c r="BD55" s="16" t="str">
        <f>IFERROR(__xludf.DUMMYFUNCTION("""COMPUTED_VALUE"""),"gửi mã QR ngân hàng")</f>
        <v>gửi mã QR ngân hàng</v>
      </c>
      <c r="BE55" s="21" t="str">
        <f>IFERROR(__xludf.DUMMYFUNCTION("""COMPUTED_VALUE"""),"https://techcombank.com/thong-tin/blog/cach-rut-tien-atm")</f>
        <v>https://techcombank.com/thong-tin/blog/cach-rut-tien-atm</v>
      </c>
      <c r="BF55" s="16" t="str">
        <f>IFERROR(__xludf.DUMMYFUNCTION("""COMPUTED_VALUE"""),"cách gửi mã QR ngân hàng")</f>
        <v>cách gửi mã QR ngân hàng</v>
      </c>
      <c r="BG55" s="21" t="str">
        <f>IFERROR(__xludf.DUMMYFUNCTION("""COMPUTED_VALUE"""),"https://techcombank.com/thong-tin/blog/cach-chuyen-tien")</f>
        <v>https://techcombank.com/thong-tin/blog/cach-chuyen-tien</v>
      </c>
      <c r="BH55" s="16" t="str">
        <f>IFERROR(__xludf.DUMMYFUNCTION("""COMPUTED_VALUE"""),"gửi mã QR ngân hàng")</f>
        <v>gửi mã QR ngân hàng</v>
      </c>
      <c r="BI55" s="21" t="str">
        <f>IFERROR(__xludf.DUMMYFUNCTION("""COMPUTED_VALUE"""),"https://techcombank.com/thong-tin/blog/cach-chuyen-tien-qua-ma-qr-techcombank")</f>
        <v>https://techcombank.com/thong-tin/blog/cach-chuyen-tien-qua-ma-qr-techcombank</v>
      </c>
      <c r="BJ55" s="16" t="str">
        <f>IFERROR(__xludf.DUMMYFUNCTION("""COMPUTED_VALUE"""),"cách gửi mã QR ngân hàng")</f>
        <v>cách gửi mã QR ngân hàng</v>
      </c>
      <c r="BK55" s="21" t="str">
        <f>IFERROR(__xludf.DUMMYFUNCTION("""COMPUTED_VALUE"""),"https://techcombank.com/thong-tin/blog/thanh-toan-qr-thai-lan")</f>
        <v>https://techcombank.com/thong-tin/blog/thanh-toan-qr-thai-lan</v>
      </c>
      <c r="BL55" s="16"/>
      <c r="BM55" s="16"/>
      <c r="BN55" s="16"/>
      <c r="BO55" s="16"/>
      <c r="BP55" s="16"/>
      <c r="BQ55" s="16"/>
      <c r="BR55" s="16"/>
      <c r="BS55" s="16"/>
      <c r="BT55" s="16"/>
      <c r="BU55" s="16"/>
      <c r="BV55" s="16"/>
      <c r="BW55" s="16"/>
      <c r="BX55" s="16"/>
      <c r="BY55" s="16"/>
      <c r="BZ55" s="16"/>
      <c r="CA55" s="16"/>
      <c r="CB55" s="16"/>
      <c r="CC55" s="16"/>
      <c r="CD55" s="16"/>
      <c r="CE55" s="16"/>
      <c r="CF55" s="16"/>
      <c r="CG55" s="16"/>
      <c r="CH55" s="16"/>
      <c r="CI55" s="16"/>
      <c r="CJ55" s="16"/>
      <c r="CK55" s="16"/>
      <c r="CL55" s="16"/>
      <c r="CM55" s="16"/>
      <c r="CN55" s="16"/>
      <c r="CO55" s="16"/>
      <c r="CP55" s="16"/>
      <c r="CQ55" s="16"/>
      <c r="CR55" s="16"/>
      <c r="CS55" s="16"/>
      <c r="CT55" s="16"/>
      <c r="CU55" s="16"/>
      <c r="CV55" s="16"/>
      <c r="CW55" s="16"/>
      <c r="CX55" s="16"/>
      <c r="CY55" s="16"/>
      <c r="CZ55" s="16"/>
      <c r="DA55" s="16"/>
      <c r="DB55" s="16"/>
      <c r="DC55" s="16"/>
      <c r="DD55" s="16"/>
      <c r="DE55" s="16"/>
      <c r="DF55" s="16"/>
      <c r="DG55" s="16"/>
      <c r="DH55" s="16"/>
      <c r="DI55" s="16"/>
      <c r="DJ55" s="16"/>
      <c r="DK55" s="16"/>
      <c r="DL55" s="16"/>
      <c r="DM55" s="16"/>
      <c r="DN55" s="16"/>
      <c r="DO55" s="16"/>
      <c r="DP55" s="16"/>
      <c r="DQ55" s="16"/>
      <c r="DR55" s="16"/>
      <c r="DS55" s="16"/>
      <c r="DT55" s="16"/>
      <c r="DU55" s="16"/>
      <c r="DV55" s="16"/>
      <c r="DW55" s="16"/>
      <c r="DX55" s="16"/>
      <c r="DY55" s="16"/>
      <c r="DZ55" s="16"/>
      <c r="EA55" s="16"/>
      <c r="EB55" s="16"/>
      <c r="EC55" s="16"/>
      <c r="ED55" s="16"/>
      <c r="EE55" s="16"/>
      <c r="EF55" s="16"/>
      <c r="EG55" s="16"/>
      <c r="EH55" s="16"/>
      <c r="EI55" s="16"/>
      <c r="EJ55" s="16"/>
      <c r="EK55" s="16"/>
      <c r="EL55" s="16"/>
      <c r="EM55" s="16"/>
      <c r="EN55" s="16"/>
      <c r="EO55" s="16"/>
      <c r="EP55" s="16"/>
      <c r="EQ55" s="16"/>
      <c r="ER55" s="16"/>
      <c r="ES55" s="16"/>
      <c r="ET55" s="16"/>
      <c r="EU55" s="16"/>
      <c r="EV55" s="16"/>
      <c r="EW55" s="16"/>
      <c r="EX55" s="16"/>
      <c r="EY55" s="16"/>
      <c r="EZ55" s="16"/>
      <c r="FA55" s="16"/>
      <c r="FB55" s="16"/>
      <c r="FC55" s="16"/>
      <c r="FD55" s="16"/>
      <c r="FE55" s="16"/>
      <c r="FF55" s="16"/>
      <c r="FG55" s="16"/>
      <c r="FH55" s="16"/>
      <c r="FI55" s="16"/>
      <c r="FJ55" s="16"/>
      <c r="FK55" s="16"/>
      <c r="FL55" s="16"/>
      <c r="FM55" s="16"/>
      <c r="FN55" s="16"/>
      <c r="FO55" s="16"/>
      <c r="FP55" s="16"/>
      <c r="FQ55" s="16"/>
      <c r="FR55" s="16"/>
      <c r="FS55" s="16"/>
      <c r="FT55" s="16"/>
      <c r="FU55" s="16"/>
      <c r="FV55" s="16"/>
      <c r="FW55" s="16"/>
      <c r="FX55" s="16"/>
      <c r="FY55" s="16"/>
      <c r="FZ55" s="16"/>
      <c r="GA55" s="16"/>
      <c r="GB55" s="16"/>
      <c r="GC55" s="16"/>
      <c r="GD55" s="16"/>
      <c r="GE55" s="16"/>
      <c r="GF55" s="16"/>
      <c r="GG55" s="16"/>
      <c r="GH55" s="16"/>
      <c r="GI55" s="16"/>
      <c r="GJ55" s="16"/>
      <c r="GK55" s="16"/>
      <c r="GL55" s="16"/>
      <c r="GM55" s="16"/>
      <c r="GN55" s="16"/>
      <c r="GO55" s="16"/>
    </row>
    <row r="56" ht="18.0" customHeight="1">
      <c r="A56" s="15">
        <v>55.0</v>
      </c>
      <c r="B56" s="16" t="s">
        <v>1179</v>
      </c>
      <c r="C56" s="17" t="s">
        <v>1227</v>
      </c>
      <c r="D56" s="16" t="s">
        <v>342</v>
      </c>
      <c r="E56" s="15">
        <f>COUNTIF('Tổng hợp 75 trang đích'!$B$2:$B$2505,$D56)</f>
        <v>52</v>
      </c>
      <c r="F56" s="15">
        <f>COUNTIFS('Tổng hợp 75 trang đích'!$B$2:$B$2505,$D56,'Tổng hợp 75 trang đích'!$K$2:$K$2505,"PHÙ HỢP CAO")</f>
        <v>3</v>
      </c>
      <c r="G56" s="15">
        <f>COUNTIFS('Tổng hợp 75 trang đích'!$B$2:$B$2505,$D56,'Tổng hợp 75 trang đích'!$K$2:$K$2505,"CÓ THỂ ĐI")</f>
        <v>2</v>
      </c>
      <c r="H56" s="15">
        <f>COUNTIFS('Tổng hợp 75 trang đích'!$B$2:$B$2505,$D56,'Tổng hợp 75 trang đích'!$K$2:$K$2505,"CẦN SOÁT")</f>
        <v>47</v>
      </c>
      <c r="I56" s="19" t="s">
        <v>256</v>
      </c>
      <c r="J56" s="19" t="b">
        <v>0</v>
      </c>
      <c r="K56" s="20" t="s">
        <v>258</v>
      </c>
      <c r="L56" s="16" t="str">
        <f>IFERROR(__xludf.DUMMYFUNCTION("IFERROR(TOROW(CHOOSECOLS(SORT(FILTER({'Tổng hợp 75 trang đích'!$J$2:$J$2505,'Tổng hợp 75 trang đích'!$I$2:$I$2505,MATCH('Tổng hợp 75 trang đích'!$K$2:$K$2505,{""PHÙ HỢP CAO"",""CÓ THỂ ĐI"",""CẦN SOÁT""},0)},'Tổng hợp 75 trang đích'!$B$2:$B$2505=$D56),3,TR"&amp;"UE),1,2)),"""")"),"mở tài khoản hộ kinh doanh")</f>
        <v>mở tài khoản hộ kinh doanh</v>
      </c>
      <c r="M56" s="21" t="str">
        <f>IFERROR(__xludf.DUMMYFUNCTION("""COMPUTED_VALUE"""),"https://techcombank.com/thong-tin/blog/ho-kinh-doanh-can-gi-o-tai-khoan-ngan-hang")</f>
        <v>https://techcombank.com/thong-tin/blog/ho-kinh-doanh-can-gi-o-tai-khoan-ngan-hang</v>
      </c>
      <c r="N56" s="16" t="str">
        <f>IFERROR(__xludf.DUMMYFUNCTION("""COMPUTED_VALUE"""),"cách mở tài khoản hộ kinh doanh")</f>
        <v>cách mở tài khoản hộ kinh doanh</v>
      </c>
      <c r="O56" s="21" t="str">
        <f>IFERROR(__xludf.DUMMYFUNCTION("""COMPUTED_VALUE"""),"https://techcombank.com/thong-tin/blog/thanh-lap-ho-kinh-doanh-ca-the")</f>
        <v>https://techcombank.com/thong-tin/blog/thanh-lap-ho-kinh-doanh-ca-the</v>
      </c>
      <c r="P56" s="16" t="str">
        <f>IFERROR(__xludf.DUMMYFUNCTION("""COMPUTED_VALUE"""),"tài khoản hộ kinh doanh")</f>
        <v>tài khoản hộ kinh doanh</v>
      </c>
      <c r="Q56" s="21" t="str">
        <f>IFERROR(__xludf.DUMMYFUNCTION("""COMPUTED_VALUE"""),"https://techcombank.com/thong-tin/blog/khai-bao-tai-khoan-ngan-hang-voi-co-quan-thue")</f>
        <v>https://techcombank.com/thong-tin/blog/khai-bao-tai-khoan-ngan-hang-voi-co-quan-thue</v>
      </c>
      <c r="R56" s="16" t="str">
        <f>IFERROR(__xludf.DUMMYFUNCTION("""COMPUTED_VALUE"""),"mở tài khoản hộ kinh doanh")</f>
        <v>mở tài khoản hộ kinh doanh</v>
      </c>
      <c r="S56" s="21" t="str">
        <f>IFERROR(__xludf.DUMMYFUNCTION("""COMPUTED_VALUE"""),"https://techcombank.com/thong-tin/blog/ho-kinh-doanh-ca-the")</f>
        <v>https://techcombank.com/thong-tin/blog/ho-kinh-doanh-ca-the</v>
      </c>
      <c r="T56" s="16" t="str">
        <f>IFERROR(__xludf.DUMMYFUNCTION("""COMPUTED_VALUE"""),"cách mở tài khoản hộ kinh doanh")</f>
        <v>cách mở tài khoản hộ kinh doanh</v>
      </c>
      <c r="U56" s="21" t="str">
        <f>IFERROR(__xludf.DUMMYFUNCTION("""COMPUTED_VALUE"""),"https://techcombank.com/thong-tin/blog/cach-dang-ky-ma-so-thue-ho-kinh-doanh-online")</f>
        <v>https://techcombank.com/thong-tin/blog/cach-dang-ky-ma-so-thue-ho-kinh-doanh-online</v>
      </c>
      <c r="V56" s="16" t="str">
        <f>IFERROR(__xludf.DUMMYFUNCTION("""COMPUTED_VALUE"""),"tài khoản hộ kinh doanh")</f>
        <v>tài khoản hộ kinh doanh</v>
      </c>
      <c r="W56" s="21" t="str">
        <f>IFERROR(__xludf.DUMMYFUNCTION("""COMPUTED_VALUE"""),"https://techcombank.com/thong-tin/blog/ho-kinh-doanh-la-gi")</f>
        <v>https://techcombank.com/thong-tin/blog/ho-kinh-doanh-la-gi</v>
      </c>
      <c r="X56" s="16" t="str">
        <f>IFERROR(__xludf.DUMMYFUNCTION("""COMPUTED_VALUE"""),"mở tài khoản hộ kinh doanh")</f>
        <v>mở tài khoản hộ kinh doanh</v>
      </c>
      <c r="Y56" s="21" t="str">
        <f>IFERROR(__xludf.DUMMYFUNCTION("""COMPUTED_VALUE"""),"https://techcombank.com/thong-tin/blog/thue-ho-kinh-doanh-2025")</f>
        <v>https://techcombank.com/thong-tin/blog/thue-ho-kinh-doanh-2025</v>
      </c>
      <c r="Z56" s="16" t="str">
        <f>IFERROR(__xludf.DUMMYFUNCTION("""COMPUTED_VALUE"""),"cách mở tài khoản hộ kinh doanh")</f>
        <v>cách mở tài khoản hộ kinh doanh</v>
      </c>
      <c r="AA56" s="21" t="str">
        <f>IFERROR(__xludf.DUMMYFUNCTION("""COMPUTED_VALUE"""),"https://techcombank.com/thong-tin/blog/cach-tao-ma-qr")</f>
        <v>https://techcombank.com/thong-tin/blog/cach-tao-ma-qr</v>
      </c>
      <c r="AB56" s="16" t="str">
        <f>IFERROR(__xludf.DUMMYFUNCTION("""COMPUTED_VALUE"""),"tài khoản hộ kinh doanh")</f>
        <v>tài khoản hộ kinh doanh</v>
      </c>
      <c r="AC56" s="21" t="str">
        <f>IFERROR(__xludf.DUMMYFUNCTION("""COMPUTED_VALUE"""),"https://techcombank.com/thong-tin/blog/cach-tinh-thue-ho-kinh-doanh-nho-le")</f>
        <v>https://techcombank.com/thong-tin/blog/cach-tinh-thue-ho-kinh-doanh-nho-le</v>
      </c>
      <c r="AD56" s="16" t="str">
        <f>IFERROR(__xludf.DUMMYFUNCTION("""COMPUTED_VALUE"""),"mở tài khoản hộ kinh doanh")</f>
        <v>mở tài khoản hộ kinh doanh</v>
      </c>
      <c r="AE56" s="21" t="str">
        <f>IFERROR(__xludf.DUMMYFUNCTION("""COMPUTED_VALUE"""),"https://techcombank.com/thong-tin/blog/loi-ich-khi-ho-kinh-doanh-chuyen-len-doanh-nghiep")</f>
        <v>https://techcombank.com/thong-tin/blog/loi-ich-khi-ho-kinh-doanh-chuyen-len-doanh-nghiep</v>
      </c>
      <c r="AF56" s="16" t="str">
        <f>IFERROR(__xludf.DUMMYFUNCTION("""COMPUTED_VALUE"""),"cách mở tài khoản hộ kinh doanh")</f>
        <v>cách mở tài khoản hộ kinh doanh</v>
      </c>
      <c r="AG56" s="21" t="str">
        <f>IFERROR(__xludf.DUMMYFUNCTION("""COMPUTED_VALUE"""),"https://techcombank.com/thong-tin/blog/tiem-nang-chuyen-doi-tu-ho-kinh-doanh-len-doanh-nghiep-sme")</f>
        <v>https://techcombank.com/thong-tin/blog/tiem-nang-chuyen-doi-tu-ho-kinh-doanh-len-doanh-nghiep-sme</v>
      </c>
      <c r="AH56" s="16" t="str">
        <f>IFERROR(__xludf.DUMMYFUNCTION("""COMPUTED_VALUE"""),"tài khoản hộ kinh doanh")</f>
        <v>tài khoản hộ kinh doanh</v>
      </c>
      <c r="AI56" s="21" t="str">
        <f>IFERROR(__xludf.DUMMYFUNCTION("""COMPUTED_VALUE"""),"https://techcombank.com/thong-tin/blog/lai-suat-vay-kinh-doanh")</f>
        <v>https://techcombank.com/thong-tin/blog/lai-suat-vay-kinh-doanh</v>
      </c>
      <c r="AJ56" s="16" t="str">
        <f>IFERROR(__xludf.DUMMYFUNCTION("""COMPUTED_VALUE"""),"mở tài khoản hộ kinh doanh")</f>
        <v>mở tài khoản hộ kinh doanh</v>
      </c>
      <c r="AK56" s="21" t="str">
        <f>IFERROR(__xludf.DUMMYFUNCTION("""COMPUTED_VALUE"""),"https://techcombank.com/thong-tin/blog/chuyen-doi-ho-kinh-doanh-len-doanh-nghiep")</f>
        <v>https://techcombank.com/thong-tin/blog/chuyen-doi-ho-kinh-doanh-len-doanh-nghiep</v>
      </c>
      <c r="AL56" s="16" t="str">
        <f>IFERROR(__xludf.DUMMYFUNCTION("""COMPUTED_VALUE"""),"cách mở tài khoản hộ kinh doanh")</f>
        <v>cách mở tài khoản hộ kinh doanh</v>
      </c>
      <c r="AM56" s="21" t="str">
        <f>IFERROR(__xludf.DUMMYFUNCTION("""COMPUTED_VALUE"""),"https://techcombank.com/thong-tin/blog/thanh-toan-khong-dung-tien-mat")</f>
        <v>https://techcombank.com/thong-tin/blog/thanh-toan-khong-dung-tien-mat</v>
      </c>
      <c r="AN56" s="16" t="str">
        <f>IFERROR(__xludf.DUMMYFUNCTION("""COMPUTED_VALUE"""),"tài khoản hộ kinh doanh")</f>
        <v>tài khoản hộ kinh doanh</v>
      </c>
      <c r="AO56" s="21" t="str">
        <f>IFERROR(__xludf.DUMMYFUNCTION("""COMPUTED_VALUE"""),"https://techcombank.com/thong-tin/blog/nen-thanh-lap-ho-kinh-doanh-ke-khai-hay-doanh-nghiep")</f>
        <v>https://techcombank.com/thong-tin/blog/nen-thanh-lap-ho-kinh-doanh-ke-khai-hay-doanh-nghiep</v>
      </c>
      <c r="AP56" s="16" t="str">
        <f>IFERROR(__xludf.DUMMYFUNCTION("""COMPUTED_VALUE"""),"mở tài khoản hộ kinh doanh")</f>
        <v>mở tài khoản hộ kinh doanh</v>
      </c>
      <c r="AQ56" s="21" t="str">
        <f>IFERROR(__xludf.DUMMYFUNCTION("""COMPUTED_VALUE"""),"https://techcombank.com/thong-tin/blog/vay-tin-chap-ho-kinh-doanh")</f>
        <v>https://techcombank.com/thong-tin/blog/vay-tin-chap-ho-kinh-doanh</v>
      </c>
      <c r="AR56" s="16" t="str">
        <f>IFERROR(__xludf.DUMMYFUNCTION("""COMPUTED_VALUE"""),"cách mở tài khoản hộ kinh doanh")</f>
        <v>cách mở tài khoản hộ kinh doanh</v>
      </c>
      <c r="AS56" s="21" t="str">
        <f>IFERROR(__xludf.DUMMYFUNCTION("""COMPUTED_VALUE"""),"https://techcombank.com/thong-tin/blog/tra-cuu-no-thue-ho-kinh-doanh")</f>
        <v>https://techcombank.com/thong-tin/blog/tra-cuu-no-thue-ho-kinh-doanh</v>
      </c>
      <c r="AT56" s="16" t="str">
        <f>IFERROR(__xludf.DUMMYFUNCTION("""COMPUTED_VALUE"""),"tài khoản hộ kinh doanh")</f>
        <v>tài khoản hộ kinh doanh</v>
      </c>
      <c r="AU56" s="21" t="str">
        <f>IFERROR(__xludf.DUMMYFUNCTION("""COMPUTED_VALUE"""),"https://techcombank.com/thong-tin/blog/lien-ket-tai-khoan-ngan-hang-voi-etax-mobile")</f>
        <v>https://techcombank.com/thong-tin/blog/lien-ket-tai-khoan-ngan-hang-voi-etax-mobile</v>
      </c>
      <c r="AV56" s="16" t="str">
        <f>IFERROR(__xludf.DUMMYFUNCTION("""COMPUTED_VALUE"""),"mở tài khoản hộ kinh doanh")</f>
        <v>mở tài khoản hộ kinh doanh</v>
      </c>
      <c r="AW56" s="21" t="str">
        <f>IFERROR(__xludf.DUMMYFUNCTION("""COMPUTED_VALUE"""),"https://techcombank.com/thong-tin/blog/thu-tuc-vay-von-kinh-doanh-nho")</f>
        <v>https://techcombank.com/thong-tin/blog/thu-tuc-vay-von-kinh-doanh-nho</v>
      </c>
      <c r="AX56" s="16" t="str">
        <f>IFERROR(__xludf.DUMMYFUNCTION("""COMPUTED_VALUE"""),"cách mở tài khoản hộ kinh doanh")</f>
        <v>cách mở tài khoản hộ kinh doanh</v>
      </c>
      <c r="AY56" s="21" t="str">
        <f>IFERROR(__xludf.DUMMYFUNCTION("""COMPUTED_VALUE"""),"https://techcombank.com/thong-tin/blog/truy-thu-thue-ho-kinh-doanh")</f>
        <v>https://techcombank.com/thong-tin/blog/truy-thu-thue-ho-kinh-doanh</v>
      </c>
      <c r="AZ56" s="16" t="str">
        <f>IFERROR(__xludf.DUMMYFUNCTION("""COMPUTED_VALUE"""),"tài khoản hộ kinh doanh")</f>
        <v>tài khoản hộ kinh doanh</v>
      </c>
      <c r="BA56" s="21" t="str">
        <f>IFERROR(__xludf.DUMMYFUNCTION("""COMPUTED_VALUE"""),"https://techcombank.com/thong-tin/blog/kiem-tra-thue-ho-kinh-doanh")</f>
        <v>https://techcombank.com/thong-tin/blog/kiem-tra-thue-ho-kinh-doanh</v>
      </c>
      <c r="BB56" s="16" t="str">
        <f>IFERROR(__xludf.DUMMYFUNCTION("""COMPUTED_VALUE"""),"mở tài khoản hộ kinh doanh")</f>
        <v>mở tài khoản hộ kinh doanh</v>
      </c>
      <c r="BC56" s="21" t="str">
        <f>IFERROR(__xludf.DUMMYFUNCTION("""COMPUTED_VALUE"""),"https://techcombank.com/thong-tin/blog/cac-sai-lam-pho-bien-khi-chuyen-doi-ho-kinh-doanh-len-sme")</f>
        <v>https://techcombank.com/thong-tin/blog/cac-sai-lam-pho-bien-khi-chuyen-doi-ho-kinh-doanh-len-sme</v>
      </c>
      <c r="BD56" s="16" t="str">
        <f>IFERROR(__xludf.DUMMYFUNCTION("""COMPUTED_VALUE"""),"cách mở tài khoản hộ kinh doanh")</f>
        <v>cách mở tài khoản hộ kinh doanh</v>
      </c>
      <c r="BE56" s="21" t="str">
        <f>IFERROR(__xludf.DUMMYFUNCTION("""COMPUTED_VALUE"""),"https://techcombank.com/thong-tin/blog/giay-phep-kinh-doanh")</f>
        <v>https://techcombank.com/thong-tin/blog/giay-phep-kinh-doanh</v>
      </c>
      <c r="BF56" s="16" t="str">
        <f>IFERROR(__xludf.DUMMYFUNCTION("""COMPUTED_VALUE"""),"tài khoản hộ kinh doanh")</f>
        <v>tài khoản hộ kinh doanh</v>
      </c>
      <c r="BG56" s="21" t="str">
        <f>IFERROR(__xludf.DUMMYFUNCTION("""COMPUTED_VALUE"""),"https://techcombank.com/thong-tin/blog/chuyen-doi-hoa-don-dien-tu")</f>
        <v>https://techcombank.com/thong-tin/blog/chuyen-doi-hoa-don-dien-tu</v>
      </c>
      <c r="BH56" s="16" t="str">
        <f>IFERROR(__xludf.DUMMYFUNCTION("""COMPUTED_VALUE"""),"mở tài khoản hộ kinh doanh")</f>
        <v>mở tài khoản hộ kinh doanh</v>
      </c>
      <c r="BI56" s="21" t="str">
        <f>IFERROR(__xludf.DUMMYFUNCTION("""COMPUTED_VALUE"""),"https://techcombank.com/thong-tin/blog/dang-ky-kinh-doanh-la-gi")</f>
        <v>https://techcombank.com/thong-tin/blog/dang-ky-kinh-doanh-la-gi</v>
      </c>
      <c r="BJ56" s="16" t="str">
        <f>IFERROR(__xludf.DUMMYFUNCTION("""COMPUTED_VALUE"""),"cách mở tài khoản hộ kinh doanh")</f>
        <v>cách mở tài khoản hộ kinh doanh</v>
      </c>
      <c r="BK56" s="21" t="str">
        <f>IFERROR(__xludf.DUMMYFUNCTION("""COMPUTED_VALUE"""),"https://techcombank.com/thong-tin/blog/thay-doi-dia-chi-ho-kinh-doanh")</f>
        <v>https://techcombank.com/thong-tin/blog/thay-doi-dia-chi-ho-kinh-doanh</v>
      </c>
      <c r="BL56" s="16" t="str">
        <f>IFERROR(__xludf.DUMMYFUNCTION("""COMPUTED_VALUE"""),"tài khoản hộ kinh doanh")</f>
        <v>tài khoản hộ kinh doanh</v>
      </c>
      <c r="BM56" s="21" t="str">
        <f>IFERROR(__xludf.DUMMYFUNCTION("""COMPUTED_VALUE"""),"https://techcombank.com/thong-tin/blog/nhung-ho-kinh-doanh-duoc-mien-thue")</f>
        <v>https://techcombank.com/thong-tin/blog/nhung-ho-kinh-doanh-duoc-mien-thue</v>
      </c>
      <c r="BN56" s="16" t="str">
        <f>IFERROR(__xludf.DUMMYFUNCTION("""COMPUTED_VALUE"""),"mở tài khoản hộ kinh doanh")</f>
        <v>mở tài khoản hộ kinh doanh</v>
      </c>
      <c r="BO56" s="21" t="str">
        <f>IFERROR(__xludf.DUMMYFUNCTION("""COMPUTED_VALUE"""),"https://techcombank.com/thong-tin/blog/luu-y-khi-chuyen-doi-tu-ho-kinh-doanh-len-doanh-nghiep")</f>
        <v>https://techcombank.com/thong-tin/blog/luu-y-khi-chuyen-doi-tu-ho-kinh-doanh-len-doanh-nghiep</v>
      </c>
      <c r="BP56" s="16" t="str">
        <f>IFERROR(__xludf.DUMMYFUNCTION("""COMPUTED_VALUE"""),"cách mở tài khoản hộ kinh doanh")</f>
        <v>cách mở tài khoản hộ kinh doanh</v>
      </c>
      <c r="BQ56" s="21" t="str">
        <f>IFERROR(__xludf.DUMMYFUNCTION("""COMPUTED_VALUE"""),"https://techcombank.com/thong-tin/blog/barcode-la-gi")</f>
        <v>https://techcombank.com/thong-tin/blog/barcode-la-gi</v>
      </c>
      <c r="BR56" s="16" t="str">
        <f>IFERROR(__xludf.DUMMYFUNCTION("""COMPUTED_VALUE"""),"tài khoản hộ kinh doanh")</f>
        <v>tài khoản hộ kinh doanh</v>
      </c>
      <c r="BS56" s="21" t="str">
        <f>IFERROR(__xludf.DUMMYFUNCTION("""COMPUTED_VALUE"""),"https://techcombank.com/thong-tin/blog/tra-cuu-ma-so-thue-ho-kinh-doanh")</f>
        <v>https://techcombank.com/thong-tin/blog/tra-cuu-ma-so-thue-ho-kinh-doanh</v>
      </c>
      <c r="BT56" s="16" t="str">
        <f>IFERROR(__xludf.DUMMYFUNCTION("""COMPUTED_VALUE"""),"mở tài khoản hộ kinh doanh")</f>
        <v>mở tài khoản hộ kinh doanh</v>
      </c>
      <c r="BU56" s="21" t="str">
        <f>IFERROR(__xludf.DUMMYFUNCTION("""COMPUTED_VALUE"""),"https://techcombank.com/thong-tin/blog/dang-ky-thue-ho-kinh-doanh-ca-the-online")</f>
        <v>https://techcombank.com/thong-tin/blog/dang-ky-thue-ho-kinh-doanh-ca-the-online</v>
      </c>
      <c r="BV56" s="16" t="str">
        <f>IFERROR(__xludf.DUMMYFUNCTION("""COMPUTED_VALUE"""),"cách mở tài khoản hộ kinh doanh")</f>
        <v>cách mở tài khoản hộ kinh doanh</v>
      </c>
      <c r="BW56" s="21" t="str">
        <f>IFERROR(__xludf.DUMMYFUNCTION("""COMPUTED_VALUE"""),"https://techcombank.com/thong-tin/blog/chuyen-doi-so-ho-kinh-doanh")</f>
        <v>https://techcombank.com/thong-tin/blog/chuyen-doi-so-ho-kinh-doanh</v>
      </c>
      <c r="BX56" s="16" t="str">
        <f>IFERROR(__xludf.DUMMYFUNCTION("""COMPUTED_VALUE"""),"tài khoản hộ kinh doanh")</f>
        <v>tài khoản hộ kinh doanh</v>
      </c>
      <c r="BY56" s="21" t="str">
        <f>IFERROR(__xludf.DUMMYFUNCTION("""COMPUTED_VALUE"""),"https://techcombank.com/thong-tin/blog/chinh-sach-thue-moi")</f>
        <v>https://techcombank.com/thong-tin/blog/chinh-sach-thue-moi</v>
      </c>
      <c r="BZ56" s="16" t="str">
        <f>IFERROR(__xludf.DUMMYFUNCTION("""COMPUTED_VALUE"""),"mở tài khoản hộ kinh doanh")</f>
        <v>mở tài khoản hộ kinh doanh</v>
      </c>
      <c r="CA56" s="21" t="str">
        <f>IFERROR(__xludf.DUMMYFUNCTION("""COMPUTED_VALUE"""),"https://techcombank.com/thong-tin/blog/hoa-don-dien-tu")</f>
        <v>https://techcombank.com/thong-tin/blog/hoa-don-dien-tu</v>
      </c>
      <c r="CB56" s="16" t="str">
        <f>IFERROR(__xludf.DUMMYFUNCTION("""COMPUTED_VALUE"""),"cách mở tài khoản hộ kinh doanh")</f>
        <v>cách mở tài khoản hộ kinh doanh</v>
      </c>
      <c r="CC56" s="21" t="str">
        <f>IFERROR(__xludf.DUMMYFUNCTION("""COMPUTED_VALUE"""),"https://techcombank.com/thong-tin/blog/luat-thuong-mai-dien-tu")</f>
        <v>https://techcombank.com/thong-tin/blog/luat-thuong-mai-dien-tu</v>
      </c>
      <c r="CD56" s="16" t="str">
        <f>IFERROR(__xludf.DUMMYFUNCTION("""COMPUTED_VALUE"""),"tài khoản hộ kinh doanh")</f>
        <v>tài khoản hộ kinh doanh</v>
      </c>
      <c r="CE56" s="21" t="str">
        <f>IFERROR(__xludf.DUMMYFUNCTION("""COMPUTED_VALUE"""),"https://techcombank.com/thong-tin/blog/ke-khai-thue-ho-kinh-doanh-ca-the-online")</f>
        <v>https://techcombank.com/thong-tin/blog/ke-khai-thue-ho-kinh-doanh-ca-the-online</v>
      </c>
      <c r="CF56" s="16" t="str">
        <f>IFERROR(__xludf.DUMMYFUNCTION("""COMPUTED_VALUE"""),"mở tài khoản hộ kinh doanh")</f>
        <v>mở tài khoản hộ kinh doanh</v>
      </c>
      <c r="CG56" s="21" t="str">
        <f>IFERROR(__xludf.DUMMYFUNCTION("""COMPUTED_VALUE"""),"https://techcombank.com/thong-tin/blog/vay-the-chap-kinh-doanh")</f>
        <v>https://techcombank.com/thong-tin/blog/vay-the-chap-kinh-doanh</v>
      </c>
      <c r="CH56" s="16" t="str">
        <f>IFERROR(__xludf.DUMMYFUNCTION("""COMPUTED_VALUE"""),"cách mở tài khoản hộ kinh doanh")</f>
        <v>cách mở tài khoản hộ kinh doanh</v>
      </c>
      <c r="CI56" s="21" t="str">
        <f>IFERROR(__xludf.DUMMYFUNCTION("""COMPUTED_VALUE"""),"https://techcombank.com/thong-tin/blog/thue-thuong-mai-dien-tu")</f>
        <v>https://techcombank.com/thong-tin/blog/thue-thuong-mai-dien-tu</v>
      </c>
      <c r="CJ56" s="16" t="str">
        <f>IFERROR(__xludf.DUMMYFUNCTION("""COMPUTED_VALUE"""),"tài khoản hộ kinh doanh")</f>
        <v>tài khoản hộ kinh doanh</v>
      </c>
      <c r="CK56" s="21" t="str">
        <f>IFERROR(__xludf.DUMMYFUNCTION("""COMPUTED_VALUE"""),"https://techcombank.com/thong-tin/blog/hoa-don-dien-tu-ho-kinh-doanh")</f>
        <v>https://techcombank.com/thong-tin/blog/hoa-don-dien-tu-ho-kinh-doanh</v>
      </c>
      <c r="CL56" s="16" t="str">
        <f>IFERROR(__xludf.DUMMYFUNCTION("""COMPUTED_VALUE"""),"mở tài khoản hộ kinh doanh")</f>
        <v>mở tài khoản hộ kinh doanh</v>
      </c>
      <c r="CM56" s="21" t="str">
        <f>IFERROR(__xludf.DUMMYFUNCTION("""COMPUTED_VALUE"""),"https://techcombank.com/thong-tin/blog/thue-khoan-ho-kinh-doanh-la-gi")</f>
        <v>https://techcombank.com/thong-tin/blog/thue-khoan-ho-kinh-doanh-la-gi</v>
      </c>
      <c r="CN56" s="16" t="str">
        <f>IFERROR(__xludf.DUMMYFUNCTION("""COMPUTED_VALUE"""),"cách mở tài khoản hộ kinh doanh")</f>
        <v>cách mở tài khoản hộ kinh doanh</v>
      </c>
      <c r="CO56" s="21" t="str">
        <f>IFERROR(__xludf.DUMMYFUNCTION("""COMPUTED_VALUE"""),"https://techcombank.com/thong-tin/blog/ho-kinh-doanh-dong-thue-nhu-nao")</f>
        <v>https://techcombank.com/thong-tin/blog/ho-kinh-doanh-dong-thue-nhu-nao</v>
      </c>
      <c r="CP56" s="16" t="str">
        <f>IFERROR(__xludf.DUMMYFUNCTION("""COMPUTED_VALUE"""),"tài khoản hộ kinh doanh")</f>
        <v>tài khoản hộ kinh doanh</v>
      </c>
      <c r="CQ56" s="21" t="str">
        <f>IFERROR(__xludf.DUMMYFUNCTION("""COMPUTED_VALUE"""),"https://techcombank.com/thong-tin/blog/dong-ma-so-thue-ho-kinh-doanh")</f>
        <v>https://techcombank.com/thong-tin/blog/dong-ma-so-thue-ho-kinh-doanh</v>
      </c>
      <c r="CR56" s="16" t="str">
        <f>IFERROR(__xludf.DUMMYFUNCTION("""COMPUTED_VALUE"""),"mở tài khoản hộ kinh doanh")</f>
        <v>mở tài khoản hộ kinh doanh</v>
      </c>
      <c r="CS56" s="21" t="str">
        <f>IFERROR(__xludf.DUMMYFUNCTION("""COMPUTED_VALUE"""),"https://techcombank.com/thong-tin/blog/one-stop-shop")</f>
        <v>https://techcombank.com/thong-tin/blog/one-stop-shop</v>
      </c>
      <c r="CT56" s="16" t="str">
        <f>IFERROR(__xludf.DUMMYFUNCTION("""COMPUTED_VALUE"""),"cách mở tài khoản hộ kinh doanh")</f>
        <v>cách mở tài khoản hộ kinh doanh</v>
      </c>
      <c r="CU56" s="21" t="str">
        <f>IFERROR(__xludf.DUMMYFUNCTION("""COMPUTED_VALUE"""),"https://techcombank.com/thong-tin/blog/thue-phi-co-dinh-khi-chuyen-doi-tu-ho-kinh-doanh-len-doanh-nghiep")</f>
        <v>https://techcombank.com/thong-tin/blog/thue-phi-co-dinh-khi-chuyen-doi-tu-ho-kinh-doanh-len-doanh-nghiep</v>
      </c>
      <c r="CV56" s="16" t="str">
        <f>IFERROR(__xludf.DUMMYFUNCTION("""COMPUTED_VALUE"""),"tài khoản hộ kinh doanh")</f>
        <v>tài khoản hộ kinh doanh</v>
      </c>
      <c r="CW56" s="21" t="str">
        <f>IFERROR(__xludf.DUMMYFUNCTION("""COMPUTED_VALUE"""),"https://techcombank.com/thong-tin/blog/tim-hieu-ve-chinh-sach-thue-moi")</f>
        <v>https://techcombank.com/thong-tin/blog/tim-hieu-ve-chinh-sach-thue-moi</v>
      </c>
      <c r="CX56" s="16" t="str">
        <f>IFERROR(__xludf.DUMMYFUNCTION("""COMPUTED_VALUE"""),"mở tài khoản hộ kinh doanh")</f>
        <v>mở tài khoản hộ kinh doanh</v>
      </c>
      <c r="CY56" s="21" t="str">
        <f>IFERROR(__xludf.DUMMYFUNCTION("""COMPUTED_VALUE"""),"https://techcombank.com/thong-tin/blog/may-tinh-tien")</f>
        <v>https://techcombank.com/thong-tin/blog/may-tinh-tien</v>
      </c>
      <c r="CZ56" s="16" t="str">
        <f>IFERROR(__xludf.DUMMYFUNCTION("""COMPUTED_VALUE"""),"cách mở tài khoản hộ kinh doanh")</f>
        <v>cách mở tài khoản hộ kinh doanh</v>
      </c>
      <c r="DA56" s="21" t="str">
        <f>IFERROR(__xludf.DUMMYFUNCTION("""COMPUTED_VALUE"""),"https://techcombank.com/thong-tin/blog/kinh-nghiem-chuyen-doi-tu-ho-kinh-doanh-len-doanh-nghiep")</f>
        <v>https://techcombank.com/thong-tin/blog/kinh-nghiem-chuyen-doi-tu-ho-kinh-doanh-len-doanh-nghiep</v>
      </c>
      <c r="DB56" s="16" t="str">
        <f>IFERROR(__xludf.DUMMYFUNCTION("""COMPUTED_VALUE"""),"tài khoản hộ kinh doanh")</f>
        <v>tài khoản hộ kinh doanh</v>
      </c>
      <c r="DC56" s="21" t="str">
        <f>IFERROR(__xludf.DUMMYFUNCTION("""COMPUTED_VALUE"""),"https://techcombank.com/thong-tin/blog/top-phan-mem-ban-hang")</f>
        <v>https://techcombank.com/thong-tin/blog/top-phan-mem-ban-hang</v>
      </c>
      <c r="DD56" s="16" t="str">
        <f>IFERROR(__xludf.DUMMYFUNCTION("""COMPUTED_VALUE"""),"mở tài khoản hộ kinh doanh")</f>
        <v>mở tài khoản hộ kinh doanh</v>
      </c>
      <c r="DE56" s="21" t="str">
        <f>IFERROR(__xludf.DUMMYFUNCTION("""COMPUTED_VALUE"""),"https://techcombank.com/thong-tin/blog/dieu-kien-vay-von-ngan-hang")</f>
        <v>https://techcombank.com/thong-tin/blog/dieu-kien-vay-von-ngan-hang</v>
      </c>
      <c r="DF56" s="16" t="str">
        <f>IFERROR(__xludf.DUMMYFUNCTION("""COMPUTED_VALUE"""),"cách mở tài khoản hộ kinh doanh")</f>
        <v>cách mở tài khoản hộ kinh doanh</v>
      </c>
      <c r="DG56" s="21" t="str">
        <f>IFERROR(__xludf.DUMMYFUNCTION("""COMPUTED_VALUE"""),"https://techcombank.com/thong-tin/blog/phat-cham-dang-ky-thue-ho-kinh-doanh")</f>
        <v>https://techcombank.com/thong-tin/blog/phat-cham-dang-ky-thue-ho-kinh-doanh</v>
      </c>
      <c r="DH56" s="16" t="str">
        <f>IFERROR(__xludf.DUMMYFUNCTION("""COMPUTED_VALUE"""),"tài khoản hộ kinh doanh")</f>
        <v>tài khoản hộ kinh doanh</v>
      </c>
      <c r="DI56" s="21" t="str">
        <f>IFERROR(__xludf.DUMMYFUNCTION("""COMPUTED_VALUE"""),"https://techcombank.com/thong-tin/blog/phan-mem-xuat-hoa-don-dien-tu")</f>
        <v>https://techcombank.com/thong-tin/blog/phan-mem-xuat-hoa-don-dien-tu</v>
      </c>
      <c r="DJ56" s="16" t="str">
        <f>IFERROR(__xludf.DUMMYFUNCTION("""COMPUTED_VALUE"""),"mở tài khoản hộ kinh doanh")</f>
        <v>mở tài khoản hộ kinh doanh</v>
      </c>
      <c r="DK56" s="21" t="str">
        <f>IFERROR(__xludf.DUMMYFUNCTION("""COMPUTED_VALUE"""),"https://techcombank.com/thong-tin/blog/cach-lam-the-ngan-hang-chay-quang-cao-facebook")</f>
        <v>https://techcombank.com/thong-tin/blog/cach-lam-the-ngan-hang-chay-quang-cao-facebook</v>
      </c>
      <c r="DL56" s="16"/>
      <c r="DM56" s="16"/>
      <c r="DN56" s="16"/>
      <c r="DO56" s="16"/>
      <c r="DP56" s="16"/>
      <c r="DQ56" s="16"/>
      <c r="DR56" s="16"/>
      <c r="DS56" s="16"/>
      <c r="DT56" s="16"/>
      <c r="DU56" s="16"/>
      <c r="DV56" s="16"/>
      <c r="DW56" s="16"/>
      <c r="DX56" s="16"/>
      <c r="DY56" s="16"/>
      <c r="DZ56" s="16"/>
      <c r="EA56" s="16"/>
      <c r="EB56" s="16"/>
      <c r="EC56" s="16"/>
      <c r="ED56" s="16"/>
      <c r="EE56" s="16"/>
      <c r="EF56" s="16"/>
      <c r="EG56" s="16"/>
      <c r="EH56" s="16"/>
      <c r="EI56" s="16"/>
      <c r="EJ56" s="16"/>
      <c r="EK56" s="16"/>
      <c r="EL56" s="16"/>
      <c r="EM56" s="16"/>
      <c r="EN56" s="16"/>
      <c r="EO56" s="16"/>
      <c r="EP56" s="16"/>
      <c r="EQ56" s="16"/>
      <c r="ER56" s="16"/>
      <c r="ES56" s="16"/>
      <c r="ET56" s="16"/>
      <c r="EU56" s="16"/>
      <c r="EV56" s="16"/>
      <c r="EW56" s="16"/>
      <c r="EX56" s="16"/>
      <c r="EY56" s="16"/>
      <c r="EZ56" s="16"/>
      <c r="FA56" s="16"/>
      <c r="FB56" s="16"/>
      <c r="FC56" s="16"/>
      <c r="FD56" s="16"/>
      <c r="FE56" s="16"/>
      <c r="FF56" s="16"/>
      <c r="FG56" s="16"/>
      <c r="FH56" s="16"/>
      <c r="FI56" s="16"/>
      <c r="FJ56" s="16"/>
      <c r="FK56" s="16"/>
      <c r="FL56" s="16"/>
      <c r="FM56" s="16"/>
      <c r="FN56" s="16"/>
      <c r="FO56" s="16"/>
      <c r="FP56" s="16"/>
      <c r="FQ56" s="16"/>
      <c r="FR56" s="16"/>
      <c r="FS56" s="16"/>
      <c r="FT56" s="16"/>
      <c r="FU56" s="16"/>
      <c r="FV56" s="16"/>
      <c r="FW56" s="16"/>
      <c r="FX56" s="16"/>
      <c r="FY56" s="16"/>
      <c r="FZ56" s="16"/>
      <c r="GA56" s="16"/>
      <c r="GB56" s="16"/>
      <c r="GC56" s="16"/>
      <c r="GD56" s="16"/>
      <c r="GE56" s="16"/>
      <c r="GF56" s="16"/>
      <c r="GG56" s="16"/>
      <c r="GH56" s="16"/>
      <c r="GI56" s="16"/>
      <c r="GJ56" s="16"/>
      <c r="GK56" s="16"/>
      <c r="GL56" s="16"/>
      <c r="GM56" s="16"/>
      <c r="GN56" s="16"/>
      <c r="GO56" s="16"/>
    </row>
    <row r="57" ht="18.0" customHeight="1">
      <c r="A57" s="15">
        <v>56.0</v>
      </c>
      <c r="B57" s="16" t="s">
        <v>1179</v>
      </c>
      <c r="C57" s="17" t="s">
        <v>1243</v>
      </c>
      <c r="D57" s="16" t="s">
        <v>343</v>
      </c>
      <c r="E57" s="15">
        <f>COUNTIF('Tổng hợp 75 trang đích'!$B$2:$B$2505,$D57)</f>
        <v>53</v>
      </c>
      <c r="F57" s="15">
        <f>COUNTIFS('Tổng hợp 75 trang đích'!$B$2:$B$2505,$D57,'Tổng hợp 75 trang đích'!$K$2:$K$2505,"PHÙ HỢP CAO")</f>
        <v>3</v>
      </c>
      <c r="G57" s="15">
        <f>COUNTIFS('Tổng hợp 75 trang đích'!$B$2:$B$2505,$D57,'Tổng hợp 75 trang đích'!$K$2:$K$2505,"CÓ THỂ ĐI")</f>
        <v>2</v>
      </c>
      <c r="H57" s="15">
        <f>COUNTIFS('Tổng hợp 75 trang đích'!$B$2:$B$2505,$D57,'Tổng hợp 75 trang đích'!$K$2:$K$2505,"CẦN SOÁT")</f>
        <v>48</v>
      </c>
      <c r="I57" s="19" t="s">
        <v>256</v>
      </c>
      <c r="J57" s="19" t="b">
        <v>0</v>
      </c>
      <c r="K57" s="20" t="s">
        <v>258</v>
      </c>
      <c r="L57" s="16" t="str">
        <f>IFERROR(__xludf.DUMMYFUNCTION("IFERROR(TOROW(CHOOSECOLS(SORT(FILTER({'Tổng hợp 75 trang đích'!$J$2:$J$2505,'Tổng hợp 75 trang đích'!$I$2:$I$2505,MATCH('Tổng hợp 75 trang đích'!$K$2:$K$2505,{""PHÙ HỢP CAO"",""CÓ THỂ ĐI"",""CẦN SOÁT""},0)},'Tổng hợp 75 trang đích'!$B$2:$B$2505=$D57),3,TR"&amp;"UE),1,2)),"""")"),"cách tính thuế hộ kinh doanh nhỏ lẻ")</f>
        <v>cách tính thuế hộ kinh doanh nhỏ lẻ</v>
      </c>
      <c r="M57" s="21" t="str">
        <f>IFERROR(__xludf.DUMMYFUNCTION("""COMPUTED_VALUE"""),"https://techcombank.com/thong-tin/blog/ke-khai-thue-ho-kinh-doanh-ca-the-online")</f>
        <v>https://techcombank.com/thong-tin/blog/ke-khai-thue-ho-kinh-doanh-ca-the-online</v>
      </c>
      <c r="N57" s="16" t="str">
        <f>IFERROR(__xludf.DUMMYFUNCTION("""COMPUTED_VALUE"""),"cách tính thuế hộ kinh doanh")</f>
        <v>cách tính thuế hộ kinh doanh</v>
      </c>
      <c r="O57" s="21" t="str">
        <f>IFERROR(__xludf.DUMMYFUNCTION("""COMPUTED_VALUE"""),"https://techcombank.com/thong-tin/blog/kiem-tra-thue-ho-kinh-doanh")</f>
        <v>https://techcombank.com/thong-tin/blog/kiem-tra-thue-ho-kinh-doanh</v>
      </c>
      <c r="P57" s="16" t="str">
        <f>IFERROR(__xludf.DUMMYFUNCTION("""COMPUTED_VALUE"""),"cách tính thuế hộ kinh doanh nhỏ lẻ")</f>
        <v>cách tính thuế hộ kinh doanh nhỏ lẻ</v>
      </c>
      <c r="Q57" s="21" t="str">
        <f>IFERROR(__xludf.DUMMYFUNCTION("""COMPUTED_VALUE"""),"https://techcombank.com/thong-tin/blog/thue-thuong-mai-dien-tu")</f>
        <v>https://techcombank.com/thong-tin/blog/thue-thuong-mai-dien-tu</v>
      </c>
      <c r="R57" s="16" t="str">
        <f>IFERROR(__xludf.DUMMYFUNCTION("""COMPUTED_VALUE"""),"cách tính thuế hộ kinh doanh")</f>
        <v>cách tính thuế hộ kinh doanh</v>
      </c>
      <c r="S57" s="21" t="str">
        <f>IFERROR(__xludf.DUMMYFUNCTION("""COMPUTED_VALUE"""),"https://techcombank.com/thong-tin/blog/chinh-sach-thue-moi")</f>
        <v>https://techcombank.com/thong-tin/blog/chinh-sach-thue-moi</v>
      </c>
      <c r="T57" s="16" t="str">
        <f>IFERROR(__xludf.DUMMYFUNCTION("""COMPUTED_VALUE"""),"cách tính thuế hộ kinh doanh nhỏ lẻ")</f>
        <v>cách tính thuế hộ kinh doanh nhỏ lẻ</v>
      </c>
      <c r="U57" s="21" t="str">
        <f>IFERROR(__xludf.DUMMYFUNCTION("""COMPUTED_VALUE"""),"https://techcombank.com/thong-tin/blog/ho-kinh-doanh-ca-the")</f>
        <v>https://techcombank.com/thong-tin/blog/ho-kinh-doanh-ca-the</v>
      </c>
      <c r="V57" s="16" t="str">
        <f>IFERROR(__xludf.DUMMYFUNCTION("""COMPUTED_VALUE"""),"cách tính thuế hộ kinh doanh")</f>
        <v>cách tính thuế hộ kinh doanh</v>
      </c>
      <c r="W57" s="21" t="str">
        <f>IFERROR(__xludf.DUMMYFUNCTION("""COMPUTED_VALUE"""),"https://techcombank.com/thong-tin/blog/ho-kinh-doanh-la-gi")</f>
        <v>https://techcombank.com/thong-tin/blog/ho-kinh-doanh-la-gi</v>
      </c>
      <c r="X57" s="16" t="str">
        <f>IFERROR(__xludf.DUMMYFUNCTION("""COMPUTED_VALUE"""),"cách tính thuế hộ kinh doanh nhỏ lẻ")</f>
        <v>cách tính thuế hộ kinh doanh nhỏ lẻ</v>
      </c>
      <c r="Y57" s="21" t="str">
        <f>IFERROR(__xludf.DUMMYFUNCTION("""COMPUTED_VALUE"""),"https://techcombank.com/thong-tin/blog/thanh-lap-ho-kinh-doanh-ca-the")</f>
        <v>https://techcombank.com/thong-tin/blog/thanh-lap-ho-kinh-doanh-ca-the</v>
      </c>
      <c r="Z57" s="16" t="str">
        <f>IFERROR(__xludf.DUMMYFUNCTION("""COMPUTED_VALUE"""),"cách tính thuế hộ kinh doanh")</f>
        <v>cách tính thuế hộ kinh doanh</v>
      </c>
      <c r="AA57" s="21" t="str">
        <f>IFERROR(__xludf.DUMMYFUNCTION("""COMPUTED_VALUE"""),"https://techcombank.com/thong-tin/blog/thue-ho-kinh-doanh-2025")</f>
        <v>https://techcombank.com/thong-tin/blog/thue-ho-kinh-doanh-2025</v>
      </c>
      <c r="AB57" s="16" t="str">
        <f>IFERROR(__xludf.DUMMYFUNCTION("""COMPUTED_VALUE"""),"cách tính thuế hộ kinh doanh nhỏ lẻ")</f>
        <v>cách tính thuế hộ kinh doanh nhỏ lẻ</v>
      </c>
      <c r="AC57" s="21" t="str">
        <f>IFERROR(__xludf.DUMMYFUNCTION("""COMPUTED_VALUE"""),"https://techcombank.com/thong-tin/blog/cach-tao-ma-qr")</f>
        <v>https://techcombank.com/thong-tin/blog/cach-tao-ma-qr</v>
      </c>
      <c r="AD57" s="16" t="str">
        <f>IFERROR(__xludf.DUMMYFUNCTION("""COMPUTED_VALUE"""),"cách tính thuế hộ kinh doanh")</f>
        <v>cách tính thuế hộ kinh doanh</v>
      </c>
      <c r="AE57" s="21" t="str">
        <f>IFERROR(__xludf.DUMMYFUNCTION("""COMPUTED_VALUE"""),"https://techcombank.com/thong-tin/blog/loi-ich-khi-ho-kinh-doanh-chuyen-len-doanh-nghiep")</f>
        <v>https://techcombank.com/thong-tin/blog/loi-ich-khi-ho-kinh-doanh-chuyen-len-doanh-nghiep</v>
      </c>
      <c r="AF57" s="16" t="str">
        <f>IFERROR(__xludf.DUMMYFUNCTION("""COMPUTED_VALUE"""),"cách tính thuế hộ kinh doanh nhỏ lẻ")</f>
        <v>cách tính thuế hộ kinh doanh nhỏ lẻ</v>
      </c>
      <c r="AG57" s="21" t="str">
        <f>IFERROR(__xludf.DUMMYFUNCTION("""COMPUTED_VALUE"""),"https://techcombank.com/thong-tin/blog/tiem-nang-chuyen-doi-tu-ho-kinh-doanh-len-doanh-nghiep-sme")</f>
        <v>https://techcombank.com/thong-tin/blog/tiem-nang-chuyen-doi-tu-ho-kinh-doanh-len-doanh-nghiep-sme</v>
      </c>
      <c r="AH57" s="16" t="str">
        <f>IFERROR(__xludf.DUMMYFUNCTION("""COMPUTED_VALUE"""),"cách tính thuế hộ kinh doanh")</f>
        <v>cách tính thuế hộ kinh doanh</v>
      </c>
      <c r="AI57" s="21" t="str">
        <f>IFERROR(__xludf.DUMMYFUNCTION("""COMPUTED_VALUE"""),"https://techcombank.com/thong-tin/blog/lai-suat-vay-kinh-doanh")</f>
        <v>https://techcombank.com/thong-tin/blog/lai-suat-vay-kinh-doanh</v>
      </c>
      <c r="AJ57" s="16" t="str">
        <f>IFERROR(__xludf.DUMMYFUNCTION("""COMPUTED_VALUE"""),"cách tính thuế hộ kinh doanh nhỏ lẻ")</f>
        <v>cách tính thuế hộ kinh doanh nhỏ lẻ</v>
      </c>
      <c r="AK57" s="21" t="str">
        <f>IFERROR(__xludf.DUMMYFUNCTION("""COMPUTED_VALUE"""),"https://techcombank.com/thong-tin/blog/chuyen-doi-ho-kinh-doanh-len-doanh-nghiep")</f>
        <v>https://techcombank.com/thong-tin/blog/chuyen-doi-ho-kinh-doanh-len-doanh-nghiep</v>
      </c>
      <c r="AL57" s="16" t="str">
        <f>IFERROR(__xludf.DUMMYFUNCTION("""COMPUTED_VALUE"""),"cách tính thuế hộ kinh doanh")</f>
        <v>cách tính thuế hộ kinh doanh</v>
      </c>
      <c r="AM57" s="21" t="str">
        <f>IFERROR(__xludf.DUMMYFUNCTION("""COMPUTED_VALUE"""),"https://techcombank.com/thong-tin/blog/thanh-toan-khong-dung-tien-mat")</f>
        <v>https://techcombank.com/thong-tin/blog/thanh-toan-khong-dung-tien-mat</v>
      </c>
      <c r="AN57" s="16" t="str">
        <f>IFERROR(__xludf.DUMMYFUNCTION("""COMPUTED_VALUE"""),"cách tính thuế hộ kinh doanh nhỏ lẻ")</f>
        <v>cách tính thuế hộ kinh doanh nhỏ lẻ</v>
      </c>
      <c r="AO57" s="21" t="str">
        <f>IFERROR(__xludf.DUMMYFUNCTION("""COMPUTED_VALUE"""),"https://techcombank.com/thong-tin/blog/mo-tai-khoan-ho-kinh-doanh")</f>
        <v>https://techcombank.com/thong-tin/blog/mo-tai-khoan-ho-kinh-doanh</v>
      </c>
      <c r="AP57" s="16" t="str">
        <f>IFERROR(__xludf.DUMMYFUNCTION("""COMPUTED_VALUE"""),"cách tính thuế hộ kinh doanh")</f>
        <v>cách tính thuế hộ kinh doanh</v>
      </c>
      <c r="AQ57" s="21" t="str">
        <f>IFERROR(__xludf.DUMMYFUNCTION("""COMPUTED_VALUE"""),"https://techcombank.com/thong-tin/blog/nen-thanh-lap-ho-kinh-doanh-ke-khai-hay-doanh-nghiep")</f>
        <v>https://techcombank.com/thong-tin/blog/nen-thanh-lap-ho-kinh-doanh-ke-khai-hay-doanh-nghiep</v>
      </c>
      <c r="AR57" s="16" t="str">
        <f>IFERROR(__xludf.DUMMYFUNCTION("""COMPUTED_VALUE"""),"cách tính thuế hộ kinh doanh nhỏ lẻ")</f>
        <v>cách tính thuế hộ kinh doanh nhỏ lẻ</v>
      </c>
      <c r="AS57" s="21" t="str">
        <f>IFERROR(__xludf.DUMMYFUNCTION("""COMPUTED_VALUE"""),"https://techcombank.com/thong-tin/blog/vay-tin-chap-ho-kinh-doanh")</f>
        <v>https://techcombank.com/thong-tin/blog/vay-tin-chap-ho-kinh-doanh</v>
      </c>
      <c r="AT57" s="16" t="str">
        <f>IFERROR(__xludf.DUMMYFUNCTION("""COMPUTED_VALUE"""),"cách tính thuế hộ kinh doanh")</f>
        <v>cách tính thuế hộ kinh doanh</v>
      </c>
      <c r="AU57" s="21" t="str">
        <f>IFERROR(__xludf.DUMMYFUNCTION("""COMPUTED_VALUE"""),"https://techcombank.com/thong-tin/blog/tra-cuu-no-thue-ho-kinh-doanh")</f>
        <v>https://techcombank.com/thong-tin/blog/tra-cuu-no-thue-ho-kinh-doanh</v>
      </c>
      <c r="AV57" s="16" t="str">
        <f>IFERROR(__xludf.DUMMYFUNCTION("""COMPUTED_VALUE"""),"cách tính thuế hộ kinh doanh nhỏ lẻ")</f>
        <v>cách tính thuế hộ kinh doanh nhỏ lẻ</v>
      </c>
      <c r="AW57" s="21" t="str">
        <f>IFERROR(__xludf.DUMMYFUNCTION("""COMPUTED_VALUE"""),"https://techcombank.com/thong-tin/blog/lien-ket-tai-khoan-ngan-hang-voi-etax-mobile")</f>
        <v>https://techcombank.com/thong-tin/blog/lien-ket-tai-khoan-ngan-hang-voi-etax-mobile</v>
      </c>
      <c r="AX57" s="16" t="str">
        <f>IFERROR(__xludf.DUMMYFUNCTION("""COMPUTED_VALUE"""),"cách tính thuế hộ kinh doanh")</f>
        <v>cách tính thuế hộ kinh doanh</v>
      </c>
      <c r="AY57" s="21" t="str">
        <f>IFERROR(__xludf.DUMMYFUNCTION("""COMPUTED_VALUE"""),"https://techcombank.com/thong-tin/blog/thu-tuc-vay-von-kinh-doanh-nho")</f>
        <v>https://techcombank.com/thong-tin/blog/thu-tuc-vay-von-kinh-doanh-nho</v>
      </c>
      <c r="AZ57" s="16" t="str">
        <f>IFERROR(__xludf.DUMMYFUNCTION("""COMPUTED_VALUE"""),"cách tính thuế hộ kinh doanh nhỏ lẻ")</f>
        <v>cách tính thuế hộ kinh doanh nhỏ lẻ</v>
      </c>
      <c r="BA57" s="21" t="str">
        <f>IFERROR(__xludf.DUMMYFUNCTION("""COMPUTED_VALUE"""),"https://techcombank.com/thong-tin/blog/truy-thu-thue-ho-kinh-doanh")</f>
        <v>https://techcombank.com/thong-tin/blog/truy-thu-thue-ho-kinh-doanh</v>
      </c>
      <c r="BB57" s="16" t="str">
        <f>IFERROR(__xludf.DUMMYFUNCTION("""COMPUTED_VALUE"""),"cách tính thuế hộ kinh doanh")</f>
        <v>cách tính thuế hộ kinh doanh</v>
      </c>
      <c r="BC57" s="21" t="str">
        <f>IFERROR(__xludf.DUMMYFUNCTION("""COMPUTED_VALUE"""),"https://techcombank.com/thong-tin/blog/cac-sai-lam-pho-bien-khi-chuyen-doi-ho-kinh-doanh-len-sme")</f>
        <v>https://techcombank.com/thong-tin/blog/cac-sai-lam-pho-bien-khi-chuyen-doi-ho-kinh-doanh-len-sme</v>
      </c>
      <c r="BD57" s="16" t="str">
        <f>IFERROR(__xludf.DUMMYFUNCTION("""COMPUTED_VALUE"""),"cách tính thuế hộ kinh doanh nhỏ lẻ")</f>
        <v>cách tính thuế hộ kinh doanh nhỏ lẻ</v>
      </c>
      <c r="BE57" s="21" t="str">
        <f>IFERROR(__xludf.DUMMYFUNCTION("""COMPUTED_VALUE"""),"https://techcombank.com/thong-tin/blog/giay-phep-kinh-doanh")</f>
        <v>https://techcombank.com/thong-tin/blog/giay-phep-kinh-doanh</v>
      </c>
      <c r="BF57" s="16" t="str">
        <f>IFERROR(__xludf.DUMMYFUNCTION("""COMPUTED_VALUE"""),"cách tính thuế hộ kinh doanh")</f>
        <v>cách tính thuế hộ kinh doanh</v>
      </c>
      <c r="BG57" s="21" t="str">
        <f>IFERROR(__xludf.DUMMYFUNCTION("""COMPUTED_VALUE"""),"https://techcombank.com/thong-tin/blog/chuyen-doi-hoa-don-dien-tu")</f>
        <v>https://techcombank.com/thong-tin/blog/chuyen-doi-hoa-don-dien-tu</v>
      </c>
      <c r="BH57" s="16" t="str">
        <f>IFERROR(__xludf.DUMMYFUNCTION("""COMPUTED_VALUE"""),"cách tính thuế hộ kinh doanh nhỏ lẻ")</f>
        <v>cách tính thuế hộ kinh doanh nhỏ lẻ</v>
      </c>
      <c r="BI57" s="21" t="str">
        <f>IFERROR(__xludf.DUMMYFUNCTION("""COMPUTED_VALUE"""),"https://techcombank.com/thong-tin/blog/dang-ky-kinh-doanh-la-gi")</f>
        <v>https://techcombank.com/thong-tin/blog/dang-ky-kinh-doanh-la-gi</v>
      </c>
      <c r="BJ57" s="16" t="str">
        <f>IFERROR(__xludf.DUMMYFUNCTION("""COMPUTED_VALUE"""),"cách tính thuế hộ kinh doanh")</f>
        <v>cách tính thuế hộ kinh doanh</v>
      </c>
      <c r="BK57" s="21" t="str">
        <f>IFERROR(__xludf.DUMMYFUNCTION("""COMPUTED_VALUE"""),"https://techcombank.com/thong-tin/blog/thay-doi-dia-chi-ho-kinh-doanh")</f>
        <v>https://techcombank.com/thong-tin/blog/thay-doi-dia-chi-ho-kinh-doanh</v>
      </c>
      <c r="BL57" s="16" t="str">
        <f>IFERROR(__xludf.DUMMYFUNCTION("""COMPUTED_VALUE"""),"cách tính thuế hộ kinh doanh nhỏ lẻ")</f>
        <v>cách tính thuế hộ kinh doanh nhỏ lẻ</v>
      </c>
      <c r="BM57" s="21" t="str">
        <f>IFERROR(__xludf.DUMMYFUNCTION("""COMPUTED_VALUE"""),"https://techcombank.com/thong-tin/blog/cach-dang-ky-ma-so-thue-ho-kinh-doanh-online")</f>
        <v>https://techcombank.com/thong-tin/blog/cach-dang-ky-ma-so-thue-ho-kinh-doanh-online</v>
      </c>
      <c r="BN57" s="16" t="str">
        <f>IFERROR(__xludf.DUMMYFUNCTION("""COMPUTED_VALUE"""),"cách tính thuế hộ kinh doanh")</f>
        <v>cách tính thuế hộ kinh doanh</v>
      </c>
      <c r="BO57" s="21" t="str">
        <f>IFERROR(__xludf.DUMMYFUNCTION("""COMPUTED_VALUE"""),"https://techcombank.com/thong-tin/blog/nhung-ho-kinh-doanh-duoc-mien-thue")</f>
        <v>https://techcombank.com/thong-tin/blog/nhung-ho-kinh-doanh-duoc-mien-thue</v>
      </c>
      <c r="BP57" s="16" t="str">
        <f>IFERROR(__xludf.DUMMYFUNCTION("""COMPUTED_VALUE"""),"cách tính thuế hộ kinh doanh nhỏ lẻ")</f>
        <v>cách tính thuế hộ kinh doanh nhỏ lẻ</v>
      </c>
      <c r="BQ57" s="21" t="str">
        <f>IFERROR(__xludf.DUMMYFUNCTION("""COMPUTED_VALUE"""),"https://techcombank.com/thong-tin/blog/luu-y-khi-chuyen-doi-tu-ho-kinh-doanh-len-doanh-nghiep")</f>
        <v>https://techcombank.com/thong-tin/blog/luu-y-khi-chuyen-doi-tu-ho-kinh-doanh-len-doanh-nghiep</v>
      </c>
      <c r="BR57" s="16" t="str">
        <f>IFERROR(__xludf.DUMMYFUNCTION("""COMPUTED_VALUE"""),"cách tính thuế hộ kinh doanh")</f>
        <v>cách tính thuế hộ kinh doanh</v>
      </c>
      <c r="BS57" s="21" t="str">
        <f>IFERROR(__xludf.DUMMYFUNCTION("""COMPUTED_VALUE"""),"https://techcombank.com/thong-tin/blog/barcode-la-gi")</f>
        <v>https://techcombank.com/thong-tin/blog/barcode-la-gi</v>
      </c>
      <c r="BT57" s="16" t="str">
        <f>IFERROR(__xludf.DUMMYFUNCTION("""COMPUTED_VALUE"""),"cách tính thuế hộ kinh doanh nhỏ lẻ")</f>
        <v>cách tính thuế hộ kinh doanh nhỏ lẻ</v>
      </c>
      <c r="BU57" s="21" t="str">
        <f>IFERROR(__xludf.DUMMYFUNCTION("""COMPUTED_VALUE"""),"https://techcombank.com/thong-tin/blog/tra-cuu-ma-so-thue-ho-kinh-doanh")</f>
        <v>https://techcombank.com/thong-tin/blog/tra-cuu-ma-so-thue-ho-kinh-doanh</v>
      </c>
      <c r="BV57" s="16" t="str">
        <f>IFERROR(__xludf.DUMMYFUNCTION("""COMPUTED_VALUE"""),"cách tính thuế hộ kinh doanh")</f>
        <v>cách tính thuế hộ kinh doanh</v>
      </c>
      <c r="BW57" s="21" t="str">
        <f>IFERROR(__xludf.DUMMYFUNCTION("""COMPUTED_VALUE"""),"https://techcombank.com/thong-tin/blog/dang-ky-thue-ho-kinh-doanh-ca-the-online")</f>
        <v>https://techcombank.com/thong-tin/blog/dang-ky-thue-ho-kinh-doanh-ca-the-online</v>
      </c>
      <c r="BX57" s="16" t="str">
        <f>IFERROR(__xludf.DUMMYFUNCTION("""COMPUTED_VALUE"""),"cách tính thuế hộ kinh doanh nhỏ lẻ")</f>
        <v>cách tính thuế hộ kinh doanh nhỏ lẻ</v>
      </c>
      <c r="BY57" s="21" t="str">
        <f>IFERROR(__xludf.DUMMYFUNCTION("""COMPUTED_VALUE"""),"https://techcombank.com/thong-tin/blog/chuyen-doi-so-ho-kinh-doanh")</f>
        <v>https://techcombank.com/thong-tin/blog/chuyen-doi-so-ho-kinh-doanh</v>
      </c>
      <c r="BZ57" s="16" t="str">
        <f>IFERROR(__xludf.DUMMYFUNCTION("""COMPUTED_VALUE"""),"cách tính thuế hộ kinh doanh")</f>
        <v>cách tính thuế hộ kinh doanh</v>
      </c>
      <c r="CA57" s="21" t="str">
        <f>IFERROR(__xludf.DUMMYFUNCTION("""COMPUTED_VALUE"""),"https://techcombank.com/thong-tin/blog/hoa-don-dien-tu")</f>
        <v>https://techcombank.com/thong-tin/blog/hoa-don-dien-tu</v>
      </c>
      <c r="CB57" s="16" t="str">
        <f>IFERROR(__xludf.DUMMYFUNCTION("""COMPUTED_VALUE"""),"cách tính thuế hộ kinh doanh nhỏ lẻ")</f>
        <v>cách tính thuế hộ kinh doanh nhỏ lẻ</v>
      </c>
      <c r="CC57" s="21" t="str">
        <f>IFERROR(__xludf.DUMMYFUNCTION("""COMPUTED_VALUE"""),"https://techcombank.com/thong-tin/blog/luat-thuong-mai-dien-tu")</f>
        <v>https://techcombank.com/thong-tin/blog/luat-thuong-mai-dien-tu</v>
      </c>
      <c r="CD57" s="16" t="str">
        <f>IFERROR(__xludf.DUMMYFUNCTION("""COMPUTED_VALUE"""),"cách tính thuế hộ kinh doanh")</f>
        <v>cách tính thuế hộ kinh doanh</v>
      </c>
      <c r="CE57" s="21" t="str">
        <f>IFERROR(__xludf.DUMMYFUNCTION("""COMPUTED_VALUE"""),"https://techcombank.com/thong-tin/blog/vay-the-chap-kinh-doanh")</f>
        <v>https://techcombank.com/thong-tin/blog/vay-the-chap-kinh-doanh</v>
      </c>
      <c r="CF57" s="16" t="str">
        <f>IFERROR(__xludf.DUMMYFUNCTION("""COMPUTED_VALUE"""),"cách tính thuế hộ kinh doanh nhỏ lẻ")</f>
        <v>cách tính thuế hộ kinh doanh nhỏ lẻ</v>
      </c>
      <c r="CG57" s="21" t="str">
        <f>IFERROR(__xludf.DUMMYFUNCTION("""COMPUTED_VALUE"""),"https://techcombank.com/thong-tin/blog/khai-bao-tai-khoan-ngan-hang-voi-co-quan-thue")</f>
        <v>https://techcombank.com/thong-tin/blog/khai-bao-tai-khoan-ngan-hang-voi-co-quan-thue</v>
      </c>
      <c r="CH57" s="16" t="str">
        <f>IFERROR(__xludf.DUMMYFUNCTION("""COMPUTED_VALUE"""),"cách tính thuế hộ kinh doanh")</f>
        <v>cách tính thuế hộ kinh doanh</v>
      </c>
      <c r="CI57" s="21" t="str">
        <f>IFERROR(__xludf.DUMMYFUNCTION("""COMPUTED_VALUE"""),"https://techcombank.com/thong-tin/blog/hoa-don-dien-tu-ho-kinh-doanh")</f>
        <v>https://techcombank.com/thong-tin/blog/hoa-don-dien-tu-ho-kinh-doanh</v>
      </c>
      <c r="CJ57" s="16" t="str">
        <f>IFERROR(__xludf.DUMMYFUNCTION("""COMPUTED_VALUE"""),"cách tính thuế hộ kinh doanh nhỏ lẻ")</f>
        <v>cách tính thuế hộ kinh doanh nhỏ lẻ</v>
      </c>
      <c r="CK57" s="21" t="str">
        <f>IFERROR(__xludf.DUMMYFUNCTION("""COMPUTED_VALUE"""),"https://techcombank.com/thong-tin/blog/thue-khoan-ho-kinh-doanh-la-gi")</f>
        <v>https://techcombank.com/thong-tin/blog/thue-khoan-ho-kinh-doanh-la-gi</v>
      </c>
      <c r="CL57" s="16" t="str">
        <f>IFERROR(__xludf.DUMMYFUNCTION("""COMPUTED_VALUE"""),"cách tính thuế hộ kinh doanh")</f>
        <v>cách tính thuế hộ kinh doanh</v>
      </c>
      <c r="CM57" s="21" t="str">
        <f>IFERROR(__xludf.DUMMYFUNCTION("""COMPUTED_VALUE"""),"https://techcombank.com/thong-tin/blog/ho-kinh-doanh-dong-thue-nhu-nao")</f>
        <v>https://techcombank.com/thong-tin/blog/ho-kinh-doanh-dong-thue-nhu-nao</v>
      </c>
      <c r="CN57" s="16" t="str">
        <f>IFERROR(__xludf.DUMMYFUNCTION("""COMPUTED_VALUE"""),"cách tính thuế hộ kinh doanh nhỏ lẻ")</f>
        <v>cách tính thuế hộ kinh doanh nhỏ lẻ</v>
      </c>
      <c r="CO57" s="21" t="str">
        <f>IFERROR(__xludf.DUMMYFUNCTION("""COMPUTED_VALUE"""),"https://techcombank.com/thong-tin/blog/dong-ma-so-thue-ho-kinh-doanh")</f>
        <v>https://techcombank.com/thong-tin/blog/dong-ma-so-thue-ho-kinh-doanh</v>
      </c>
      <c r="CP57" s="16" t="str">
        <f>IFERROR(__xludf.DUMMYFUNCTION("""COMPUTED_VALUE"""),"cách tính thuế hộ kinh doanh")</f>
        <v>cách tính thuế hộ kinh doanh</v>
      </c>
      <c r="CQ57" s="21" t="str">
        <f>IFERROR(__xludf.DUMMYFUNCTION("""COMPUTED_VALUE"""),"https://techcombank.com/thong-tin/blog/one-stop-shop")</f>
        <v>https://techcombank.com/thong-tin/blog/one-stop-shop</v>
      </c>
      <c r="CR57" s="16" t="str">
        <f>IFERROR(__xludf.DUMMYFUNCTION("""COMPUTED_VALUE"""),"cách tính thuế hộ kinh doanh nhỏ lẻ")</f>
        <v>cách tính thuế hộ kinh doanh nhỏ lẻ</v>
      </c>
      <c r="CS57" s="21" t="str">
        <f>IFERROR(__xludf.DUMMYFUNCTION("""COMPUTED_VALUE"""),"https://techcombank.com/thong-tin/blog/thue-phi-co-dinh-khi-chuyen-doi-tu-ho-kinh-doanh-len-doanh-nghiep")</f>
        <v>https://techcombank.com/thong-tin/blog/thue-phi-co-dinh-khi-chuyen-doi-tu-ho-kinh-doanh-len-doanh-nghiep</v>
      </c>
      <c r="CT57" s="16" t="str">
        <f>IFERROR(__xludf.DUMMYFUNCTION("""COMPUTED_VALUE"""),"cách tính thuế hộ kinh doanh")</f>
        <v>cách tính thuế hộ kinh doanh</v>
      </c>
      <c r="CU57" s="21" t="str">
        <f>IFERROR(__xludf.DUMMYFUNCTION("""COMPUTED_VALUE"""),"https://techcombank.com/thong-tin/blog/tim-hieu-ve-chinh-sach-thue-moi")</f>
        <v>https://techcombank.com/thong-tin/blog/tim-hieu-ve-chinh-sach-thue-moi</v>
      </c>
      <c r="CV57" s="16" t="str">
        <f>IFERROR(__xludf.DUMMYFUNCTION("""COMPUTED_VALUE"""),"cách tính thuế hộ kinh doanh nhỏ lẻ")</f>
        <v>cách tính thuế hộ kinh doanh nhỏ lẻ</v>
      </c>
      <c r="CW57" s="21" t="str">
        <f>IFERROR(__xludf.DUMMYFUNCTION("""COMPUTED_VALUE"""),"https://techcombank.com/thong-tin/blog/may-tinh-tien")</f>
        <v>https://techcombank.com/thong-tin/blog/may-tinh-tien</v>
      </c>
      <c r="CX57" s="16" t="str">
        <f>IFERROR(__xludf.DUMMYFUNCTION("""COMPUTED_VALUE"""),"cách tính thuế hộ kinh doanh")</f>
        <v>cách tính thuế hộ kinh doanh</v>
      </c>
      <c r="CY57" s="21" t="str">
        <f>IFERROR(__xludf.DUMMYFUNCTION("""COMPUTED_VALUE"""),"https://techcombank.com/thong-tin/blog/ke-khai-thue-doanh-nghiep")</f>
        <v>https://techcombank.com/thong-tin/blog/ke-khai-thue-doanh-nghiep</v>
      </c>
      <c r="CZ57" s="16" t="str">
        <f>IFERROR(__xludf.DUMMYFUNCTION("""COMPUTED_VALUE"""),"cách tính thuế hộ kinh doanh nhỏ lẻ")</f>
        <v>cách tính thuế hộ kinh doanh nhỏ lẻ</v>
      </c>
      <c r="DA57" s="21" t="str">
        <f>IFERROR(__xludf.DUMMYFUNCTION("""COMPUTED_VALUE"""),"https://techcombank.com/thong-tin/blog/kinh-nghiem-chuyen-doi-tu-ho-kinh-doanh-len-doanh-nghiep")</f>
        <v>https://techcombank.com/thong-tin/blog/kinh-nghiem-chuyen-doi-tu-ho-kinh-doanh-len-doanh-nghiep</v>
      </c>
      <c r="DB57" s="16" t="str">
        <f>IFERROR(__xludf.DUMMYFUNCTION("""COMPUTED_VALUE"""),"cách tính thuế hộ kinh doanh")</f>
        <v>cách tính thuế hộ kinh doanh</v>
      </c>
      <c r="DC57" s="21" t="str">
        <f>IFERROR(__xludf.DUMMYFUNCTION("""COMPUTED_VALUE"""),"https://techcombank.com/thong-tin/blog/top-phan-mem-ban-hang")</f>
        <v>https://techcombank.com/thong-tin/blog/top-phan-mem-ban-hang</v>
      </c>
      <c r="DD57" s="16" t="str">
        <f>IFERROR(__xludf.DUMMYFUNCTION("""COMPUTED_VALUE"""),"cách tính thuế hộ kinh doanh nhỏ lẻ")</f>
        <v>cách tính thuế hộ kinh doanh nhỏ lẻ</v>
      </c>
      <c r="DE57" s="21" t="str">
        <f>IFERROR(__xludf.DUMMYFUNCTION("""COMPUTED_VALUE"""),"https://techcombank.com/thong-tin/blog/dieu-kien-vay-von-ngan-hang")</f>
        <v>https://techcombank.com/thong-tin/blog/dieu-kien-vay-von-ngan-hang</v>
      </c>
      <c r="DF57" s="16" t="str">
        <f>IFERROR(__xludf.DUMMYFUNCTION("""COMPUTED_VALUE"""),"cách tính thuế hộ kinh doanh")</f>
        <v>cách tính thuế hộ kinh doanh</v>
      </c>
      <c r="DG57" s="21" t="str">
        <f>IFERROR(__xludf.DUMMYFUNCTION("""COMPUTED_VALUE"""),"https://techcombank.com/thong-tin/blog/phat-cham-dang-ky-thue-ho-kinh-doanh")</f>
        <v>https://techcombank.com/thong-tin/blog/phat-cham-dang-ky-thue-ho-kinh-doanh</v>
      </c>
      <c r="DH57" s="16" t="str">
        <f>IFERROR(__xludf.DUMMYFUNCTION("""COMPUTED_VALUE"""),"cách tính thuế hộ kinh doanh nhỏ lẻ")</f>
        <v>cách tính thuế hộ kinh doanh nhỏ lẻ</v>
      </c>
      <c r="DI57" s="21" t="str">
        <f>IFERROR(__xludf.DUMMYFUNCTION("""COMPUTED_VALUE"""),"https://techcombank.com/thong-tin/blog/phan-mem-xuat-hoa-don-dien-tu")</f>
        <v>https://techcombank.com/thong-tin/blog/phan-mem-xuat-hoa-don-dien-tu</v>
      </c>
      <c r="DJ57" s="16" t="str">
        <f>IFERROR(__xludf.DUMMYFUNCTION("""COMPUTED_VALUE"""),"cách tính thuế hộ kinh doanh")</f>
        <v>cách tính thuế hộ kinh doanh</v>
      </c>
      <c r="DK57" s="21" t="str">
        <f>IFERROR(__xludf.DUMMYFUNCTION("""COMPUTED_VALUE"""),"https://techcombank.com/thong-tin/blog/cach-lam-the-ngan-hang-chay-quang-cao-facebook")</f>
        <v>https://techcombank.com/thong-tin/blog/cach-lam-the-ngan-hang-chay-quang-cao-facebook</v>
      </c>
      <c r="DL57" s="16" t="str">
        <f>IFERROR(__xludf.DUMMYFUNCTION("""COMPUTED_VALUE"""),"cách tính thuế hộ kinh doanh nhỏ lẻ")</f>
        <v>cách tính thuế hộ kinh doanh nhỏ lẻ</v>
      </c>
      <c r="DM57" s="21" t="str">
        <f>IFERROR(__xludf.DUMMYFUNCTION("""COMPUTED_VALUE"""),"https://techcombank.com/thong-tin/blog/ho-kinh-doanh-can-gi-o-tai-khoan-ngan-hang")</f>
        <v>https://techcombank.com/thong-tin/blog/ho-kinh-doanh-can-gi-o-tai-khoan-ngan-hang</v>
      </c>
      <c r="DN57" s="16"/>
      <c r="DO57" s="16"/>
      <c r="DP57" s="16"/>
      <c r="DQ57" s="16"/>
      <c r="DR57" s="16"/>
      <c r="DS57" s="16"/>
      <c r="DT57" s="16"/>
      <c r="DU57" s="16"/>
      <c r="DV57" s="16"/>
      <c r="DW57" s="16"/>
      <c r="DX57" s="16"/>
      <c r="DY57" s="16"/>
      <c r="DZ57" s="16"/>
      <c r="EA57" s="16"/>
      <c r="EB57" s="16"/>
      <c r="EC57" s="16"/>
      <c r="ED57" s="16"/>
      <c r="EE57" s="16"/>
      <c r="EF57" s="16"/>
      <c r="EG57" s="16"/>
      <c r="EH57" s="16"/>
      <c r="EI57" s="16"/>
      <c r="EJ57" s="16"/>
      <c r="EK57" s="16"/>
      <c r="EL57" s="16"/>
      <c r="EM57" s="16"/>
      <c r="EN57" s="16"/>
      <c r="EO57" s="16"/>
      <c r="EP57" s="16"/>
      <c r="EQ57" s="16"/>
      <c r="ER57" s="16"/>
      <c r="ES57" s="16"/>
      <c r="ET57" s="16"/>
      <c r="EU57" s="16"/>
      <c r="EV57" s="16"/>
      <c r="EW57" s="16"/>
      <c r="EX57" s="16"/>
      <c r="EY57" s="16"/>
      <c r="EZ57" s="16"/>
      <c r="FA57" s="16"/>
      <c r="FB57" s="16"/>
      <c r="FC57" s="16"/>
      <c r="FD57" s="16"/>
      <c r="FE57" s="16"/>
      <c r="FF57" s="16"/>
      <c r="FG57" s="16"/>
      <c r="FH57" s="16"/>
      <c r="FI57" s="16"/>
      <c r="FJ57" s="16"/>
      <c r="FK57" s="16"/>
      <c r="FL57" s="16"/>
      <c r="FM57" s="16"/>
      <c r="FN57" s="16"/>
      <c r="FO57" s="16"/>
      <c r="FP57" s="16"/>
      <c r="FQ57" s="16"/>
      <c r="FR57" s="16"/>
      <c r="FS57" s="16"/>
      <c r="FT57" s="16"/>
      <c r="FU57" s="16"/>
      <c r="FV57" s="16"/>
      <c r="FW57" s="16"/>
      <c r="FX57" s="16"/>
      <c r="FY57" s="16"/>
      <c r="FZ57" s="16"/>
      <c r="GA57" s="16"/>
      <c r="GB57" s="16"/>
      <c r="GC57" s="16"/>
      <c r="GD57" s="16"/>
      <c r="GE57" s="16"/>
      <c r="GF57" s="16"/>
      <c r="GG57" s="16"/>
      <c r="GH57" s="16"/>
      <c r="GI57" s="16"/>
      <c r="GJ57" s="16"/>
      <c r="GK57" s="16"/>
      <c r="GL57" s="16"/>
      <c r="GM57" s="16"/>
      <c r="GN57" s="16"/>
      <c r="GO57" s="16"/>
    </row>
    <row r="58" ht="18.0" customHeight="1">
      <c r="A58" s="15">
        <v>57.0</v>
      </c>
      <c r="B58" s="16" t="s">
        <v>1255</v>
      </c>
      <c r="C58" s="17" t="s">
        <v>1259</v>
      </c>
      <c r="D58" s="16" t="s">
        <v>345</v>
      </c>
      <c r="E58" s="15">
        <f>COUNTIF('Tổng hợp 75 trang đích'!$B$2:$B$2505,$D58)</f>
        <v>66</v>
      </c>
      <c r="F58" s="15">
        <f>COUNTIFS('Tổng hợp 75 trang đích'!$B$2:$B$2505,$D58,'Tổng hợp 75 trang đích'!$K$2:$K$2505,"PHÙ HỢP CAO")</f>
        <v>4</v>
      </c>
      <c r="G58" s="15">
        <f>COUNTIFS('Tổng hợp 75 trang đích'!$B$2:$B$2505,$D58,'Tổng hợp 75 trang đích'!$K$2:$K$2505,"CÓ THỂ ĐI")</f>
        <v>1</v>
      </c>
      <c r="H58" s="15">
        <f>COUNTIFS('Tổng hợp 75 trang đích'!$B$2:$B$2505,$D58,'Tổng hợp 75 trang đích'!$K$2:$K$2505,"CẦN SOÁT")</f>
        <v>61</v>
      </c>
      <c r="I58" s="19" t="s">
        <v>256</v>
      </c>
      <c r="J58" s="19" t="b">
        <v>0</v>
      </c>
      <c r="K58" s="20" t="s">
        <v>258</v>
      </c>
      <c r="L58" s="16" t="str">
        <f>IFERROR(__xludf.DUMMYFUNCTION("IFERROR(TOROW(CHOOSECOLS(SORT(FILTER({'Tổng hợp 75 trang đích'!$J$2:$J$2505,'Tổng hợp 75 trang đích'!$I$2:$I$2505,MATCH('Tổng hợp 75 trang đích'!$K$2:$K$2505,{""PHÙ HỢP CAO"",""CÓ THỂ ĐI"",""CẦN SOÁT""},0)},'Tổng hợp 75 trang đích'!$B$2:$B$2505=$D58),3,TR"&amp;"UE),1,2)),"""")"),"cách tính lãi suất vay ngân hàng")</f>
        <v>cách tính lãi suất vay ngân hàng</v>
      </c>
      <c r="M58" s="21" t="str">
        <f>IFERROR(__xludf.DUMMYFUNCTION("""COMPUTED_VALUE"""),"https://techcombank.com/thong-tin/blog/du-no-la-gi")</f>
        <v>https://techcombank.com/thong-tin/blog/du-no-la-gi</v>
      </c>
      <c r="N58" s="16" t="str">
        <f>IFERROR(__xludf.DUMMYFUNCTION("""COMPUTED_VALUE"""),"cách tính lãi suất vay")</f>
        <v>cách tính lãi suất vay</v>
      </c>
      <c r="O58" s="21" t="str">
        <f>IFERROR(__xludf.DUMMYFUNCTION("""COMPUTED_VALUE"""),"https://techcombank.com/thong-tin/blog/an-han-no-goc-la-gi")</f>
        <v>https://techcombank.com/thong-tin/blog/an-han-no-goc-la-gi</v>
      </c>
      <c r="P58" s="16" t="str">
        <f>IFERROR(__xludf.DUMMYFUNCTION("""COMPUTED_VALUE"""),"cách tính lãi suất vay ngân hàng")</f>
        <v>cách tính lãi suất vay ngân hàng</v>
      </c>
      <c r="Q58" s="21" t="str">
        <f>IFERROR(__xludf.DUMMYFUNCTION("""COMPUTED_VALUE"""),"https://techcombank.com/thong-tin/blog/lai-suat-tha-noi")</f>
        <v>https://techcombank.com/thong-tin/blog/lai-suat-tha-noi</v>
      </c>
      <c r="R58" s="16" t="str">
        <f>IFERROR(__xludf.DUMMYFUNCTION("""COMPUTED_VALUE"""),"cách tính lãi suất vay")</f>
        <v>cách tính lãi suất vay</v>
      </c>
      <c r="S58" s="21" t="str">
        <f>IFERROR(__xludf.DUMMYFUNCTION("""COMPUTED_VALUE"""),"https://techcombank.com/thong-tin/blog/cong-thuc-tinh-lai-suat-thuc")</f>
        <v>https://techcombank.com/thong-tin/blog/cong-thuc-tinh-lai-suat-thuc</v>
      </c>
      <c r="T58" s="16" t="str">
        <f>IFERROR(__xludf.DUMMYFUNCTION("""COMPUTED_VALUE"""),"cách tính lãi suất vay ngân hàng")</f>
        <v>cách tính lãi suất vay ngân hàng</v>
      </c>
      <c r="U58" s="21" t="str">
        <f>IFERROR(__xludf.DUMMYFUNCTION("""COMPUTED_VALUE"""),"https://techcombank.com/thong-tin/blog/vay-tra-gop")</f>
        <v>https://techcombank.com/thong-tin/blog/vay-tra-gop</v>
      </c>
      <c r="V58" s="16" t="str">
        <f>IFERROR(__xludf.DUMMYFUNCTION("""COMPUTED_VALUE"""),"cách tính lãi suất vay")</f>
        <v>cách tính lãi suất vay</v>
      </c>
      <c r="W58" s="21" t="str">
        <f>IFERROR(__xludf.DUMMYFUNCTION("""COMPUTED_VALUE"""),"https://techcombank.com/thong-tin/blog/lai-suat-vay-kinh-doanh")</f>
        <v>https://techcombank.com/thong-tin/blog/lai-suat-vay-kinh-doanh</v>
      </c>
      <c r="X58" s="16" t="str">
        <f>IFERROR(__xludf.DUMMYFUNCTION("""COMPUTED_VALUE"""),"cách tính lãi suất vay ngân hàng")</f>
        <v>cách tính lãi suất vay ngân hàng</v>
      </c>
      <c r="Y58" s="21" t="str">
        <f>IFERROR(__xludf.DUMMYFUNCTION("""COMPUTED_VALUE"""),"https://techcombank.com/thong-tin/blog/cac-hinh-thuc-vay-von-ngan-hang")</f>
        <v>https://techcombank.com/thong-tin/blog/cac-hinh-thuc-vay-von-ngan-hang</v>
      </c>
      <c r="Z58" s="16" t="str">
        <f>IFERROR(__xludf.DUMMYFUNCTION("""COMPUTED_VALUE"""),"cách tính lãi suất vay")</f>
        <v>cách tính lãi suất vay</v>
      </c>
      <c r="AA58" s="21" t="str">
        <f>IFERROR(__xludf.DUMMYFUNCTION("""COMPUTED_VALUE"""),"https://techcombank.com/thong-tin/blog/loi-nhuan")</f>
        <v>https://techcombank.com/thong-tin/blog/loi-nhuan</v>
      </c>
      <c r="AB58" s="16" t="str">
        <f>IFERROR(__xludf.DUMMYFUNCTION("""COMPUTED_VALUE"""),"cách tính lãi suất vay ngân hàng")</f>
        <v>cách tính lãi suất vay ngân hàng</v>
      </c>
      <c r="AC58" s="21" t="str">
        <f>IFERROR(__xludf.DUMMYFUNCTION("""COMPUTED_VALUE"""),"https://techcombank.com/thong-tin/blog/co-nen-mua-o-to-tra-gop")</f>
        <v>https://techcombank.com/thong-tin/blog/co-nen-mua-o-to-tra-gop</v>
      </c>
      <c r="AD58" s="16" t="str">
        <f>IFERROR(__xludf.DUMMYFUNCTION("""COMPUTED_VALUE"""),"cách tính lãi suất vay")</f>
        <v>cách tính lãi suất vay</v>
      </c>
      <c r="AE58" s="21" t="str">
        <f>IFERROR(__xludf.DUMMYFUNCTION("""COMPUTED_VALUE"""),"https://techcombank.com/thong-tin/blog/thanh-toan-khoan-vay")</f>
        <v>https://techcombank.com/thong-tin/blog/thanh-toan-khoan-vay</v>
      </c>
      <c r="AF58" s="16" t="str">
        <f>IFERROR(__xludf.DUMMYFUNCTION("""COMPUTED_VALUE"""),"cách tính lãi suất vay ngân hàng")</f>
        <v>cách tính lãi suất vay ngân hàng</v>
      </c>
      <c r="AG58" s="21" t="str">
        <f>IFERROR(__xludf.DUMMYFUNCTION("""COMPUTED_VALUE"""),"https://techcombank.com/thong-tin/blog/vay-300-trieu")</f>
        <v>https://techcombank.com/thong-tin/blog/vay-300-trieu</v>
      </c>
      <c r="AH58" s="16" t="str">
        <f>IFERROR(__xludf.DUMMYFUNCTION("""COMPUTED_VALUE"""),"cách tính lãi suất vay")</f>
        <v>cách tính lãi suất vay</v>
      </c>
      <c r="AI58" s="21" t="str">
        <f>IFERROR(__xludf.DUMMYFUNCTION("""COMPUTED_VALUE"""),"https://techcombank.com/thong-tin/blog/kiem-tra-no-xau")</f>
        <v>https://techcombank.com/thong-tin/blog/kiem-tra-no-xau</v>
      </c>
      <c r="AJ58" s="16" t="str">
        <f>IFERROR(__xludf.DUMMYFUNCTION("""COMPUTED_VALUE"""),"cách tính lãi suất vay ngân hàng")</f>
        <v>cách tính lãi suất vay ngân hàng</v>
      </c>
      <c r="AK58" s="21" t="str">
        <f>IFERROR(__xludf.DUMMYFUNCTION("""COMPUTED_VALUE"""),"https://techcombank.com/thong-tin/blog/mua-truoc-tra-sau")</f>
        <v>https://techcombank.com/thong-tin/blog/mua-truoc-tra-sau</v>
      </c>
      <c r="AL58" s="16" t="str">
        <f>IFERROR(__xludf.DUMMYFUNCTION("""COMPUTED_VALUE"""),"cách tính lãi suất vay")</f>
        <v>cách tính lãi suất vay</v>
      </c>
      <c r="AM58" s="21" t="str">
        <f>IFERROR(__xludf.DUMMYFUNCTION("""COMPUTED_VALUE"""),"https://techcombank.com/thong-tin/blog/the-visa-de-lam-gi")</f>
        <v>https://techcombank.com/thong-tin/blog/the-visa-de-lam-gi</v>
      </c>
      <c r="AN58" s="16" t="str">
        <f>IFERROR(__xludf.DUMMYFUNCTION("""COMPUTED_VALUE"""),"cách tính lãi suất vay ngân hàng")</f>
        <v>cách tính lãi suất vay ngân hàng</v>
      </c>
      <c r="AO58" s="21" t="str">
        <f>IFERROR(__xludf.DUMMYFUNCTION("""COMPUTED_VALUE"""),"https://techcombank.com/thong-tin/blog/rui-ro-khi-vay-the-chap-ngan-hang")</f>
        <v>https://techcombank.com/thong-tin/blog/rui-ro-khi-vay-the-chap-ngan-hang</v>
      </c>
      <c r="AP58" s="16" t="str">
        <f>IFERROR(__xludf.DUMMYFUNCTION("""COMPUTED_VALUE"""),"cách tính lãi suất vay")</f>
        <v>cách tính lãi suất vay</v>
      </c>
      <c r="AQ58" s="21" t="str">
        <f>IFERROR(__xludf.DUMMYFUNCTION("""COMPUTED_VALUE"""),"https://techcombank.com/thong-tin/blog/vay-tin-chap-va-vay-the-chap")</f>
        <v>https://techcombank.com/thong-tin/blog/vay-tin-chap-va-vay-the-chap</v>
      </c>
      <c r="AR58" s="16" t="str">
        <f>IFERROR(__xludf.DUMMYFUNCTION("""COMPUTED_VALUE"""),"cách tính lãi suất vay ngân hàng")</f>
        <v>cách tính lãi suất vay ngân hàng</v>
      </c>
      <c r="AS58" s="21" t="str">
        <f>IFERROR(__xludf.DUMMYFUNCTION("""COMPUTED_VALUE"""),"https://techcombank.com/thong-tin/blog/lai-suat-vay-the-chap")</f>
        <v>https://techcombank.com/thong-tin/blog/lai-suat-vay-the-chap</v>
      </c>
      <c r="AT58" s="16" t="str">
        <f>IFERROR(__xludf.DUMMYFUNCTION("""COMPUTED_VALUE"""),"cách tính lãi suất vay")</f>
        <v>cách tính lãi suất vay</v>
      </c>
      <c r="AU58" s="21" t="str">
        <f>IFERROR(__xludf.DUMMYFUNCTION("""COMPUTED_VALUE"""),"https://techcombank.com/thong-tin/blog/tat-toan")</f>
        <v>https://techcombank.com/thong-tin/blog/tat-toan</v>
      </c>
      <c r="AV58" s="16" t="str">
        <f>IFERROR(__xludf.DUMMYFUNCTION("""COMPUTED_VALUE"""),"cách tính lãi suất vay ngân hàng")</f>
        <v>cách tính lãi suất vay ngân hàng</v>
      </c>
      <c r="AW58" s="21" t="str">
        <f>IFERROR(__xludf.DUMMYFUNCTION("""COMPUTED_VALUE"""),"https://techcombank.com/thong-tin/blog/dao-han-la-gi")</f>
        <v>https://techcombank.com/thong-tin/blog/dao-han-la-gi</v>
      </c>
      <c r="AX58" s="16" t="str">
        <f>IFERROR(__xludf.DUMMYFUNCTION("""COMPUTED_VALUE"""),"cách tính lãi suất vay")</f>
        <v>cách tính lãi suất vay</v>
      </c>
      <c r="AY58" s="21" t="str">
        <f>IFERROR(__xludf.DUMMYFUNCTION("""COMPUTED_VALUE"""),"https://techcombank.com/thong-tin/blog/vay-mua-xe-tra-gop-ngan-hang-nao-tot-nhat")</f>
        <v>https://techcombank.com/thong-tin/blog/vay-mua-xe-tra-gop-ngan-hang-nao-tot-nhat</v>
      </c>
      <c r="AZ58" s="16" t="str">
        <f>IFERROR(__xludf.DUMMYFUNCTION("""COMPUTED_VALUE"""),"cách tính lãi suất vay ngân hàng")</f>
        <v>cách tính lãi suất vay ngân hàng</v>
      </c>
      <c r="BA58" s="21" t="str">
        <f>IFERROR(__xludf.DUMMYFUNCTION("""COMPUTED_VALUE"""),"https://techcombank.com/thong-tin/blog/lai-suat-vay-thau-chi")</f>
        <v>https://techcombank.com/thong-tin/blog/lai-suat-vay-thau-chi</v>
      </c>
      <c r="BB58" s="16" t="str">
        <f>IFERROR(__xludf.DUMMYFUNCTION("""COMPUTED_VALUE"""),"cách tính lãi suất vay")</f>
        <v>cách tính lãi suất vay</v>
      </c>
      <c r="BC58" s="21" t="str">
        <f>IFERROR(__xludf.DUMMYFUNCTION("""COMPUTED_VALUE"""),"https://techcombank.com/thong-tin/blog/vay-mua-nha-tra-gop")</f>
        <v>https://techcombank.com/thong-tin/blog/vay-mua-nha-tra-gop</v>
      </c>
      <c r="BD58" s="16" t="str">
        <f>IFERROR(__xludf.DUMMYFUNCTION("""COMPUTED_VALUE"""),"cách tính lãi suất vay ngân hàng")</f>
        <v>cách tính lãi suất vay ngân hàng</v>
      </c>
      <c r="BE58" s="21" t="str">
        <f>IFERROR(__xludf.DUMMYFUNCTION("""COMPUTED_VALUE"""),"https://techcombank.com/thong-tin/blog/cach-thanh-toan-the-tin-dung")</f>
        <v>https://techcombank.com/thong-tin/blog/cach-thanh-toan-the-tin-dung</v>
      </c>
      <c r="BF58" s="16" t="str">
        <f>IFERROR(__xludf.DUMMYFUNCTION("""COMPUTED_VALUE"""),"cách tính lãi suất vay")</f>
        <v>cách tính lãi suất vay</v>
      </c>
      <c r="BG58" s="21" t="str">
        <f>IFERROR(__xludf.DUMMYFUNCTION("""COMPUTED_VALUE"""),"https://techcombank.com/thong-tin/blog/quy-trinh-tat-toan-khoan-vay-the-chap")</f>
        <v>https://techcombank.com/thong-tin/blog/quy-trinh-tat-toan-khoan-vay-the-chap</v>
      </c>
      <c r="BH58" s="16" t="str">
        <f>IFERROR(__xludf.DUMMYFUNCTION("""COMPUTED_VALUE"""),"cách tính lãi suất vay ngân hàng")</f>
        <v>cách tính lãi suất vay ngân hàng</v>
      </c>
      <c r="BI58" s="21" t="str">
        <f>IFERROR(__xludf.DUMMYFUNCTION("""COMPUTED_VALUE"""),"https://techcombank.com/thong-tin/blog/vay-40-trieu")</f>
        <v>https://techcombank.com/thong-tin/blog/vay-40-trieu</v>
      </c>
      <c r="BJ58" s="16" t="str">
        <f>IFERROR(__xludf.DUMMYFUNCTION("""COMPUTED_VALUE"""),"cách tính lãi suất vay")</f>
        <v>cách tính lãi suất vay</v>
      </c>
      <c r="BK58" s="21" t="str">
        <f>IFERROR(__xludf.DUMMYFUNCTION("""COMPUTED_VALUE"""),"https://techcombank.com/thong-tin/blog/thu-tuc-mua-xe-tra-gop")</f>
        <v>https://techcombank.com/thong-tin/blog/thu-tuc-mua-xe-tra-gop</v>
      </c>
      <c r="BL58" s="16" t="str">
        <f>IFERROR(__xludf.DUMMYFUNCTION("""COMPUTED_VALUE"""),"cách tính lãi suất vay ngân hàng")</f>
        <v>cách tính lãi suất vay ngân hàng</v>
      </c>
      <c r="BM58" s="21" t="str">
        <f>IFERROR(__xludf.DUMMYFUNCTION("""COMPUTED_VALUE"""),"https://techcombank.com/thong-tin/blog/vay-100-trieu")</f>
        <v>https://techcombank.com/thong-tin/blog/vay-100-trieu</v>
      </c>
      <c r="BN58" s="16" t="str">
        <f>IFERROR(__xludf.DUMMYFUNCTION("""COMPUTED_VALUE"""),"cách tính lãi suất vay")</f>
        <v>cách tính lãi suất vay</v>
      </c>
      <c r="BO58" s="21" t="str">
        <f>IFERROR(__xludf.DUMMYFUNCTION("""COMPUTED_VALUE"""),"https://techcombank.com/thong-tin/blog/vay-ngan-hang-chi-can-cccd")</f>
        <v>https://techcombank.com/thong-tin/blog/vay-ngan-hang-chi-can-cccd</v>
      </c>
      <c r="BP58" s="16" t="str">
        <f>IFERROR(__xludf.DUMMYFUNCTION("""COMPUTED_VALUE"""),"cách tính lãi suất vay ngân hàng")</f>
        <v>cách tính lãi suất vay ngân hàng</v>
      </c>
      <c r="BQ58" s="21" t="str">
        <f>IFERROR(__xludf.DUMMYFUNCTION("""COMPUTED_VALUE"""),"https://techcombank.com/thong-tin/blog/tra-gop-shopee")</f>
        <v>https://techcombank.com/thong-tin/blog/tra-gop-shopee</v>
      </c>
      <c r="BR58" s="16" t="str">
        <f>IFERROR(__xludf.DUMMYFUNCTION("""COMPUTED_VALUE"""),"cách tính lãi suất vay")</f>
        <v>cách tính lãi suất vay</v>
      </c>
      <c r="BS58" s="21" t="str">
        <f>IFERROR(__xludf.DUMMYFUNCTION("""COMPUTED_VALUE"""),"https://techcombank.com/thong-tin/blog/tra-gop-hoc-phi")</f>
        <v>https://techcombank.com/thong-tin/blog/tra-gop-hoc-phi</v>
      </c>
      <c r="BT58" s="16" t="str">
        <f>IFERROR(__xludf.DUMMYFUNCTION("""COMPUTED_VALUE"""),"cách tính lãi suất vay ngân hàng")</f>
        <v>cách tính lãi suất vay ngân hàng</v>
      </c>
      <c r="BU58" s="21" t="str">
        <f>IFERROR(__xludf.DUMMYFUNCTION("""COMPUTED_VALUE"""),"https://techcombank.com/thong-tin/blog/thanh-toan-tra-gop-qua-the-tin-dung")</f>
        <v>https://techcombank.com/thong-tin/blog/thanh-toan-tra-gop-qua-the-tin-dung</v>
      </c>
      <c r="BV58" s="16" t="str">
        <f>IFERROR(__xludf.DUMMYFUNCTION("""COMPUTED_VALUE"""),"cách tính lãi suất vay")</f>
        <v>cách tính lãi suất vay</v>
      </c>
      <c r="BW58" s="21" t="str">
        <f>IFERROR(__xludf.DUMMYFUNCTION("""COMPUTED_VALUE"""),"https://techcombank.com/thong-tin/blog/tra-gop-lazada")</f>
        <v>https://techcombank.com/thong-tin/blog/tra-gop-lazada</v>
      </c>
      <c r="BX58" s="16" t="str">
        <f>IFERROR(__xludf.DUMMYFUNCTION("""COMPUTED_VALUE"""),"cách tính lãi suất vay ngân hàng")</f>
        <v>cách tính lãi suất vay ngân hàng</v>
      </c>
      <c r="BY58" s="21" t="str">
        <f>IFERROR(__xludf.DUMMYFUNCTION("""COMPUTED_VALUE"""),"https://techcombank.com/thong-tin/blog/lai-suat-vay-the-chap-so-do")</f>
        <v>https://techcombank.com/thong-tin/blog/lai-suat-vay-the-chap-so-do</v>
      </c>
      <c r="BZ58" s="16" t="str">
        <f>IFERROR(__xludf.DUMMYFUNCTION("""COMPUTED_VALUE"""),"cách tính lãi suất vay")</f>
        <v>cách tính lãi suất vay</v>
      </c>
      <c r="CA58" s="21" t="str">
        <f>IFERROR(__xludf.DUMMYFUNCTION("""COMPUTED_VALUE"""),"https://techcombank.com/thong-tin/blog/nen-mua-xe-tra-gop-hay-tra-thang")</f>
        <v>https://techcombank.com/thong-tin/blog/nen-mua-xe-tra-gop-hay-tra-thang</v>
      </c>
      <c r="CB58" s="16" t="str">
        <f>IFERROR(__xludf.DUMMYFUNCTION("""COMPUTED_VALUE"""),"cách tính lãi suất vay ngân hàng")</f>
        <v>cách tính lãi suất vay ngân hàng</v>
      </c>
      <c r="CC58" s="21" t="str">
        <f>IFERROR(__xludf.DUMMYFUNCTION("""COMPUTED_VALUE"""),"https://techcombank.com/thong-tin/blog/vay-15-trieu")</f>
        <v>https://techcombank.com/thong-tin/blog/vay-15-trieu</v>
      </c>
      <c r="CD58" s="16" t="str">
        <f>IFERROR(__xludf.DUMMYFUNCTION("""COMPUTED_VALUE"""),"cách tính lãi suất vay")</f>
        <v>cách tính lãi suất vay</v>
      </c>
      <c r="CE58" s="21" t="str">
        <f>IFERROR(__xludf.DUMMYFUNCTION("""COMPUTED_VALUE"""),"https://techcombank.com/thong-tin/blog/sao-ke-the-tin-dung-la-gi")</f>
        <v>https://techcombank.com/thong-tin/blog/sao-ke-the-tin-dung-la-gi</v>
      </c>
      <c r="CF58" s="16" t="str">
        <f>IFERROR(__xludf.DUMMYFUNCTION("""COMPUTED_VALUE"""),"cách tính lãi suất vay ngân hàng")</f>
        <v>cách tính lãi suất vay ngân hàng</v>
      </c>
      <c r="CG58" s="21" t="str">
        <f>IFERROR(__xludf.DUMMYFUNCTION("""COMPUTED_VALUE"""),"https://techcombank.com/thong-tin/blog/lai-suat-vay-tieu-dung")</f>
        <v>https://techcombank.com/thong-tin/blog/lai-suat-vay-tieu-dung</v>
      </c>
      <c r="CH58" s="16" t="str">
        <f>IFERROR(__xludf.DUMMYFUNCTION("""COMPUTED_VALUE"""),"cách tính lãi suất vay")</f>
        <v>cách tính lãi suất vay</v>
      </c>
      <c r="CI58" s="21" t="str">
        <f>IFERROR(__xludf.DUMMYFUNCTION("""COMPUTED_VALUE"""),"https://techcombank.com/thong-tin/blog/lam-ho-so-tra-gop-dien-thoai")</f>
        <v>https://techcombank.com/thong-tin/blog/lam-ho-so-tra-gop-dien-thoai</v>
      </c>
      <c r="CJ58" s="16" t="str">
        <f>IFERROR(__xludf.DUMMYFUNCTION("""COMPUTED_VALUE"""),"cách tính lãi suất vay ngân hàng")</f>
        <v>cách tính lãi suất vay ngân hàng</v>
      </c>
      <c r="CK58" s="21" t="str">
        <f>IFERROR(__xludf.DUMMYFUNCTION("""COMPUTED_VALUE"""),"https://techcombank.com/thong-tin/blog/vay-30-trieu")</f>
        <v>https://techcombank.com/thong-tin/blog/vay-30-trieu</v>
      </c>
      <c r="CL58" s="16" t="str">
        <f>IFERROR(__xludf.DUMMYFUNCTION("""COMPUTED_VALUE"""),"cách tính lãi suất vay")</f>
        <v>cách tính lãi suất vay</v>
      </c>
      <c r="CM58" s="21" t="str">
        <f>IFERROR(__xludf.DUMMYFUNCTION("""COMPUTED_VALUE"""),"https://techcombank.com/thong-tin/blog/thu-tuc-vay-von-ngan-hang-de-xay-nha")</f>
        <v>https://techcombank.com/thong-tin/blog/thu-tuc-vay-von-ngan-hang-de-xay-nha</v>
      </c>
      <c r="CN58" s="16" t="str">
        <f>IFERROR(__xludf.DUMMYFUNCTION("""COMPUTED_VALUE"""),"cách tính lãi suất vay ngân hàng")</f>
        <v>cách tính lãi suất vay ngân hàng</v>
      </c>
      <c r="CO58" s="21" t="str">
        <f>IFERROR(__xludf.DUMMYFUNCTION("""COMPUTED_VALUE"""),"https://techcombank.com/thong-tin/blog/lai-suat-ngan-hang-cho-vay-xay-nha")</f>
        <v>https://techcombank.com/thong-tin/blog/lai-suat-ngan-hang-cho-vay-xay-nha</v>
      </c>
      <c r="CP58" s="16" t="str">
        <f>IFERROR(__xludf.DUMMYFUNCTION("""COMPUTED_VALUE"""),"cách tính lãi suất vay")</f>
        <v>cách tính lãi suất vay</v>
      </c>
      <c r="CQ58" s="21" t="str">
        <f>IFERROR(__xludf.DUMMYFUNCTION("""COMPUTED_VALUE"""),"https://techcombank.com/thong-tin/blog/cach-su-dung-the-tin-dung")</f>
        <v>https://techcombank.com/thong-tin/blog/cach-su-dung-the-tin-dung</v>
      </c>
      <c r="CR58" s="16" t="str">
        <f>IFERROR(__xludf.DUMMYFUNCTION("""COMPUTED_VALUE"""),"cách tính lãi suất vay ngân hàng")</f>
        <v>cách tính lãi suất vay ngân hàng</v>
      </c>
      <c r="CS58" s="21" t="str">
        <f>IFERROR(__xludf.DUMMYFUNCTION("""COMPUTED_VALUE"""),"https://techcombank.com/thong-tin/blog/vay-mua-nha-o-xa-hoi")</f>
        <v>https://techcombank.com/thong-tin/blog/vay-mua-nha-o-xa-hoi</v>
      </c>
      <c r="CT58" s="16" t="str">
        <f>IFERROR(__xludf.DUMMYFUNCTION("""COMPUTED_VALUE"""),"cách tính lãi suất vay")</f>
        <v>cách tính lãi suất vay</v>
      </c>
      <c r="CU58" s="21" t="str">
        <f>IFERROR(__xludf.DUMMYFUNCTION("""COMPUTED_VALUE"""),"https://techcombank.com/thong-tin/blog/vay-200-trieu")</f>
        <v>https://techcombank.com/thong-tin/blog/vay-200-trieu</v>
      </c>
      <c r="CV58" s="16" t="str">
        <f>IFERROR(__xludf.DUMMYFUNCTION("""COMPUTED_VALUE"""),"cách tính lãi suất vay ngân hàng")</f>
        <v>cách tính lãi suất vay ngân hàng</v>
      </c>
      <c r="CW58" s="21" t="str">
        <f>IFERROR(__xludf.DUMMYFUNCTION("""COMPUTED_VALUE"""),"https://techcombank.com/thong-tin/blog/kinh-nghiem-vay-tien-ngan-hang-xay-nha")</f>
        <v>https://techcombank.com/thong-tin/blog/kinh-nghiem-vay-tien-ngan-hang-xay-nha</v>
      </c>
      <c r="CX58" s="16" t="str">
        <f>IFERROR(__xludf.DUMMYFUNCTION("""COMPUTED_VALUE"""),"cách tính lãi suất vay")</f>
        <v>cách tính lãi suất vay</v>
      </c>
      <c r="CY58" s="21" t="str">
        <f>IFERROR(__xludf.DUMMYFUNCTION("""COMPUTED_VALUE"""),"https://techcombank.com/thong-tin/blog/vay-tin-chap-theo-luong")</f>
        <v>https://techcombank.com/thong-tin/blog/vay-tin-chap-theo-luong</v>
      </c>
      <c r="CZ58" s="16" t="str">
        <f>IFERROR(__xludf.DUMMYFUNCTION("""COMPUTED_VALUE"""),"cách tính lãi suất vay ngân hàng")</f>
        <v>cách tính lãi suất vay ngân hàng</v>
      </c>
      <c r="DA58" s="21" t="str">
        <f>IFERROR(__xludf.DUMMYFUNCTION("""COMPUTED_VALUE"""),"https://techcombank.com/thong-tin/blog/tra-gop-qua-the-tin-dung")</f>
        <v>https://techcombank.com/thong-tin/blog/tra-gop-qua-the-tin-dung</v>
      </c>
      <c r="DB58" s="16" t="str">
        <f>IFERROR(__xludf.DUMMYFUNCTION("""COMPUTED_VALUE"""),"cách tính lãi suất vay")</f>
        <v>cách tính lãi suất vay</v>
      </c>
      <c r="DC58" s="21" t="str">
        <f>IFERROR(__xludf.DUMMYFUNCTION("""COMPUTED_VALUE"""),"https://techcombank.com/thong-tin/blog/cach-su-dung-the-visa-techcombank")</f>
        <v>https://techcombank.com/thong-tin/blog/cach-su-dung-the-visa-techcombank</v>
      </c>
      <c r="DD58" s="16" t="str">
        <f>IFERROR(__xludf.DUMMYFUNCTION("""COMPUTED_VALUE"""),"cách tính lãi suất vay ngân hàng")</f>
        <v>cách tính lãi suất vay ngân hàng</v>
      </c>
      <c r="DE58" s="21" t="str">
        <f>IFERROR(__xludf.DUMMYFUNCTION("""COMPUTED_VALUE"""),"https://techcombank.com/thong-tin/blog/lai-suat-vay-ngan-hang")</f>
        <v>https://techcombank.com/thong-tin/blog/lai-suat-vay-ngan-hang</v>
      </c>
      <c r="DF58" s="16" t="str">
        <f>IFERROR(__xludf.DUMMYFUNCTION("""COMPUTED_VALUE"""),"cách tính lãi suất vay")</f>
        <v>cách tính lãi suất vay</v>
      </c>
      <c r="DG58" s="21" t="str">
        <f>IFERROR(__xludf.DUMMYFUNCTION("""COMPUTED_VALUE"""),"https://techcombank.com/thong-tin/blog/du-no-tin-dung-la-gi")</f>
        <v>https://techcombank.com/thong-tin/blog/du-no-tin-dung-la-gi</v>
      </c>
      <c r="DH58" s="16" t="str">
        <f>IFERROR(__xludf.DUMMYFUNCTION("""COMPUTED_VALUE"""),"cách tính lãi suất vay ngân hàng")</f>
        <v>cách tính lãi suất vay ngân hàng</v>
      </c>
      <c r="DI58" s="21" t="str">
        <f>IFERROR(__xludf.DUMMYFUNCTION("""COMPUTED_VALUE"""),"https://techcombank.com/thong-tin/blog/mua-nha-tra-gop-dua-truoc-100-trieu")</f>
        <v>https://techcombank.com/thong-tin/blog/mua-nha-tra-gop-dua-truoc-100-trieu</v>
      </c>
      <c r="DJ58" s="16" t="str">
        <f>IFERROR(__xludf.DUMMYFUNCTION("""COMPUTED_VALUE"""),"cách tính lãi suất vay")</f>
        <v>cách tính lãi suất vay</v>
      </c>
      <c r="DK58" s="21" t="str">
        <f>IFERROR(__xludf.DUMMYFUNCTION("""COMPUTED_VALUE"""),"https://techcombank.com/thong-tin/blog/vay-han-muc-la-gi")</f>
        <v>https://techcombank.com/thong-tin/blog/vay-han-muc-la-gi</v>
      </c>
      <c r="DL58" s="16" t="str">
        <f>IFERROR(__xludf.DUMMYFUNCTION("""COMPUTED_VALUE"""),"cách tính lãi suất vay ngân hàng")</f>
        <v>cách tính lãi suất vay ngân hàng</v>
      </c>
      <c r="DM58" s="21" t="str">
        <f>IFERROR(__xludf.DUMMYFUNCTION("""COMPUTED_VALUE"""),"https://techcombank.com/thong-tin/blog/lai-suat-vay-mua-o-to")</f>
        <v>https://techcombank.com/thong-tin/blog/lai-suat-vay-mua-o-to</v>
      </c>
      <c r="DN58" s="16" t="str">
        <f>IFERROR(__xludf.DUMMYFUNCTION("""COMPUTED_VALUE"""),"cách tính lãi suất vay")</f>
        <v>cách tính lãi suất vay</v>
      </c>
      <c r="DO58" s="21" t="str">
        <f>IFERROR(__xludf.DUMMYFUNCTION("""COMPUTED_VALUE"""),"https://techcombank.com/thong-tin/blog/no-xau-nhom-2")</f>
        <v>https://techcombank.com/thong-tin/blog/no-xau-nhom-2</v>
      </c>
      <c r="DP58" s="16" t="str">
        <f>IFERROR(__xludf.DUMMYFUNCTION("""COMPUTED_VALUE"""),"cách tính lãi suất vay ngân hàng")</f>
        <v>cách tính lãi suất vay ngân hàng</v>
      </c>
      <c r="DQ58" s="21" t="str">
        <f>IFERROR(__xludf.DUMMYFUNCTION("""COMPUTED_VALUE"""),"https://techcombank.com/thong-tin/blog/lai-suat-vay-tin-chap")</f>
        <v>https://techcombank.com/thong-tin/blog/lai-suat-vay-tin-chap</v>
      </c>
      <c r="DR58" s="16" t="str">
        <f>IFERROR(__xludf.DUMMYFUNCTION("""COMPUTED_VALUE"""),"cách tính lãi suất vay")</f>
        <v>cách tính lãi suất vay</v>
      </c>
      <c r="DS58" s="21" t="str">
        <f>IFERROR(__xludf.DUMMYFUNCTION("""COMPUTED_VALUE"""),"https://techcombank.com/thong-tin/blog/co-100-trieu-co-mua-nen-mua-tra-gop")</f>
        <v>https://techcombank.com/thong-tin/blog/co-100-trieu-co-mua-nen-mua-tra-gop</v>
      </c>
      <c r="DT58" s="16" t="str">
        <f>IFERROR(__xludf.DUMMYFUNCTION("""COMPUTED_VALUE"""),"cách tính lãi suất vay ngân hàng")</f>
        <v>cách tính lãi suất vay ngân hàng</v>
      </c>
      <c r="DU58" s="21" t="str">
        <f>IFERROR(__xludf.DUMMYFUNCTION("""COMPUTED_VALUE"""),"https://techcombank.com/thong-tin/blog/dang-vay-tra-gop-co-vay-them-duoc-khong")</f>
        <v>https://techcombank.com/thong-tin/blog/dang-vay-tra-gop-co-vay-them-duoc-khong</v>
      </c>
      <c r="DV58" s="16" t="str">
        <f>IFERROR(__xludf.DUMMYFUNCTION("""COMPUTED_VALUE"""),"cách tính lãi suất vay")</f>
        <v>cách tính lãi suất vay</v>
      </c>
      <c r="DW58" s="21" t="str">
        <f>IFERROR(__xludf.DUMMYFUNCTION("""COMPUTED_VALUE"""),"https://techcombank.com/thong-tin/blog/bao-hiem-vat-chat-xe-o-to")</f>
        <v>https://techcombank.com/thong-tin/blog/bao-hiem-vat-chat-xe-o-to</v>
      </c>
      <c r="DX58" s="16" t="str">
        <f>IFERROR(__xludf.DUMMYFUNCTION("""COMPUTED_VALUE"""),"cách tính lãi suất vay ngân hàng")</f>
        <v>cách tính lãi suất vay ngân hàng</v>
      </c>
      <c r="DY58" s="21" t="str">
        <f>IFERROR(__xludf.DUMMYFUNCTION("""COMPUTED_VALUE"""),"https://techcombank.com/thong-tin/blog/han-muc-tra-gop-the-tin-dung")</f>
        <v>https://techcombank.com/thong-tin/blog/han-muc-tra-gop-the-tin-dung</v>
      </c>
      <c r="DZ58" s="16" t="str">
        <f>IFERROR(__xludf.DUMMYFUNCTION("""COMPUTED_VALUE"""),"cách tính lãi suất vay")</f>
        <v>cách tính lãi suất vay</v>
      </c>
      <c r="EA58" s="21" t="str">
        <f>IFERROR(__xludf.DUMMYFUNCTION("""COMPUTED_VALUE"""),"https://techcombank.com/thong-tin/blog/quy-trinh-cho-vay-tieu-dung")</f>
        <v>https://techcombank.com/thong-tin/blog/quy-trinh-cho-vay-tieu-dung</v>
      </c>
      <c r="EB58" s="16" t="str">
        <f>IFERROR(__xludf.DUMMYFUNCTION("""COMPUTED_VALUE"""),"cách tính lãi suất vay ngân hàng")</f>
        <v>cách tính lãi suất vay ngân hàng</v>
      </c>
      <c r="EC58" s="21" t="str">
        <f>IFERROR(__xludf.DUMMYFUNCTION("""COMPUTED_VALUE"""),"https://techcombank.com/thong-tin/blog/vay-20-trieu")</f>
        <v>https://techcombank.com/thong-tin/blog/vay-20-trieu</v>
      </c>
      <c r="ED58" s="16" t="str">
        <f>IFERROR(__xludf.DUMMYFUNCTION("""COMPUTED_VALUE"""),"cách tính lãi suất vay")</f>
        <v>cách tính lãi suất vay</v>
      </c>
      <c r="EE58" s="21" t="str">
        <f>IFERROR(__xludf.DUMMYFUNCTION("""COMPUTED_VALUE"""),"https://techcombank.com/thong-tin/blog/kinh-nghiem-vay-tien-mua-nha")</f>
        <v>https://techcombank.com/thong-tin/blog/kinh-nghiem-vay-tien-mua-nha</v>
      </c>
      <c r="EF58" s="16" t="str">
        <f>IFERROR(__xludf.DUMMYFUNCTION("""COMPUTED_VALUE"""),"cách tính lãi suất vay ngân hàng")</f>
        <v>cách tính lãi suất vay ngân hàng</v>
      </c>
      <c r="EG58" s="21" t="str">
        <f>IFERROR(__xludf.DUMMYFUNCTION("""COMPUTED_VALUE"""),"https://techcombank.com/thong-tin/blog/vay-tin-chap-la-gi")</f>
        <v>https://techcombank.com/thong-tin/blog/vay-tin-chap-la-gi</v>
      </c>
      <c r="EH58" s="16" t="str">
        <f>IFERROR(__xludf.DUMMYFUNCTION("""COMPUTED_VALUE"""),"cách tính lãi suất vay")</f>
        <v>cách tính lãi suất vay</v>
      </c>
      <c r="EI58" s="21" t="str">
        <f>IFERROR(__xludf.DUMMYFUNCTION("""COMPUTED_VALUE"""),"https://techcombank.com/thong-tin/blog/vay-mua-dien-thoai")</f>
        <v>https://techcombank.com/thong-tin/blog/vay-mua-dien-thoai</v>
      </c>
      <c r="EJ58" s="16" t="str">
        <f>IFERROR(__xludf.DUMMYFUNCTION("""COMPUTED_VALUE"""),"cách tính lãi suất vay ngân hàng")</f>
        <v>cách tính lãi suất vay ngân hàng</v>
      </c>
      <c r="EK58" s="21" t="str">
        <f>IFERROR(__xludf.DUMMYFUNCTION("""COMPUTED_VALUE"""),"https://techcombank.com/thong-tin/blog/vay-the-chap-hop-dong-mua-ban-can-ho")</f>
        <v>https://techcombank.com/thong-tin/blog/vay-the-chap-hop-dong-mua-ban-can-ho</v>
      </c>
      <c r="EL58" s="16" t="str">
        <f>IFERROR(__xludf.DUMMYFUNCTION("""COMPUTED_VALUE"""),"cách tính lãi suất vay")</f>
        <v>cách tính lãi suất vay</v>
      </c>
      <c r="EM58" s="21" t="str">
        <f>IFERROR(__xludf.DUMMYFUNCTION("""COMPUTED_VALUE"""),"https://techcombank.com/thong-tin/blog/lai-suat-cho-vay-doanh-nghiep")</f>
        <v>https://techcombank.com/thong-tin/blog/lai-suat-cho-vay-doanh-nghiep</v>
      </c>
      <c r="EN58" s="16"/>
      <c r="EO58" s="16"/>
      <c r="EP58" s="16"/>
      <c r="EQ58" s="16"/>
      <c r="ER58" s="16"/>
      <c r="ES58" s="16"/>
      <c r="ET58" s="16"/>
      <c r="EU58" s="16"/>
      <c r="EV58" s="16"/>
      <c r="EW58" s="16"/>
      <c r="EX58" s="16"/>
      <c r="EY58" s="16"/>
      <c r="EZ58" s="16"/>
      <c r="FA58" s="16"/>
      <c r="FB58" s="16"/>
      <c r="FC58" s="16"/>
      <c r="FD58" s="16"/>
      <c r="FE58" s="16"/>
      <c r="FF58" s="16"/>
      <c r="FG58" s="16"/>
      <c r="FH58" s="16"/>
      <c r="FI58" s="16"/>
      <c r="FJ58" s="16"/>
      <c r="FK58" s="16"/>
      <c r="FL58" s="16"/>
      <c r="FM58" s="16"/>
      <c r="FN58" s="16"/>
      <c r="FO58" s="16"/>
      <c r="FP58" s="16"/>
      <c r="FQ58" s="16"/>
      <c r="FR58" s="16"/>
      <c r="FS58" s="16"/>
      <c r="FT58" s="16"/>
      <c r="FU58" s="16"/>
      <c r="FV58" s="16"/>
      <c r="FW58" s="16"/>
      <c r="FX58" s="16"/>
      <c r="FY58" s="16"/>
      <c r="FZ58" s="16"/>
      <c r="GA58" s="16"/>
      <c r="GB58" s="16"/>
      <c r="GC58" s="16"/>
      <c r="GD58" s="16"/>
      <c r="GE58" s="16"/>
      <c r="GF58" s="16"/>
      <c r="GG58" s="16"/>
      <c r="GH58" s="16"/>
      <c r="GI58" s="16"/>
      <c r="GJ58" s="16"/>
      <c r="GK58" s="16"/>
      <c r="GL58" s="16"/>
      <c r="GM58" s="16"/>
      <c r="GN58" s="16"/>
      <c r="GO58" s="16"/>
    </row>
    <row r="59" ht="18.0" customHeight="1">
      <c r="A59" s="15">
        <v>58.0</v>
      </c>
      <c r="B59" s="16" t="s">
        <v>1255</v>
      </c>
      <c r="C59" s="17" t="s">
        <v>1279</v>
      </c>
      <c r="D59" s="16" t="s">
        <v>334</v>
      </c>
      <c r="E59" s="15">
        <f>COUNTIF('Tổng hợp 75 trang đích'!$B$2:$B$2505,$D59)</f>
        <v>32</v>
      </c>
      <c r="F59" s="15">
        <f>COUNTIFS('Tổng hợp 75 trang đích'!$B$2:$B$2505,$D59,'Tổng hợp 75 trang đích'!$K$2:$K$2505,"PHÙ HỢP CAO")</f>
        <v>4</v>
      </c>
      <c r="G59" s="15">
        <f>COUNTIFS('Tổng hợp 75 trang đích'!$B$2:$B$2505,$D59,'Tổng hợp 75 trang đích'!$K$2:$K$2505,"CÓ THỂ ĐI")</f>
        <v>1</v>
      </c>
      <c r="H59" s="15">
        <f>COUNTIFS('Tổng hợp 75 trang đích'!$B$2:$B$2505,$D59,'Tổng hợp 75 trang đích'!$K$2:$K$2505,"CẦN SOÁT")</f>
        <v>27</v>
      </c>
      <c r="I59" s="19" t="s">
        <v>256</v>
      </c>
      <c r="J59" s="19" t="b">
        <v>0</v>
      </c>
      <c r="K59" s="20" t="s">
        <v>258</v>
      </c>
      <c r="L59" s="16" t="str">
        <f>IFERROR(__xludf.DUMMYFUNCTION("IFERROR(TOROW(CHOOSECOLS(SORT(FILTER({'Tổng hợp 75 trang đích'!$J$2:$J$2505,'Tổng hợp 75 trang đích'!$I$2:$I$2505,MATCH('Tổng hợp 75 trang đích'!$K$2:$K$2505,{""PHÙ HỢP CAO"",""CÓ THỂ ĐI"",""CẦN SOÁT""},0)},'Tổng hợp 75 trang đích'!$B$2:$B$2505=$D59),3,TR"&amp;"UE),1,2)),"""")"),"lãi suất vay thế chấp sổ đỏ")</f>
        <v>lãi suất vay thế chấp sổ đỏ</v>
      </c>
      <c r="M59" s="21" t="str">
        <f>IFERROR(__xludf.DUMMYFUNCTION("""COMPUTED_VALUE"""),"https://techcombank.com/thong-tin/blog/han-muc-vay-the-chap-so-do")</f>
        <v>https://techcombank.com/thong-tin/blog/han-muc-vay-the-chap-so-do</v>
      </c>
      <c r="N59" s="16" t="str">
        <f>IFERROR(__xludf.DUMMYFUNCTION("""COMPUTED_VALUE"""),"vay thế chấp sổ đỏ")</f>
        <v>vay thế chấp sổ đỏ</v>
      </c>
      <c r="O59" s="21" t="str">
        <f>IFERROR(__xludf.DUMMYFUNCTION("""COMPUTED_VALUE"""),"https://techcombank.com/thong-tin/blog/vay-the-chap-so-hong")</f>
        <v>https://techcombank.com/thong-tin/blog/vay-the-chap-so-hong</v>
      </c>
      <c r="P59" s="16" t="str">
        <f>IFERROR(__xludf.DUMMYFUNCTION("""COMPUTED_VALUE"""),"lãi suất vay thế chấp sổ hồng")</f>
        <v>lãi suất vay thế chấp sổ hồng</v>
      </c>
      <c r="Q59" s="21" t="str">
        <f>IFERROR(__xludf.DUMMYFUNCTION("""COMPUTED_VALUE"""),"https://techcombank.com/thong-tin/blog/kinh-nghiem-vay-the-chap-ngan-hang")</f>
        <v>https://techcombank.com/thong-tin/blog/kinh-nghiem-vay-the-chap-ngan-hang</v>
      </c>
      <c r="R59" s="16" t="str">
        <f>IFERROR(__xludf.DUMMYFUNCTION("""COMPUTED_VALUE"""),"vay thế chấp sổ đỏ ngân hàng")</f>
        <v>vay thế chấp sổ đỏ ngân hàng</v>
      </c>
      <c r="S59" s="21" t="str">
        <f>IFERROR(__xludf.DUMMYFUNCTION("""COMPUTED_VALUE"""),"https://techcombank.com/thong-tin/blog/nen-vay-the-chap-ngan-hang-nao")</f>
        <v>https://techcombank.com/thong-tin/blog/nen-vay-the-chap-ngan-hang-nao</v>
      </c>
      <c r="T59" s="16" t="str">
        <f>IFERROR(__xludf.DUMMYFUNCTION("""COMPUTED_VALUE"""),"lãi suất vay thế chấp sổ đỏ")</f>
        <v>lãi suất vay thế chấp sổ đỏ</v>
      </c>
      <c r="U59" s="21" t="str">
        <f>IFERROR(__xludf.DUMMYFUNCTION("""COMPUTED_VALUE"""),"https://techcombank.com/thong-tin/blog/vay-the-chap-la-gi")</f>
        <v>https://techcombank.com/thong-tin/blog/vay-the-chap-la-gi</v>
      </c>
      <c r="V59" s="16" t="str">
        <f>IFERROR(__xludf.DUMMYFUNCTION("""COMPUTED_VALUE"""),"vay thế chấp sổ đỏ")</f>
        <v>vay thế chấp sổ đỏ</v>
      </c>
      <c r="W59" s="21" t="str">
        <f>IFERROR(__xludf.DUMMYFUNCTION("""COMPUTED_VALUE"""),"https://techcombank.com/thong-tin/blog/vay-von-doanh-nghiep-khong-the-chap")</f>
        <v>https://techcombank.com/thong-tin/blog/vay-von-doanh-nghiep-khong-the-chap</v>
      </c>
      <c r="X59" s="16" t="str">
        <f>IFERROR(__xludf.DUMMYFUNCTION("""COMPUTED_VALUE"""),"lãi suất vay thế chấp sổ hồng")</f>
        <v>lãi suất vay thế chấp sổ hồng</v>
      </c>
      <c r="Y59" s="21" t="str">
        <f>IFERROR(__xludf.DUMMYFUNCTION("""COMPUTED_VALUE"""),"https://techcombank.com/thong-tin/blog/vay-ngan-han")</f>
        <v>https://techcombank.com/thong-tin/blog/vay-ngan-han</v>
      </c>
      <c r="Z59" s="16" t="str">
        <f>IFERROR(__xludf.DUMMYFUNCTION("""COMPUTED_VALUE"""),"vay thế chấp sổ đỏ ngân hàng")</f>
        <v>vay thế chấp sổ đỏ ngân hàng</v>
      </c>
      <c r="AA59" s="21" t="str">
        <f>IFERROR(__xludf.DUMMYFUNCTION("""COMPUTED_VALUE"""),"https://techcombank.com/thong-tin/blog/thu-tuc-vay-von-kinh-doanh-nho")</f>
        <v>https://techcombank.com/thong-tin/blog/thu-tuc-vay-von-kinh-doanh-nho</v>
      </c>
      <c r="AB59" s="16" t="str">
        <f>IFERROR(__xludf.DUMMYFUNCTION("""COMPUTED_VALUE"""),"lãi suất vay thế chấp sổ đỏ")</f>
        <v>lãi suất vay thế chấp sổ đỏ</v>
      </c>
      <c r="AC59" s="21" t="str">
        <f>IFERROR(__xludf.DUMMYFUNCTION("""COMPUTED_VALUE"""),"https://techcombank.com/thong-tin/blog/cac-hinh-thuc-vay-von-ngan-hang")</f>
        <v>https://techcombank.com/thong-tin/blog/cac-hinh-thuc-vay-von-ngan-hang</v>
      </c>
      <c r="AD59" s="16" t="str">
        <f>IFERROR(__xludf.DUMMYFUNCTION("""COMPUTED_VALUE"""),"vay thế chấp sổ đỏ")</f>
        <v>vay thế chấp sổ đỏ</v>
      </c>
      <c r="AE59" s="21" t="str">
        <f>IFERROR(__xludf.DUMMYFUNCTION("""COMPUTED_VALUE"""),"https://techcombank.com/thong-tin/blog/vay-san-xuat-kinh-doanh")</f>
        <v>https://techcombank.com/thong-tin/blog/vay-san-xuat-kinh-doanh</v>
      </c>
      <c r="AF59" s="16" t="str">
        <f>IFERROR(__xludf.DUMMYFUNCTION("""COMPUTED_VALUE"""),"lãi suất vay thế chấp sổ hồng")</f>
        <v>lãi suất vay thế chấp sổ hồng</v>
      </c>
      <c r="AG59" s="21" t="str">
        <f>IFERROR(__xludf.DUMMYFUNCTION("""COMPUTED_VALUE"""),"https://techcombank.com/thong-tin/blog/vay-the-chap-kinh-doanh")</f>
        <v>https://techcombank.com/thong-tin/blog/vay-the-chap-kinh-doanh</v>
      </c>
      <c r="AH59" s="16" t="str">
        <f>IFERROR(__xludf.DUMMYFUNCTION("""COMPUTED_VALUE"""),"vay thế chấp sổ đỏ ngân hàng")</f>
        <v>vay thế chấp sổ đỏ ngân hàng</v>
      </c>
      <c r="AI59" s="21" t="str">
        <f>IFERROR(__xludf.DUMMYFUNCTION("""COMPUTED_VALUE"""),"https://techcombank.com/thong-tin/blog/vay-the-chap-khong-tra-duoc")</f>
        <v>https://techcombank.com/thong-tin/blog/vay-the-chap-khong-tra-duoc</v>
      </c>
      <c r="AJ59" s="16" t="str">
        <f>IFERROR(__xludf.DUMMYFUNCTION("""COMPUTED_VALUE"""),"lãi suất vay thế chấp sổ đỏ")</f>
        <v>lãi suất vay thế chấp sổ đỏ</v>
      </c>
      <c r="AK59" s="21" t="str">
        <f>IFERROR(__xludf.DUMMYFUNCTION("""COMPUTED_VALUE"""),"https://techcombank.com/thong-tin/blog/vay-the-chap-so-bao-hiem-xa-hoi")</f>
        <v>https://techcombank.com/thong-tin/blog/vay-the-chap-so-bao-hiem-xa-hoi</v>
      </c>
      <c r="AL59" s="16" t="str">
        <f>IFERROR(__xludf.DUMMYFUNCTION("""COMPUTED_VALUE"""),"vay thế chấp sổ đỏ")</f>
        <v>vay thế chấp sổ đỏ</v>
      </c>
      <c r="AM59" s="21" t="str">
        <f>IFERROR(__xludf.DUMMYFUNCTION("""COMPUTED_VALUE"""),"https://techcombank.com/thong-tin/blog/rui-ro-khi-vay-the-chap-ngan-hang")</f>
        <v>https://techcombank.com/thong-tin/blog/rui-ro-khi-vay-the-chap-ngan-hang</v>
      </c>
      <c r="AN59" s="16" t="str">
        <f>IFERROR(__xludf.DUMMYFUNCTION("""COMPUTED_VALUE"""),"lãi suất vay thế chấp sổ hồng")</f>
        <v>lãi suất vay thế chấp sổ hồng</v>
      </c>
      <c r="AO59" s="21" t="str">
        <f>IFERROR(__xludf.DUMMYFUNCTION("""COMPUTED_VALUE"""),"https://techcombank.com/thong-tin/blog/vay-tin-chap-va-vay-the-chap")</f>
        <v>https://techcombank.com/thong-tin/blog/vay-tin-chap-va-vay-the-chap</v>
      </c>
      <c r="AP59" s="16" t="str">
        <f>IFERROR(__xludf.DUMMYFUNCTION("""COMPUTED_VALUE"""),"vay thế chấp sổ đỏ ngân hàng")</f>
        <v>vay thế chấp sổ đỏ ngân hàng</v>
      </c>
      <c r="AQ59" s="21" t="str">
        <f>IFERROR(__xludf.DUMMYFUNCTION("""COMPUTED_VALUE"""),"https://techcombank.com/thong-tin/blog/lai-suat-vay-the-chap")</f>
        <v>https://techcombank.com/thong-tin/blog/lai-suat-vay-the-chap</v>
      </c>
      <c r="AR59" s="16" t="str">
        <f>IFERROR(__xludf.DUMMYFUNCTION("""COMPUTED_VALUE"""),"lãi suất vay thế chấp sổ đỏ")</f>
        <v>lãi suất vay thế chấp sổ đỏ</v>
      </c>
      <c r="AS59" s="21" t="str">
        <f>IFERROR(__xludf.DUMMYFUNCTION("""COMPUTED_VALUE"""),"https://techcombank.com/thong-tin/blog/quy-trinh-tat-toan-khoan-vay-the-chap")</f>
        <v>https://techcombank.com/thong-tin/blog/quy-trinh-tat-toan-khoan-vay-the-chap</v>
      </c>
      <c r="AT59" s="16" t="str">
        <f>IFERROR(__xludf.DUMMYFUNCTION("""COMPUTED_VALUE"""),"vay thế chấp sổ đỏ")</f>
        <v>vay thế chấp sổ đỏ</v>
      </c>
      <c r="AU59" s="21" t="str">
        <f>IFERROR(__xludf.DUMMYFUNCTION("""COMPUTED_VALUE"""),"https://techcombank.com/thong-tin/blog/vay-the-chap-xe-o-to-cu")</f>
        <v>https://techcombank.com/thong-tin/blog/vay-the-chap-xe-o-to-cu</v>
      </c>
      <c r="AV59" s="16" t="str">
        <f>IFERROR(__xludf.DUMMYFUNCTION("""COMPUTED_VALUE"""),"lãi suất vay thế chấp sổ hồng")</f>
        <v>lãi suất vay thế chấp sổ hồng</v>
      </c>
      <c r="AW59" s="21" t="str">
        <f>IFERROR(__xludf.DUMMYFUNCTION("""COMPUTED_VALUE"""),"https://techcombank.com/thong-tin/blog/vay-the-chap-qua-luong")</f>
        <v>https://techcombank.com/thong-tin/blog/vay-the-chap-qua-luong</v>
      </c>
      <c r="AX59" s="16" t="str">
        <f>IFERROR(__xludf.DUMMYFUNCTION("""COMPUTED_VALUE"""),"vay thế chấp sổ đỏ ngân hàng")</f>
        <v>vay thế chấp sổ đỏ ngân hàng</v>
      </c>
      <c r="AY59" s="21" t="str">
        <f>IFERROR(__xludf.DUMMYFUNCTION("""COMPUTED_VALUE"""),"https://techcombank.com/thong-tin/blog/ho-so-thu-tuc-xoa-the-chap")</f>
        <v>https://techcombank.com/thong-tin/blog/ho-so-thu-tuc-xoa-the-chap</v>
      </c>
      <c r="AZ59" s="16" t="str">
        <f>IFERROR(__xludf.DUMMYFUNCTION("""COMPUTED_VALUE"""),"lãi suất vay thế chấp sổ đỏ")</f>
        <v>lãi suất vay thế chấp sổ đỏ</v>
      </c>
      <c r="BA59" s="21" t="str">
        <f>IFERROR(__xludf.DUMMYFUNCTION("""COMPUTED_VALUE"""),"https://techcombank.com/thong-tin/blog/nen-mua-xe-tra-gop-hay-tra-thang")</f>
        <v>https://techcombank.com/thong-tin/blog/nen-mua-xe-tra-gop-hay-tra-thang</v>
      </c>
      <c r="BB59" s="16" t="str">
        <f>IFERROR(__xludf.DUMMYFUNCTION("""COMPUTED_VALUE"""),"vay thế chấp sổ đỏ")</f>
        <v>vay thế chấp sổ đỏ</v>
      </c>
      <c r="BC59" s="21" t="str">
        <f>IFERROR(__xludf.DUMMYFUNCTION("""COMPUTED_VALUE"""),"https://techcombank.com/thong-tin/blog/giai-ngan-vay-the-chap")</f>
        <v>https://techcombank.com/thong-tin/blog/giai-ngan-vay-the-chap</v>
      </c>
      <c r="BD59" s="16" t="str">
        <f>IFERROR(__xludf.DUMMYFUNCTION("""COMPUTED_VALUE"""),"lãi suất vay thế chấp sổ hồng")</f>
        <v>lãi suất vay thế chấp sổ hồng</v>
      </c>
      <c r="BE59" s="21" t="str">
        <f>IFERROR(__xludf.DUMMYFUNCTION("""COMPUTED_VALUE"""),"https://techcombank.com/thong-tin/blog/no-xau-co-vay-the-chap-duoc-khong")</f>
        <v>https://techcombank.com/thong-tin/blog/no-xau-co-vay-the-chap-duoc-khong</v>
      </c>
      <c r="BF59" s="16" t="str">
        <f>IFERROR(__xludf.DUMMYFUNCTION("""COMPUTED_VALUE"""),"vay thế chấp sổ đỏ ngân hàng")</f>
        <v>vay thế chấp sổ đỏ ngân hàng</v>
      </c>
      <c r="BG59" s="21" t="str">
        <f>IFERROR(__xludf.DUMMYFUNCTION("""COMPUTED_VALUE"""),"https://techcombank.com/thong-tin/blog/phi-vay-the-chap")</f>
        <v>https://techcombank.com/thong-tin/blog/phi-vay-the-chap</v>
      </c>
      <c r="BH59" s="16" t="str">
        <f>IFERROR(__xludf.DUMMYFUNCTION("""COMPUTED_VALUE"""),"lãi suất vay thế chấp sổ đỏ")</f>
        <v>lãi suất vay thế chấp sổ đỏ</v>
      </c>
      <c r="BI59" s="21" t="str">
        <f>IFERROR(__xludf.DUMMYFUNCTION("""COMPUTED_VALUE"""),"https://techcombank.com/thong-tin/blog/cac-hinh-thuc-cho-vay-tieu-dung")</f>
        <v>https://techcombank.com/thong-tin/blog/cac-hinh-thuc-cho-vay-tieu-dung</v>
      </c>
      <c r="BJ59" s="16" t="str">
        <f>IFERROR(__xludf.DUMMYFUNCTION("""COMPUTED_VALUE"""),"vay thế chấp sổ đỏ")</f>
        <v>vay thế chấp sổ đỏ</v>
      </c>
      <c r="BK59" s="21" t="str">
        <f>IFERROR(__xludf.DUMMYFUNCTION("""COMPUTED_VALUE"""),"https://techcombank.com/thong-tin/blog/vay-the-chap-toi-da-duoc-bao-nhieu")</f>
        <v>https://techcombank.com/thong-tin/blog/vay-the-chap-toi-da-duoc-bao-nhieu</v>
      </c>
      <c r="BL59" s="16" t="str">
        <f>IFERROR(__xludf.DUMMYFUNCTION("""COMPUTED_VALUE"""),"lãi suất vay thế chấp sổ hồng")</f>
        <v>lãi suất vay thế chấp sổ hồng</v>
      </c>
      <c r="BM59" s="21" t="str">
        <f>IFERROR(__xludf.DUMMYFUNCTION("""COMPUTED_VALUE"""),"https://techcombank.com/thong-tin/blog/dieu-kien-vay-the-chap")</f>
        <v>https://techcombank.com/thong-tin/blog/dieu-kien-vay-the-chap</v>
      </c>
      <c r="BN59" s="16" t="str">
        <f>IFERROR(__xludf.DUMMYFUNCTION("""COMPUTED_VALUE"""),"vay thế chấp sổ đỏ ngân hàng")</f>
        <v>vay thế chấp sổ đỏ ngân hàng</v>
      </c>
      <c r="BO59" s="21" t="str">
        <f>IFERROR(__xludf.DUMMYFUNCTION("""COMPUTED_VALUE"""),"https://techcombank.com/thong-tin/blog/lai-suat-vay-mua-o-to")</f>
        <v>https://techcombank.com/thong-tin/blog/lai-suat-vay-mua-o-to</v>
      </c>
      <c r="BP59" s="16" t="str">
        <f>IFERROR(__xludf.DUMMYFUNCTION("""COMPUTED_VALUE"""),"lãi suất vay thế chấp sổ đỏ")</f>
        <v>lãi suất vay thế chấp sổ đỏ</v>
      </c>
      <c r="BQ59" s="21" t="str">
        <f>IFERROR(__xludf.DUMMYFUNCTION("""COMPUTED_VALUE"""),"https://techcombank.com/thong-tin/blog/the-chap-la-gi")</f>
        <v>https://techcombank.com/thong-tin/blog/the-chap-la-gi</v>
      </c>
      <c r="BR59" s="16" t="str">
        <f>IFERROR(__xludf.DUMMYFUNCTION("""COMPUTED_VALUE"""),"vay thế chấp sổ đỏ")</f>
        <v>vay thế chấp sổ đỏ</v>
      </c>
      <c r="BS59" s="21" t="str">
        <f>IFERROR(__xludf.DUMMYFUNCTION("""COMPUTED_VALUE"""),"https://techcombank.com/thong-tin/blog/vay-the-chap-khong-chung-minh-thu-nhap")</f>
        <v>https://techcombank.com/thong-tin/blog/vay-the-chap-khong-chung-minh-thu-nhap</v>
      </c>
      <c r="BT59" s="16" t="str">
        <f>IFERROR(__xludf.DUMMYFUNCTION("""COMPUTED_VALUE"""),"lãi suất vay thế chấp sổ hồng")</f>
        <v>lãi suất vay thế chấp sổ hồng</v>
      </c>
      <c r="BU59" s="21" t="str">
        <f>IFERROR(__xludf.DUMMYFUNCTION("""COMPUTED_VALUE"""),"https://techcombank.com/thong-tin/blog/vay-tra-gop")</f>
        <v>https://techcombank.com/thong-tin/blog/vay-tra-gop</v>
      </c>
      <c r="BV59" s="16" t="str">
        <f>IFERROR(__xludf.DUMMYFUNCTION("""COMPUTED_VALUE"""),"vay thế chấp sổ đỏ ngân hàng")</f>
        <v>vay thế chấp sổ đỏ ngân hàng</v>
      </c>
      <c r="BW59" s="21" t="str">
        <f>IFERROR(__xludf.DUMMYFUNCTION("""COMPUTED_VALUE"""),"https://techcombank.com/thong-tin/blog/vay-the-chap-hop-dong-mua-ban-can-ho")</f>
        <v>https://techcombank.com/thong-tin/blog/vay-the-chap-hop-dong-mua-ban-can-ho</v>
      </c>
      <c r="BX59" s="16"/>
      <c r="BY59" s="16"/>
      <c r="BZ59" s="16"/>
      <c r="CA59" s="16"/>
      <c r="CB59" s="16"/>
      <c r="CC59" s="16"/>
      <c r="CD59" s="16"/>
      <c r="CE59" s="16"/>
      <c r="CF59" s="16"/>
      <c r="CG59" s="16"/>
      <c r="CH59" s="16"/>
      <c r="CI59" s="16"/>
      <c r="CJ59" s="16"/>
      <c r="CK59" s="16"/>
      <c r="CL59" s="16"/>
      <c r="CM59" s="16"/>
      <c r="CN59" s="16"/>
      <c r="CO59" s="16"/>
      <c r="CP59" s="16"/>
      <c r="CQ59" s="16"/>
      <c r="CR59" s="16"/>
      <c r="CS59" s="16"/>
      <c r="CT59" s="16"/>
      <c r="CU59" s="16"/>
      <c r="CV59" s="16"/>
      <c r="CW59" s="16"/>
      <c r="CX59" s="16"/>
      <c r="CY59" s="16"/>
      <c r="CZ59" s="16"/>
      <c r="DA59" s="16"/>
      <c r="DB59" s="16"/>
      <c r="DC59" s="16"/>
      <c r="DD59" s="16"/>
      <c r="DE59" s="16"/>
      <c r="DF59" s="16"/>
      <c r="DG59" s="16"/>
      <c r="DH59" s="16"/>
      <c r="DI59" s="16"/>
      <c r="DJ59" s="16"/>
      <c r="DK59" s="16"/>
      <c r="DL59" s="16"/>
      <c r="DM59" s="16"/>
      <c r="DN59" s="16"/>
      <c r="DO59" s="16"/>
      <c r="DP59" s="16"/>
      <c r="DQ59" s="16"/>
      <c r="DR59" s="16"/>
      <c r="DS59" s="16"/>
      <c r="DT59" s="16"/>
      <c r="DU59" s="16"/>
      <c r="DV59" s="16"/>
      <c r="DW59" s="16"/>
      <c r="DX59" s="16"/>
      <c r="DY59" s="16"/>
      <c r="DZ59" s="16"/>
      <c r="EA59" s="16"/>
      <c r="EB59" s="16"/>
      <c r="EC59" s="16"/>
      <c r="ED59" s="16"/>
      <c r="EE59" s="16"/>
      <c r="EF59" s="16"/>
      <c r="EG59" s="16"/>
      <c r="EH59" s="16"/>
      <c r="EI59" s="16"/>
      <c r="EJ59" s="16"/>
      <c r="EK59" s="16"/>
      <c r="EL59" s="16"/>
      <c r="EM59" s="16"/>
      <c r="EN59" s="16"/>
      <c r="EO59" s="16"/>
      <c r="EP59" s="16"/>
      <c r="EQ59" s="16"/>
      <c r="ER59" s="16"/>
      <c r="ES59" s="16"/>
      <c r="ET59" s="16"/>
      <c r="EU59" s="16"/>
      <c r="EV59" s="16"/>
      <c r="EW59" s="16"/>
      <c r="EX59" s="16"/>
      <c r="EY59" s="16"/>
      <c r="EZ59" s="16"/>
      <c r="FA59" s="16"/>
      <c r="FB59" s="16"/>
      <c r="FC59" s="16"/>
      <c r="FD59" s="16"/>
      <c r="FE59" s="16"/>
      <c r="FF59" s="16"/>
      <c r="FG59" s="16"/>
      <c r="FH59" s="16"/>
      <c r="FI59" s="16"/>
      <c r="FJ59" s="16"/>
      <c r="FK59" s="16"/>
      <c r="FL59" s="16"/>
      <c r="FM59" s="16"/>
      <c r="FN59" s="16"/>
      <c r="FO59" s="16"/>
      <c r="FP59" s="16"/>
      <c r="FQ59" s="16"/>
      <c r="FR59" s="16"/>
      <c r="FS59" s="16"/>
      <c r="FT59" s="16"/>
      <c r="FU59" s="16"/>
      <c r="FV59" s="16"/>
      <c r="FW59" s="16"/>
      <c r="FX59" s="16"/>
      <c r="FY59" s="16"/>
      <c r="FZ59" s="16"/>
      <c r="GA59" s="16"/>
      <c r="GB59" s="16"/>
      <c r="GC59" s="16"/>
      <c r="GD59" s="16"/>
      <c r="GE59" s="16"/>
      <c r="GF59" s="16"/>
      <c r="GG59" s="16"/>
      <c r="GH59" s="16"/>
      <c r="GI59" s="16"/>
      <c r="GJ59" s="16"/>
      <c r="GK59" s="16"/>
      <c r="GL59" s="16"/>
      <c r="GM59" s="16"/>
      <c r="GN59" s="16"/>
      <c r="GO59" s="16"/>
    </row>
    <row r="60" ht="18.0" customHeight="1">
      <c r="A60" s="15">
        <v>59.0</v>
      </c>
      <c r="B60" s="16" t="s">
        <v>1255</v>
      </c>
      <c r="C60" s="17" t="s">
        <v>1296</v>
      </c>
      <c r="D60" s="16" t="s">
        <v>294</v>
      </c>
      <c r="E60" s="15">
        <f>COUNTIF('Tổng hợp 75 trang đích'!$B$2:$B$2505,$D60)</f>
        <v>38</v>
      </c>
      <c r="F60" s="15">
        <f>COUNTIFS('Tổng hợp 75 trang đích'!$B$2:$B$2505,$D60,'Tổng hợp 75 trang đích'!$K$2:$K$2505,"PHÙ HỢP CAO")</f>
        <v>2</v>
      </c>
      <c r="G60" s="15">
        <f>COUNTIFS('Tổng hợp 75 trang đích'!$B$2:$B$2505,$D60,'Tổng hợp 75 trang đích'!$K$2:$K$2505,"CÓ THỂ ĐI")</f>
        <v>3</v>
      </c>
      <c r="H60" s="15">
        <f>COUNTIFS('Tổng hợp 75 trang đích'!$B$2:$B$2505,$D60,'Tổng hợp 75 trang đích'!$K$2:$K$2505,"CẦN SOÁT")</f>
        <v>33</v>
      </c>
      <c r="I60" s="19" t="s">
        <v>256</v>
      </c>
      <c r="J60" s="19" t="b">
        <v>0</v>
      </c>
      <c r="K60" s="20" t="s">
        <v>258</v>
      </c>
      <c r="L60" s="16" t="str">
        <f>IFERROR(__xludf.DUMMYFUNCTION("IFERROR(TOROW(CHOOSECOLS(SORT(FILTER({'Tổng hợp 75 trang đích'!$J$2:$J$2505,'Tổng hợp 75 trang đích'!$I$2:$I$2505,MATCH('Tổng hợp 75 trang đích'!$K$2:$K$2505,{""PHÙ HỢP CAO"",""CÓ THỂ ĐI"",""CẦN SOÁT""},0)},'Tổng hợp 75 trang đích'!$B$2:$B$2505=$D60),3,TR"&amp;"UE),1,2)),"""")"),"thủ tục xóa thế chấp")</f>
        <v>thủ tục xóa thế chấp</v>
      </c>
      <c r="M60" s="21" t="str">
        <f>IFERROR(__xludf.DUMMYFUNCTION("""COMPUTED_VALUE"""),"https://techcombank.com/thong-tin/blog/quy-trinh-tat-toan-khoan-vay-the-chap")</f>
        <v>https://techcombank.com/thong-tin/blog/quy-trinh-tat-toan-khoan-vay-the-chap</v>
      </c>
      <c r="N60" s="16" t="str">
        <f>IFERROR(__xludf.DUMMYFUNCTION("""COMPUTED_VALUE"""),"hồ sơ thủ tục xóa thế chấp")</f>
        <v>hồ sơ thủ tục xóa thế chấp</v>
      </c>
      <c r="O60" s="21" t="str">
        <f>IFERROR(__xludf.DUMMYFUNCTION("""COMPUTED_VALUE"""),"https://techcombank.com/thong-tin/blog/tat-toan")</f>
        <v>https://techcombank.com/thong-tin/blog/tat-toan</v>
      </c>
      <c r="P60" s="16" t="str">
        <f>IFERROR(__xludf.DUMMYFUNCTION("""COMPUTED_VALUE"""),"xóa thế chấp sổ đỏ")</f>
        <v>xóa thế chấp sổ đỏ</v>
      </c>
      <c r="Q60" s="21" t="str">
        <f>IFERROR(__xludf.DUMMYFUNCTION("""COMPUTED_VALUE"""),"https://techcombank.com/thong-tin/blog/the-chap-la-gi")</f>
        <v>https://techcombank.com/thong-tin/blog/the-chap-la-gi</v>
      </c>
      <c r="R60" s="16" t="str">
        <f>IFERROR(__xludf.DUMMYFUNCTION("""COMPUTED_VALUE"""),"thủ tục giải chấp sổ đỏ")</f>
        <v>thủ tục giải chấp sổ đỏ</v>
      </c>
      <c r="S60" s="21" t="str">
        <f>IFERROR(__xludf.DUMMYFUNCTION("""COMPUTED_VALUE"""),"https://techcombank.com/thong-tin/blog/vay-the-chap-khong-tra-duoc")</f>
        <v>https://techcombank.com/thong-tin/blog/vay-the-chap-khong-tra-duoc</v>
      </c>
      <c r="T60" s="16" t="str">
        <f>IFERROR(__xludf.DUMMYFUNCTION("""COMPUTED_VALUE"""),"thủ tục xóa thế chấp")</f>
        <v>thủ tục xóa thế chấp</v>
      </c>
      <c r="U60" s="21" t="str">
        <f>IFERROR(__xludf.DUMMYFUNCTION("""COMPUTED_VALUE"""),"https://techcombank.com/thong-tin/blog/giai-ngan-vay-the-chap")</f>
        <v>https://techcombank.com/thong-tin/blog/giai-ngan-vay-the-chap</v>
      </c>
      <c r="V60" s="16" t="str">
        <f>IFERROR(__xludf.DUMMYFUNCTION("""COMPUTED_VALUE"""),"hồ sơ thủ tục xóa thế chấp")</f>
        <v>hồ sơ thủ tục xóa thế chấp</v>
      </c>
      <c r="W60" s="21" t="str">
        <f>IFERROR(__xludf.DUMMYFUNCTION("""COMPUTED_VALUE"""),"https://techcombank.com/thong-tin/blog/vay-von-doanh-nghiep-khong-the-chap")</f>
        <v>https://techcombank.com/thong-tin/blog/vay-von-doanh-nghiep-khong-the-chap</v>
      </c>
      <c r="X60" s="16" t="str">
        <f>IFERROR(__xludf.DUMMYFUNCTION("""COMPUTED_VALUE"""),"xóa thế chấp sổ đỏ")</f>
        <v>xóa thế chấp sổ đỏ</v>
      </c>
      <c r="Y60" s="21" t="str">
        <f>IFERROR(__xludf.DUMMYFUNCTION("""COMPUTED_VALUE"""),"https://techcombank.com/thong-tin/blog/vay-ngan-han")</f>
        <v>https://techcombank.com/thong-tin/blog/vay-ngan-han</v>
      </c>
      <c r="Z60" s="16" t="str">
        <f>IFERROR(__xludf.DUMMYFUNCTION("""COMPUTED_VALUE"""),"thủ tục giải chấp sổ đỏ")</f>
        <v>thủ tục giải chấp sổ đỏ</v>
      </c>
      <c r="AA60" s="21" t="str">
        <f>IFERROR(__xludf.DUMMYFUNCTION("""COMPUTED_VALUE"""),"https://techcombank.com/thong-tin/blog/thu-tuc-vay-von-kinh-doanh-nho")</f>
        <v>https://techcombank.com/thong-tin/blog/thu-tuc-vay-von-kinh-doanh-nho</v>
      </c>
      <c r="AB60" s="16" t="str">
        <f>IFERROR(__xludf.DUMMYFUNCTION("""COMPUTED_VALUE"""),"thủ tục xóa thế chấp")</f>
        <v>thủ tục xóa thế chấp</v>
      </c>
      <c r="AC60" s="21" t="str">
        <f>IFERROR(__xludf.DUMMYFUNCTION("""COMPUTED_VALUE"""),"https://techcombank.com/thong-tin/blog/cac-hinh-thuc-vay-von-ngan-hang")</f>
        <v>https://techcombank.com/thong-tin/blog/cac-hinh-thuc-vay-von-ngan-hang</v>
      </c>
      <c r="AD60" s="16" t="str">
        <f>IFERROR(__xludf.DUMMYFUNCTION("""COMPUTED_VALUE"""),"hồ sơ thủ tục xóa thế chấp")</f>
        <v>hồ sơ thủ tục xóa thế chấp</v>
      </c>
      <c r="AE60" s="21" t="str">
        <f>IFERROR(__xludf.DUMMYFUNCTION("""COMPUTED_VALUE"""),"https://techcombank.com/thong-tin/blog/vay-san-xuat-kinh-doanh")</f>
        <v>https://techcombank.com/thong-tin/blog/vay-san-xuat-kinh-doanh</v>
      </c>
      <c r="AF60" s="16" t="str">
        <f>IFERROR(__xludf.DUMMYFUNCTION("""COMPUTED_VALUE"""),"xóa thế chấp sổ đỏ")</f>
        <v>xóa thế chấp sổ đỏ</v>
      </c>
      <c r="AG60" s="21" t="str">
        <f>IFERROR(__xludf.DUMMYFUNCTION("""COMPUTED_VALUE"""),"https://techcombank.com/thong-tin/blog/vay-the-chap-kinh-doanh")</f>
        <v>https://techcombank.com/thong-tin/blog/vay-the-chap-kinh-doanh</v>
      </c>
      <c r="AH60" s="16" t="str">
        <f>IFERROR(__xludf.DUMMYFUNCTION("""COMPUTED_VALUE"""),"thủ tục giải chấp sổ đỏ")</f>
        <v>thủ tục giải chấp sổ đỏ</v>
      </c>
      <c r="AI60" s="21" t="str">
        <f>IFERROR(__xludf.DUMMYFUNCTION("""COMPUTED_VALUE"""),"https://techcombank.com/thong-tin/blog/vay-the-chap-so-bao-hiem-xa-hoi")</f>
        <v>https://techcombank.com/thong-tin/blog/vay-the-chap-so-bao-hiem-xa-hoi</v>
      </c>
      <c r="AJ60" s="16" t="str">
        <f>IFERROR(__xludf.DUMMYFUNCTION("""COMPUTED_VALUE"""),"thủ tục xóa thế chấp")</f>
        <v>thủ tục xóa thế chấp</v>
      </c>
      <c r="AK60" s="21" t="str">
        <f>IFERROR(__xludf.DUMMYFUNCTION("""COMPUTED_VALUE"""),"https://techcombank.com/thong-tin/blog/nen-vay-the-chap-ngan-hang-nao")</f>
        <v>https://techcombank.com/thong-tin/blog/nen-vay-the-chap-ngan-hang-nao</v>
      </c>
      <c r="AL60" s="16" t="str">
        <f>IFERROR(__xludf.DUMMYFUNCTION("""COMPUTED_VALUE"""),"hồ sơ thủ tục xóa thế chấp")</f>
        <v>hồ sơ thủ tục xóa thế chấp</v>
      </c>
      <c r="AM60" s="21" t="str">
        <f>IFERROR(__xludf.DUMMYFUNCTION("""COMPUTED_VALUE"""),"https://techcombank.com/thong-tin/blog/vay-the-chap-la-gi")</f>
        <v>https://techcombank.com/thong-tin/blog/vay-the-chap-la-gi</v>
      </c>
      <c r="AN60" s="16" t="str">
        <f>IFERROR(__xludf.DUMMYFUNCTION("""COMPUTED_VALUE"""),"xóa thế chấp sổ đỏ")</f>
        <v>xóa thế chấp sổ đỏ</v>
      </c>
      <c r="AO60" s="21" t="str">
        <f>IFERROR(__xludf.DUMMYFUNCTION("""COMPUTED_VALUE"""),"https://techcombank.com/thong-tin/blog/tat-toan-so-tiet-kiem")</f>
        <v>https://techcombank.com/thong-tin/blog/tat-toan-so-tiet-kiem</v>
      </c>
      <c r="AP60" s="16" t="str">
        <f>IFERROR(__xludf.DUMMYFUNCTION("""COMPUTED_VALUE"""),"thủ tục giải chấp sổ đỏ")</f>
        <v>thủ tục giải chấp sổ đỏ</v>
      </c>
      <c r="AQ60" s="21" t="str">
        <f>IFERROR(__xludf.DUMMYFUNCTION("""COMPUTED_VALUE"""),"https://techcombank.com/thong-tin/blog/rui-ro-khi-vay-the-chap-ngan-hang")</f>
        <v>https://techcombank.com/thong-tin/blog/rui-ro-khi-vay-the-chap-ngan-hang</v>
      </c>
      <c r="AR60" s="16" t="str">
        <f>IFERROR(__xludf.DUMMYFUNCTION("""COMPUTED_VALUE"""),"thủ tục xóa thế chấp")</f>
        <v>thủ tục xóa thế chấp</v>
      </c>
      <c r="AS60" s="21" t="str">
        <f>IFERROR(__xludf.DUMMYFUNCTION("""COMPUTED_VALUE"""),"https://techcombank.com/thong-tin/blog/vay-tin-chap-va-vay-the-chap")</f>
        <v>https://techcombank.com/thong-tin/blog/vay-tin-chap-va-vay-the-chap</v>
      </c>
      <c r="AT60" s="16" t="str">
        <f>IFERROR(__xludf.DUMMYFUNCTION("""COMPUTED_VALUE"""),"hồ sơ thủ tục xóa thế chấp")</f>
        <v>hồ sơ thủ tục xóa thế chấp</v>
      </c>
      <c r="AU60" s="21" t="str">
        <f>IFERROR(__xludf.DUMMYFUNCTION("""COMPUTED_VALUE"""),"https://techcombank.com/thong-tin/blog/lai-suat-vay-the-chap")</f>
        <v>https://techcombank.com/thong-tin/blog/lai-suat-vay-the-chap</v>
      </c>
      <c r="AV60" s="16" t="str">
        <f>IFERROR(__xludf.DUMMYFUNCTION("""COMPUTED_VALUE"""),"xóa thế chấp sổ đỏ")</f>
        <v>xóa thế chấp sổ đỏ</v>
      </c>
      <c r="AW60" s="21" t="str">
        <f>IFERROR(__xludf.DUMMYFUNCTION("""COMPUTED_VALUE"""),"https://techcombank.com/thong-tin/blog/kinh-nghiem-vay-the-chap-ngan-hang")</f>
        <v>https://techcombank.com/thong-tin/blog/kinh-nghiem-vay-the-chap-ngan-hang</v>
      </c>
      <c r="AX60" s="16" t="str">
        <f>IFERROR(__xludf.DUMMYFUNCTION("""COMPUTED_VALUE"""),"thủ tục giải chấp sổ đỏ")</f>
        <v>thủ tục giải chấp sổ đỏ</v>
      </c>
      <c r="AY60" s="21" t="str">
        <f>IFERROR(__xludf.DUMMYFUNCTION("""COMPUTED_VALUE"""),"https://techcombank.com/thong-tin/blog/vay-the-chap-xe-o-to-cu")</f>
        <v>https://techcombank.com/thong-tin/blog/vay-the-chap-xe-o-to-cu</v>
      </c>
      <c r="AZ60" s="16" t="str">
        <f>IFERROR(__xludf.DUMMYFUNCTION("""COMPUTED_VALUE"""),"thủ tục xóa thế chấp")</f>
        <v>thủ tục xóa thế chấp</v>
      </c>
      <c r="BA60" s="21" t="str">
        <f>IFERROR(__xludf.DUMMYFUNCTION("""COMPUTED_VALUE"""),"https://techcombank.com/thong-tin/blog/vay-the-chap-qua-luong")</f>
        <v>https://techcombank.com/thong-tin/blog/vay-the-chap-qua-luong</v>
      </c>
      <c r="BB60" s="16" t="str">
        <f>IFERROR(__xludf.DUMMYFUNCTION("""COMPUTED_VALUE"""),"hồ sơ thủ tục xóa thế chấp")</f>
        <v>hồ sơ thủ tục xóa thế chấp</v>
      </c>
      <c r="BC60" s="21" t="str">
        <f>IFERROR(__xludf.DUMMYFUNCTION("""COMPUTED_VALUE"""),"https://techcombank.com/thong-tin/blog/lai-suat-vay-the-chap-so-do")</f>
        <v>https://techcombank.com/thong-tin/blog/lai-suat-vay-the-chap-so-do</v>
      </c>
      <c r="BD60" s="16" t="str">
        <f>IFERROR(__xludf.DUMMYFUNCTION("""COMPUTED_VALUE"""),"xóa thế chấp sổ đỏ")</f>
        <v>xóa thế chấp sổ đỏ</v>
      </c>
      <c r="BE60" s="21" t="str">
        <f>IFERROR(__xludf.DUMMYFUNCTION("""COMPUTED_VALUE"""),"https://techcombank.com/thong-tin/blog/tat-toan-chung-chi-tien-gui")</f>
        <v>https://techcombank.com/thong-tin/blog/tat-toan-chung-chi-tien-gui</v>
      </c>
      <c r="BF60" s="16" t="str">
        <f>IFERROR(__xludf.DUMMYFUNCTION("""COMPUTED_VALUE"""),"thủ tục giải chấp sổ đỏ")</f>
        <v>thủ tục giải chấp sổ đỏ</v>
      </c>
      <c r="BG60" s="21" t="str">
        <f>IFERROR(__xludf.DUMMYFUNCTION("""COMPUTED_VALUE"""),"https://techcombank.com/thong-tin/blog/nen-mua-xe-tra-gop-hay-tra-thang")</f>
        <v>https://techcombank.com/thong-tin/blog/nen-mua-xe-tra-gop-hay-tra-thang</v>
      </c>
      <c r="BH60" s="16" t="str">
        <f>IFERROR(__xludf.DUMMYFUNCTION("""COMPUTED_VALUE"""),"thủ tục xóa thế chấp")</f>
        <v>thủ tục xóa thế chấp</v>
      </c>
      <c r="BI60" s="21" t="str">
        <f>IFERROR(__xludf.DUMMYFUNCTION("""COMPUTED_VALUE"""),"https://techcombank.com/thong-tin/blog/vay-the-chap-so-hong")</f>
        <v>https://techcombank.com/thong-tin/blog/vay-the-chap-so-hong</v>
      </c>
      <c r="BJ60" s="16" t="str">
        <f>IFERROR(__xludf.DUMMYFUNCTION("""COMPUTED_VALUE"""),"hồ sơ thủ tục xóa thế chấp")</f>
        <v>hồ sơ thủ tục xóa thế chấp</v>
      </c>
      <c r="BK60" s="21" t="str">
        <f>IFERROR(__xludf.DUMMYFUNCTION("""COMPUTED_VALUE"""),"https://techcombank.com/thong-tin/blog/no-xau-mo-the-tin-dung-duoc-khong")</f>
        <v>https://techcombank.com/thong-tin/blog/no-xau-mo-the-tin-dung-duoc-khong</v>
      </c>
      <c r="BL60" s="16" t="str">
        <f>IFERROR(__xludf.DUMMYFUNCTION("""COMPUTED_VALUE"""),"xóa thế chấp sổ đỏ")</f>
        <v>xóa thế chấp sổ đỏ</v>
      </c>
      <c r="BM60" s="21" t="str">
        <f>IFERROR(__xludf.DUMMYFUNCTION("""COMPUTED_VALUE"""),"https://techcombank.com/thong-tin/blog/no-xau-co-vay-the-chap-duoc-khong")</f>
        <v>https://techcombank.com/thong-tin/blog/no-xau-co-vay-the-chap-duoc-khong</v>
      </c>
      <c r="BN60" s="16" t="str">
        <f>IFERROR(__xludf.DUMMYFUNCTION("""COMPUTED_VALUE"""),"thủ tục giải chấp sổ đỏ")</f>
        <v>thủ tục giải chấp sổ đỏ</v>
      </c>
      <c r="BO60" s="21" t="str">
        <f>IFERROR(__xludf.DUMMYFUNCTION("""COMPUTED_VALUE"""),"https://techcombank.com/thong-tin/blog/han-muc-vay-the-chap-so-do")</f>
        <v>https://techcombank.com/thong-tin/blog/han-muc-vay-the-chap-so-do</v>
      </c>
      <c r="BP60" s="16" t="str">
        <f>IFERROR(__xludf.DUMMYFUNCTION("""COMPUTED_VALUE"""),"thủ tục xóa thế chấp")</f>
        <v>thủ tục xóa thế chấp</v>
      </c>
      <c r="BQ60" s="21" t="str">
        <f>IFERROR(__xludf.DUMMYFUNCTION("""COMPUTED_VALUE"""),"https://techcombank.com/thong-tin/blog/gui-tiet-kiem-online-co-rut-truoc-han-duoc-khong")</f>
        <v>https://techcombank.com/thong-tin/blog/gui-tiet-kiem-online-co-rut-truoc-han-duoc-khong</v>
      </c>
      <c r="BR60" s="16" t="str">
        <f>IFERROR(__xludf.DUMMYFUNCTION("""COMPUTED_VALUE"""),"hồ sơ thủ tục xóa thế chấp")</f>
        <v>hồ sơ thủ tục xóa thế chấp</v>
      </c>
      <c r="BS60" s="21" t="str">
        <f>IFERROR(__xludf.DUMMYFUNCTION("""COMPUTED_VALUE"""),"https://techcombank.com/thong-tin/blog/phi-vay-the-chap")</f>
        <v>https://techcombank.com/thong-tin/blog/phi-vay-the-chap</v>
      </c>
      <c r="BT60" s="16" t="str">
        <f>IFERROR(__xludf.DUMMYFUNCTION("""COMPUTED_VALUE"""),"xóa thế chấp sổ đỏ")</f>
        <v>xóa thế chấp sổ đỏ</v>
      </c>
      <c r="BU60" s="21" t="str">
        <f>IFERROR(__xludf.DUMMYFUNCTION("""COMPUTED_VALUE"""),"https://techcombank.com/thong-tin/blog/cac-hinh-thuc-cho-vay-tieu-dung")</f>
        <v>https://techcombank.com/thong-tin/blog/cac-hinh-thuc-cho-vay-tieu-dung</v>
      </c>
      <c r="BV60" s="16" t="str">
        <f>IFERROR(__xludf.DUMMYFUNCTION("""COMPUTED_VALUE"""),"thủ tục giải chấp sổ đỏ")</f>
        <v>thủ tục giải chấp sổ đỏ</v>
      </c>
      <c r="BW60" s="21" t="str">
        <f>IFERROR(__xludf.DUMMYFUNCTION("""COMPUTED_VALUE"""),"https://techcombank.com/thong-tin/blog/vay-the-chap-toi-da-duoc-bao-nhieu")</f>
        <v>https://techcombank.com/thong-tin/blog/vay-the-chap-toi-da-duoc-bao-nhieu</v>
      </c>
      <c r="BX60" s="16" t="str">
        <f>IFERROR(__xludf.DUMMYFUNCTION("""COMPUTED_VALUE"""),"thủ tục xóa thế chấp")</f>
        <v>thủ tục xóa thế chấp</v>
      </c>
      <c r="BY60" s="21" t="str">
        <f>IFERROR(__xludf.DUMMYFUNCTION("""COMPUTED_VALUE"""),"https://techcombank.com/thong-tin/blog/dieu-kien-vay-the-chap")</f>
        <v>https://techcombank.com/thong-tin/blog/dieu-kien-vay-the-chap</v>
      </c>
      <c r="BZ60" s="16" t="str">
        <f>IFERROR(__xludf.DUMMYFUNCTION("""COMPUTED_VALUE"""),"hồ sơ thủ tục xóa thế chấp")</f>
        <v>hồ sơ thủ tục xóa thế chấp</v>
      </c>
      <c r="CA60" s="21" t="str">
        <f>IFERROR(__xludf.DUMMYFUNCTION("""COMPUTED_VALUE"""),"https://techcombank.com/thong-tin/blog/lai-suat-vay-mua-o-to")</f>
        <v>https://techcombank.com/thong-tin/blog/lai-suat-vay-mua-o-to</v>
      </c>
      <c r="CB60" s="16" t="str">
        <f>IFERROR(__xludf.DUMMYFUNCTION("""COMPUTED_VALUE"""),"xóa thế chấp sổ đỏ")</f>
        <v>xóa thế chấp sổ đỏ</v>
      </c>
      <c r="CC60" s="21" t="str">
        <f>IFERROR(__xludf.DUMMYFUNCTION("""COMPUTED_VALUE"""),"https://techcombank.com/thong-tin/blog/chung-chi-tien-gui-co-duoc-rut-truoc-han")</f>
        <v>https://techcombank.com/thong-tin/blog/chung-chi-tien-gui-co-duoc-rut-truoc-han</v>
      </c>
      <c r="CD60" s="16" t="str">
        <f>IFERROR(__xludf.DUMMYFUNCTION("""COMPUTED_VALUE"""),"thủ tục giải chấp sổ đỏ")</f>
        <v>thủ tục giải chấp sổ đỏ</v>
      </c>
      <c r="CE60" s="21" t="str">
        <f>IFERROR(__xludf.DUMMYFUNCTION("""COMPUTED_VALUE"""),"https://techcombank.com/thong-tin/blog/vay-the-chap-khong-chung-minh-thu-nhap")</f>
        <v>https://techcombank.com/thong-tin/blog/vay-the-chap-khong-chung-minh-thu-nhap</v>
      </c>
      <c r="CF60" s="16" t="str">
        <f>IFERROR(__xludf.DUMMYFUNCTION("""COMPUTED_VALUE"""),"thủ tục xóa thế chấp")</f>
        <v>thủ tục xóa thế chấp</v>
      </c>
      <c r="CG60" s="21" t="str">
        <f>IFERROR(__xludf.DUMMYFUNCTION("""COMPUTED_VALUE"""),"https://techcombank.com/thong-tin/blog/vay-tra-gop")</f>
        <v>https://techcombank.com/thong-tin/blog/vay-tra-gop</v>
      </c>
      <c r="CH60" s="16" t="str">
        <f>IFERROR(__xludf.DUMMYFUNCTION("""COMPUTED_VALUE"""),"hồ sơ thủ tục xóa thế chấp")</f>
        <v>hồ sơ thủ tục xóa thế chấp</v>
      </c>
      <c r="CI60" s="21" t="str">
        <f>IFERROR(__xludf.DUMMYFUNCTION("""COMPUTED_VALUE"""),"https://techcombank.com/thong-tin/blog/vay-the-chap-hop-dong-mua-ban-can-ho")</f>
        <v>https://techcombank.com/thong-tin/blog/vay-the-chap-hop-dong-mua-ban-can-ho</v>
      </c>
      <c r="CJ60" s="16"/>
      <c r="CK60" s="16"/>
      <c r="CL60" s="16"/>
      <c r="CM60" s="16"/>
      <c r="CN60" s="16"/>
      <c r="CO60" s="16"/>
      <c r="CP60" s="16"/>
      <c r="CQ60" s="16"/>
      <c r="CR60" s="16"/>
      <c r="CS60" s="16"/>
      <c r="CT60" s="16"/>
      <c r="CU60" s="16"/>
      <c r="CV60" s="16"/>
      <c r="CW60" s="16"/>
      <c r="CX60" s="16"/>
      <c r="CY60" s="16"/>
      <c r="CZ60" s="16"/>
      <c r="DA60" s="16"/>
      <c r="DB60" s="16"/>
      <c r="DC60" s="16"/>
      <c r="DD60" s="16"/>
      <c r="DE60" s="16"/>
      <c r="DF60" s="16"/>
      <c r="DG60" s="16"/>
      <c r="DH60" s="16"/>
      <c r="DI60" s="16"/>
      <c r="DJ60" s="16"/>
      <c r="DK60" s="16"/>
      <c r="DL60" s="16"/>
      <c r="DM60" s="16"/>
      <c r="DN60" s="16"/>
      <c r="DO60" s="16"/>
      <c r="DP60" s="16"/>
      <c r="DQ60" s="16"/>
      <c r="DR60" s="16"/>
      <c r="DS60" s="16"/>
      <c r="DT60" s="16"/>
      <c r="DU60" s="16"/>
      <c r="DV60" s="16"/>
      <c r="DW60" s="16"/>
      <c r="DX60" s="16"/>
      <c r="DY60" s="16"/>
      <c r="DZ60" s="16"/>
      <c r="EA60" s="16"/>
      <c r="EB60" s="16"/>
      <c r="EC60" s="16"/>
      <c r="ED60" s="16"/>
      <c r="EE60" s="16"/>
      <c r="EF60" s="16"/>
      <c r="EG60" s="16"/>
      <c r="EH60" s="16"/>
      <c r="EI60" s="16"/>
      <c r="EJ60" s="16"/>
      <c r="EK60" s="16"/>
      <c r="EL60" s="16"/>
      <c r="EM60" s="16"/>
      <c r="EN60" s="16"/>
      <c r="EO60" s="16"/>
      <c r="EP60" s="16"/>
      <c r="EQ60" s="16"/>
      <c r="ER60" s="16"/>
      <c r="ES60" s="16"/>
      <c r="ET60" s="16"/>
      <c r="EU60" s="16"/>
      <c r="EV60" s="16"/>
      <c r="EW60" s="16"/>
      <c r="EX60" s="16"/>
      <c r="EY60" s="16"/>
      <c r="EZ60" s="16"/>
      <c r="FA60" s="16"/>
      <c r="FB60" s="16"/>
      <c r="FC60" s="16"/>
      <c r="FD60" s="16"/>
      <c r="FE60" s="16"/>
      <c r="FF60" s="16"/>
      <c r="FG60" s="16"/>
      <c r="FH60" s="16"/>
      <c r="FI60" s="16"/>
      <c r="FJ60" s="16"/>
      <c r="FK60" s="16"/>
      <c r="FL60" s="16"/>
      <c r="FM60" s="16"/>
      <c r="FN60" s="16"/>
      <c r="FO60" s="16"/>
      <c r="FP60" s="16"/>
      <c r="FQ60" s="16"/>
      <c r="FR60" s="16"/>
      <c r="FS60" s="16"/>
      <c r="FT60" s="16"/>
      <c r="FU60" s="16"/>
      <c r="FV60" s="16"/>
      <c r="FW60" s="16"/>
      <c r="FX60" s="16"/>
      <c r="FY60" s="16"/>
      <c r="FZ60" s="16"/>
      <c r="GA60" s="16"/>
      <c r="GB60" s="16"/>
      <c r="GC60" s="16"/>
      <c r="GD60" s="16"/>
      <c r="GE60" s="16"/>
      <c r="GF60" s="16"/>
      <c r="GG60" s="16"/>
      <c r="GH60" s="16"/>
      <c r="GI60" s="16"/>
      <c r="GJ60" s="16"/>
      <c r="GK60" s="16"/>
      <c r="GL60" s="16"/>
      <c r="GM60" s="16"/>
      <c r="GN60" s="16"/>
      <c r="GO60" s="16"/>
    </row>
    <row r="61" ht="18.0" customHeight="1">
      <c r="A61" s="15">
        <v>60.0</v>
      </c>
      <c r="B61" s="16" t="s">
        <v>1308</v>
      </c>
      <c r="C61" s="17" t="s">
        <v>1313</v>
      </c>
      <c r="D61" s="16" t="s">
        <v>354</v>
      </c>
      <c r="E61" s="15">
        <f>COUNTIF('Tổng hợp 75 trang đích'!$B$2:$B$2505,$D61)</f>
        <v>42</v>
      </c>
      <c r="F61" s="15">
        <f>COUNTIFS('Tổng hợp 75 trang đích'!$B$2:$B$2505,$D61,'Tổng hợp 75 trang đích'!$K$2:$K$2505,"PHÙ HỢP CAO")</f>
        <v>4</v>
      </c>
      <c r="G61" s="15">
        <f>COUNTIFS('Tổng hợp 75 trang đích'!$B$2:$B$2505,$D61,'Tổng hợp 75 trang đích'!$K$2:$K$2505,"CÓ THỂ ĐI")</f>
        <v>1</v>
      </c>
      <c r="H61" s="15">
        <f>COUNTIFS('Tổng hợp 75 trang đích'!$B$2:$B$2505,$D61,'Tổng hợp 75 trang đích'!$K$2:$K$2505,"CẦN SOÁT")</f>
        <v>37</v>
      </c>
      <c r="I61" s="19" t="s">
        <v>256</v>
      </c>
      <c r="J61" s="19" t="b">
        <v>0</v>
      </c>
      <c r="K61" s="20" t="s">
        <v>258</v>
      </c>
      <c r="L61" s="16" t="str">
        <f>IFERROR(__xludf.DUMMYFUNCTION("IFERROR(TOROW(CHOOSECOLS(SORT(FILTER({'Tổng hợp 75 trang đích'!$J$2:$J$2505,'Tổng hợp 75 trang đích'!$I$2:$I$2505,MATCH('Tổng hợp 75 trang đích'!$K$2:$K$2505,{""PHÙ HỢP CAO"",""CÓ THỂ ĐI"",""CẦN SOÁT""},0)},'Tổng hợp 75 trang đích'!$B$2:$B$2505=$D61),3,TR"&amp;"UE),1,2)),"""")"),"lãi suất ngân hàng")</f>
        <v>lãi suất ngân hàng</v>
      </c>
      <c r="M61" s="21" t="str">
        <f>IFERROR(__xludf.DUMMYFUNCTION("""COMPUTED_VALUE"""),"https://techcombank.com/thong-tin/blog/nen-gui-tiet-kiem-6-thang-hay-1-nam")</f>
        <v>https://techcombank.com/thong-tin/blog/nen-gui-tiet-kiem-6-thang-hay-1-nam</v>
      </c>
      <c r="N61" s="16" t="str">
        <f>IFERROR(__xludf.DUMMYFUNCTION("""COMPUTED_VALUE"""),"lãi suất ngân hàng hôm nay")</f>
        <v>lãi suất ngân hàng hôm nay</v>
      </c>
      <c r="O61" s="21" t="str">
        <f>IFERROR(__xludf.DUMMYFUNCTION("""COMPUTED_VALUE"""),"https://techcombank.com/thong-tin/blog/tai-sao-gui-tiet-kiem-online-lai-suat-cao-hon")</f>
        <v>https://techcombank.com/thong-tin/blog/tai-sao-gui-tiet-kiem-online-lai-suat-cao-hon</v>
      </c>
      <c r="P61" s="16" t="str">
        <f>IFERROR(__xludf.DUMMYFUNCTION("""COMPUTED_VALUE"""),"lãi suất ngân hàng nào cao nhất")</f>
        <v>lãi suất ngân hàng nào cao nhất</v>
      </c>
      <c r="Q61" s="21" t="str">
        <f>IFERROR(__xludf.DUMMYFUNCTION("""COMPUTED_VALUE"""),"https://techcombank.com/thong-tin/blog/co-nen-gui-tiet-kiem-ngan-hang")</f>
        <v>https://techcombank.com/thong-tin/blog/co-nen-gui-tiet-kiem-ngan-hang</v>
      </c>
      <c r="R61" s="16" t="str">
        <f>IFERROR(__xludf.DUMMYFUNCTION("""COMPUTED_VALUE"""),"lãi suất ngân hàng hiện nay")</f>
        <v>lãi suất ngân hàng hiện nay</v>
      </c>
      <c r="S61" s="21" t="str">
        <f>IFERROR(__xludf.DUMMYFUNCTION("""COMPUTED_VALUE"""),"https://techcombank.com/thong-tin/blog/tien-gui-co-ky-han")</f>
        <v>https://techcombank.com/thong-tin/blog/tien-gui-co-ky-han</v>
      </c>
      <c r="T61" s="16" t="str">
        <f>IFERROR(__xludf.DUMMYFUNCTION("""COMPUTED_VALUE"""),"lãi suất tiền gửi ngân hàng")</f>
        <v>lãi suất tiền gửi ngân hàng</v>
      </c>
      <c r="U61" s="21" t="str">
        <f>IFERROR(__xludf.DUMMYFUNCTION("""COMPUTED_VALUE"""),"https://techcombank.com/thong-tin/blog/so-sanh-gui-tiet-kiem-online-va-tai-quay")</f>
        <v>https://techcombank.com/thong-tin/blog/so-sanh-gui-tiet-kiem-online-va-tai-quay</v>
      </c>
      <c r="V61" s="16" t="str">
        <f>IFERROR(__xludf.DUMMYFUNCTION("""COMPUTED_VALUE"""),"lãi suất gửi tiết kiệm ngân hàng")</f>
        <v>lãi suất gửi tiết kiệm ngân hàng</v>
      </c>
      <c r="W61" s="21" t="str">
        <f>IFERROR(__xludf.DUMMYFUNCTION("""COMPUTED_VALUE"""),"https://techcombank.com/thong-tin/blog/so-tiet-kiem-ngan-hang")</f>
        <v>https://techcombank.com/thong-tin/blog/so-tiet-kiem-ngan-hang</v>
      </c>
      <c r="X61" s="16" t="str">
        <f>IFERROR(__xludf.DUMMYFUNCTION("""COMPUTED_VALUE"""),"lãi suất ngân hàng tiền gửi")</f>
        <v>lãi suất ngân hàng tiền gửi</v>
      </c>
      <c r="Y61" s="21" t="str">
        <f>IFERROR(__xludf.DUMMYFUNCTION("""COMPUTED_VALUE"""),"https://techcombank.com/thong-tin/blog/quy-trinh-gui-tien-tiet-kiem")</f>
        <v>https://techcombank.com/thong-tin/blog/quy-trinh-gui-tien-tiet-kiem</v>
      </c>
      <c r="Z61" s="16" t="str">
        <f>IFERROR(__xludf.DUMMYFUNCTION("""COMPUTED_VALUE"""),"lãi suất ngân hàng")</f>
        <v>lãi suất ngân hàng</v>
      </c>
      <c r="AA61" s="21" t="str">
        <f>IFERROR(__xludf.DUMMYFUNCTION("""COMPUTED_VALUE"""),"https://techcombank.com/thong-tin/blog/gui-tiet-kiem-theo-ngay")</f>
        <v>https://techcombank.com/thong-tin/blog/gui-tiet-kiem-theo-ngay</v>
      </c>
      <c r="AB61" s="16" t="str">
        <f>IFERROR(__xludf.DUMMYFUNCTION("""COMPUTED_VALUE"""),"lãi suất ngân hàng hôm nay")</f>
        <v>lãi suất ngân hàng hôm nay</v>
      </c>
      <c r="AC61" s="21" t="str">
        <f>IFERROR(__xludf.DUMMYFUNCTION("""COMPUTED_VALUE"""),"https://techcombank.com/thong-tin/blog/gui-tiet-kiem-vang")</f>
        <v>https://techcombank.com/thong-tin/blog/gui-tiet-kiem-vang</v>
      </c>
      <c r="AD61" s="16" t="str">
        <f>IFERROR(__xludf.DUMMYFUNCTION("""COMPUTED_VALUE"""),"lãi suất ngân hàng nào cao nhất")</f>
        <v>lãi suất ngân hàng nào cao nhất</v>
      </c>
      <c r="AE61" s="21" t="str">
        <f>IFERROR(__xludf.DUMMYFUNCTION("""COMPUTED_VALUE"""),"https://techcombank.com/thong-tin/blog/gia-cao-su")</f>
        <v>https://techcombank.com/thong-tin/blog/gia-cao-su</v>
      </c>
      <c r="AF61" s="16" t="str">
        <f>IFERROR(__xludf.DUMMYFUNCTION("""COMPUTED_VALUE"""),"lãi suất ngân hàng hiện nay")</f>
        <v>lãi suất ngân hàng hiện nay</v>
      </c>
      <c r="AG61" s="21" t="str">
        <f>IFERROR(__xludf.DUMMYFUNCTION("""COMPUTED_VALUE"""),"https://techcombank.com/thong-tin/blog/nen-gui-tiet-kiem-thong-thuong-hay-tich-luy")</f>
        <v>https://techcombank.com/thong-tin/blog/nen-gui-tiet-kiem-thong-thuong-hay-tich-luy</v>
      </c>
      <c r="AH61" s="16" t="str">
        <f>IFERROR(__xludf.DUMMYFUNCTION("""COMPUTED_VALUE"""),"lãi suất tiền gửi ngân hàng")</f>
        <v>lãi suất tiền gửi ngân hàng</v>
      </c>
      <c r="AI61" s="21" t="str">
        <f>IFERROR(__xludf.DUMMYFUNCTION("""COMPUTED_VALUE"""),"https://techcombank.com/thong-tin/blog/nen-de-tien-trong-the-hay-gui-tiet-kiem")</f>
        <v>https://techcombank.com/thong-tin/blog/nen-de-tien-trong-the-hay-gui-tiet-kiem</v>
      </c>
      <c r="AJ61" s="16" t="str">
        <f>IFERROR(__xludf.DUMMYFUNCTION("""COMPUTED_VALUE"""),"lãi suất gửi tiết kiệm ngân hàng")</f>
        <v>lãi suất gửi tiết kiệm ngân hàng</v>
      </c>
      <c r="AK61" s="21" t="str">
        <f>IFERROR(__xludf.DUMMYFUNCTION("""COMPUTED_VALUE"""),"https://techcombank.com/thong-tin/blog/tien-gui-khong-ky-han")</f>
        <v>https://techcombank.com/thong-tin/blog/tien-gui-khong-ky-han</v>
      </c>
      <c r="AL61" s="16" t="str">
        <f>IFERROR(__xludf.DUMMYFUNCTION("""COMPUTED_VALUE"""),"lãi suất ngân hàng tiền gửi")</f>
        <v>lãi suất ngân hàng tiền gửi</v>
      </c>
      <c r="AM61" s="21" t="str">
        <f>IFERROR(__xludf.DUMMYFUNCTION("""COMPUTED_VALUE"""),"https://techcombank.com/thong-tin/blog/vay-mua-nha-tra-gop")</f>
        <v>https://techcombank.com/thong-tin/blog/vay-mua-nha-tra-gop</v>
      </c>
      <c r="AN61" s="16" t="str">
        <f>IFERROR(__xludf.DUMMYFUNCTION("""COMPUTED_VALUE"""),"lãi suất ngân hàng")</f>
        <v>lãi suất ngân hàng</v>
      </c>
      <c r="AO61" s="21" t="str">
        <f>IFERROR(__xludf.DUMMYFUNCTION("""COMPUTED_VALUE"""),"https://techcombank.com/thong-tin/blog/co-nen-gui-tiet-kiem-online")</f>
        <v>https://techcombank.com/thong-tin/blog/co-nen-gui-tiet-kiem-online</v>
      </c>
      <c r="AP61" s="16" t="str">
        <f>IFERROR(__xludf.DUMMYFUNCTION("""COMPUTED_VALUE"""),"lãi suất ngân hàng hôm nay")</f>
        <v>lãi suất ngân hàng hôm nay</v>
      </c>
      <c r="AQ61" s="21" t="str">
        <f>IFERROR(__xludf.DUMMYFUNCTION("""COMPUTED_VALUE"""),"https://techcombank.com/thong-tin/blog/gui-tiet-kiem-ngan-hang-van-la-lua-chon-an-toan-trong-thoi-ky-kinh-te-con-nhieu-bien-dong")</f>
        <v>https://techcombank.com/thong-tin/blog/gui-tiet-kiem-ngan-hang-van-la-lua-chon-an-toan-trong-thoi-ky-kinh-te-con-nhieu-bien-dong</v>
      </c>
      <c r="AR61" s="16" t="str">
        <f>IFERROR(__xludf.DUMMYFUNCTION("""COMPUTED_VALUE"""),"lãi suất ngân hàng nào cao nhất")</f>
        <v>lãi suất ngân hàng nào cao nhất</v>
      </c>
      <c r="AS61" s="21" t="str">
        <f>IFERROR(__xludf.DUMMYFUNCTION("""COMPUTED_VALUE"""),"https://techcombank.com/thong-tin/blog/cach-gui-tiet-kiem-online")</f>
        <v>https://techcombank.com/thong-tin/blog/cach-gui-tiet-kiem-online</v>
      </c>
      <c r="AT61" s="16" t="str">
        <f>IFERROR(__xludf.DUMMYFUNCTION("""COMPUTED_VALUE"""),"lãi suất ngân hàng hiện nay")</f>
        <v>lãi suất ngân hàng hiện nay</v>
      </c>
      <c r="AU61" s="21" t="str">
        <f>IFERROR(__xludf.DUMMYFUNCTION("""COMPUTED_VALUE"""),"https://techcombank.com/thong-tin/blog/gui-tien-ngan-hang-co-an-toan-khong")</f>
        <v>https://techcombank.com/thong-tin/blog/gui-tien-ngan-hang-co-an-toan-khong</v>
      </c>
      <c r="AV61" s="16" t="str">
        <f>IFERROR(__xludf.DUMMYFUNCTION("""COMPUTED_VALUE"""),"lãi suất tiền gửi ngân hàng")</f>
        <v>lãi suất tiền gửi ngân hàng</v>
      </c>
      <c r="AW61" s="21" t="str">
        <f>IFERROR(__xludf.DUMMYFUNCTION("""COMPUTED_VALUE"""),"https://techcombank.com/thong-tin/blog/dau-tu-trai-phieu-doanh-nghiep-dung-ham-lai-suat-cao")</f>
        <v>https://techcombank.com/thong-tin/blog/dau-tu-trai-phieu-doanh-nghiep-dung-ham-lai-suat-cao</v>
      </c>
      <c r="AX61" s="16" t="str">
        <f>IFERROR(__xludf.DUMMYFUNCTION("""COMPUTED_VALUE"""),"lãi suất gửi tiết kiệm ngân hàng")</f>
        <v>lãi suất gửi tiết kiệm ngân hàng</v>
      </c>
      <c r="AY61" s="21" t="str">
        <f>IFERROR(__xludf.DUMMYFUNCTION("""COMPUTED_VALUE"""),"https://techcombank.com/thong-tin/blog/casa-la-gi")</f>
        <v>https://techcombank.com/thong-tin/blog/casa-la-gi</v>
      </c>
      <c r="AZ61" s="16" t="str">
        <f>IFERROR(__xludf.DUMMYFUNCTION("""COMPUTED_VALUE"""),"lãi suất ngân hàng tiền gửi")</f>
        <v>lãi suất ngân hàng tiền gửi</v>
      </c>
      <c r="BA61" s="21" t="str">
        <f>IFERROR(__xludf.DUMMYFUNCTION("""COMPUTED_VALUE"""),"https://techcombank.com/thong-tin/blog/gui-tiet-kiem-tich-luy-la-gi")</f>
        <v>https://techcombank.com/thong-tin/blog/gui-tiet-kiem-tich-luy-la-gi</v>
      </c>
      <c r="BB61" s="16" t="str">
        <f>IFERROR(__xludf.DUMMYFUNCTION("""COMPUTED_VALUE"""),"lãi suất ngân hàng")</f>
        <v>lãi suất ngân hàng</v>
      </c>
      <c r="BC61" s="21" t="str">
        <f>IFERROR(__xludf.DUMMYFUNCTION("""COMPUTED_VALUE"""),"https://techcombank.com/thong-tin/blog/gui-tiet-kiem-lay-lai-hang-thang")</f>
        <v>https://techcombank.com/thong-tin/blog/gui-tiet-kiem-lay-lai-hang-thang</v>
      </c>
      <c r="BD61" s="16" t="str">
        <f>IFERROR(__xludf.DUMMYFUNCTION("""COMPUTED_VALUE"""),"lãi suất ngân hàng hôm nay")</f>
        <v>lãi suất ngân hàng hôm nay</v>
      </c>
      <c r="BE61" s="21" t="str">
        <f>IFERROR(__xludf.DUMMYFUNCTION("""COMPUTED_VALUE"""),"https://techcombank.com/thong-tin/blog/rui-ro-khi-gui-tiet-kiem-online")</f>
        <v>https://techcombank.com/thong-tin/blog/rui-ro-khi-gui-tiet-kiem-online</v>
      </c>
      <c r="BF61" s="16" t="str">
        <f>IFERROR(__xludf.DUMMYFUNCTION("""COMPUTED_VALUE"""),"lãi suất ngân hàng nào cao nhất")</f>
        <v>lãi suất ngân hàng nào cao nhất</v>
      </c>
      <c r="BG61" s="21" t="str">
        <f>IFERROR(__xludf.DUMMYFUNCTION("""COMPUTED_VALUE"""),"https://techcombank.com/thong-tin/blog/cach-tinh-lai-suat-tien-gui-tiet-kiem")</f>
        <v>https://techcombank.com/thong-tin/blog/cach-tinh-lai-suat-tien-gui-tiet-kiem</v>
      </c>
      <c r="BH61" s="16" t="str">
        <f>IFERROR(__xludf.DUMMYFUNCTION("""COMPUTED_VALUE"""),"lãi suất ngân hàng hiện nay")</f>
        <v>lãi suất ngân hàng hiện nay</v>
      </c>
      <c r="BI61" s="21" t="str">
        <f>IFERROR(__xludf.DUMMYFUNCTION("""COMPUTED_VALUE"""),"https://techcombank.com/thong-tin/blog/chon-kenh-dau-tu-an-toan-trong-boi-canh-thi-truong-bien-dong")</f>
        <v>https://techcombank.com/thong-tin/blog/chon-kenh-dau-tu-an-toan-trong-boi-canh-thi-truong-bien-dong</v>
      </c>
      <c r="BJ61" s="16" t="str">
        <f>IFERROR(__xludf.DUMMYFUNCTION("""COMPUTED_VALUE"""),"lãi suất tiền gửi ngân hàng")</f>
        <v>lãi suất tiền gửi ngân hàng</v>
      </c>
      <c r="BK61" s="21" t="str">
        <f>IFERROR(__xludf.DUMMYFUNCTION("""COMPUTED_VALUE"""),"https://techcombank.com/thong-tin/blog/mo-so-tiet-kiem-can-bao-nhieu-tien")</f>
        <v>https://techcombank.com/thong-tin/blog/mo-so-tiet-kiem-can-bao-nhieu-tien</v>
      </c>
      <c r="BL61" s="16" t="str">
        <f>IFERROR(__xludf.DUMMYFUNCTION("""COMPUTED_VALUE"""),"lãi suất gửi tiết kiệm ngân hàng")</f>
        <v>lãi suất gửi tiết kiệm ngân hàng</v>
      </c>
      <c r="BM61" s="21" t="str">
        <f>IFERROR(__xludf.DUMMYFUNCTION("""COMPUTED_VALUE"""),"https://techcombank.com/thong-tin/blog/gui-tiet-kiem-ngoai-te")</f>
        <v>https://techcombank.com/thong-tin/blog/gui-tiet-kiem-ngoai-te</v>
      </c>
      <c r="BN61" s="16" t="str">
        <f>IFERROR(__xludf.DUMMYFUNCTION("""COMPUTED_VALUE"""),"lãi suất ngân hàng tiền gửi")</f>
        <v>lãi suất ngân hàng tiền gửi</v>
      </c>
      <c r="BO61" s="21" t="str">
        <f>IFERROR(__xludf.DUMMYFUNCTION("""COMPUTED_VALUE"""),"https://techcombank.com/thong-tin/blog/rui-ro-khi-gui-tiet-kiem-ngan-hang")</f>
        <v>https://techcombank.com/thong-tin/blog/rui-ro-khi-gui-tiet-kiem-ngan-hang</v>
      </c>
      <c r="BP61" s="16" t="str">
        <f>IFERROR(__xludf.DUMMYFUNCTION("""COMPUTED_VALUE"""),"lãi suất ngân hàng")</f>
        <v>lãi suất ngân hàng</v>
      </c>
      <c r="BQ61" s="21" t="str">
        <f>IFERROR(__xludf.DUMMYFUNCTION("""COMPUTED_VALUE"""),"https://techcombank.com/thong-tin/blog/gui-tiet-kiem-hang-thang")</f>
        <v>https://techcombank.com/thong-tin/blog/gui-tiet-kiem-hang-thang</v>
      </c>
      <c r="BR61" s="16" t="str">
        <f>IFERROR(__xludf.DUMMYFUNCTION("""COMPUTED_VALUE"""),"lãi suất ngân hàng hôm nay")</f>
        <v>lãi suất ngân hàng hôm nay</v>
      </c>
      <c r="BS61" s="21" t="str">
        <f>IFERROR(__xludf.DUMMYFUNCTION("""COMPUTED_VALUE"""),"https://techcombank.com/thong-tin/blog/xu-huong-dau-tu-trai-phieu-ky-han-duoi-mot-nam-lua-chon-an-toan-khi-thi-truong-bien-dong")</f>
        <v>https://techcombank.com/thong-tin/blog/xu-huong-dau-tu-trai-phieu-ky-han-duoi-mot-nam-lua-chon-an-toan-khi-thi-truong-bien-dong</v>
      </c>
      <c r="BT61" s="16" t="str">
        <f>IFERROR(__xludf.DUMMYFUNCTION("""COMPUTED_VALUE"""),"lãi suất ngân hàng nào cao nhất")</f>
        <v>lãi suất ngân hàng nào cao nhất</v>
      </c>
      <c r="BU61" s="21" t="str">
        <f>IFERROR(__xludf.DUMMYFUNCTION("""COMPUTED_VALUE"""),"https://techcombank.com/thong-tin/blog/gui-tiet-kiem-online-bi-mat-tien")</f>
        <v>https://techcombank.com/thong-tin/blog/gui-tiet-kiem-online-bi-mat-tien</v>
      </c>
      <c r="BV61" s="16" t="str">
        <f>IFERROR(__xludf.DUMMYFUNCTION("""COMPUTED_VALUE"""),"lãi suất ngân hàng hiện nay")</f>
        <v>lãi suất ngân hàng hiện nay</v>
      </c>
      <c r="BW61" s="21" t="str">
        <f>IFERROR(__xludf.DUMMYFUNCTION("""COMPUTED_VALUE"""),"https://techcombank.com/thong-tin/blog/kinh-nghiem-gui-tiet-kiem-online")</f>
        <v>https://techcombank.com/thong-tin/blog/kinh-nghiem-gui-tiet-kiem-online</v>
      </c>
      <c r="BX61" s="16" t="str">
        <f>IFERROR(__xludf.DUMMYFUNCTION("""COMPUTED_VALUE"""),"lãi suất tiền gửi ngân hàng")</f>
        <v>lãi suất tiền gửi ngân hàng</v>
      </c>
      <c r="BY61" s="21" t="str">
        <f>IFERROR(__xludf.DUMMYFUNCTION("""COMPUTED_VALUE"""),"https://techcombank.com/thong-tin/blog/gui-tiet-kiem-online-co-rut-truoc-han-duoc-khong")</f>
        <v>https://techcombank.com/thong-tin/blog/gui-tiet-kiem-online-co-rut-truoc-han-duoc-khong</v>
      </c>
      <c r="BZ61" s="16" t="str">
        <f>IFERROR(__xludf.DUMMYFUNCTION("""COMPUTED_VALUE"""),"lãi suất gửi tiết kiệm ngân hàng")</f>
        <v>lãi suất gửi tiết kiệm ngân hàng</v>
      </c>
      <c r="CA61" s="21" t="str">
        <f>IFERROR(__xludf.DUMMYFUNCTION("""COMPUTED_VALUE"""),"https://techcombank.com/thong-tin/blog/gui-tiet-kiem-online-quay-vong-ca-goc-va-lai")</f>
        <v>https://techcombank.com/thong-tin/blog/gui-tiet-kiem-online-quay-vong-ca-goc-va-lai</v>
      </c>
      <c r="CB61" s="16" t="str">
        <f>IFERROR(__xludf.DUMMYFUNCTION("""COMPUTED_VALUE"""),"lãi suất ngân hàng tiền gửi")</f>
        <v>lãi suất ngân hàng tiền gửi</v>
      </c>
      <c r="CC61" s="21" t="str">
        <f>IFERROR(__xludf.DUMMYFUNCTION("""COMPUTED_VALUE"""),"https://techcombank.com/thong-tin/blog/chung-chi-tien-gui-khac-gi-so-tiet-kiem")</f>
        <v>https://techcombank.com/thong-tin/blog/chung-chi-tien-gui-khac-gi-so-tiet-kiem</v>
      </c>
      <c r="CD61" s="16" t="str">
        <f>IFERROR(__xludf.DUMMYFUNCTION("""COMPUTED_VALUE"""),"lãi suất ngân hàng")</f>
        <v>lãi suất ngân hàng</v>
      </c>
      <c r="CE61" s="21" t="str">
        <f>IFERROR(__xludf.DUMMYFUNCTION("""COMPUTED_VALUE"""),"https://techcombank.com/thong-tin/blog/chung-chi-tien-gui-co-duoc-rut-truoc-han")</f>
        <v>https://techcombank.com/thong-tin/blog/chung-chi-tien-gui-co-duoc-rut-truoc-han</v>
      </c>
      <c r="CF61" s="16" t="str">
        <f>IFERROR(__xludf.DUMMYFUNCTION("""COMPUTED_VALUE"""),"lãi suất ngân hàng hôm nay")</f>
        <v>lãi suất ngân hàng hôm nay</v>
      </c>
      <c r="CG61" s="21" t="str">
        <f>IFERROR(__xludf.DUMMYFUNCTION("""COMPUTED_VALUE"""),"https://techcombank.com/thong-tin/blog/cach-tiet-kiem-tien-sinh-loi")</f>
        <v>https://techcombank.com/thong-tin/blog/cach-tiet-kiem-tien-sinh-loi</v>
      </c>
      <c r="CH61" s="16" t="str">
        <f>IFERROR(__xludf.DUMMYFUNCTION("""COMPUTED_VALUE"""),"lãi suất ngân hàng nào cao nhất")</f>
        <v>lãi suất ngân hàng nào cao nhất</v>
      </c>
      <c r="CI61" s="21" t="str">
        <f>IFERROR(__xludf.DUMMYFUNCTION("""COMPUTED_VALUE"""),"https://techcombank.com/thong-tin/blog/co-50-trieu-nen-mua-vang-hay-gui-tiet-kiem")</f>
        <v>https://techcombank.com/thong-tin/blog/co-50-trieu-nen-mua-vang-hay-gui-tiet-kiem</v>
      </c>
      <c r="CJ61" s="16" t="str">
        <f>IFERROR(__xludf.DUMMYFUNCTION("""COMPUTED_VALUE"""),"lãi suất ngân hàng hiện nay")</f>
        <v>lãi suất ngân hàng hiện nay</v>
      </c>
      <c r="CK61" s="21" t="str">
        <f>IFERROR(__xludf.DUMMYFUNCTION("""COMPUTED_VALUE"""),"https://techcombank.com/thong-tin/blog/lai-suat-cho-vay-doanh-nghiep")</f>
        <v>https://techcombank.com/thong-tin/blog/lai-suat-cho-vay-doanh-nghiep</v>
      </c>
      <c r="CL61" s="16" t="str">
        <f>IFERROR(__xludf.DUMMYFUNCTION("""COMPUTED_VALUE"""),"lãi suất tiền gửi ngân hàng")</f>
        <v>lãi suất tiền gửi ngân hàng</v>
      </c>
      <c r="CM61" s="21" t="str">
        <f>IFERROR(__xludf.DUMMYFUNCTION("""COMPUTED_VALUE"""),"https://techcombank.com/thong-tin/blog/lai-suat-gui-tiet-kiem-usd")</f>
        <v>https://techcombank.com/thong-tin/blog/lai-suat-gui-tiet-kiem-usd</v>
      </c>
      <c r="CN61" s="16" t="str">
        <f>IFERROR(__xludf.DUMMYFUNCTION("""COMPUTED_VALUE"""),"lãi suất gửi tiết kiệm ngân hàng")</f>
        <v>lãi suất gửi tiết kiệm ngân hàng</v>
      </c>
      <c r="CO61" s="21" t="str">
        <f>IFERROR(__xludf.DUMMYFUNCTION("""COMPUTED_VALUE"""),"https://techcombank.com/thong-tin/blog/gui-tiet-kiem-usd")</f>
        <v>https://techcombank.com/thong-tin/blog/gui-tiet-kiem-usd</v>
      </c>
      <c r="CP61" s="16" t="str">
        <f>IFERROR(__xludf.DUMMYFUNCTION("""COMPUTED_VALUE"""),"lãi suất ngân hàng tiền gửi")</f>
        <v>lãi suất ngân hàng tiền gửi</v>
      </c>
      <c r="CQ61" s="21" t="str">
        <f>IFERROR(__xludf.DUMMYFUNCTION("""COMPUTED_VALUE"""),"https://techcombank.com/thong-tin/blog/cach-tinh-ty-gia-ky-han")</f>
        <v>https://techcombank.com/thong-tin/blog/cach-tinh-ty-gia-ky-han</v>
      </c>
      <c r="CR61" s="16"/>
      <c r="CS61" s="16"/>
      <c r="CT61" s="16"/>
      <c r="CU61" s="16"/>
      <c r="CV61" s="16"/>
      <c r="CW61" s="16"/>
      <c r="CX61" s="16"/>
      <c r="CY61" s="16"/>
      <c r="CZ61" s="16"/>
      <c r="DA61" s="16"/>
      <c r="DB61" s="16"/>
      <c r="DC61" s="16"/>
      <c r="DD61" s="16"/>
      <c r="DE61" s="16"/>
      <c r="DF61" s="16"/>
      <c r="DG61" s="16"/>
      <c r="DH61" s="16"/>
      <c r="DI61" s="16"/>
      <c r="DJ61" s="16"/>
      <c r="DK61" s="16"/>
      <c r="DL61" s="16"/>
      <c r="DM61" s="16"/>
      <c r="DN61" s="16"/>
      <c r="DO61" s="16"/>
      <c r="DP61" s="16"/>
      <c r="DQ61" s="16"/>
      <c r="DR61" s="16"/>
      <c r="DS61" s="16"/>
      <c r="DT61" s="16"/>
      <c r="DU61" s="16"/>
      <c r="DV61" s="16"/>
      <c r="DW61" s="16"/>
      <c r="DX61" s="16"/>
      <c r="DY61" s="16"/>
      <c r="DZ61" s="16"/>
      <c r="EA61" s="16"/>
      <c r="EB61" s="16"/>
      <c r="EC61" s="16"/>
      <c r="ED61" s="16"/>
      <c r="EE61" s="16"/>
      <c r="EF61" s="16"/>
      <c r="EG61" s="16"/>
      <c r="EH61" s="16"/>
      <c r="EI61" s="16"/>
      <c r="EJ61" s="16"/>
      <c r="EK61" s="16"/>
      <c r="EL61" s="16"/>
      <c r="EM61" s="16"/>
      <c r="EN61" s="16"/>
      <c r="EO61" s="16"/>
      <c r="EP61" s="16"/>
      <c r="EQ61" s="16"/>
      <c r="ER61" s="16"/>
      <c r="ES61" s="16"/>
      <c r="ET61" s="16"/>
      <c r="EU61" s="16"/>
      <c r="EV61" s="16"/>
      <c r="EW61" s="16"/>
      <c r="EX61" s="16"/>
      <c r="EY61" s="16"/>
      <c r="EZ61" s="16"/>
      <c r="FA61" s="16"/>
      <c r="FB61" s="16"/>
      <c r="FC61" s="16"/>
      <c r="FD61" s="16"/>
      <c r="FE61" s="16"/>
      <c r="FF61" s="16"/>
      <c r="FG61" s="16"/>
      <c r="FH61" s="16"/>
      <c r="FI61" s="16"/>
      <c r="FJ61" s="16"/>
      <c r="FK61" s="16"/>
      <c r="FL61" s="16"/>
      <c r="FM61" s="16"/>
      <c r="FN61" s="16"/>
      <c r="FO61" s="16"/>
      <c r="FP61" s="16"/>
      <c r="FQ61" s="16"/>
      <c r="FR61" s="16"/>
      <c r="FS61" s="16"/>
      <c r="FT61" s="16"/>
      <c r="FU61" s="16"/>
      <c r="FV61" s="16"/>
      <c r="FW61" s="16"/>
      <c r="FX61" s="16"/>
      <c r="FY61" s="16"/>
      <c r="FZ61" s="16"/>
      <c r="GA61" s="16"/>
      <c r="GB61" s="16"/>
      <c r="GC61" s="16"/>
      <c r="GD61" s="16"/>
      <c r="GE61" s="16"/>
      <c r="GF61" s="16"/>
      <c r="GG61" s="16"/>
      <c r="GH61" s="16"/>
      <c r="GI61" s="16"/>
      <c r="GJ61" s="16"/>
      <c r="GK61" s="16"/>
      <c r="GL61" s="16"/>
      <c r="GM61" s="16"/>
      <c r="GN61" s="16"/>
      <c r="GO61" s="16"/>
    </row>
    <row r="62" ht="18.0" customHeight="1">
      <c r="A62" s="15">
        <v>61.0</v>
      </c>
      <c r="B62" s="16" t="s">
        <v>1308</v>
      </c>
      <c r="C62" s="17" t="s">
        <v>1330</v>
      </c>
      <c r="D62" s="16" t="s">
        <v>356</v>
      </c>
      <c r="E62" s="15">
        <f>COUNTIF('Tổng hợp 75 trang đích'!$B$2:$B$2505,$D62)</f>
        <v>53</v>
      </c>
      <c r="F62" s="15">
        <f>COUNTIFS('Tổng hợp 75 trang đích'!$B$2:$B$2505,$D62,'Tổng hợp 75 trang đích'!$K$2:$K$2505,"PHÙ HỢP CAO")</f>
        <v>3</v>
      </c>
      <c r="G62" s="15">
        <f>COUNTIFS('Tổng hợp 75 trang đích'!$B$2:$B$2505,$D62,'Tổng hợp 75 trang đích'!$K$2:$K$2505,"CÓ THỂ ĐI")</f>
        <v>2</v>
      </c>
      <c r="H62" s="15">
        <f>COUNTIFS('Tổng hợp 75 trang đích'!$B$2:$B$2505,$D62,'Tổng hợp 75 trang đích'!$K$2:$K$2505,"CẦN SOÁT")</f>
        <v>48</v>
      </c>
      <c r="I62" s="19" t="s">
        <v>256</v>
      </c>
      <c r="J62" s="19" t="b">
        <v>0</v>
      </c>
      <c r="K62" s="20" t="s">
        <v>258</v>
      </c>
      <c r="L62" s="16" t="str">
        <f>IFERROR(__xludf.DUMMYFUNCTION("IFERROR(TOROW(CHOOSECOLS(SORT(FILTER({'Tổng hợp 75 trang đích'!$J$2:$J$2505,'Tổng hợp 75 trang đích'!$I$2:$I$2505,MATCH('Tổng hợp 75 trang đích'!$K$2:$K$2505,{""PHÙ HỢP CAO"",""CÓ THỂ ĐI"",""CẦN SOÁT""},0)},'Tổng hợp 75 trang đích'!$B$2:$B$2505=$D62),3,TR"&amp;"UE),1,2)),"""")"),"cách tính lãi suất tiết kiệm ngân hàng")</f>
        <v>cách tính lãi suất tiết kiệm ngân hàng</v>
      </c>
      <c r="M62" s="21" t="str">
        <f>IFERROR(__xludf.DUMMYFUNCTION("""COMPUTED_VALUE"""),"https://techcombank.com/thong-tin/blog/lai-kep-ngan-hang")</f>
        <v>https://techcombank.com/thong-tin/blog/lai-kep-ngan-hang</v>
      </c>
      <c r="N62" s="16" t="str">
        <f>IFERROR(__xludf.DUMMYFUNCTION("""COMPUTED_VALUE"""),"cách tính lãi suất ngân hàng")</f>
        <v>cách tính lãi suất ngân hàng</v>
      </c>
      <c r="O62" s="21" t="str">
        <f>IFERROR(__xludf.DUMMYFUNCTION("""COMPUTED_VALUE"""),"https://techcombank.com/thong-tin/blog/gui-tiet-kiem-lay-lai-hang-thang")</f>
        <v>https://techcombank.com/thong-tin/blog/gui-tiet-kiem-lay-lai-hang-thang</v>
      </c>
      <c r="P62" s="16" t="str">
        <f>IFERROR(__xludf.DUMMYFUNCTION("""COMPUTED_VALUE"""),"tính lãi suất ngân hàng")</f>
        <v>tính lãi suất ngân hàng</v>
      </c>
      <c r="Q62" s="21" t="str">
        <f>IFERROR(__xludf.DUMMYFUNCTION("""COMPUTED_VALUE"""),"https://techcombank.com/thong-tin/blog/gui-tiet-kiem-hang-thang")</f>
        <v>https://techcombank.com/thong-tin/blog/gui-tiet-kiem-hang-thang</v>
      </c>
      <c r="R62" s="16" t="str">
        <f>IFERROR(__xludf.DUMMYFUNCTION("""COMPUTED_VALUE"""),"tính lãi suất tiết kiệm")</f>
        <v>tính lãi suất tiết kiệm</v>
      </c>
      <c r="S62" s="21" t="str">
        <f>IFERROR(__xludf.DUMMYFUNCTION("""COMPUTED_VALUE"""),"https://techcombank.com/thong-tin/blog/tien-gui-khong-ky-han")</f>
        <v>https://techcombank.com/thong-tin/blog/tien-gui-khong-ky-han</v>
      </c>
      <c r="T62" s="16" t="str">
        <f>IFERROR(__xludf.DUMMYFUNCTION("""COMPUTED_VALUE"""),"cách tính lãi suất tiết kiệm ngân hàng")</f>
        <v>cách tính lãi suất tiết kiệm ngân hàng</v>
      </c>
      <c r="U62" s="21" t="str">
        <f>IFERROR(__xludf.DUMMYFUNCTION("""COMPUTED_VALUE"""),"https://techcombank.com/thong-tin/blog/dao-han-la-gi")</f>
        <v>https://techcombank.com/thong-tin/blog/dao-han-la-gi</v>
      </c>
      <c r="V62" s="16" t="str">
        <f>IFERROR(__xludf.DUMMYFUNCTION("""COMPUTED_VALUE"""),"cách tính lãi suất ngân hàng")</f>
        <v>cách tính lãi suất ngân hàng</v>
      </c>
      <c r="W62" s="21" t="str">
        <f>IFERROR(__xludf.DUMMYFUNCTION("""COMPUTED_VALUE"""),"https://techcombank.com/thong-tin/blog/lai-suat-vay-kinh-doanh")</f>
        <v>https://techcombank.com/thong-tin/blog/lai-suat-vay-kinh-doanh</v>
      </c>
      <c r="X62" s="16" t="str">
        <f>IFERROR(__xludf.DUMMYFUNCTION("""COMPUTED_VALUE"""),"tính lãi suất ngân hàng")</f>
        <v>tính lãi suất ngân hàng</v>
      </c>
      <c r="Y62" s="21" t="str">
        <f>IFERROR(__xludf.DUMMYFUNCTION("""COMPUTED_VALUE"""),"https://techcombank.com/thong-tin/blog/cong-thuc-tinh-lai-suat-thuc")</f>
        <v>https://techcombank.com/thong-tin/blog/cong-thuc-tinh-lai-suat-thuc</v>
      </c>
      <c r="Z62" s="16" t="str">
        <f>IFERROR(__xludf.DUMMYFUNCTION("""COMPUTED_VALUE"""),"tính lãi suất tiết kiệm")</f>
        <v>tính lãi suất tiết kiệm</v>
      </c>
      <c r="AA62" s="21" t="str">
        <f>IFERROR(__xludf.DUMMYFUNCTION("""COMPUTED_VALUE"""),"https://techcombank.com/thong-tin/blog/quy-trinh-gui-tien-tiet-kiem")</f>
        <v>https://techcombank.com/thong-tin/blog/quy-trinh-gui-tien-tiet-kiem</v>
      </c>
      <c r="AB62" s="16" t="str">
        <f>IFERROR(__xludf.DUMMYFUNCTION("""COMPUTED_VALUE"""),"cách tính lãi suất tiết kiệm ngân hàng")</f>
        <v>cách tính lãi suất tiết kiệm ngân hàng</v>
      </c>
      <c r="AC62" s="21" t="str">
        <f>IFERROR(__xludf.DUMMYFUNCTION("""COMPUTED_VALUE"""),"https://techcombank.com/thong-tin/blog/gui-tiet-kiem-theo-ngay")</f>
        <v>https://techcombank.com/thong-tin/blog/gui-tiet-kiem-theo-ngay</v>
      </c>
      <c r="AD62" s="16" t="str">
        <f>IFERROR(__xludf.DUMMYFUNCTION("""COMPUTED_VALUE"""),"cách tính lãi suất ngân hàng")</f>
        <v>cách tính lãi suất ngân hàng</v>
      </c>
      <c r="AE62" s="21" t="str">
        <f>IFERROR(__xludf.DUMMYFUNCTION("""COMPUTED_VALUE"""),"https://techcombank.com/thong-tin/blog/gui-tiet-kiem-vang")</f>
        <v>https://techcombank.com/thong-tin/blog/gui-tiet-kiem-vang</v>
      </c>
      <c r="AF62" s="16" t="str">
        <f>IFERROR(__xludf.DUMMYFUNCTION("""COMPUTED_VALUE"""),"tính lãi suất ngân hàng")</f>
        <v>tính lãi suất ngân hàng</v>
      </c>
      <c r="AG62" s="21" t="str">
        <f>IFERROR(__xludf.DUMMYFUNCTION("""COMPUTED_VALUE"""),"https://techcombank.com/thong-tin/blog/nen-gui-tiet-kiem-thong-thuong-hay-tich-luy")</f>
        <v>https://techcombank.com/thong-tin/blog/nen-gui-tiet-kiem-thong-thuong-hay-tich-luy</v>
      </c>
      <c r="AH62" s="16" t="str">
        <f>IFERROR(__xludf.DUMMYFUNCTION("""COMPUTED_VALUE"""),"tính lãi suất tiết kiệm")</f>
        <v>tính lãi suất tiết kiệm</v>
      </c>
      <c r="AI62" s="21" t="str">
        <f>IFERROR(__xludf.DUMMYFUNCTION("""COMPUTED_VALUE"""),"https://techcombank.com/thong-tin/blog/tai-sao-gui-tiet-kiem-online-lai-suat-cao-hon")</f>
        <v>https://techcombank.com/thong-tin/blog/tai-sao-gui-tiet-kiem-online-lai-suat-cao-hon</v>
      </c>
      <c r="AJ62" s="16" t="str">
        <f>IFERROR(__xludf.DUMMYFUNCTION("""COMPUTED_VALUE"""),"cách tính lãi suất tiết kiệm ngân hàng")</f>
        <v>cách tính lãi suất tiết kiệm ngân hàng</v>
      </c>
      <c r="AK62" s="21" t="str">
        <f>IFERROR(__xludf.DUMMYFUNCTION("""COMPUTED_VALUE"""),"https://techcombank.com/thong-tin/blog/rui-ro-khi-vay-the-chap-ngan-hang")</f>
        <v>https://techcombank.com/thong-tin/blog/rui-ro-khi-vay-the-chap-ngan-hang</v>
      </c>
      <c r="AL62" s="16" t="str">
        <f>IFERROR(__xludf.DUMMYFUNCTION("""COMPUTED_VALUE"""),"cách tính lãi suất ngân hàng")</f>
        <v>cách tính lãi suất ngân hàng</v>
      </c>
      <c r="AM62" s="21" t="str">
        <f>IFERROR(__xludf.DUMMYFUNCTION("""COMPUTED_VALUE"""),"https://techcombank.com/thong-tin/blog/nen-de-tien-trong-the-hay-gui-tiet-kiem")</f>
        <v>https://techcombank.com/thong-tin/blog/nen-de-tien-trong-the-hay-gui-tiet-kiem</v>
      </c>
      <c r="AN62" s="16" t="str">
        <f>IFERROR(__xludf.DUMMYFUNCTION("""COMPUTED_VALUE"""),"tính lãi suất ngân hàng")</f>
        <v>tính lãi suất ngân hàng</v>
      </c>
      <c r="AO62" s="21" t="str">
        <f>IFERROR(__xludf.DUMMYFUNCTION("""COMPUTED_VALUE"""),"https://techcombank.com/thong-tin/blog/lai-suat-vay-thau-chi")</f>
        <v>https://techcombank.com/thong-tin/blog/lai-suat-vay-thau-chi</v>
      </c>
      <c r="AP62" s="16" t="str">
        <f>IFERROR(__xludf.DUMMYFUNCTION("""COMPUTED_VALUE"""),"tính lãi suất tiết kiệm")</f>
        <v>tính lãi suất tiết kiệm</v>
      </c>
      <c r="AQ62" s="21" t="str">
        <f>IFERROR(__xludf.DUMMYFUNCTION("""COMPUTED_VALUE"""),"https://techcombank.com/thong-tin/blog/qua-han-thanh-toan-the-tin-dung-1-ngay")</f>
        <v>https://techcombank.com/thong-tin/blog/qua-han-thanh-toan-the-tin-dung-1-ngay</v>
      </c>
      <c r="AR62" s="16" t="str">
        <f>IFERROR(__xludf.DUMMYFUNCTION("""COMPUTED_VALUE"""),"cách tính lãi suất tiết kiệm ngân hàng")</f>
        <v>cách tính lãi suất tiết kiệm ngân hàng</v>
      </c>
      <c r="AS62" s="21" t="str">
        <f>IFERROR(__xludf.DUMMYFUNCTION("""COMPUTED_VALUE"""),"https://techcombank.com/thong-tin/blog/co-nen-gui-tiet-kiem-ngan-hang")</f>
        <v>https://techcombank.com/thong-tin/blog/co-nen-gui-tiet-kiem-ngan-hang</v>
      </c>
      <c r="AT62" s="16" t="str">
        <f>IFERROR(__xludf.DUMMYFUNCTION("""COMPUTED_VALUE"""),"cách tính lãi suất ngân hàng")</f>
        <v>cách tính lãi suất ngân hàng</v>
      </c>
      <c r="AU62" s="21" t="str">
        <f>IFERROR(__xludf.DUMMYFUNCTION("""COMPUTED_VALUE"""),"https://techcombank.com/thong-tin/blog/lai-suat-tiet-kiem")</f>
        <v>https://techcombank.com/thong-tin/blog/lai-suat-tiet-kiem</v>
      </c>
      <c r="AV62" s="16" t="str">
        <f>IFERROR(__xludf.DUMMYFUNCTION("""COMPUTED_VALUE"""),"tính lãi suất ngân hàng")</f>
        <v>tính lãi suất ngân hàng</v>
      </c>
      <c r="AW62" s="21" t="str">
        <f>IFERROR(__xludf.DUMMYFUNCTION("""COMPUTED_VALUE"""),"https://techcombank.com/thong-tin/blog/co-nen-gui-tiet-kiem-online")</f>
        <v>https://techcombank.com/thong-tin/blog/co-nen-gui-tiet-kiem-online</v>
      </c>
      <c r="AX62" s="16" t="str">
        <f>IFERROR(__xludf.DUMMYFUNCTION("""COMPUTED_VALUE"""),"tính lãi suất tiết kiệm")</f>
        <v>tính lãi suất tiết kiệm</v>
      </c>
      <c r="AY62" s="21" t="str">
        <f>IFERROR(__xludf.DUMMYFUNCTION("""COMPUTED_VALUE"""),"https://techcombank.com/thong-tin/blog/gui-tiet-kiem-ngan-hang-van-la-lua-chon-an-toan-trong-thoi-ky-kinh-te-con-nhieu-bien-dong")</f>
        <v>https://techcombank.com/thong-tin/blog/gui-tiet-kiem-ngan-hang-van-la-lua-chon-an-toan-trong-thoi-ky-kinh-te-con-nhieu-bien-dong</v>
      </c>
      <c r="AZ62" s="16" t="str">
        <f>IFERROR(__xludf.DUMMYFUNCTION("""COMPUTED_VALUE"""),"cách tính lãi suất tiết kiệm ngân hàng")</f>
        <v>cách tính lãi suất tiết kiệm ngân hàng</v>
      </c>
      <c r="BA62" s="21" t="str">
        <f>IFERROR(__xludf.DUMMYFUNCTION("""COMPUTED_VALUE"""),"https://techcombank.com/thong-tin/blog/cach-gui-tiet-kiem-online")</f>
        <v>https://techcombank.com/thong-tin/blog/cach-gui-tiet-kiem-online</v>
      </c>
      <c r="BB62" s="16" t="str">
        <f>IFERROR(__xludf.DUMMYFUNCTION("""COMPUTED_VALUE"""),"cách tính lãi suất ngân hàng")</f>
        <v>cách tính lãi suất ngân hàng</v>
      </c>
      <c r="BC62" s="21" t="str">
        <f>IFERROR(__xludf.DUMMYFUNCTION("""COMPUTED_VALUE"""),"https://techcombank.com/thong-tin/blog/gui-tien-ngan-hang-co-an-toan-khong")</f>
        <v>https://techcombank.com/thong-tin/blog/gui-tien-ngan-hang-co-an-toan-khong</v>
      </c>
      <c r="BD62" s="16" t="str">
        <f>IFERROR(__xludf.DUMMYFUNCTION("""COMPUTED_VALUE"""),"tính lãi suất ngân hàng")</f>
        <v>tính lãi suất ngân hàng</v>
      </c>
      <c r="BE62" s="21" t="str">
        <f>IFERROR(__xludf.DUMMYFUNCTION("""COMPUTED_VALUE"""),"https://techcombank.com/thong-tin/blog/dau-tu-trai-phieu-doanh-nghiep-dung-ham-lai-suat-cao")</f>
        <v>https://techcombank.com/thong-tin/blog/dau-tu-trai-phieu-doanh-nghiep-dung-ham-lai-suat-cao</v>
      </c>
      <c r="BF62" s="16" t="str">
        <f>IFERROR(__xludf.DUMMYFUNCTION("""COMPUTED_VALUE"""),"tính lãi suất tiết kiệm")</f>
        <v>tính lãi suất tiết kiệm</v>
      </c>
      <c r="BG62" s="21" t="str">
        <f>IFERROR(__xludf.DUMMYFUNCTION("""COMPUTED_VALUE"""),"https://techcombank.com/thong-tin/blog/nen-gui-tiet-kiem-6-thang-hay-1-nam")</f>
        <v>https://techcombank.com/thong-tin/blog/nen-gui-tiet-kiem-6-thang-hay-1-nam</v>
      </c>
      <c r="BH62" s="16" t="str">
        <f>IFERROR(__xludf.DUMMYFUNCTION("""COMPUTED_VALUE"""),"cách tính lãi suất tiết kiệm ngân hàng")</f>
        <v>cách tính lãi suất tiết kiệm ngân hàng</v>
      </c>
      <c r="BI62" s="21" t="str">
        <f>IFERROR(__xludf.DUMMYFUNCTION("""COMPUTED_VALUE"""),"https://techcombank.com/thong-tin/blog/lai-suat-the-tin-dung")</f>
        <v>https://techcombank.com/thong-tin/blog/lai-suat-the-tin-dung</v>
      </c>
      <c r="BJ62" s="16" t="str">
        <f>IFERROR(__xludf.DUMMYFUNCTION("""COMPUTED_VALUE"""),"cách tính lãi suất ngân hàng")</f>
        <v>cách tính lãi suất ngân hàng</v>
      </c>
      <c r="BK62" s="21" t="str">
        <f>IFERROR(__xludf.DUMMYFUNCTION("""COMPUTED_VALUE"""),"https://techcombank.com/thong-tin/blog/gui-tiet-kiem-tich-luy-la-gi")</f>
        <v>https://techcombank.com/thong-tin/blog/gui-tiet-kiem-tich-luy-la-gi</v>
      </c>
      <c r="BL62" s="16" t="str">
        <f>IFERROR(__xludf.DUMMYFUNCTION("""COMPUTED_VALUE"""),"tính lãi suất ngân hàng")</f>
        <v>tính lãi suất ngân hàng</v>
      </c>
      <c r="BM62" s="21" t="str">
        <f>IFERROR(__xludf.DUMMYFUNCTION("""COMPUTED_VALUE"""),"https://techcombank.com/thong-tin/blog/lai-suat-vay-the-chap-so-do")</f>
        <v>https://techcombank.com/thong-tin/blog/lai-suat-vay-the-chap-so-do</v>
      </c>
      <c r="BN62" s="16" t="str">
        <f>IFERROR(__xludf.DUMMYFUNCTION("""COMPUTED_VALUE"""),"tính lãi suất tiết kiệm")</f>
        <v>tính lãi suất tiết kiệm</v>
      </c>
      <c r="BO62" s="21" t="str">
        <f>IFERROR(__xludf.DUMMYFUNCTION("""COMPUTED_VALUE"""),"https://techcombank.com/thong-tin/blog/rui-ro-khi-gui-tiet-kiem-online")</f>
        <v>https://techcombank.com/thong-tin/blog/rui-ro-khi-gui-tiet-kiem-online</v>
      </c>
      <c r="BP62" s="16" t="str">
        <f>IFERROR(__xludf.DUMMYFUNCTION("""COMPUTED_VALUE"""),"cách tính lãi suất tiết kiệm ngân hàng")</f>
        <v>cách tính lãi suất tiết kiệm ngân hàng</v>
      </c>
      <c r="BQ62" s="21" t="str">
        <f>IFERROR(__xludf.DUMMYFUNCTION("""COMPUTED_VALUE"""),"https://techcombank.com/thong-tin/blog/lai-suat-tha-noi")</f>
        <v>https://techcombank.com/thong-tin/blog/lai-suat-tha-noi</v>
      </c>
      <c r="BR62" s="16" t="str">
        <f>IFERROR(__xludf.DUMMYFUNCTION("""COMPUTED_VALUE"""),"cách tính lãi suất ngân hàng")</f>
        <v>cách tính lãi suất ngân hàng</v>
      </c>
      <c r="BS62" s="21" t="str">
        <f>IFERROR(__xludf.DUMMYFUNCTION("""COMPUTED_VALUE"""),"https://techcombank.com/thong-tin/blog/lai-suat-vay-tieu-dung")</f>
        <v>https://techcombank.com/thong-tin/blog/lai-suat-vay-tieu-dung</v>
      </c>
      <c r="BT62" s="16" t="str">
        <f>IFERROR(__xludf.DUMMYFUNCTION("""COMPUTED_VALUE"""),"tính lãi suất ngân hàng")</f>
        <v>tính lãi suất ngân hàng</v>
      </c>
      <c r="BU62" s="21" t="str">
        <f>IFERROR(__xludf.DUMMYFUNCTION("""COMPUTED_VALUE"""),"https://techcombank.com/thong-tin/blog/chon-kenh-dau-tu-an-toan-trong-boi-canh-thi-truong-bien-dong")</f>
        <v>https://techcombank.com/thong-tin/blog/chon-kenh-dau-tu-an-toan-trong-boi-canh-thi-truong-bien-dong</v>
      </c>
      <c r="BV62" s="16" t="str">
        <f>IFERROR(__xludf.DUMMYFUNCTION("""COMPUTED_VALUE"""),"tính lãi suất tiết kiệm")</f>
        <v>tính lãi suất tiết kiệm</v>
      </c>
      <c r="BW62" s="21" t="str">
        <f>IFERROR(__xludf.DUMMYFUNCTION("""COMPUTED_VALUE"""),"https://techcombank.com/thong-tin/blog/gui-tiet-kiem-ngoai-te")</f>
        <v>https://techcombank.com/thong-tin/blog/gui-tiet-kiem-ngoai-te</v>
      </c>
      <c r="BX62" s="16" t="str">
        <f>IFERROR(__xludf.DUMMYFUNCTION("""COMPUTED_VALUE"""),"cách tính lãi suất tiết kiệm ngân hàng")</f>
        <v>cách tính lãi suất tiết kiệm ngân hàng</v>
      </c>
      <c r="BY62" s="21" t="str">
        <f>IFERROR(__xludf.DUMMYFUNCTION("""COMPUTED_VALUE"""),"https://techcombank.com/thong-tin/blog/lai-suat-ngan-hang-cho-vay-xay-nha")</f>
        <v>https://techcombank.com/thong-tin/blog/lai-suat-ngan-hang-cho-vay-xay-nha</v>
      </c>
      <c r="BZ62" s="16" t="str">
        <f>IFERROR(__xludf.DUMMYFUNCTION("""COMPUTED_VALUE"""),"cách tính lãi suất ngân hàng")</f>
        <v>cách tính lãi suất ngân hàng</v>
      </c>
      <c r="CA62" s="21" t="str">
        <f>IFERROR(__xludf.DUMMYFUNCTION("""COMPUTED_VALUE"""),"https://techcombank.com/thong-tin/blog/rui-ro-khi-gui-tiet-kiem-ngan-hang")</f>
        <v>https://techcombank.com/thong-tin/blog/rui-ro-khi-gui-tiet-kiem-ngan-hang</v>
      </c>
      <c r="CB62" s="16" t="str">
        <f>IFERROR(__xludf.DUMMYFUNCTION("""COMPUTED_VALUE"""),"tính lãi suất ngân hàng")</f>
        <v>tính lãi suất ngân hàng</v>
      </c>
      <c r="CC62" s="21" t="str">
        <f>IFERROR(__xludf.DUMMYFUNCTION("""COMPUTED_VALUE"""),"https://techcombank.com/thong-tin/blog/tra-no-vay-thau-chi-nhu-the-nao")</f>
        <v>https://techcombank.com/thong-tin/blog/tra-no-vay-thau-chi-nhu-the-nao</v>
      </c>
      <c r="CD62" s="16" t="str">
        <f>IFERROR(__xludf.DUMMYFUNCTION("""COMPUTED_VALUE"""),"tính lãi suất tiết kiệm")</f>
        <v>tính lãi suất tiết kiệm</v>
      </c>
      <c r="CE62" s="21" t="str">
        <f>IFERROR(__xludf.DUMMYFUNCTION("""COMPUTED_VALUE"""),"https://techcombank.com/thong-tin/blog/cach-tinh-lai-vay-ngan-hang")</f>
        <v>https://techcombank.com/thong-tin/blog/cach-tinh-lai-vay-ngan-hang</v>
      </c>
      <c r="CF62" s="16" t="str">
        <f>IFERROR(__xludf.DUMMYFUNCTION("""COMPUTED_VALUE"""),"cách tính lãi suất tiết kiệm ngân hàng")</f>
        <v>cách tính lãi suất tiết kiệm ngân hàng</v>
      </c>
      <c r="CG62" s="21" t="str">
        <f>IFERROR(__xludf.DUMMYFUNCTION("""COMPUTED_VALUE"""),"https://techcombank.com/thong-tin/blog/gui-tiet-kiem-online-bi-mat-tien")</f>
        <v>https://techcombank.com/thong-tin/blog/gui-tiet-kiem-online-bi-mat-tien</v>
      </c>
      <c r="CH62" s="16" t="str">
        <f>IFERROR(__xludf.DUMMYFUNCTION("""COMPUTED_VALUE"""),"cách tính lãi suất ngân hàng")</f>
        <v>cách tính lãi suất ngân hàng</v>
      </c>
      <c r="CI62" s="21" t="str">
        <f>IFERROR(__xludf.DUMMYFUNCTION("""COMPUTED_VALUE"""),"https://techcombank.com/thong-tin/blog/kinh-nghiem-gui-tiet-kiem-online")</f>
        <v>https://techcombank.com/thong-tin/blog/kinh-nghiem-gui-tiet-kiem-online</v>
      </c>
      <c r="CJ62" s="16" t="str">
        <f>IFERROR(__xludf.DUMMYFUNCTION("""COMPUTED_VALUE"""),"tính lãi suất ngân hàng")</f>
        <v>tính lãi suất ngân hàng</v>
      </c>
      <c r="CK62" s="21" t="str">
        <f>IFERROR(__xludf.DUMMYFUNCTION("""COMPUTED_VALUE"""),"https://techcombank.com/thong-tin/blog/vay-thau-chi-bang-so-tiet-kiem")</f>
        <v>https://techcombank.com/thong-tin/blog/vay-thau-chi-bang-so-tiet-kiem</v>
      </c>
      <c r="CL62" s="16" t="str">
        <f>IFERROR(__xludf.DUMMYFUNCTION("""COMPUTED_VALUE"""),"tính lãi suất tiết kiệm")</f>
        <v>tính lãi suất tiết kiệm</v>
      </c>
      <c r="CM62" s="21" t="str">
        <f>IFERROR(__xludf.DUMMYFUNCTION("""COMPUTED_VALUE"""),"https://techcombank.com/thong-tin/blog/lai-suat-vay-ngan-hang")</f>
        <v>https://techcombank.com/thong-tin/blog/lai-suat-vay-ngan-hang</v>
      </c>
      <c r="CN62" s="16" t="str">
        <f>IFERROR(__xludf.DUMMYFUNCTION("""COMPUTED_VALUE"""),"cách tính lãi suất tiết kiệm ngân hàng")</f>
        <v>cách tính lãi suất tiết kiệm ngân hàng</v>
      </c>
      <c r="CO62" s="21" t="str">
        <f>IFERROR(__xludf.DUMMYFUNCTION("""COMPUTED_VALUE"""),"https://techcombank.com/thong-tin/blog/gui-tiet-kiem-online-co-rut-truoc-han-duoc-khong")</f>
        <v>https://techcombank.com/thong-tin/blog/gui-tiet-kiem-online-co-rut-truoc-han-duoc-khong</v>
      </c>
      <c r="CP62" s="16" t="str">
        <f>IFERROR(__xludf.DUMMYFUNCTION("""COMPUTED_VALUE"""),"cách tính lãi suất ngân hàng")</f>
        <v>cách tính lãi suất ngân hàng</v>
      </c>
      <c r="CQ62" s="21" t="str">
        <f>IFERROR(__xludf.DUMMYFUNCTION("""COMPUTED_VALUE"""),"https://techcombank.com/thong-tin/blog/gui-tiet-kiem-online-quay-vong-ca-goc-va-lai")</f>
        <v>https://techcombank.com/thong-tin/blog/gui-tiet-kiem-online-quay-vong-ca-goc-va-lai</v>
      </c>
      <c r="CR62" s="16" t="str">
        <f>IFERROR(__xludf.DUMMYFUNCTION("""COMPUTED_VALUE"""),"tính lãi suất ngân hàng")</f>
        <v>tính lãi suất ngân hàng</v>
      </c>
      <c r="CS62" s="21" t="str">
        <f>IFERROR(__xludf.DUMMYFUNCTION("""COMPUTED_VALUE"""),"https://techcombank.com/thong-tin/blog/chung-chi-tien-gui-khac-gi-so-tiet-kiem")</f>
        <v>https://techcombank.com/thong-tin/blog/chung-chi-tien-gui-khac-gi-so-tiet-kiem</v>
      </c>
      <c r="CT62" s="16" t="str">
        <f>IFERROR(__xludf.DUMMYFUNCTION("""COMPUTED_VALUE"""),"tính lãi suất tiết kiệm")</f>
        <v>tính lãi suất tiết kiệm</v>
      </c>
      <c r="CU62" s="21" t="str">
        <f>IFERROR(__xludf.DUMMYFUNCTION("""COMPUTED_VALUE"""),"https://techcombank.com/thong-tin/blog/dau-tu-dai-han")</f>
        <v>https://techcombank.com/thong-tin/blog/dau-tu-dai-han</v>
      </c>
      <c r="CV62" s="16" t="str">
        <f>IFERROR(__xludf.DUMMYFUNCTION("""COMPUTED_VALUE"""),"cách tính lãi suất tiết kiệm ngân hàng")</f>
        <v>cách tính lãi suất tiết kiệm ngân hàng</v>
      </c>
      <c r="CW62" s="21" t="str">
        <f>IFERROR(__xludf.DUMMYFUNCTION("""COMPUTED_VALUE"""),"https://techcombank.com/thong-tin/blog/so-sanh-gui-tiet-kiem-online-va-tai-quay")</f>
        <v>https://techcombank.com/thong-tin/blog/so-sanh-gui-tiet-kiem-online-va-tai-quay</v>
      </c>
      <c r="CX62" s="16" t="str">
        <f>IFERROR(__xludf.DUMMYFUNCTION("""COMPUTED_VALUE"""),"cách tính lãi suất ngân hàng")</f>
        <v>cách tính lãi suất ngân hàng</v>
      </c>
      <c r="CY62" s="21" t="str">
        <f>IFERROR(__xludf.DUMMYFUNCTION("""COMPUTED_VALUE"""),"https://techcombank.com/thong-tin/blog/lai-suat-vay-tin-chap")</f>
        <v>https://techcombank.com/thong-tin/blog/lai-suat-vay-tin-chap</v>
      </c>
      <c r="CZ62" s="16" t="str">
        <f>IFERROR(__xludf.DUMMYFUNCTION("""COMPUTED_VALUE"""),"tính lãi suất ngân hàng")</f>
        <v>tính lãi suất ngân hàng</v>
      </c>
      <c r="DA62" s="21" t="str">
        <f>IFERROR(__xludf.DUMMYFUNCTION("""COMPUTED_VALUE"""),"https://techcombank.com/thong-tin/blog/cach-tiet-kiem-tien-sinh-loi")</f>
        <v>https://techcombank.com/thong-tin/blog/cach-tiet-kiem-tien-sinh-loi</v>
      </c>
      <c r="DB62" s="16" t="str">
        <f>IFERROR(__xludf.DUMMYFUNCTION("""COMPUTED_VALUE"""),"tính lãi suất tiết kiệm")</f>
        <v>tính lãi suất tiết kiệm</v>
      </c>
      <c r="DC62" s="21" t="str">
        <f>IFERROR(__xludf.DUMMYFUNCTION("""COMPUTED_VALUE"""),"https://techcombank.com/thong-tin/blog/co-50-trieu-nen-mua-vang-hay-gui-tiet-kiem")</f>
        <v>https://techcombank.com/thong-tin/blog/co-50-trieu-nen-mua-vang-hay-gui-tiet-kiem</v>
      </c>
      <c r="DD62" s="16" t="str">
        <f>IFERROR(__xludf.DUMMYFUNCTION("""COMPUTED_VALUE"""),"cách tính lãi suất tiết kiệm ngân hàng")</f>
        <v>cách tính lãi suất tiết kiệm ngân hàng</v>
      </c>
      <c r="DE62" s="21" t="str">
        <f>IFERROR(__xludf.DUMMYFUNCTION("""COMPUTED_VALUE"""),"https://techcombank.com/thong-tin/blog/vay-20-trieu")</f>
        <v>https://techcombank.com/thong-tin/blog/vay-20-trieu</v>
      </c>
      <c r="DF62" s="16" t="str">
        <f>IFERROR(__xludf.DUMMYFUNCTION("""COMPUTED_VALUE"""),"cách tính lãi suất ngân hàng")</f>
        <v>cách tính lãi suất ngân hàng</v>
      </c>
      <c r="DG62" s="21" t="str">
        <f>IFERROR(__xludf.DUMMYFUNCTION("""COMPUTED_VALUE"""),"https://techcombank.com/thong-tin/blog/vay-tin-chap-la-gi")</f>
        <v>https://techcombank.com/thong-tin/blog/vay-tin-chap-la-gi</v>
      </c>
      <c r="DH62" s="16" t="str">
        <f>IFERROR(__xludf.DUMMYFUNCTION("""COMPUTED_VALUE"""),"tính lãi suất ngân hàng")</f>
        <v>tính lãi suất ngân hàng</v>
      </c>
      <c r="DI62" s="21" t="str">
        <f>IFERROR(__xludf.DUMMYFUNCTION("""COMPUTED_VALUE"""),"https://techcombank.com/thong-tin/blog/tien-gui-co-ky-han")</f>
        <v>https://techcombank.com/thong-tin/blog/tien-gui-co-ky-han</v>
      </c>
      <c r="DJ62" s="16" t="str">
        <f>IFERROR(__xludf.DUMMYFUNCTION("""COMPUTED_VALUE"""),"tính lãi suất tiết kiệm")</f>
        <v>tính lãi suất tiết kiệm</v>
      </c>
      <c r="DK62" s="21" t="str">
        <f>IFERROR(__xludf.DUMMYFUNCTION("""COMPUTED_VALUE"""),"https://techcombank.com/thong-tin/blog/lai-suat-gui-tiet-kiem-usd")</f>
        <v>https://techcombank.com/thong-tin/blog/lai-suat-gui-tiet-kiem-usd</v>
      </c>
      <c r="DL62" s="16" t="str">
        <f>IFERROR(__xludf.DUMMYFUNCTION("""COMPUTED_VALUE"""),"cách tính lãi suất tiết kiệm ngân hàng")</f>
        <v>cách tính lãi suất tiết kiệm ngân hàng</v>
      </c>
      <c r="DM62" s="21" t="str">
        <f>IFERROR(__xludf.DUMMYFUNCTION("""COMPUTED_VALUE"""),"https://techcombank.com/thong-tin/blog/gui-tiet-kiem-usd")</f>
        <v>https://techcombank.com/thong-tin/blog/gui-tiet-kiem-usd</v>
      </c>
      <c r="DN62" s="16"/>
      <c r="DO62" s="16"/>
      <c r="DP62" s="16"/>
      <c r="DQ62" s="16"/>
      <c r="DR62" s="16"/>
      <c r="DS62" s="16"/>
      <c r="DT62" s="16"/>
      <c r="DU62" s="16"/>
      <c r="DV62" s="16"/>
      <c r="DW62" s="16"/>
      <c r="DX62" s="16"/>
      <c r="DY62" s="16"/>
      <c r="DZ62" s="16"/>
      <c r="EA62" s="16"/>
      <c r="EB62" s="16"/>
      <c r="EC62" s="16"/>
      <c r="ED62" s="16"/>
      <c r="EE62" s="16"/>
      <c r="EF62" s="16"/>
      <c r="EG62" s="16"/>
      <c r="EH62" s="16"/>
      <c r="EI62" s="16"/>
      <c r="EJ62" s="16"/>
      <c r="EK62" s="16"/>
      <c r="EL62" s="16"/>
      <c r="EM62" s="16"/>
      <c r="EN62" s="16"/>
      <c r="EO62" s="16"/>
      <c r="EP62" s="16"/>
      <c r="EQ62" s="16"/>
      <c r="ER62" s="16"/>
      <c r="ES62" s="16"/>
      <c r="ET62" s="16"/>
      <c r="EU62" s="16"/>
      <c r="EV62" s="16"/>
      <c r="EW62" s="16"/>
      <c r="EX62" s="16"/>
      <c r="EY62" s="16"/>
      <c r="EZ62" s="16"/>
      <c r="FA62" s="16"/>
      <c r="FB62" s="16"/>
      <c r="FC62" s="16"/>
      <c r="FD62" s="16"/>
      <c r="FE62" s="16"/>
      <c r="FF62" s="16"/>
      <c r="FG62" s="16"/>
      <c r="FH62" s="16"/>
      <c r="FI62" s="16"/>
      <c r="FJ62" s="16"/>
      <c r="FK62" s="16"/>
      <c r="FL62" s="16"/>
      <c r="FM62" s="16"/>
      <c r="FN62" s="16"/>
      <c r="FO62" s="16"/>
      <c r="FP62" s="16"/>
      <c r="FQ62" s="16"/>
      <c r="FR62" s="16"/>
      <c r="FS62" s="16"/>
      <c r="FT62" s="16"/>
      <c r="FU62" s="16"/>
      <c r="FV62" s="16"/>
      <c r="FW62" s="16"/>
      <c r="FX62" s="16"/>
      <c r="FY62" s="16"/>
      <c r="FZ62" s="16"/>
      <c r="GA62" s="16"/>
      <c r="GB62" s="16"/>
      <c r="GC62" s="16"/>
      <c r="GD62" s="16"/>
      <c r="GE62" s="16"/>
      <c r="GF62" s="16"/>
      <c r="GG62" s="16"/>
      <c r="GH62" s="16"/>
      <c r="GI62" s="16"/>
      <c r="GJ62" s="16"/>
      <c r="GK62" s="16"/>
      <c r="GL62" s="16"/>
      <c r="GM62" s="16"/>
      <c r="GN62" s="16"/>
      <c r="GO62" s="16"/>
    </row>
    <row r="63" ht="18.0" customHeight="1">
      <c r="A63" s="15">
        <v>62.0</v>
      </c>
      <c r="B63" s="16" t="s">
        <v>1308</v>
      </c>
      <c r="C63" s="17" t="s">
        <v>1350</v>
      </c>
      <c r="D63" s="16" t="s">
        <v>359</v>
      </c>
      <c r="E63" s="15">
        <f>COUNTIF('Tổng hợp 75 trang đích'!$B$2:$B$2505,$D63)</f>
        <v>19</v>
      </c>
      <c r="F63" s="15">
        <f>COUNTIFS('Tổng hợp 75 trang đích'!$B$2:$B$2505,$D63,'Tổng hợp 75 trang đích'!$K$2:$K$2505,"PHÙ HỢP CAO")</f>
        <v>3</v>
      </c>
      <c r="G63" s="15">
        <f>COUNTIFS('Tổng hợp 75 trang đích'!$B$2:$B$2505,$D63,'Tổng hợp 75 trang đích'!$K$2:$K$2505,"CÓ THỂ ĐI")</f>
        <v>2</v>
      </c>
      <c r="H63" s="15">
        <f>COUNTIFS('Tổng hợp 75 trang đích'!$B$2:$B$2505,$D63,'Tổng hợp 75 trang đích'!$K$2:$K$2505,"CẦN SOÁT")</f>
        <v>14</v>
      </c>
      <c r="I63" s="19" t="s">
        <v>256</v>
      </c>
      <c r="J63" s="19" t="b">
        <v>0</v>
      </c>
      <c r="K63" s="20" t="s">
        <v>258</v>
      </c>
      <c r="L63" s="16" t="str">
        <f>IFERROR(__xludf.DUMMYFUNCTION("IFERROR(TOROW(CHOOSECOLS(SORT(FILTER({'Tổng hợp 75 trang đích'!$J$2:$J$2505,'Tổng hợp 75 trang đích'!$I$2:$I$2505,MATCH('Tổng hợp 75 trang đích'!$K$2:$K$2505,{""PHÙ HỢP CAO"",""CÓ THỂ ĐI"",""CẦN SOÁT""},0)},'Tổng hợp 75 trang đích'!$B$2:$B$2505=$D63),3,TR"&amp;"UE),1,2)),"""")"),"rút tiền tiết kiệm trước thời hạn")</f>
        <v>rút tiền tiết kiệm trước thời hạn</v>
      </c>
      <c r="M63" s="21" t="str">
        <f>IFERROR(__xludf.DUMMYFUNCTION("""COMPUTED_VALUE"""),"https://techcombank.com/thong-tin/blog/tat-toan-so-tiet-kiem")</f>
        <v>https://techcombank.com/thong-tin/blog/tat-toan-so-tiet-kiem</v>
      </c>
      <c r="N63" s="16" t="str">
        <f>IFERROR(__xludf.DUMMYFUNCTION("""COMPUTED_VALUE"""),"rút tiết kiệm trước hạn")</f>
        <v>rút tiết kiệm trước hạn</v>
      </c>
      <c r="O63" s="21" t="str">
        <f>IFERROR(__xludf.DUMMYFUNCTION("""COMPUTED_VALUE"""),"https://techcombank.com/thong-tin/blog/gui-tiet-kiem-online-co-rut-truoc-han-duoc-khong")</f>
        <v>https://techcombank.com/thong-tin/blog/gui-tiet-kiem-online-co-rut-truoc-han-duoc-khong</v>
      </c>
      <c r="P63" s="16" t="str">
        <f>IFERROR(__xludf.DUMMYFUNCTION("""COMPUTED_VALUE"""),"rút tiền tiết kiệm trước thời hạn")</f>
        <v>rút tiền tiết kiệm trước thời hạn</v>
      </c>
      <c r="Q63" s="21" t="str">
        <f>IFERROR(__xludf.DUMMYFUNCTION("""COMPUTED_VALUE"""),"https://techcombank.com/thong-tin/blog/vay-thau-chi-bang-so-tiet-kiem")</f>
        <v>https://techcombank.com/thong-tin/blog/vay-thau-chi-bang-so-tiet-kiem</v>
      </c>
      <c r="R63" s="16" t="str">
        <f>IFERROR(__xludf.DUMMYFUNCTION("""COMPUTED_VALUE"""),"rút tiết kiệm trước hạn")</f>
        <v>rút tiết kiệm trước hạn</v>
      </c>
      <c r="S63" s="21" t="str">
        <f>IFERROR(__xludf.DUMMYFUNCTION("""COMPUTED_VALUE"""),"https://techcombank.com/thong-tin/blog/mat-so-tiet-kiem")</f>
        <v>https://techcombank.com/thong-tin/blog/mat-so-tiet-kiem</v>
      </c>
      <c r="T63" s="16" t="str">
        <f>IFERROR(__xludf.DUMMYFUNCTION("""COMPUTED_VALUE"""),"rút tiền tiết kiệm trước thời hạn")</f>
        <v>rút tiền tiết kiệm trước thời hạn</v>
      </c>
      <c r="U63" s="21" t="str">
        <f>IFERROR(__xludf.DUMMYFUNCTION("""COMPUTED_VALUE"""),"https://techcombank.com/thong-tin/blog/gui-them-tien-vao-so-tiet-kiem")</f>
        <v>https://techcombank.com/thong-tin/blog/gui-them-tien-vao-so-tiet-kiem</v>
      </c>
      <c r="V63" s="16" t="str">
        <f>IFERROR(__xludf.DUMMYFUNCTION("""COMPUTED_VALUE"""),"rút tiết kiệm trước hạn")</f>
        <v>rút tiết kiệm trước hạn</v>
      </c>
      <c r="W63" s="21" t="str">
        <f>IFERROR(__xludf.DUMMYFUNCTION("""COMPUTED_VALUE"""),"https://techcombank.com/thong-tin/blog/so-tiet-kiem-ngan-hang")</f>
        <v>https://techcombank.com/thong-tin/blog/so-tiet-kiem-ngan-hang</v>
      </c>
      <c r="X63" s="16" t="str">
        <f>IFERROR(__xludf.DUMMYFUNCTION("""COMPUTED_VALUE"""),"rút tiền tiết kiệm trước thời hạn")</f>
        <v>rút tiền tiết kiệm trước thời hạn</v>
      </c>
      <c r="Y63" s="21" t="str">
        <f>IFERROR(__xludf.DUMMYFUNCTION("""COMPUTED_VALUE"""),"https://techcombank.com/thong-tin/blog/tat-toan")</f>
        <v>https://techcombank.com/thong-tin/blog/tat-toan</v>
      </c>
      <c r="Z63" s="16" t="str">
        <f>IFERROR(__xludf.DUMMYFUNCTION("""COMPUTED_VALUE"""),"rút tiết kiệm trước hạn")</f>
        <v>rút tiết kiệm trước hạn</v>
      </c>
      <c r="AA63" s="21" t="str">
        <f>IFERROR(__xludf.DUMMYFUNCTION("""COMPUTED_VALUE"""),"https://techcombank.com/thong-tin/blog/dao-han-la-gi")</f>
        <v>https://techcombank.com/thong-tin/blog/dao-han-la-gi</v>
      </c>
      <c r="AB63" s="16" t="str">
        <f>IFERROR(__xludf.DUMMYFUNCTION("""COMPUTED_VALUE"""),"rút tiền tiết kiệm trước thời hạn")</f>
        <v>rút tiền tiết kiệm trước thời hạn</v>
      </c>
      <c r="AC63" s="21" t="str">
        <f>IFERROR(__xludf.DUMMYFUNCTION("""COMPUTED_VALUE"""),"https://techcombank.com/thong-tin/blog/quy-trinh-tat-toan-khoan-vay-the-chap")</f>
        <v>https://techcombank.com/thong-tin/blog/quy-trinh-tat-toan-khoan-vay-the-chap</v>
      </c>
      <c r="AD63" s="16" t="str">
        <f>IFERROR(__xludf.DUMMYFUNCTION("""COMPUTED_VALUE"""),"rút tiết kiệm trước hạn")</f>
        <v>rút tiết kiệm trước hạn</v>
      </c>
      <c r="AE63" s="21" t="str">
        <f>IFERROR(__xludf.DUMMYFUNCTION("""COMPUTED_VALUE"""),"https://techcombank.com/thong-tin/blog/tat-toan-chung-chi-tien-gui")</f>
        <v>https://techcombank.com/thong-tin/blog/tat-toan-chung-chi-tien-gui</v>
      </c>
      <c r="AF63" s="16" t="str">
        <f>IFERROR(__xludf.DUMMYFUNCTION("""COMPUTED_VALUE"""),"rút tiền tiết kiệm trước thời hạn")</f>
        <v>rút tiền tiết kiệm trước thời hạn</v>
      </c>
      <c r="AG63" s="21" t="str">
        <f>IFERROR(__xludf.DUMMYFUNCTION("""COMPUTED_VALUE"""),"https://techcombank.com/thong-tin/blog/mo-so-tiet-kiem-can-bao-nhieu-tien")</f>
        <v>https://techcombank.com/thong-tin/blog/mo-so-tiet-kiem-can-bao-nhieu-tien</v>
      </c>
      <c r="AH63" s="16" t="str">
        <f>IFERROR(__xludf.DUMMYFUNCTION("""COMPUTED_VALUE"""),"rút tiết kiệm trước hạn")</f>
        <v>rút tiết kiệm trước hạn</v>
      </c>
      <c r="AI63" s="21" t="str">
        <f>IFERROR(__xludf.DUMMYFUNCTION("""COMPUTED_VALUE"""),"https://techcombank.com/thong-tin/blog/chuyen-nhuong-chung-chi-tien-gui")</f>
        <v>https://techcombank.com/thong-tin/blog/chuyen-nhuong-chung-chi-tien-gui</v>
      </c>
      <c r="AJ63" s="16" t="str">
        <f>IFERROR(__xludf.DUMMYFUNCTION("""COMPUTED_VALUE"""),"rút tiền tiết kiệm trước thời hạn")</f>
        <v>rút tiền tiết kiệm trước thời hạn</v>
      </c>
      <c r="AK63" s="21" t="str">
        <f>IFERROR(__xludf.DUMMYFUNCTION("""COMPUTED_VALUE"""),"https://techcombank.com/thong-tin/blog/no-xau-mo-the-tin-dung-duoc-khong")</f>
        <v>https://techcombank.com/thong-tin/blog/no-xau-mo-the-tin-dung-duoc-khong</v>
      </c>
      <c r="AL63" s="16" t="str">
        <f>IFERROR(__xludf.DUMMYFUNCTION("""COMPUTED_VALUE"""),"rút tiết kiệm trước hạn")</f>
        <v>rút tiết kiệm trước hạn</v>
      </c>
      <c r="AM63" s="21" t="str">
        <f>IFERROR(__xludf.DUMMYFUNCTION("""COMPUTED_VALUE"""),"https://techcombank.com/thong-tin/blog/rut-tien-bao-hiem-nhan-tho-khi-het-han")</f>
        <v>https://techcombank.com/thong-tin/blog/rut-tien-bao-hiem-nhan-tho-khi-het-han</v>
      </c>
      <c r="AN63" s="16" t="str">
        <f>IFERROR(__xludf.DUMMYFUNCTION("""COMPUTED_VALUE"""),"rút tiền tiết kiệm trước thời hạn")</f>
        <v>rút tiền tiết kiệm trước thời hạn</v>
      </c>
      <c r="AO63" s="21" t="str">
        <f>IFERROR(__xludf.DUMMYFUNCTION("""COMPUTED_VALUE"""),"https://techcombank.com/thong-tin/blog/mo-the-tin-dung-khong-can-chung-minh-thu-nhap")</f>
        <v>https://techcombank.com/thong-tin/blog/mo-the-tin-dung-khong-can-chung-minh-thu-nhap</v>
      </c>
      <c r="AP63" s="16" t="str">
        <f>IFERROR(__xludf.DUMMYFUNCTION("""COMPUTED_VALUE"""),"rút tiết kiệm trước hạn")</f>
        <v>rút tiết kiệm trước hạn</v>
      </c>
      <c r="AQ63" s="21" t="str">
        <f>IFERROR(__xludf.DUMMYFUNCTION("""COMPUTED_VALUE"""),"https://techcombank.com/thong-tin/blog/chung-chi-tien-gui-khac-gi-so-tiet-kiem")</f>
        <v>https://techcombank.com/thong-tin/blog/chung-chi-tien-gui-khac-gi-so-tiet-kiem</v>
      </c>
      <c r="AR63" s="16" t="str">
        <f>IFERROR(__xludf.DUMMYFUNCTION("""COMPUTED_VALUE"""),"rút tiền tiết kiệm trước thời hạn")</f>
        <v>rút tiền tiết kiệm trước thời hạn</v>
      </c>
      <c r="AS63" s="21" t="str">
        <f>IFERROR(__xludf.DUMMYFUNCTION("""COMPUTED_VALUE"""),"https://techcombank.com/thong-tin/blog/chung-chi-tien-gui-co-duoc-rut-truoc-han")</f>
        <v>https://techcombank.com/thong-tin/blog/chung-chi-tien-gui-co-duoc-rut-truoc-han</v>
      </c>
      <c r="AT63" s="16" t="str">
        <f>IFERROR(__xludf.DUMMYFUNCTION("""COMPUTED_VALUE"""),"rút tiết kiệm trước hạn")</f>
        <v>rút tiết kiệm trước hạn</v>
      </c>
      <c r="AU63" s="21" t="str">
        <f>IFERROR(__xludf.DUMMYFUNCTION("""COMPUTED_VALUE"""),"https://techcombank.com/thong-tin/blog/vay-20-trieu")</f>
        <v>https://techcombank.com/thong-tin/blog/vay-20-trieu</v>
      </c>
      <c r="AV63" s="16" t="str">
        <f>IFERROR(__xludf.DUMMYFUNCTION("""COMPUTED_VALUE"""),"rút tiền tiết kiệm trước thời hạn")</f>
        <v>rút tiền tiết kiệm trước thời hạn</v>
      </c>
      <c r="AW63" s="21" t="str">
        <f>IFERROR(__xludf.DUMMYFUNCTION("""COMPUTED_VALUE"""),"https://techcombank.com/thong-tin/blog/tien-gui-co-ky-han")</f>
        <v>https://techcombank.com/thong-tin/blog/tien-gui-co-ky-han</v>
      </c>
      <c r="AX63" s="16"/>
      <c r="AY63" s="16"/>
      <c r="AZ63" s="16"/>
      <c r="BA63" s="16"/>
      <c r="BB63" s="16"/>
      <c r="BC63" s="16"/>
      <c r="BD63" s="16"/>
      <c r="BE63" s="16"/>
      <c r="BF63" s="16"/>
      <c r="BG63" s="16"/>
      <c r="BH63" s="16"/>
      <c r="BI63" s="16"/>
      <c r="BJ63" s="16"/>
      <c r="BK63" s="16"/>
      <c r="BL63" s="16"/>
      <c r="BM63" s="16"/>
      <c r="BN63" s="16"/>
      <c r="BO63" s="16"/>
      <c r="BP63" s="16"/>
      <c r="BQ63" s="16"/>
      <c r="BR63" s="16"/>
      <c r="BS63" s="16"/>
      <c r="BT63" s="16"/>
      <c r="BU63" s="16"/>
      <c r="BV63" s="16"/>
      <c r="BW63" s="16"/>
      <c r="BX63" s="16"/>
      <c r="BY63" s="16"/>
      <c r="BZ63" s="16"/>
      <c r="CA63" s="16"/>
      <c r="CB63" s="16"/>
      <c r="CC63" s="16"/>
      <c r="CD63" s="16"/>
      <c r="CE63" s="16"/>
      <c r="CF63" s="16"/>
      <c r="CG63" s="16"/>
      <c r="CH63" s="16"/>
      <c r="CI63" s="16"/>
      <c r="CJ63" s="16"/>
      <c r="CK63" s="16"/>
      <c r="CL63" s="16"/>
      <c r="CM63" s="16"/>
      <c r="CN63" s="16"/>
      <c r="CO63" s="16"/>
      <c r="CP63" s="16"/>
      <c r="CQ63" s="16"/>
      <c r="CR63" s="16"/>
      <c r="CS63" s="16"/>
      <c r="CT63" s="16"/>
      <c r="CU63" s="16"/>
      <c r="CV63" s="16"/>
      <c r="CW63" s="16"/>
      <c r="CX63" s="16"/>
      <c r="CY63" s="16"/>
      <c r="CZ63" s="16"/>
      <c r="DA63" s="16"/>
      <c r="DB63" s="16"/>
      <c r="DC63" s="16"/>
      <c r="DD63" s="16"/>
      <c r="DE63" s="16"/>
      <c r="DF63" s="16"/>
      <c r="DG63" s="16"/>
      <c r="DH63" s="16"/>
      <c r="DI63" s="16"/>
      <c r="DJ63" s="16"/>
      <c r="DK63" s="16"/>
      <c r="DL63" s="16"/>
      <c r="DM63" s="16"/>
      <c r="DN63" s="16"/>
      <c r="DO63" s="16"/>
      <c r="DP63" s="16"/>
      <c r="DQ63" s="16"/>
      <c r="DR63" s="16"/>
      <c r="DS63" s="16"/>
      <c r="DT63" s="16"/>
      <c r="DU63" s="16"/>
      <c r="DV63" s="16"/>
      <c r="DW63" s="16"/>
      <c r="DX63" s="16"/>
      <c r="DY63" s="16"/>
      <c r="DZ63" s="16"/>
      <c r="EA63" s="16"/>
      <c r="EB63" s="16"/>
      <c r="EC63" s="16"/>
      <c r="ED63" s="16"/>
      <c r="EE63" s="16"/>
      <c r="EF63" s="16"/>
      <c r="EG63" s="16"/>
      <c r="EH63" s="16"/>
      <c r="EI63" s="16"/>
      <c r="EJ63" s="16"/>
      <c r="EK63" s="16"/>
      <c r="EL63" s="16"/>
      <c r="EM63" s="16"/>
      <c r="EN63" s="16"/>
      <c r="EO63" s="16"/>
      <c r="EP63" s="16"/>
      <c r="EQ63" s="16"/>
      <c r="ER63" s="16"/>
      <c r="ES63" s="16"/>
      <c r="ET63" s="16"/>
      <c r="EU63" s="16"/>
      <c r="EV63" s="16"/>
      <c r="EW63" s="16"/>
      <c r="EX63" s="16"/>
      <c r="EY63" s="16"/>
      <c r="EZ63" s="16"/>
      <c r="FA63" s="16"/>
      <c r="FB63" s="16"/>
      <c r="FC63" s="16"/>
      <c r="FD63" s="16"/>
      <c r="FE63" s="16"/>
      <c r="FF63" s="16"/>
      <c r="FG63" s="16"/>
      <c r="FH63" s="16"/>
      <c r="FI63" s="16"/>
      <c r="FJ63" s="16"/>
      <c r="FK63" s="16"/>
      <c r="FL63" s="16"/>
      <c r="FM63" s="16"/>
      <c r="FN63" s="16"/>
      <c r="FO63" s="16"/>
      <c r="FP63" s="16"/>
      <c r="FQ63" s="16"/>
      <c r="FR63" s="16"/>
      <c r="FS63" s="16"/>
      <c r="FT63" s="16"/>
      <c r="FU63" s="16"/>
      <c r="FV63" s="16"/>
      <c r="FW63" s="16"/>
      <c r="FX63" s="16"/>
      <c r="FY63" s="16"/>
      <c r="FZ63" s="16"/>
      <c r="GA63" s="16"/>
      <c r="GB63" s="16"/>
      <c r="GC63" s="16"/>
      <c r="GD63" s="16"/>
      <c r="GE63" s="16"/>
      <c r="GF63" s="16"/>
      <c r="GG63" s="16"/>
      <c r="GH63" s="16"/>
      <c r="GI63" s="16"/>
      <c r="GJ63" s="16"/>
      <c r="GK63" s="16"/>
      <c r="GL63" s="16"/>
      <c r="GM63" s="16"/>
      <c r="GN63" s="16"/>
      <c r="GO63" s="16"/>
    </row>
    <row r="64" ht="18.0" customHeight="1">
      <c r="A64" s="15">
        <v>63.0</v>
      </c>
      <c r="B64" s="16" t="s">
        <v>1308</v>
      </c>
      <c r="C64" s="17" t="s">
        <v>1365</v>
      </c>
      <c r="D64" s="16" t="s">
        <v>361</v>
      </c>
      <c r="E64" s="15">
        <f>COUNTIF('Tổng hợp 75 trang đích'!$B$2:$B$2505,$D64)</f>
        <v>41</v>
      </c>
      <c r="F64" s="15">
        <f>COUNTIFS('Tổng hợp 75 trang đích'!$B$2:$B$2505,$D64,'Tổng hợp 75 trang đích'!$K$2:$K$2505,"PHÙ HỢP CAO")</f>
        <v>4</v>
      </c>
      <c r="G64" s="15">
        <f>COUNTIFS('Tổng hợp 75 trang đích'!$B$2:$B$2505,$D64,'Tổng hợp 75 trang đích'!$K$2:$K$2505,"CÓ THỂ ĐI")</f>
        <v>1</v>
      </c>
      <c r="H64" s="15">
        <f>COUNTIFS('Tổng hợp 75 trang đích'!$B$2:$B$2505,$D64,'Tổng hợp 75 trang đích'!$K$2:$K$2505,"CẦN SOÁT")</f>
        <v>36</v>
      </c>
      <c r="I64" s="19" t="s">
        <v>256</v>
      </c>
      <c r="J64" s="19" t="b">
        <v>0</v>
      </c>
      <c r="K64" s="20" t="s">
        <v>258</v>
      </c>
      <c r="L64" s="16" t="str">
        <f>IFERROR(__xludf.DUMMYFUNCTION("IFERROR(TOROW(CHOOSECOLS(SORT(FILTER({'Tổng hợp 75 trang đích'!$J$2:$J$2505,'Tổng hợp 75 trang đích'!$I$2:$I$2505,MATCH('Tổng hợp 75 trang đích'!$K$2:$K$2505,{""PHÙ HỢP CAO"",""CÓ THỂ ĐI"",""CẦN SOÁT""},0)},'Tổng hợp 75 trang đích'!$B$2:$B$2505=$D64),3,TR"&amp;"UE),1,2)),"""")"),"sổ tiết kiệm ngân hàng")</f>
        <v>sổ tiết kiệm ngân hàng</v>
      </c>
      <c r="M64" s="21" t="str">
        <f>IFERROR(__xludf.DUMMYFUNCTION("""COMPUTED_VALUE"""),"https://techcombank.com/thong-tin/blog/mo-so-tiet-kiem-can-bao-nhieu-tien")</f>
        <v>https://techcombank.com/thong-tin/blog/mo-so-tiet-kiem-can-bao-nhieu-tien</v>
      </c>
      <c r="N64" s="16" t="str">
        <f>IFERROR(__xludf.DUMMYFUNCTION("""COMPUTED_VALUE"""),"sổ tiết kiệm")</f>
        <v>sổ tiết kiệm</v>
      </c>
      <c r="O64" s="21" t="str">
        <f>IFERROR(__xludf.DUMMYFUNCTION("""COMPUTED_VALUE"""),"https://techcombank.com/thong-tin/blog/tai-khoan-tiet-kiem")</f>
        <v>https://techcombank.com/thong-tin/blog/tai-khoan-tiet-kiem</v>
      </c>
      <c r="P64" s="16" t="str">
        <f>IFERROR(__xludf.DUMMYFUNCTION("""COMPUTED_VALUE"""),"sổ tiết kiệm ngân hàng")</f>
        <v>sổ tiết kiệm ngân hàng</v>
      </c>
      <c r="Q64" s="21" t="str">
        <f>IFERROR(__xludf.DUMMYFUNCTION("""COMPUTED_VALUE"""),"https://techcombank.com/thong-tin/blog/mat-so-tiet-kiem")</f>
        <v>https://techcombank.com/thong-tin/blog/mat-so-tiet-kiem</v>
      </c>
      <c r="R64" s="16" t="str">
        <f>IFERROR(__xludf.DUMMYFUNCTION("""COMPUTED_VALUE"""),"sổ tiết kiệm")</f>
        <v>sổ tiết kiệm</v>
      </c>
      <c r="S64" s="21" t="str">
        <f>IFERROR(__xludf.DUMMYFUNCTION("""COMPUTED_VALUE"""),"https://techcombank.com/thong-tin/blog/gui-them-tien-vao-so-tiet-kiem")</f>
        <v>https://techcombank.com/thong-tin/blog/gui-them-tien-vao-so-tiet-kiem</v>
      </c>
      <c r="T64" s="16" t="str">
        <f>IFERROR(__xludf.DUMMYFUNCTION("""COMPUTED_VALUE"""),"sổ tiết kiệm ngân hàng")</f>
        <v>sổ tiết kiệm ngân hàng</v>
      </c>
      <c r="U64" s="21" t="str">
        <f>IFERROR(__xludf.DUMMYFUNCTION("""COMPUTED_VALUE"""),"https://techcombank.com/thong-tin/blog/quy-trinh-gui-tien-tiet-kiem")</f>
        <v>https://techcombank.com/thong-tin/blog/quy-trinh-gui-tien-tiet-kiem</v>
      </c>
      <c r="V64" s="16" t="str">
        <f>IFERROR(__xludf.DUMMYFUNCTION("""COMPUTED_VALUE"""),"sổ tiết kiệm")</f>
        <v>sổ tiết kiệm</v>
      </c>
      <c r="W64" s="21" t="str">
        <f>IFERROR(__xludf.DUMMYFUNCTION("""COMPUTED_VALUE"""),"https://techcombank.com/thong-tin/blog/gui-tiet-kiem-theo-ngay")</f>
        <v>https://techcombank.com/thong-tin/blog/gui-tiet-kiem-theo-ngay</v>
      </c>
      <c r="X64" s="16" t="str">
        <f>IFERROR(__xludf.DUMMYFUNCTION("""COMPUTED_VALUE"""),"sổ tiết kiệm ngân hàng")</f>
        <v>sổ tiết kiệm ngân hàng</v>
      </c>
      <c r="Y64" s="21" t="str">
        <f>IFERROR(__xludf.DUMMYFUNCTION("""COMPUTED_VALUE"""),"https://techcombank.com/thong-tin/blog/tai-khoan-thanh-toan-la-gi")</f>
        <v>https://techcombank.com/thong-tin/blog/tai-khoan-thanh-toan-la-gi</v>
      </c>
      <c r="Z64" s="16" t="str">
        <f>IFERROR(__xludf.DUMMYFUNCTION("""COMPUTED_VALUE"""),"sổ tiết kiệm")</f>
        <v>sổ tiết kiệm</v>
      </c>
      <c r="AA64" s="21" t="str">
        <f>IFERROR(__xludf.DUMMYFUNCTION("""COMPUTED_VALUE"""),"https://techcombank.com/thong-tin/blog/gui-tiet-kiem-vang")</f>
        <v>https://techcombank.com/thong-tin/blog/gui-tiet-kiem-vang</v>
      </c>
      <c r="AB64" s="16" t="str">
        <f>IFERROR(__xludf.DUMMYFUNCTION("""COMPUTED_VALUE"""),"sổ tiết kiệm ngân hàng")</f>
        <v>sổ tiết kiệm ngân hàng</v>
      </c>
      <c r="AC64" s="21" t="str">
        <f>IFERROR(__xludf.DUMMYFUNCTION("""COMPUTED_VALUE"""),"https://techcombank.com/thong-tin/blog/nen-gui-tiet-kiem-thong-thuong-hay-tich-luy")</f>
        <v>https://techcombank.com/thong-tin/blog/nen-gui-tiet-kiem-thong-thuong-hay-tich-luy</v>
      </c>
      <c r="AD64" s="16" t="str">
        <f>IFERROR(__xludf.DUMMYFUNCTION("""COMPUTED_VALUE"""),"sổ tiết kiệm")</f>
        <v>sổ tiết kiệm</v>
      </c>
      <c r="AE64" s="21" t="str">
        <f>IFERROR(__xludf.DUMMYFUNCTION("""COMPUTED_VALUE"""),"https://techcombank.com/thong-tin/blog/tai-sao-gui-tiet-kiem-online-lai-suat-cao-hon")</f>
        <v>https://techcombank.com/thong-tin/blog/tai-sao-gui-tiet-kiem-online-lai-suat-cao-hon</v>
      </c>
      <c r="AF64" s="16" t="str">
        <f>IFERROR(__xludf.DUMMYFUNCTION("""COMPUTED_VALUE"""),"sổ tiết kiệm ngân hàng")</f>
        <v>sổ tiết kiệm ngân hàng</v>
      </c>
      <c r="AG64" s="21" t="str">
        <f>IFERROR(__xludf.DUMMYFUNCTION("""COMPUTED_VALUE"""),"https://techcombank.com/thong-tin/blog/tat-toan-so-tiet-kiem")</f>
        <v>https://techcombank.com/thong-tin/blog/tat-toan-so-tiet-kiem</v>
      </c>
      <c r="AH64" s="16" t="str">
        <f>IFERROR(__xludf.DUMMYFUNCTION("""COMPUTED_VALUE"""),"sổ tiết kiệm")</f>
        <v>sổ tiết kiệm</v>
      </c>
      <c r="AI64" s="21" t="str">
        <f>IFERROR(__xludf.DUMMYFUNCTION("""COMPUTED_VALUE"""),"https://techcombank.com/thong-tin/blog/tat-toan")</f>
        <v>https://techcombank.com/thong-tin/blog/tat-toan</v>
      </c>
      <c r="AJ64" s="16" t="str">
        <f>IFERROR(__xludf.DUMMYFUNCTION("""COMPUTED_VALUE"""),"sổ tiết kiệm ngân hàng")</f>
        <v>sổ tiết kiệm ngân hàng</v>
      </c>
      <c r="AK64" s="21" t="str">
        <f>IFERROR(__xludf.DUMMYFUNCTION("""COMPUTED_VALUE"""),"https://techcombank.com/thong-tin/blog/dao-han-la-gi")</f>
        <v>https://techcombank.com/thong-tin/blog/dao-han-la-gi</v>
      </c>
      <c r="AL64" s="16" t="str">
        <f>IFERROR(__xludf.DUMMYFUNCTION("""COMPUTED_VALUE"""),"sổ tiết kiệm")</f>
        <v>sổ tiết kiệm</v>
      </c>
      <c r="AM64" s="21" t="str">
        <f>IFERROR(__xludf.DUMMYFUNCTION("""COMPUTED_VALUE"""),"https://techcombank.com/thong-tin/blog/nen-de-tien-trong-the-hay-gui-tiet-kiem")</f>
        <v>https://techcombank.com/thong-tin/blog/nen-de-tien-trong-the-hay-gui-tiet-kiem</v>
      </c>
      <c r="AN64" s="16" t="str">
        <f>IFERROR(__xludf.DUMMYFUNCTION("""COMPUTED_VALUE"""),"sổ tiết kiệm ngân hàng")</f>
        <v>sổ tiết kiệm ngân hàng</v>
      </c>
      <c r="AO64" s="21" t="str">
        <f>IFERROR(__xludf.DUMMYFUNCTION("""COMPUTED_VALUE"""),"https://techcombank.com/thong-tin/blog/co-nen-gui-tiet-kiem-ngan-hang")</f>
        <v>https://techcombank.com/thong-tin/blog/co-nen-gui-tiet-kiem-ngan-hang</v>
      </c>
      <c r="AP64" s="16" t="str">
        <f>IFERROR(__xludf.DUMMYFUNCTION("""COMPUTED_VALUE"""),"sổ tiết kiệm")</f>
        <v>sổ tiết kiệm</v>
      </c>
      <c r="AQ64" s="21" t="str">
        <f>IFERROR(__xludf.DUMMYFUNCTION("""COMPUTED_VALUE"""),"https://techcombank.com/thong-tin/blog/lai-suat-tiet-kiem")</f>
        <v>https://techcombank.com/thong-tin/blog/lai-suat-tiet-kiem</v>
      </c>
      <c r="AR64" s="16" t="str">
        <f>IFERROR(__xludf.DUMMYFUNCTION("""COMPUTED_VALUE"""),"sổ tiết kiệm ngân hàng")</f>
        <v>sổ tiết kiệm ngân hàng</v>
      </c>
      <c r="AS64" s="21" t="str">
        <f>IFERROR(__xludf.DUMMYFUNCTION("""COMPUTED_VALUE"""),"https://techcombank.com/thong-tin/blog/co-nen-gui-tiet-kiem-online")</f>
        <v>https://techcombank.com/thong-tin/blog/co-nen-gui-tiet-kiem-online</v>
      </c>
      <c r="AT64" s="16" t="str">
        <f>IFERROR(__xludf.DUMMYFUNCTION("""COMPUTED_VALUE"""),"sổ tiết kiệm")</f>
        <v>sổ tiết kiệm</v>
      </c>
      <c r="AU64" s="21" t="str">
        <f>IFERROR(__xludf.DUMMYFUNCTION("""COMPUTED_VALUE"""),"https://techcombank.com/thong-tin/blog/gui-tiet-kiem-ngan-hang-van-la-lua-chon-an-toan-trong-thoi-ky-kinh-te-con-nhieu-bien-dong")</f>
        <v>https://techcombank.com/thong-tin/blog/gui-tiet-kiem-ngan-hang-van-la-lua-chon-an-toan-trong-thoi-ky-kinh-te-con-nhieu-bien-dong</v>
      </c>
      <c r="AV64" s="16" t="str">
        <f>IFERROR(__xludf.DUMMYFUNCTION("""COMPUTED_VALUE"""),"sổ tiết kiệm ngân hàng")</f>
        <v>sổ tiết kiệm ngân hàng</v>
      </c>
      <c r="AW64" s="21" t="str">
        <f>IFERROR(__xludf.DUMMYFUNCTION("""COMPUTED_VALUE"""),"https://techcombank.com/thong-tin/blog/cach-gui-tiet-kiem-online")</f>
        <v>https://techcombank.com/thong-tin/blog/cach-gui-tiet-kiem-online</v>
      </c>
      <c r="AX64" s="16" t="str">
        <f>IFERROR(__xludf.DUMMYFUNCTION("""COMPUTED_VALUE"""),"sổ tiết kiệm")</f>
        <v>sổ tiết kiệm</v>
      </c>
      <c r="AY64" s="21" t="str">
        <f>IFERROR(__xludf.DUMMYFUNCTION("""COMPUTED_VALUE"""),"https://techcombank.com/thong-tin/blog/gui-tien-ngan-hang-co-an-toan-khong")</f>
        <v>https://techcombank.com/thong-tin/blog/gui-tien-ngan-hang-co-an-toan-khong</v>
      </c>
      <c r="AZ64" s="16" t="str">
        <f>IFERROR(__xludf.DUMMYFUNCTION("""COMPUTED_VALUE"""),"sổ tiết kiệm ngân hàng")</f>
        <v>sổ tiết kiệm ngân hàng</v>
      </c>
      <c r="BA64" s="21" t="str">
        <f>IFERROR(__xludf.DUMMYFUNCTION("""COMPUTED_VALUE"""),"https://techcombank.com/thong-tin/blog/nen-gui-tiet-kiem-6-thang-hay-1-nam")</f>
        <v>https://techcombank.com/thong-tin/blog/nen-gui-tiet-kiem-6-thang-hay-1-nam</v>
      </c>
      <c r="BB64" s="16" t="str">
        <f>IFERROR(__xludf.DUMMYFUNCTION("""COMPUTED_VALUE"""),"sổ tiết kiệm")</f>
        <v>sổ tiết kiệm</v>
      </c>
      <c r="BC64" s="21" t="str">
        <f>IFERROR(__xludf.DUMMYFUNCTION("""COMPUTED_VALUE"""),"https://techcombank.com/thong-tin/blog/mo-tai-khoan-tiet-kiem-cho-con")</f>
        <v>https://techcombank.com/thong-tin/blog/mo-tai-khoan-tiet-kiem-cho-con</v>
      </c>
      <c r="BD64" s="16" t="str">
        <f>IFERROR(__xludf.DUMMYFUNCTION("""COMPUTED_VALUE"""),"sổ tiết kiệm ngân hàng")</f>
        <v>sổ tiết kiệm ngân hàng</v>
      </c>
      <c r="BE64" s="21" t="str">
        <f>IFERROR(__xludf.DUMMYFUNCTION("""COMPUTED_VALUE"""),"https://techcombank.com/thong-tin/blog/gui-tiet-kiem-tich-luy-la-gi")</f>
        <v>https://techcombank.com/thong-tin/blog/gui-tiet-kiem-tich-luy-la-gi</v>
      </c>
      <c r="BF64" s="16" t="str">
        <f>IFERROR(__xludf.DUMMYFUNCTION("""COMPUTED_VALUE"""),"sổ tiết kiệm")</f>
        <v>sổ tiết kiệm</v>
      </c>
      <c r="BG64" s="21" t="str">
        <f>IFERROR(__xludf.DUMMYFUNCTION("""COMPUTED_VALUE"""),"https://techcombank.com/thong-tin/blog/gui-tiet-kiem-lay-lai-hang-thang")</f>
        <v>https://techcombank.com/thong-tin/blog/gui-tiet-kiem-lay-lai-hang-thang</v>
      </c>
      <c r="BH64" s="16" t="str">
        <f>IFERROR(__xludf.DUMMYFUNCTION("""COMPUTED_VALUE"""),"sổ tiết kiệm ngân hàng")</f>
        <v>sổ tiết kiệm ngân hàng</v>
      </c>
      <c r="BI64" s="21" t="str">
        <f>IFERROR(__xludf.DUMMYFUNCTION("""COMPUTED_VALUE"""),"https://techcombank.com/thong-tin/blog/rui-ro-khi-gui-tiet-kiem-online")</f>
        <v>https://techcombank.com/thong-tin/blog/rui-ro-khi-gui-tiet-kiem-online</v>
      </c>
      <c r="BJ64" s="16" t="str">
        <f>IFERROR(__xludf.DUMMYFUNCTION("""COMPUTED_VALUE"""),"sổ tiết kiệm")</f>
        <v>sổ tiết kiệm</v>
      </c>
      <c r="BK64" s="21" t="str">
        <f>IFERROR(__xludf.DUMMYFUNCTION("""COMPUTED_VALUE"""),"https://techcombank.com/thong-tin/blog/cach-tinh-lai-suat-tien-gui-tiet-kiem")</f>
        <v>https://techcombank.com/thong-tin/blog/cach-tinh-lai-suat-tien-gui-tiet-kiem</v>
      </c>
      <c r="BL64" s="16" t="str">
        <f>IFERROR(__xludf.DUMMYFUNCTION("""COMPUTED_VALUE"""),"sổ tiết kiệm ngân hàng")</f>
        <v>sổ tiết kiệm ngân hàng</v>
      </c>
      <c r="BM64" s="21" t="str">
        <f>IFERROR(__xludf.DUMMYFUNCTION("""COMPUTED_VALUE"""),"https://techcombank.com/thong-tin/blog/gui-tiet-kiem-ngoai-te")</f>
        <v>https://techcombank.com/thong-tin/blog/gui-tiet-kiem-ngoai-te</v>
      </c>
      <c r="BN64" s="16" t="str">
        <f>IFERROR(__xludf.DUMMYFUNCTION("""COMPUTED_VALUE"""),"sổ tiết kiệm")</f>
        <v>sổ tiết kiệm</v>
      </c>
      <c r="BO64" s="21" t="str">
        <f>IFERROR(__xludf.DUMMYFUNCTION("""COMPUTED_VALUE"""),"https://techcombank.com/thong-tin/blog/rui-ro-khi-gui-tiet-kiem-ngan-hang")</f>
        <v>https://techcombank.com/thong-tin/blog/rui-ro-khi-gui-tiet-kiem-ngan-hang</v>
      </c>
      <c r="BP64" s="16" t="str">
        <f>IFERROR(__xludf.DUMMYFUNCTION("""COMPUTED_VALUE"""),"sổ tiết kiệm ngân hàng")</f>
        <v>sổ tiết kiệm ngân hàng</v>
      </c>
      <c r="BQ64" s="21" t="str">
        <f>IFERROR(__xludf.DUMMYFUNCTION("""COMPUTED_VALUE"""),"https://techcombank.com/thong-tin/blog/gui-tiet-kiem-hang-thang")</f>
        <v>https://techcombank.com/thong-tin/blog/gui-tiet-kiem-hang-thang</v>
      </c>
      <c r="BR64" s="16" t="str">
        <f>IFERROR(__xludf.DUMMYFUNCTION("""COMPUTED_VALUE"""),"sổ tiết kiệm")</f>
        <v>sổ tiết kiệm</v>
      </c>
      <c r="BS64" s="21" t="str">
        <f>IFERROR(__xludf.DUMMYFUNCTION("""COMPUTED_VALUE"""),"https://techcombank.com/thong-tin/blog/gui-tiet-kiem-online-bi-mat-tien")</f>
        <v>https://techcombank.com/thong-tin/blog/gui-tiet-kiem-online-bi-mat-tien</v>
      </c>
      <c r="BT64" s="16" t="str">
        <f>IFERROR(__xludf.DUMMYFUNCTION("""COMPUTED_VALUE"""),"sổ tiết kiệm ngân hàng")</f>
        <v>sổ tiết kiệm ngân hàng</v>
      </c>
      <c r="BU64" s="21" t="str">
        <f>IFERROR(__xludf.DUMMYFUNCTION("""COMPUTED_VALUE"""),"https://techcombank.com/thong-tin/blog/kinh-nghiem-gui-tiet-kiem-online")</f>
        <v>https://techcombank.com/thong-tin/blog/kinh-nghiem-gui-tiet-kiem-online</v>
      </c>
      <c r="BV64" s="16" t="str">
        <f>IFERROR(__xludf.DUMMYFUNCTION("""COMPUTED_VALUE"""),"sổ tiết kiệm")</f>
        <v>sổ tiết kiệm</v>
      </c>
      <c r="BW64" s="21" t="str">
        <f>IFERROR(__xludf.DUMMYFUNCTION("""COMPUTED_VALUE"""),"https://techcombank.com/thong-tin/blog/vay-thau-chi-bang-so-tiet-kiem")</f>
        <v>https://techcombank.com/thong-tin/blog/vay-thau-chi-bang-so-tiet-kiem</v>
      </c>
      <c r="BX64" s="16" t="str">
        <f>IFERROR(__xludf.DUMMYFUNCTION("""COMPUTED_VALUE"""),"sổ tiết kiệm ngân hàng")</f>
        <v>sổ tiết kiệm ngân hàng</v>
      </c>
      <c r="BY64" s="21" t="str">
        <f>IFERROR(__xludf.DUMMYFUNCTION("""COMPUTED_VALUE"""),"https://techcombank.com/thong-tin/blog/gui-tiet-kiem-online-co-rut-truoc-han-duoc-khong")</f>
        <v>https://techcombank.com/thong-tin/blog/gui-tiet-kiem-online-co-rut-truoc-han-duoc-khong</v>
      </c>
      <c r="BZ64" s="16" t="str">
        <f>IFERROR(__xludf.DUMMYFUNCTION("""COMPUTED_VALUE"""),"sổ tiết kiệm")</f>
        <v>sổ tiết kiệm</v>
      </c>
      <c r="CA64" s="21" t="str">
        <f>IFERROR(__xludf.DUMMYFUNCTION("""COMPUTED_VALUE"""),"https://techcombank.com/thong-tin/blog/mo-the-tin-dung-khong-can-chung-minh-thu-nhap")</f>
        <v>https://techcombank.com/thong-tin/blog/mo-the-tin-dung-khong-can-chung-minh-thu-nhap</v>
      </c>
      <c r="CB64" s="16" t="str">
        <f>IFERROR(__xludf.DUMMYFUNCTION("""COMPUTED_VALUE"""),"sổ tiết kiệm ngân hàng")</f>
        <v>sổ tiết kiệm ngân hàng</v>
      </c>
      <c r="CC64" s="21" t="str">
        <f>IFERROR(__xludf.DUMMYFUNCTION("""COMPUTED_VALUE"""),"https://techcombank.com/thong-tin/blog/gui-tiet-kiem-online-quay-vong-ca-goc-va-lai")</f>
        <v>https://techcombank.com/thong-tin/blog/gui-tiet-kiem-online-quay-vong-ca-goc-va-lai</v>
      </c>
      <c r="CD64" s="16" t="str">
        <f>IFERROR(__xludf.DUMMYFUNCTION("""COMPUTED_VALUE"""),"sổ tiết kiệm")</f>
        <v>sổ tiết kiệm</v>
      </c>
      <c r="CE64" s="21" t="str">
        <f>IFERROR(__xludf.DUMMYFUNCTION("""COMPUTED_VALUE"""),"https://techcombank.com/thong-tin/blog/chung-chi-tien-gui-khac-gi-so-tiet-kiem")</f>
        <v>https://techcombank.com/thong-tin/blog/chung-chi-tien-gui-khac-gi-so-tiet-kiem</v>
      </c>
      <c r="CF64" s="16" t="str">
        <f>IFERROR(__xludf.DUMMYFUNCTION("""COMPUTED_VALUE"""),"sổ tiết kiệm ngân hàng")</f>
        <v>sổ tiết kiệm ngân hàng</v>
      </c>
      <c r="CG64" s="21" t="str">
        <f>IFERROR(__xludf.DUMMYFUNCTION("""COMPUTED_VALUE"""),"https://techcombank.com/thong-tin/blog/so-sanh-gui-tiet-kiem-online-va-tai-quay")</f>
        <v>https://techcombank.com/thong-tin/blog/so-sanh-gui-tiet-kiem-online-va-tai-quay</v>
      </c>
      <c r="CH64" s="16" t="str">
        <f>IFERROR(__xludf.DUMMYFUNCTION("""COMPUTED_VALUE"""),"sổ tiết kiệm")</f>
        <v>sổ tiết kiệm</v>
      </c>
      <c r="CI64" s="21" t="str">
        <f>IFERROR(__xludf.DUMMYFUNCTION("""COMPUTED_VALUE"""),"https://techcombank.com/thong-tin/blog/cach-tiet-kiem-tien-sinh-loi")</f>
        <v>https://techcombank.com/thong-tin/blog/cach-tiet-kiem-tien-sinh-loi</v>
      </c>
      <c r="CJ64" s="16" t="str">
        <f>IFERROR(__xludf.DUMMYFUNCTION("""COMPUTED_VALUE"""),"sổ tiết kiệm ngân hàng")</f>
        <v>sổ tiết kiệm ngân hàng</v>
      </c>
      <c r="CK64" s="21" t="str">
        <f>IFERROR(__xludf.DUMMYFUNCTION("""COMPUTED_VALUE"""),"https://techcombank.com/thong-tin/blog/co-50-trieu-nen-mua-vang-hay-gui-tiet-kiem")</f>
        <v>https://techcombank.com/thong-tin/blog/co-50-trieu-nen-mua-vang-hay-gui-tiet-kiem</v>
      </c>
      <c r="CL64" s="16" t="str">
        <f>IFERROR(__xludf.DUMMYFUNCTION("""COMPUTED_VALUE"""),"sổ tiết kiệm")</f>
        <v>sổ tiết kiệm</v>
      </c>
      <c r="CM64" s="21" t="str">
        <f>IFERROR(__xludf.DUMMYFUNCTION("""COMPUTED_VALUE"""),"https://techcombank.com/thong-tin/blog/lai-suat-gui-tiet-kiem-usd")</f>
        <v>https://techcombank.com/thong-tin/blog/lai-suat-gui-tiet-kiem-usd</v>
      </c>
      <c r="CN64" s="16" t="str">
        <f>IFERROR(__xludf.DUMMYFUNCTION("""COMPUTED_VALUE"""),"sổ tiết kiệm ngân hàng")</f>
        <v>sổ tiết kiệm ngân hàng</v>
      </c>
      <c r="CO64" s="21" t="str">
        <f>IFERROR(__xludf.DUMMYFUNCTION("""COMPUTED_VALUE"""),"https://techcombank.com/thong-tin/blog/gui-tiet-kiem-usd")</f>
        <v>https://techcombank.com/thong-tin/blog/gui-tiet-kiem-usd</v>
      </c>
      <c r="CP64" s="16"/>
      <c r="CQ64" s="16"/>
      <c r="CR64" s="16"/>
      <c r="CS64" s="16"/>
      <c r="CT64" s="16"/>
      <c r="CU64" s="16"/>
      <c r="CV64" s="16"/>
      <c r="CW64" s="16"/>
      <c r="CX64" s="16"/>
      <c r="CY64" s="16"/>
      <c r="CZ64" s="16"/>
      <c r="DA64" s="16"/>
      <c r="DB64" s="16"/>
      <c r="DC64" s="16"/>
      <c r="DD64" s="16"/>
      <c r="DE64" s="16"/>
      <c r="DF64" s="16"/>
      <c r="DG64" s="16"/>
      <c r="DH64" s="16"/>
      <c r="DI64" s="16"/>
      <c r="DJ64" s="16"/>
      <c r="DK64" s="16"/>
      <c r="DL64" s="16"/>
      <c r="DM64" s="16"/>
      <c r="DN64" s="16"/>
      <c r="DO64" s="16"/>
      <c r="DP64" s="16"/>
      <c r="DQ64" s="16"/>
      <c r="DR64" s="16"/>
      <c r="DS64" s="16"/>
      <c r="DT64" s="16"/>
      <c r="DU64" s="16"/>
      <c r="DV64" s="16"/>
      <c r="DW64" s="16"/>
      <c r="DX64" s="16"/>
      <c r="DY64" s="16"/>
      <c r="DZ64" s="16"/>
      <c r="EA64" s="16"/>
      <c r="EB64" s="16"/>
      <c r="EC64" s="16"/>
      <c r="ED64" s="16"/>
      <c r="EE64" s="16"/>
      <c r="EF64" s="16"/>
      <c r="EG64" s="16"/>
      <c r="EH64" s="16"/>
      <c r="EI64" s="16"/>
      <c r="EJ64" s="16"/>
      <c r="EK64" s="16"/>
      <c r="EL64" s="16"/>
      <c r="EM64" s="16"/>
      <c r="EN64" s="16"/>
      <c r="EO64" s="16"/>
      <c r="EP64" s="16"/>
      <c r="EQ64" s="16"/>
      <c r="ER64" s="16"/>
      <c r="ES64" s="16"/>
      <c r="ET64" s="16"/>
      <c r="EU64" s="16"/>
      <c r="EV64" s="16"/>
      <c r="EW64" s="16"/>
      <c r="EX64" s="16"/>
      <c r="EY64" s="16"/>
      <c r="EZ64" s="16"/>
      <c r="FA64" s="16"/>
      <c r="FB64" s="16"/>
      <c r="FC64" s="16"/>
      <c r="FD64" s="16"/>
      <c r="FE64" s="16"/>
      <c r="FF64" s="16"/>
      <c r="FG64" s="16"/>
      <c r="FH64" s="16"/>
      <c r="FI64" s="16"/>
      <c r="FJ64" s="16"/>
      <c r="FK64" s="16"/>
      <c r="FL64" s="16"/>
      <c r="FM64" s="16"/>
      <c r="FN64" s="16"/>
      <c r="FO64" s="16"/>
      <c r="FP64" s="16"/>
      <c r="FQ64" s="16"/>
      <c r="FR64" s="16"/>
      <c r="FS64" s="16"/>
      <c r="FT64" s="16"/>
      <c r="FU64" s="16"/>
      <c r="FV64" s="16"/>
      <c r="FW64" s="16"/>
      <c r="FX64" s="16"/>
      <c r="FY64" s="16"/>
      <c r="FZ64" s="16"/>
      <c r="GA64" s="16"/>
      <c r="GB64" s="16"/>
      <c r="GC64" s="16"/>
      <c r="GD64" s="16"/>
      <c r="GE64" s="16"/>
      <c r="GF64" s="16"/>
      <c r="GG64" s="16"/>
      <c r="GH64" s="16"/>
      <c r="GI64" s="16"/>
      <c r="GJ64" s="16"/>
      <c r="GK64" s="16"/>
      <c r="GL64" s="16"/>
      <c r="GM64" s="16"/>
      <c r="GN64" s="16"/>
      <c r="GO64" s="16"/>
    </row>
    <row r="65" ht="18.0" customHeight="1">
      <c r="A65" s="15">
        <v>64.0</v>
      </c>
      <c r="B65" s="16" t="s">
        <v>1308</v>
      </c>
      <c r="C65" s="17" t="s">
        <v>1380</v>
      </c>
      <c r="D65" s="16" t="s">
        <v>362</v>
      </c>
      <c r="E65" s="15">
        <f>COUNTIF('Tổng hợp 75 trang đích'!$B$2:$B$2505,$D65)</f>
        <v>73</v>
      </c>
      <c r="F65" s="15">
        <f>COUNTIFS('Tổng hợp 75 trang đích'!$B$2:$B$2505,$D65,'Tổng hợp 75 trang đích'!$K$2:$K$2505,"PHÙ HỢP CAO")</f>
        <v>5</v>
      </c>
      <c r="G65" s="15">
        <f>COUNTIFS('Tổng hợp 75 trang đích'!$B$2:$B$2505,$D65,'Tổng hợp 75 trang đích'!$K$2:$K$2505,"CÓ THỂ ĐI")</f>
        <v>0</v>
      </c>
      <c r="H65" s="15">
        <f>COUNTIFS('Tổng hợp 75 trang đích'!$B$2:$B$2505,$D65,'Tổng hợp 75 trang đích'!$K$2:$K$2505,"CẦN SOÁT")</f>
        <v>68</v>
      </c>
      <c r="I65" s="19" t="s">
        <v>256</v>
      </c>
      <c r="J65" s="19" t="b">
        <v>0</v>
      </c>
      <c r="K65" s="20" t="s">
        <v>258</v>
      </c>
      <c r="L65" s="16" t="str">
        <f>IFERROR(__xludf.DUMMYFUNCTION("IFERROR(TOROW(CHOOSECOLS(SORT(FILTER({'Tổng hợp 75 trang đích'!$J$2:$J$2505,'Tổng hợp 75 trang đích'!$I$2:$I$2505,MATCH('Tổng hợp 75 trang đích'!$K$2:$K$2505,{""PHÙ HỢP CAO"",""CÓ THỂ ĐI"",""CẦN SOÁT""},0)},'Tổng hợp 75 trang đích'!$B$2:$B$2505=$D65),3,TR"&amp;"UE),1,2)),"""")"),"cách tiết kiệm tiền")</f>
        <v>cách tiết kiệm tiền</v>
      </c>
      <c r="M65" s="21" t="str">
        <f>IFERROR(__xludf.DUMMYFUNCTION("""COMPUTED_VALUE"""),"https://techcombank.com/thong-tin/blog/cach-tiet-kiem-tien-theo-tuan")</f>
        <v>https://techcombank.com/thong-tin/blog/cach-tiet-kiem-tien-theo-tuan</v>
      </c>
      <c r="N65" s="16" t="str">
        <f>IFERROR(__xludf.DUMMYFUNCTION("""COMPUTED_VALUE"""),"cách tiết kiệm tiền hiệu quả")</f>
        <v>cách tiết kiệm tiền hiệu quả</v>
      </c>
      <c r="O65" s="21" t="str">
        <f>IFERROR(__xludf.DUMMYFUNCTION("""COMPUTED_VALUE"""),"https://techcombank.com/thong-tin/blog/tiet-kiem-tien-moi-ngay")</f>
        <v>https://techcombank.com/thong-tin/blog/tiet-kiem-tien-moi-ngay</v>
      </c>
      <c r="P65" s="16" t="str">
        <f>IFERROR(__xludf.DUMMYFUNCTION("""COMPUTED_VALUE"""),"cách tiết kiệm tiền")</f>
        <v>cách tiết kiệm tiền</v>
      </c>
      <c r="Q65" s="21" t="str">
        <f>IFERROR(__xludf.DUMMYFUNCTION("""COMPUTED_VALUE"""),"https://techcombank.com/thong-tin/blog/hoc-cach-tiet-kiem-tien-luong")</f>
        <v>https://techcombank.com/thong-tin/blog/hoc-cach-tiet-kiem-tien-luong</v>
      </c>
      <c r="R65" s="16" t="str">
        <f>IFERROR(__xludf.DUMMYFUNCTION("""COMPUTED_VALUE"""),"cách tiết kiệm tiền hiệu quả")</f>
        <v>cách tiết kiệm tiền hiệu quả</v>
      </c>
      <c r="S65" s="21" t="str">
        <f>IFERROR(__xludf.DUMMYFUNCTION("""COMPUTED_VALUE"""),"https://techcombank.com/thong-tin/blog/loi-ich-cua-viec-tiet-kiem-tien")</f>
        <v>https://techcombank.com/thong-tin/blog/loi-ich-cua-viec-tiet-kiem-tien</v>
      </c>
      <c r="T65" s="16" t="str">
        <f>IFERROR(__xludf.DUMMYFUNCTION("""COMPUTED_VALUE"""),"cách tiết kiệm tiền")</f>
        <v>cách tiết kiệm tiền</v>
      </c>
      <c r="U65" s="21" t="str">
        <f>IFERROR(__xludf.DUMMYFUNCTION("""COMPUTED_VALUE"""),"https://techcombank.com/thong-tin/blog/the-nao-la-tiet-kiem")</f>
        <v>https://techcombank.com/thong-tin/blog/the-nao-la-tiet-kiem</v>
      </c>
      <c r="V65" s="16" t="str">
        <f>IFERROR(__xludf.DUMMYFUNCTION("""COMPUTED_VALUE"""),"cách tiết kiệm tiền hiệu quả")</f>
        <v>cách tiết kiệm tiền hiệu quả</v>
      </c>
      <c r="W65" s="21" t="str">
        <f>IFERROR(__xludf.DUMMYFUNCTION("""COMPUTED_VALUE"""),"https://techcombank.com/thong-tin/blog/mo-tai-khoan-doanh-nghiep")</f>
        <v>https://techcombank.com/thong-tin/blog/mo-tai-khoan-doanh-nghiep</v>
      </c>
      <c r="X65" s="16" t="str">
        <f>IFERROR(__xludf.DUMMYFUNCTION("""COMPUTED_VALUE"""),"cách tiết kiệm tiền")</f>
        <v>cách tiết kiệm tiền</v>
      </c>
      <c r="Y65" s="21" t="str">
        <f>IFERROR(__xludf.DUMMYFUNCTION("""COMPUTED_VALUE"""),"https://techcombank.com/thong-tin/blog/vi-dien-tu")</f>
        <v>https://techcombank.com/thong-tin/blog/vi-dien-tu</v>
      </c>
      <c r="Z65" s="16" t="str">
        <f>IFERROR(__xludf.DUMMYFUNCTION("""COMPUTED_VALUE"""),"cách tiết kiệm tiền hiệu quả")</f>
        <v>cách tiết kiệm tiền hiệu quả</v>
      </c>
      <c r="AA65" s="21" t="str">
        <f>IFERROR(__xludf.DUMMYFUNCTION("""COMPUTED_VALUE"""),"https://techcombank.com/thong-tin/blog/ke-hoach-tai-chinh")</f>
        <v>https://techcombank.com/thong-tin/blog/ke-hoach-tai-chinh</v>
      </c>
      <c r="AB65" s="16" t="str">
        <f>IFERROR(__xludf.DUMMYFUNCTION("""COMPUTED_VALUE"""),"cách tiết kiệm tiền")</f>
        <v>cách tiết kiệm tiền</v>
      </c>
      <c r="AC65" s="21" t="str">
        <f>IFERROR(__xludf.DUMMYFUNCTION("""COMPUTED_VALUE"""),"https://techcombank.com/thong-tin/blog/ma-mcc")</f>
        <v>https://techcombank.com/thong-tin/blog/ma-mcc</v>
      </c>
      <c r="AD65" s="16" t="str">
        <f>IFERROR(__xludf.DUMMYFUNCTION("""COMPUTED_VALUE"""),"cách tiết kiệm tiền hiệu quả")</f>
        <v>cách tiết kiệm tiền hiệu quả</v>
      </c>
      <c r="AE65" s="21" t="str">
        <f>IFERROR(__xludf.DUMMYFUNCTION("""COMPUTED_VALUE"""),"https://techcombank.com/thong-tin/blog/chinh-sach-thue-moi")</f>
        <v>https://techcombank.com/thong-tin/blog/chinh-sach-thue-moi</v>
      </c>
      <c r="AF65" s="16" t="str">
        <f>IFERROR(__xludf.DUMMYFUNCTION("""COMPUTED_VALUE"""),"cách tiết kiệm tiền")</f>
        <v>cách tiết kiệm tiền</v>
      </c>
      <c r="AG65" s="21" t="str">
        <f>IFERROR(__xludf.DUMMYFUNCTION("""COMPUTED_VALUE"""),"https://techcombank.com/thong-tin/blog/ghi-chep-chi-tieu")</f>
        <v>https://techcombank.com/thong-tin/blog/ghi-chep-chi-tieu</v>
      </c>
      <c r="AH65" s="16" t="str">
        <f>IFERROR(__xludf.DUMMYFUNCTION("""COMPUTED_VALUE"""),"cách tiết kiệm tiền hiệu quả")</f>
        <v>cách tiết kiệm tiền hiệu quả</v>
      </c>
      <c r="AI65" s="21" t="str">
        <f>IFERROR(__xludf.DUMMYFUNCTION("""COMPUTED_VALUE"""),"https://techcombank.com/thong-tin/blog/vi-tra-sau")</f>
        <v>https://techcombank.com/thong-tin/blog/vi-tra-sau</v>
      </c>
      <c r="AJ65" s="16" t="str">
        <f>IFERROR(__xludf.DUMMYFUNCTION("""COMPUTED_VALUE"""),"cách tiết kiệm tiền")</f>
        <v>cách tiết kiệm tiền</v>
      </c>
      <c r="AK65" s="21" t="str">
        <f>IFERROR(__xludf.DUMMYFUNCTION("""COMPUTED_VALUE"""),"https://techcombank.com/thong-tin/blog/thue-phi-co-dinh-khi-chuyen-doi-tu-ho-kinh-doanh-len-doanh-nghiep")</f>
        <v>https://techcombank.com/thong-tin/blog/thue-phi-co-dinh-khi-chuyen-doi-tu-ho-kinh-doanh-len-doanh-nghiep</v>
      </c>
      <c r="AL65" s="16" t="str">
        <f>IFERROR(__xludf.DUMMYFUNCTION("""COMPUTED_VALUE"""),"cách tiết kiệm tiền hiệu quả")</f>
        <v>cách tiết kiệm tiền hiệu quả</v>
      </c>
      <c r="AM65" s="21" t="str">
        <f>IFERROR(__xludf.DUMMYFUNCTION("""COMPUTED_VALUE"""),"https://techcombank.com/thong-tin/blog/ngan-hang-so-cho-doanh-nghiep")</f>
        <v>https://techcombank.com/thong-tin/blog/ngan-hang-so-cho-doanh-nghiep</v>
      </c>
      <c r="AN65" s="16" t="str">
        <f>IFERROR(__xludf.DUMMYFUNCTION("""COMPUTED_VALUE"""),"cách tiết kiệm tiền")</f>
        <v>cách tiết kiệm tiền</v>
      </c>
      <c r="AO65" s="21" t="str">
        <f>IFERROR(__xludf.DUMMYFUNCTION("""COMPUTED_VALUE"""),"https://techcombank.com/thong-tin/blog/chinh-sach-tang-luong-huu")</f>
        <v>https://techcombank.com/thong-tin/blog/chinh-sach-tang-luong-huu</v>
      </c>
      <c r="AP65" s="16" t="str">
        <f>IFERROR(__xludf.DUMMYFUNCTION("""COMPUTED_VALUE"""),"cách tiết kiệm tiền hiệu quả")</f>
        <v>cách tiết kiệm tiền hiệu quả</v>
      </c>
      <c r="AQ65" s="21" t="str">
        <f>IFERROR(__xludf.DUMMYFUNCTION("""COMPUTED_VALUE"""),"https://techcombank.com/thong-tin/blog/tinh-thanh-khoan-la-gi")</f>
        <v>https://techcombank.com/thong-tin/blog/tinh-thanh-khoan-la-gi</v>
      </c>
      <c r="AR65" s="16" t="str">
        <f>IFERROR(__xludf.DUMMYFUNCTION("""COMPUTED_VALUE"""),"cách tiết kiệm tiền")</f>
        <v>cách tiết kiệm tiền</v>
      </c>
      <c r="AS65" s="21" t="str">
        <f>IFERROR(__xludf.DUMMYFUNCTION("""COMPUTED_VALUE"""),"https://techcombank.com/thong-tin/blog/loi-ich-cua-ngan-hang-so-voi-sme")</f>
        <v>https://techcombank.com/thong-tin/blog/loi-ich-cua-ngan-hang-so-voi-sme</v>
      </c>
      <c r="AT65" s="16" t="str">
        <f>IFERROR(__xludf.DUMMYFUNCTION("""COMPUTED_VALUE"""),"cách tiết kiệm tiền hiệu quả")</f>
        <v>cách tiết kiệm tiền hiệu quả</v>
      </c>
      <c r="AU65" s="21" t="str">
        <f>IFERROR(__xludf.DUMMYFUNCTION("""COMPUTED_VALUE"""),"https://techcombank.com/thong-tin/blog/npv-la-gi")</f>
        <v>https://techcombank.com/thong-tin/blog/npv-la-gi</v>
      </c>
      <c r="AV65" s="16" t="str">
        <f>IFERROR(__xludf.DUMMYFUNCTION("""COMPUTED_VALUE"""),"cách tiết kiệm tiền")</f>
        <v>cách tiết kiệm tiền</v>
      </c>
      <c r="AW65" s="21" t="str">
        <f>IFERROR(__xludf.DUMMYFUNCTION("""COMPUTED_VALUE"""),"https://techcombank.com/thong-tin/blog/quan-ly-tai-chinh-doanh-nghiep-la-gi")</f>
        <v>https://techcombank.com/thong-tin/blog/quan-ly-tai-chinh-doanh-nghiep-la-gi</v>
      </c>
      <c r="AX65" s="16" t="str">
        <f>IFERROR(__xludf.DUMMYFUNCTION("""COMPUTED_VALUE"""),"cách tiết kiệm tiền hiệu quả")</f>
        <v>cách tiết kiệm tiền hiệu quả</v>
      </c>
      <c r="AY65" s="21" t="str">
        <f>IFERROR(__xludf.DUMMYFUNCTION("""COMPUTED_VALUE"""),"https://techcombank.com/thong-tin/blog/quan-ly-tai-chinh-doanh-nghiep-nho")</f>
        <v>https://techcombank.com/thong-tin/blog/quan-ly-tai-chinh-doanh-nghiep-nho</v>
      </c>
      <c r="AZ65" s="16" t="str">
        <f>IFERROR(__xludf.DUMMYFUNCTION("""COMPUTED_VALUE"""),"cách tiết kiệm tiền")</f>
        <v>cách tiết kiệm tiền</v>
      </c>
      <c r="BA65" s="21" t="str">
        <f>IFERROR(__xludf.DUMMYFUNCTION("""COMPUTED_VALUE"""),"https://techcombank.com/thong-tin/blog/uu-dai-the-tin-dung-techcombank-signature")</f>
        <v>https://techcombank.com/thong-tin/blog/uu-dai-the-tin-dung-techcombank-signature</v>
      </c>
      <c r="BB65" s="16" t="str">
        <f>IFERROR(__xludf.DUMMYFUNCTION("""COMPUTED_VALUE"""),"cách tiết kiệm tiền hiệu quả")</f>
        <v>cách tiết kiệm tiền hiệu quả</v>
      </c>
      <c r="BC65" s="21" t="str">
        <f>IFERROR(__xludf.DUMMYFUNCTION("""COMPUTED_VALUE"""),"https://techcombank.com/thong-tin/blog/tai-san-va-tieu-san-la-gi")</f>
        <v>https://techcombank.com/thong-tin/blog/tai-san-va-tieu-san-la-gi</v>
      </c>
      <c r="BD65" s="16" t="str">
        <f>IFERROR(__xludf.DUMMYFUNCTION("""COMPUTED_VALUE"""),"cách tiết kiệm tiền")</f>
        <v>cách tiết kiệm tiền</v>
      </c>
      <c r="BE65" s="21" t="str">
        <f>IFERROR(__xludf.DUMMYFUNCTION("""COMPUTED_VALUE"""),"https://techcombank.com/thong-tin/blog/cach-tiet-kiem-tien-cua-nguoi-nhat")</f>
        <v>https://techcombank.com/thong-tin/blog/cach-tiet-kiem-tien-cua-nguoi-nhat</v>
      </c>
      <c r="BF65" s="16" t="str">
        <f>IFERROR(__xludf.DUMMYFUNCTION("""COMPUTED_VALUE"""),"cách tiết kiệm tiền hiệu quả")</f>
        <v>cách tiết kiệm tiền hiệu quả</v>
      </c>
      <c r="BG65" s="21" t="str">
        <f>IFERROR(__xludf.DUMMYFUNCTION("""COMPUTED_VALUE"""),"https://techcombank.com/thong-tin/blog/sai-lam-ve-tai-chinh-ca-nhan")</f>
        <v>https://techcombank.com/thong-tin/blog/sai-lam-ve-tai-chinh-ca-nhan</v>
      </c>
      <c r="BH65" s="16" t="str">
        <f>IFERROR(__xludf.DUMMYFUNCTION("""COMPUTED_VALUE"""),"cách tiết kiệm tiền")</f>
        <v>cách tiết kiệm tiền</v>
      </c>
      <c r="BI65" s="21" t="str">
        <f>IFERROR(__xludf.DUMMYFUNCTION("""COMPUTED_VALUE"""),"https://techcombank.com/thong-tin/blog/lam-phat-la-gi")</f>
        <v>https://techcombank.com/thong-tin/blog/lam-phat-la-gi</v>
      </c>
      <c r="BJ65" s="16" t="str">
        <f>IFERROR(__xludf.DUMMYFUNCTION("""COMPUTED_VALUE"""),"cách tiết kiệm tiền hiệu quả")</f>
        <v>cách tiết kiệm tiền hiệu quả</v>
      </c>
      <c r="BK65" s="21" t="str">
        <f>IFERROR(__xludf.DUMMYFUNCTION("""COMPUTED_VALUE"""),"https://techcombank.com/thong-tin/blog/cach-tiet-kiem-tien-hieu-qua-cho-gia-dinh")</f>
        <v>https://techcombank.com/thong-tin/blog/cach-tiet-kiem-tien-hieu-qua-cho-gia-dinh</v>
      </c>
      <c r="BL65" s="16" t="str">
        <f>IFERROR(__xludf.DUMMYFUNCTION("""COMPUTED_VALUE"""),"cách tiết kiệm tiền")</f>
        <v>cách tiết kiệm tiền</v>
      </c>
      <c r="BM65" s="21" t="str">
        <f>IFERROR(__xludf.DUMMYFUNCTION("""COMPUTED_VALUE"""),"https://techcombank.com/thong-tin/blog/dau-chan-carbon")</f>
        <v>https://techcombank.com/thong-tin/blog/dau-chan-carbon</v>
      </c>
      <c r="BN65" s="16" t="str">
        <f>IFERROR(__xludf.DUMMYFUNCTION("""COMPUTED_VALUE"""),"cách tiết kiệm tiền hiệu quả")</f>
        <v>cách tiết kiệm tiền hiệu quả</v>
      </c>
      <c r="BO65" s="21" t="str">
        <f>IFERROR(__xludf.DUMMYFUNCTION("""COMPUTED_VALUE"""),"https://techcombank.com/thong-tin/blog/mo-tai-khoan-ngan-hang-cho-tre-em")</f>
        <v>https://techcombank.com/thong-tin/blog/mo-tai-khoan-ngan-hang-cho-tre-em</v>
      </c>
      <c r="BP65" s="16" t="str">
        <f>IFERROR(__xludf.DUMMYFUNCTION("""COMPUTED_VALUE"""),"cách tiết kiệm tiền")</f>
        <v>cách tiết kiệm tiền</v>
      </c>
      <c r="BQ65" s="21" t="str">
        <f>IFERROR(__xludf.DUMMYFUNCTION("""COMPUTED_VALUE"""),"https://techcombank.com/thong-tin/blog/app-mua-truoc-tra-sau")</f>
        <v>https://techcombank.com/thong-tin/blog/app-mua-truoc-tra-sau</v>
      </c>
      <c r="BR65" s="16" t="str">
        <f>IFERROR(__xludf.DUMMYFUNCTION("""COMPUTED_VALUE"""),"cách tiết kiệm tiền hiệu quả")</f>
        <v>cách tiết kiệm tiền hiệu quả</v>
      </c>
      <c r="BS65" s="21" t="str">
        <f>IFERROR(__xludf.DUMMYFUNCTION("""COMPUTED_VALUE"""),"https://techcombank.com/thong-tin/blog/phan-mem-quan-ly-tai-chinh-doanh-nghiep")</f>
        <v>https://techcombank.com/thong-tin/blog/phan-mem-quan-ly-tai-chinh-doanh-nghiep</v>
      </c>
      <c r="BT65" s="16" t="str">
        <f>IFERROR(__xludf.DUMMYFUNCTION("""COMPUTED_VALUE"""),"cách tiết kiệm tiền")</f>
        <v>cách tiết kiệm tiền</v>
      </c>
      <c r="BU65" s="21" t="str">
        <f>IFERROR(__xludf.DUMMYFUNCTION("""COMPUTED_VALUE"""),"https://techcombank.com/thong-tin/blog/quan-ly-tai-chinh-cho-dan-van-phong")</f>
        <v>https://techcombank.com/thong-tin/blog/quan-ly-tai-chinh-cho-dan-van-phong</v>
      </c>
      <c r="BV65" s="16" t="str">
        <f>IFERROR(__xludf.DUMMYFUNCTION("""COMPUTED_VALUE"""),"cách tiết kiệm tiền hiệu quả")</f>
        <v>cách tiết kiệm tiền hiệu quả</v>
      </c>
      <c r="BW65" s="21" t="str">
        <f>IFERROR(__xludf.DUMMYFUNCTION("""COMPUTED_VALUE"""),"https://techcombank.com/thong-tin/blog/lap-ke-hoach-tai-chinh-ca-nhan")</f>
        <v>https://techcombank.com/thong-tin/blog/lap-ke-hoach-tai-chinh-ca-nhan</v>
      </c>
      <c r="BX65" s="16" t="str">
        <f>IFERROR(__xludf.DUMMYFUNCTION("""COMPUTED_VALUE"""),"cách tiết kiệm tiền")</f>
        <v>cách tiết kiệm tiền</v>
      </c>
      <c r="BY65" s="21" t="str">
        <f>IFERROR(__xludf.DUMMYFUNCTION("""COMPUTED_VALUE"""),"https://techcombank.com/thong-tin/blog/tiet-kiem-khi-di-du-lich")</f>
        <v>https://techcombank.com/thong-tin/blog/tiet-kiem-khi-di-du-lich</v>
      </c>
      <c r="BZ65" s="16" t="str">
        <f>IFERROR(__xludf.DUMMYFUNCTION("""COMPUTED_VALUE"""),"cách tiết kiệm tiền hiệu quả")</f>
        <v>cách tiết kiệm tiền hiệu quả</v>
      </c>
      <c r="CA65" s="21" t="str">
        <f>IFERROR(__xludf.DUMMYFUNCTION("""COMPUTED_VALUE"""),"https://techcombank.com/thong-tin/blog/cho-vay-tieu-dung-la-gi")</f>
        <v>https://techcombank.com/thong-tin/blog/cho-vay-tieu-dung-la-gi</v>
      </c>
      <c r="CB65" s="16" t="str">
        <f>IFERROR(__xludf.DUMMYFUNCTION("""COMPUTED_VALUE"""),"cách tiết kiệm tiền")</f>
        <v>cách tiết kiệm tiền</v>
      </c>
      <c r="CC65" s="21" t="str">
        <f>IFERROR(__xludf.DUMMYFUNCTION("""COMPUTED_VALUE"""),"https://techcombank.com/thong-tin/blog/nen-gui-tiet-kiem-6-thang-hay-1-nam")</f>
        <v>https://techcombank.com/thong-tin/blog/nen-gui-tiet-kiem-6-thang-hay-1-nam</v>
      </c>
      <c r="CD65" s="16" t="str">
        <f>IFERROR(__xludf.DUMMYFUNCTION("""COMPUTED_VALUE"""),"cách tiết kiệm tiền hiệu quả")</f>
        <v>cách tiết kiệm tiền hiệu quả</v>
      </c>
      <c r="CE65" s="21" t="str">
        <f>IFERROR(__xludf.DUMMYFUNCTION("""COMPUTED_VALUE"""),"https://techcombank.com/thong-tin/blog/phan-mem-lap-ke-hoach-tai-chinh-ca-nhan")</f>
        <v>https://techcombank.com/thong-tin/blog/phan-mem-lap-ke-hoach-tai-chinh-ca-nhan</v>
      </c>
      <c r="CF65" s="16" t="str">
        <f>IFERROR(__xludf.DUMMYFUNCTION("""COMPUTED_VALUE"""),"cách tiết kiệm tiền")</f>
        <v>cách tiết kiệm tiền</v>
      </c>
      <c r="CG65" s="21" t="str">
        <f>IFERROR(__xludf.DUMMYFUNCTION("""COMPUTED_VALUE"""),"https://techcombank.com/thong-tin/blog/mo-the-tin-dung-han-muc-cao")</f>
        <v>https://techcombank.com/thong-tin/blog/mo-the-tin-dung-han-muc-cao</v>
      </c>
      <c r="CH65" s="16" t="str">
        <f>IFERROR(__xludf.DUMMYFUNCTION("""COMPUTED_VALUE"""),"cách tiết kiệm tiền hiệu quả")</f>
        <v>cách tiết kiệm tiền hiệu quả</v>
      </c>
      <c r="CI65" s="21" t="str">
        <f>IFERROR(__xludf.DUMMYFUNCTION("""COMPUTED_VALUE"""),"https://techcombank.com/thong-tin/blog/uu-dai-the-tin-dung")</f>
        <v>https://techcombank.com/thong-tin/blog/uu-dai-the-tin-dung</v>
      </c>
      <c r="CJ65" s="16" t="str">
        <f>IFERROR(__xludf.DUMMYFUNCTION("""COMPUTED_VALUE"""),"cách tiết kiệm tiền")</f>
        <v>cách tiết kiệm tiền</v>
      </c>
      <c r="CK65" s="21" t="str">
        <f>IFERROR(__xludf.DUMMYFUNCTION("""COMPUTED_VALUE"""),"https://techcombank.com/thong-tin/blog/nguyen-tac-quan-ly-tai-chinh-ca-nhan")</f>
        <v>https://techcombank.com/thong-tin/blog/nguyen-tac-quan-ly-tai-chinh-ca-nhan</v>
      </c>
      <c r="CL65" s="16" t="str">
        <f>IFERROR(__xludf.DUMMYFUNCTION("""COMPUTED_VALUE"""),"cách tiết kiệm tiền hiệu quả")</f>
        <v>cách tiết kiệm tiền hiệu quả</v>
      </c>
      <c r="CM65" s="21" t="str">
        <f>IFERROR(__xludf.DUMMYFUNCTION("""COMPUTED_VALUE"""),"https://techcombank.com/thong-tin/blog/danh-muc-dau-tu")</f>
        <v>https://techcombank.com/thong-tin/blog/danh-muc-dau-tu</v>
      </c>
      <c r="CN65" s="16" t="str">
        <f>IFERROR(__xludf.DUMMYFUNCTION("""COMPUTED_VALUE"""),"cách tiết kiệm tiền")</f>
        <v>cách tiết kiệm tiền</v>
      </c>
      <c r="CO65" s="21" t="str">
        <f>IFERROR(__xludf.DUMMYFUNCTION("""COMPUTED_VALUE"""),"https://techcombank.com/thong-tin/blog/vay-100-trieu")</f>
        <v>https://techcombank.com/thong-tin/blog/vay-100-trieu</v>
      </c>
      <c r="CP65" s="16" t="str">
        <f>IFERROR(__xludf.DUMMYFUNCTION("""COMPUTED_VALUE"""),"cách tiết kiệm tiền hiệu quả")</f>
        <v>cách tiết kiệm tiền hiệu quả</v>
      </c>
      <c r="CQ65" s="21" t="str">
        <f>IFERROR(__xludf.DUMMYFUNCTION("""COMPUTED_VALUE"""),"https://techcombank.com/thong-tin/blog/quy-du-phong-tai-chinh-la-gi")</f>
        <v>https://techcombank.com/thong-tin/blog/quy-du-phong-tai-chinh-la-gi</v>
      </c>
      <c r="CR65" s="16" t="str">
        <f>IFERROR(__xludf.DUMMYFUNCTION("""COMPUTED_VALUE"""),"cách tiết kiệm tiền")</f>
        <v>cách tiết kiệm tiền</v>
      </c>
      <c r="CS65" s="21" t="str">
        <f>IFERROR(__xludf.DUMMYFUNCTION("""COMPUTED_VALUE"""),"https://techcombank.com/thong-tin/blog/bi-quyet-tiet-kiem-tien-mua-nha")</f>
        <v>https://techcombank.com/thong-tin/blog/bi-quyet-tiet-kiem-tien-mua-nha</v>
      </c>
      <c r="CT65" s="16" t="str">
        <f>IFERROR(__xludf.DUMMYFUNCTION("""COMPUTED_VALUE"""),"cách tiết kiệm tiền hiệu quả")</f>
        <v>cách tiết kiệm tiền hiệu quả</v>
      </c>
      <c r="CU65" s="21" t="str">
        <f>IFERROR(__xludf.DUMMYFUNCTION("""COMPUTED_VALUE"""),"https://techcombank.com/thong-tin/blog/app-ngan-hang")</f>
        <v>https://techcombank.com/thong-tin/blog/app-ngan-hang</v>
      </c>
      <c r="CV65" s="16" t="str">
        <f>IFERROR(__xludf.DUMMYFUNCTION("""COMPUTED_VALUE"""),"cách tiết kiệm tiền")</f>
        <v>cách tiết kiệm tiền</v>
      </c>
      <c r="CW65" s="21" t="str">
        <f>IFERROR(__xludf.DUMMYFUNCTION("""COMPUTED_VALUE"""),"https://techcombank.com/thong-tin/blog/app-quan-ly-chi-tieu")</f>
        <v>https://techcombank.com/thong-tin/blog/app-quan-ly-chi-tieu</v>
      </c>
      <c r="CX65" s="16" t="str">
        <f>IFERROR(__xludf.DUMMYFUNCTION("""COMPUTED_VALUE"""),"cách tiết kiệm tiền hiệu quả")</f>
        <v>cách tiết kiệm tiền hiệu quả</v>
      </c>
      <c r="CY65" s="21" t="str">
        <f>IFERROR(__xludf.DUMMYFUNCTION("""COMPUTED_VALUE"""),"https://techcombank.com/thong-tin/blog/nhung-kho-khan-khi-tiet-kiem-tien")</f>
        <v>https://techcombank.com/thong-tin/blog/nhung-kho-khan-khi-tiet-kiem-tien</v>
      </c>
      <c r="CZ65" s="16" t="str">
        <f>IFERROR(__xludf.DUMMYFUNCTION("""COMPUTED_VALUE"""),"cách tiết kiệm tiền")</f>
        <v>cách tiết kiệm tiền</v>
      </c>
      <c r="DA65" s="21" t="str">
        <f>IFERROR(__xludf.DUMMYFUNCTION("""COMPUTED_VALUE"""),"https://techcombank.com/thong-tin/blog/no-nhom-3")</f>
        <v>https://techcombank.com/thong-tin/blog/no-nhom-3</v>
      </c>
      <c r="DB65" s="16" t="str">
        <f>IFERROR(__xludf.DUMMYFUNCTION("""COMPUTED_VALUE"""),"cách tiết kiệm tiền hiệu quả")</f>
        <v>cách tiết kiệm tiền hiệu quả</v>
      </c>
      <c r="DC65" s="21" t="str">
        <f>IFERROR(__xludf.DUMMYFUNCTION("""COMPUTED_VALUE"""),"https://techcombank.com/thong-tin/blog/sao-ke-the-tin-dung-la-gi")</f>
        <v>https://techcombank.com/thong-tin/blog/sao-ke-the-tin-dung-la-gi</v>
      </c>
      <c r="DD65" s="16" t="str">
        <f>IFERROR(__xludf.DUMMYFUNCTION("""COMPUTED_VALUE"""),"cách tiết kiệm tiền")</f>
        <v>cách tiết kiệm tiền</v>
      </c>
      <c r="DE65" s="21" t="str">
        <f>IFERROR(__xludf.DUMMYFUNCTION("""COMPUTED_VALUE"""),"https://techcombank.com/thong-tin/blog/cashback-the-thanh-toan")</f>
        <v>https://techcombank.com/thong-tin/blog/cashback-the-thanh-toan</v>
      </c>
      <c r="DF65" s="16" t="str">
        <f>IFERROR(__xludf.DUMMYFUNCTION("""COMPUTED_VALUE"""),"cách tiết kiệm tiền hiệu quả")</f>
        <v>cách tiết kiệm tiền hiệu quả</v>
      </c>
      <c r="DG65" s="21" t="str">
        <f>IFERROR(__xludf.DUMMYFUNCTION("""COMPUTED_VALUE"""),"https://techcombank.com/thong-tin/blog/nang-han-muc-tin-dung")</f>
        <v>https://techcombank.com/thong-tin/blog/nang-han-muc-tin-dung</v>
      </c>
      <c r="DH65" s="16" t="str">
        <f>IFERROR(__xludf.DUMMYFUNCTION("""COMPUTED_VALUE"""),"cách tiết kiệm tiền")</f>
        <v>cách tiết kiệm tiền</v>
      </c>
      <c r="DI65" s="21" t="str">
        <f>IFERROR(__xludf.DUMMYFUNCTION("""COMPUTED_VALUE"""),"https://techcombank.com/thong-tin/blog/bang-can-doi-tai-chinh")</f>
        <v>https://techcombank.com/thong-tin/blog/bang-can-doi-tai-chinh</v>
      </c>
      <c r="DJ65" s="16" t="str">
        <f>IFERROR(__xludf.DUMMYFUNCTION("""COMPUTED_VALUE"""),"cách tiết kiệm tiền hiệu quả")</f>
        <v>cách tiết kiệm tiền hiệu quả</v>
      </c>
      <c r="DK65" s="21" t="str">
        <f>IFERROR(__xludf.DUMMYFUNCTION("""COMPUTED_VALUE"""),"https://techcombank.com/thong-tin/blog/vay-tin-chap-theo-luong")</f>
        <v>https://techcombank.com/thong-tin/blog/vay-tin-chap-theo-luong</v>
      </c>
      <c r="DL65" s="16" t="str">
        <f>IFERROR(__xludf.DUMMYFUNCTION("""COMPUTED_VALUE"""),"cách tiết kiệm tiền")</f>
        <v>cách tiết kiệm tiền</v>
      </c>
      <c r="DM65" s="21" t="str">
        <f>IFERROR(__xludf.DUMMYFUNCTION("""COMPUTED_VALUE"""),"https://techcombank.com/thong-tin/blog/ly-do-ngan-hang-so-tro-thanh-cong-cu-tai-chinh-hang-dau-cua-gioi-tre")</f>
        <v>https://techcombank.com/thong-tin/blog/ly-do-ngan-hang-so-tro-thanh-cong-cu-tai-chinh-hang-dau-cua-gioi-tre</v>
      </c>
      <c r="DN65" s="16" t="str">
        <f>IFERROR(__xludf.DUMMYFUNCTION("""COMPUTED_VALUE"""),"cách tiết kiệm tiền hiệu quả")</f>
        <v>cách tiết kiệm tiền hiệu quả</v>
      </c>
      <c r="DO65" s="21" t="str">
        <f>IFERROR(__xludf.DUMMYFUNCTION("""COMPUTED_VALUE"""),"https://techcombank.com/thong-tin/blog/the-debit-cho-con")</f>
        <v>https://techcombank.com/thong-tin/blog/the-debit-cho-con</v>
      </c>
      <c r="DP65" s="16" t="str">
        <f>IFERROR(__xludf.DUMMYFUNCTION("""COMPUTED_VALUE"""),"cách tiết kiệm tiền")</f>
        <v>cách tiết kiệm tiền</v>
      </c>
      <c r="DQ65" s="21" t="str">
        <f>IFERROR(__xludf.DUMMYFUNCTION("""COMPUTED_VALUE"""),"https://techcombank.com/thong-tin/blog/thoi-gian-hoan-tien-the-tin-dung")</f>
        <v>https://techcombank.com/thong-tin/blog/thoi-gian-hoan-tien-the-tin-dung</v>
      </c>
      <c r="DR65" s="16" t="str">
        <f>IFERROR(__xludf.DUMMYFUNCTION("""COMPUTED_VALUE"""),"cách tiết kiệm tiền hiệu quả")</f>
        <v>cách tiết kiệm tiền hiệu quả</v>
      </c>
      <c r="DS65" s="21" t="str">
        <f>IFERROR(__xludf.DUMMYFUNCTION("""COMPUTED_VALUE"""),"https://techcombank.com/thong-tin/blog/ung-dung-cong-nghe")</f>
        <v>https://techcombank.com/thong-tin/blog/ung-dung-cong-nghe</v>
      </c>
      <c r="DT65" s="16" t="str">
        <f>IFERROR(__xludf.DUMMYFUNCTION("""COMPUTED_VALUE"""),"cách tiết kiệm tiền")</f>
        <v>cách tiết kiệm tiền</v>
      </c>
      <c r="DU65" s="21" t="str">
        <f>IFERROR(__xludf.DUMMYFUNCTION("""COMPUTED_VALUE"""),"https://techcombank.com/thong-tin/blog/du-no-tin-dung-la-gi")</f>
        <v>https://techcombank.com/thong-tin/blog/du-no-tin-dung-la-gi</v>
      </c>
      <c r="DV65" s="16" t="str">
        <f>IFERROR(__xludf.DUMMYFUNCTION("""COMPUTED_VALUE"""),"cách tiết kiệm tiền hiệu quả")</f>
        <v>cách tiết kiệm tiền hiệu quả</v>
      </c>
      <c r="DW65" s="21" t="str">
        <f>IFERROR(__xludf.DUMMYFUNCTION("""COMPUTED_VALUE"""),"https://techcombank.com/thong-tin/blog/the-visa-co-may-loai")</f>
        <v>https://techcombank.com/thong-tin/blog/the-visa-co-may-loai</v>
      </c>
      <c r="DX65" s="16" t="str">
        <f>IFERROR(__xludf.DUMMYFUNCTION("""COMPUTED_VALUE"""),"cách tiết kiệm tiền")</f>
        <v>cách tiết kiệm tiền</v>
      </c>
      <c r="DY65" s="21" t="str">
        <f>IFERROR(__xludf.DUMMYFUNCTION("""COMPUTED_VALUE"""),"https://techcombank.com/thong-tin/blog/6-chiec-lo-tai-chinh-ca-nhan")</f>
        <v>https://techcombank.com/thong-tin/blog/6-chiec-lo-tai-chinh-ca-nhan</v>
      </c>
      <c r="DZ65" s="16" t="str">
        <f>IFERROR(__xludf.DUMMYFUNCTION("""COMPUTED_VALUE"""),"cách tiết kiệm tiền hiệu quả")</f>
        <v>cách tiết kiệm tiền hiệu quả</v>
      </c>
      <c r="EA65" s="21" t="str">
        <f>IFERROR(__xludf.DUMMYFUNCTION("""COMPUTED_VALUE"""),"https://techcombank.com/thong-tin/blog/hu-chi-tieu")</f>
        <v>https://techcombank.com/thong-tin/blog/hu-chi-tieu</v>
      </c>
      <c r="EB65" s="16" t="str">
        <f>IFERROR(__xludf.DUMMYFUNCTION("""COMPUTED_VALUE"""),"cách tiết kiệm tiền")</f>
        <v>cách tiết kiệm tiền</v>
      </c>
      <c r="EC65" s="21" t="str">
        <f>IFERROR(__xludf.DUMMYFUNCTION("""COMPUTED_VALUE"""),"https://techcombank.com/thong-tin/blog/ngan-hang-so")</f>
        <v>https://techcombank.com/thong-tin/blog/ngan-hang-so</v>
      </c>
      <c r="ED65" s="16" t="str">
        <f>IFERROR(__xludf.DUMMYFUNCTION("""COMPUTED_VALUE"""),"cách tiết kiệm tiền hiệu quả")</f>
        <v>cách tiết kiệm tiền hiệu quả</v>
      </c>
      <c r="EE65" s="21" t="str">
        <f>IFERROR(__xludf.DUMMYFUNCTION("""COMPUTED_VALUE"""),"https://techcombank.com/thong-tin/blog/dau-tu-tai-chinh-ca-nhan")</f>
        <v>https://techcombank.com/thong-tin/blog/dau-tu-tai-chinh-ca-nhan</v>
      </c>
      <c r="EF65" s="16" t="str">
        <f>IFERROR(__xludf.DUMMYFUNCTION("""COMPUTED_VALUE"""),"cách tiết kiệm tiền")</f>
        <v>cách tiết kiệm tiền</v>
      </c>
      <c r="EG65" s="21" t="str">
        <f>IFERROR(__xludf.DUMMYFUNCTION("""COMPUTED_VALUE"""),"https://techcombank.com/thong-tin/blog/the-tin-dung-phu-la-gi")</f>
        <v>https://techcombank.com/thong-tin/blog/the-tin-dung-phu-la-gi</v>
      </c>
      <c r="EH65" s="16" t="str">
        <f>IFERROR(__xludf.DUMMYFUNCTION("""COMPUTED_VALUE"""),"cách tiết kiệm tiền hiệu quả")</f>
        <v>cách tiết kiệm tiền hiệu quả</v>
      </c>
      <c r="EI65" s="21" t="str">
        <f>IFERROR(__xludf.DUMMYFUNCTION("""COMPUTED_VALUE"""),"https://techcombank.com/thong-tin/blog/cach-tiet-kiem-tien-sinh-loi")</f>
        <v>https://techcombank.com/thong-tin/blog/cach-tiet-kiem-tien-sinh-loi</v>
      </c>
      <c r="EJ65" s="16" t="str">
        <f>IFERROR(__xludf.DUMMYFUNCTION("""COMPUTED_VALUE"""),"cách tiết kiệm tiền")</f>
        <v>cách tiết kiệm tiền</v>
      </c>
      <c r="EK65" s="21" t="str">
        <f>IFERROR(__xludf.DUMMYFUNCTION("""COMPUTED_VALUE"""),"https://techcombank.com/thong-tin/blog/han-muc-tra-gop-the-tin-dung")</f>
        <v>https://techcombank.com/thong-tin/blog/han-muc-tra-gop-the-tin-dung</v>
      </c>
      <c r="EL65" s="16" t="str">
        <f>IFERROR(__xludf.DUMMYFUNCTION("""COMPUTED_VALUE"""),"cách tiết kiệm tiền hiệu quả")</f>
        <v>cách tiết kiệm tiền hiệu quả</v>
      </c>
      <c r="EM65" s="21" t="str">
        <f>IFERROR(__xludf.DUMMYFUNCTION("""COMPUTED_VALUE"""),"https://techcombank.com/thong-tin/blog/lap-ke-hoach-chi-tieu-ca-nhan")</f>
        <v>https://techcombank.com/thong-tin/blog/lap-ke-hoach-chi-tieu-ca-nhan</v>
      </c>
      <c r="EN65" s="16" t="str">
        <f>IFERROR(__xludf.DUMMYFUNCTION("""COMPUTED_VALUE"""),"cách tiết kiệm tiền")</f>
        <v>cách tiết kiệm tiền</v>
      </c>
      <c r="EO65" s="21" t="str">
        <f>IFERROR(__xludf.DUMMYFUNCTION("""COMPUTED_VALUE"""),"https://techcombank.com/thong-tin/blog/the-debit")</f>
        <v>https://techcombank.com/thong-tin/blog/the-debit</v>
      </c>
      <c r="EP65" s="16" t="str">
        <f>IFERROR(__xludf.DUMMYFUNCTION("""COMPUTED_VALUE"""),"cách tiết kiệm tiền hiệu quả")</f>
        <v>cách tiết kiệm tiền hiệu quả</v>
      </c>
      <c r="EQ65" s="21" t="str">
        <f>IFERROR(__xludf.DUMMYFUNCTION("""COMPUTED_VALUE"""),"https://techcombank.com/thong-tin/blog/thanh-toan-bang-the-quoc-te")</f>
        <v>https://techcombank.com/thong-tin/blog/thanh-toan-bang-the-quoc-te</v>
      </c>
      <c r="ER65" s="16" t="str">
        <f>IFERROR(__xludf.DUMMYFUNCTION("""COMPUTED_VALUE"""),"cách tiết kiệm tiền")</f>
        <v>cách tiết kiệm tiền</v>
      </c>
      <c r="ES65" s="21" t="str">
        <f>IFERROR(__xludf.DUMMYFUNCTION("""COMPUTED_VALUE"""),"https://techcombank.com/thong-tin/blog/cach-quan-ly-tai-chinh-kinh-doanh")</f>
        <v>https://techcombank.com/thong-tin/blog/cach-quan-ly-tai-chinh-kinh-doanh</v>
      </c>
      <c r="ET65" s="16" t="str">
        <f>IFERROR(__xludf.DUMMYFUNCTION("""COMPUTED_VALUE"""),"cách tiết kiệm tiền hiệu quả")</f>
        <v>cách tiết kiệm tiền hiệu quả</v>
      </c>
      <c r="EU65" s="21" t="str">
        <f>IFERROR(__xludf.DUMMYFUNCTION("""COMPUTED_VALUE"""),"https://techcombank.com/thong-tin/blog/thanh-toan-khi-du-lich-han-quoc")</f>
        <v>https://techcombank.com/thong-tin/blog/thanh-toan-khi-du-lich-han-quoc</v>
      </c>
      <c r="EV65" s="16" t="str">
        <f>IFERROR(__xludf.DUMMYFUNCTION("""COMPUTED_VALUE"""),"cách tiết kiệm tiền")</f>
        <v>cách tiết kiệm tiền</v>
      </c>
      <c r="EW65" s="21" t="str">
        <f>IFERROR(__xludf.DUMMYFUNCTION("""COMPUTED_VALUE"""),"https://techcombank.com/thong-tin/blog/thanh-toan-khi-du-lich-hong-kong")</f>
        <v>https://techcombank.com/thong-tin/blog/thanh-toan-khi-du-lich-hong-kong</v>
      </c>
      <c r="EX65" s="16" t="str">
        <f>IFERROR(__xludf.DUMMYFUNCTION("""COMPUTED_VALUE"""),"cách tiết kiệm tiền hiệu quả")</f>
        <v>cách tiết kiệm tiền hiệu quả</v>
      </c>
      <c r="EY65" s="21" t="str">
        <f>IFERROR(__xludf.DUMMYFUNCTION("""COMPUTED_VALUE"""),"https://techcombank.com/thong-tin/blog/thanh-toan-khi-du-lich-singapore")</f>
        <v>https://techcombank.com/thong-tin/blog/thanh-toan-khi-du-lich-singapore</v>
      </c>
      <c r="EZ65" s="16" t="str">
        <f>IFERROR(__xludf.DUMMYFUNCTION("""COMPUTED_VALUE"""),"cách tiết kiệm tiền")</f>
        <v>cách tiết kiệm tiền</v>
      </c>
      <c r="FA65" s="21" t="str">
        <f>IFERROR(__xludf.DUMMYFUNCTION("""COMPUTED_VALUE"""),"https://techcombank.com/thong-tin/blog/vnd-to-myr")</f>
        <v>https://techcombank.com/thong-tin/blog/vnd-to-myr</v>
      </c>
      <c r="FB65" s="16"/>
      <c r="FC65" s="16"/>
      <c r="FD65" s="16"/>
      <c r="FE65" s="16"/>
      <c r="FF65" s="16"/>
      <c r="FG65" s="16"/>
      <c r="FH65" s="16"/>
      <c r="FI65" s="16"/>
      <c r="FJ65" s="16"/>
      <c r="FK65" s="16"/>
      <c r="FL65" s="16"/>
      <c r="FM65" s="16"/>
      <c r="FN65" s="16"/>
      <c r="FO65" s="16"/>
      <c r="FP65" s="16"/>
      <c r="FQ65" s="16"/>
      <c r="FR65" s="16"/>
      <c r="FS65" s="16"/>
      <c r="FT65" s="16"/>
      <c r="FU65" s="16"/>
      <c r="FV65" s="16"/>
      <c r="FW65" s="16"/>
      <c r="FX65" s="16"/>
      <c r="FY65" s="16"/>
      <c r="FZ65" s="16"/>
      <c r="GA65" s="16"/>
      <c r="GB65" s="16"/>
      <c r="GC65" s="16"/>
      <c r="GD65" s="16"/>
      <c r="GE65" s="16"/>
      <c r="GF65" s="16"/>
      <c r="GG65" s="16"/>
      <c r="GH65" s="16"/>
      <c r="GI65" s="16"/>
      <c r="GJ65" s="16"/>
      <c r="GK65" s="16"/>
      <c r="GL65" s="16"/>
      <c r="GM65" s="16"/>
      <c r="GN65" s="16"/>
      <c r="GO65" s="16"/>
    </row>
    <row r="66" ht="18.0" customHeight="1">
      <c r="A66" s="15">
        <v>65.0</v>
      </c>
      <c r="B66" s="16" t="s">
        <v>1308</v>
      </c>
      <c r="C66" s="17" t="s">
        <v>1391</v>
      </c>
      <c r="D66" s="16" t="s">
        <v>363</v>
      </c>
      <c r="E66" s="15">
        <f>COUNTIF('Tổng hợp 75 trang đích'!$B$2:$B$2505,$D66)</f>
        <v>42</v>
      </c>
      <c r="F66" s="15">
        <f>COUNTIFS('Tổng hợp 75 trang đích'!$B$2:$B$2505,$D66,'Tổng hợp 75 trang đích'!$K$2:$K$2505,"PHÙ HỢP CAO")</f>
        <v>5</v>
      </c>
      <c r="G66" s="15">
        <f>COUNTIFS('Tổng hợp 75 trang đích'!$B$2:$B$2505,$D66,'Tổng hợp 75 trang đích'!$K$2:$K$2505,"CÓ THỂ ĐI")</f>
        <v>0</v>
      </c>
      <c r="H66" s="15">
        <f>COUNTIFS('Tổng hợp 75 trang đích'!$B$2:$B$2505,$D66,'Tổng hợp 75 trang đích'!$K$2:$K$2505,"CẦN SOÁT")</f>
        <v>37</v>
      </c>
      <c r="I66" s="19" t="s">
        <v>256</v>
      </c>
      <c r="J66" s="19" t="b">
        <v>0</v>
      </c>
      <c r="K66" s="20" t="s">
        <v>258</v>
      </c>
      <c r="L66" s="16" t="str">
        <f>IFERROR(__xludf.DUMMYFUNCTION("IFERROR(TOROW(CHOOSECOLS(SORT(FILTER({'Tổng hợp 75 trang đích'!$J$2:$J$2505,'Tổng hợp 75 trang đích'!$I$2:$I$2505,MATCH('Tổng hợp 75 trang đích'!$K$2:$K$2505,{""PHÙ HỢP CAO"",""CÓ THỂ ĐI"",""CẦN SOÁT""},0)},'Tổng hợp 75 trang đích'!$B$2:$B$2505=$D66),3,TR"&amp;"UE),1,2)),"""")"),"rủi ro khi gửi tiết kiệm online")</f>
        <v>rủi ro khi gửi tiết kiệm online</v>
      </c>
      <c r="M66" s="21" t="str">
        <f>IFERROR(__xludf.DUMMYFUNCTION("""COMPUTED_VALUE"""),"https://techcombank.com/thong-tin/blog/co-nen-gui-tiet-kiem-online")</f>
        <v>https://techcombank.com/thong-tin/blog/co-nen-gui-tiet-kiem-online</v>
      </c>
      <c r="N66" s="16" t="str">
        <f>IFERROR(__xludf.DUMMYFUNCTION("""COMPUTED_VALUE"""),"gửi tiết kiệm online có an toàn không")</f>
        <v>gửi tiết kiệm online có an toàn không</v>
      </c>
      <c r="O66" s="21" t="str">
        <f>IFERROR(__xludf.DUMMYFUNCTION("""COMPUTED_VALUE"""),"https://techcombank.com/thong-tin/blog/gui-tiet-kiem-online-bi-mat-tien")</f>
        <v>https://techcombank.com/thong-tin/blog/gui-tiet-kiem-online-bi-mat-tien</v>
      </c>
      <c r="P66" s="16" t="str">
        <f>IFERROR(__xludf.DUMMYFUNCTION("""COMPUTED_VALUE"""),"rủi ro khi gửi tiết kiệm online")</f>
        <v>rủi ro khi gửi tiết kiệm online</v>
      </c>
      <c r="Q66" s="21" t="str">
        <f>IFERROR(__xludf.DUMMYFUNCTION("""COMPUTED_VALUE"""),"https://techcombank.com/thong-tin/blog/kinh-nghiem-gui-tiet-kiem-online")</f>
        <v>https://techcombank.com/thong-tin/blog/kinh-nghiem-gui-tiet-kiem-online</v>
      </c>
      <c r="R66" s="16" t="str">
        <f>IFERROR(__xludf.DUMMYFUNCTION("""COMPUTED_VALUE"""),"gửi tiết kiệm online có an toàn không")</f>
        <v>gửi tiết kiệm online có an toàn không</v>
      </c>
      <c r="S66" s="21" t="str">
        <f>IFERROR(__xludf.DUMMYFUNCTION("""COMPUTED_VALUE"""),"https://techcombank.com/thong-tin/blog/cach-gui-tiet-kiem-online")</f>
        <v>https://techcombank.com/thong-tin/blog/cach-gui-tiet-kiem-online</v>
      </c>
      <c r="T66" s="16" t="str">
        <f>IFERROR(__xludf.DUMMYFUNCTION("""COMPUTED_VALUE"""),"rủi ro khi gửi tiết kiệm online")</f>
        <v>rủi ro khi gửi tiết kiệm online</v>
      </c>
      <c r="U66" s="21" t="str">
        <f>IFERROR(__xludf.DUMMYFUNCTION("""COMPUTED_VALUE"""),"https://techcombank.com/thong-tin/blog/rui-ro-khi-gui-tiet-kiem-ngan-hang")</f>
        <v>https://techcombank.com/thong-tin/blog/rui-ro-khi-gui-tiet-kiem-ngan-hang</v>
      </c>
      <c r="V66" s="16" t="str">
        <f>IFERROR(__xludf.DUMMYFUNCTION("""COMPUTED_VALUE"""),"gửi tiết kiệm online có an toàn không")</f>
        <v>gửi tiết kiệm online có an toàn không</v>
      </c>
      <c r="W66" s="21" t="str">
        <f>IFERROR(__xludf.DUMMYFUNCTION("""COMPUTED_VALUE"""),"https://techcombank.com/thong-tin/blog/tra-luong-tien-mat")</f>
        <v>https://techcombank.com/thong-tin/blog/tra-luong-tien-mat</v>
      </c>
      <c r="X66" s="16" t="str">
        <f>IFERROR(__xludf.DUMMYFUNCTION("""COMPUTED_VALUE"""),"rủi ro khi gửi tiết kiệm online")</f>
        <v>rủi ro khi gửi tiết kiệm online</v>
      </c>
      <c r="Y66" s="21" t="str">
        <f>IFERROR(__xludf.DUMMYFUNCTION("""COMPUTED_VALUE"""),"https://techcombank.com/thong-tin/blog/due-diligence")</f>
        <v>https://techcombank.com/thong-tin/blog/due-diligence</v>
      </c>
      <c r="Z66" s="16" t="str">
        <f>IFERROR(__xludf.DUMMYFUNCTION("""COMPUTED_VALUE"""),"gửi tiết kiệm online có an toàn không")</f>
        <v>gửi tiết kiệm online có an toàn không</v>
      </c>
      <c r="AA66" s="21" t="str">
        <f>IFERROR(__xludf.DUMMYFUNCTION("""COMPUTED_VALUE"""),"https://techcombank.com/thong-tin/blog/cho-vay-hop-von-la-gi")</f>
        <v>https://techcombank.com/thong-tin/blog/cho-vay-hop-von-la-gi</v>
      </c>
      <c r="AB66" s="16" t="str">
        <f>IFERROR(__xludf.DUMMYFUNCTION("""COMPUTED_VALUE"""),"rủi ro khi gửi tiết kiệm online")</f>
        <v>rủi ro khi gửi tiết kiệm online</v>
      </c>
      <c r="AC66" s="21" t="str">
        <f>IFERROR(__xludf.DUMMYFUNCTION("""COMPUTED_VALUE"""),"https://techcombank.com/thong-tin/blog/cac-sai-lam-pho-bien-khi-chuyen-doi-ho-kinh-doanh-len-sme")</f>
        <v>https://techcombank.com/thong-tin/blog/cac-sai-lam-pho-bien-khi-chuyen-doi-ho-kinh-doanh-len-sme</v>
      </c>
      <c r="AD66" s="16" t="str">
        <f>IFERROR(__xludf.DUMMYFUNCTION("""COMPUTED_VALUE"""),"gửi tiết kiệm online có an toàn không")</f>
        <v>gửi tiết kiệm online có an toàn không</v>
      </c>
      <c r="AE66" s="21" t="str">
        <f>IFERROR(__xludf.DUMMYFUNCTION("""COMPUTED_VALUE"""),"https://techcombank.com/thong-tin/blog/tinh-thanh-khoan-la-gi")</f>
        <v>https://techcombank.com/thong-tin/blog/tinh-thanh-khoan-la-gi</v>
      </c>
      <c r="AF66" s="16" t="str">
        <f>IFERROR(__xludf.DUMMYFUNCTION("""COMPUTED_VALUE"""),"rủi ro khi gửi tiết kiệm online")</f>
        <v>rủi ro khi gửi tiết kiệm online</v>
      </c>
      <c r="AG66" s="21" t="str">
        <f>IFERROR(__xludf.DUMMYFUNCTION("""COMPUTED_VALUE"""),"https://techcombank.com/thong-tin/blog/phat-cham-dang-ky-thue-ho-kinh-doanh")</f>
        <v>https://techcombank.com/thong-tin/blog/phat-cham-dang-ky-thue-ho-kinh-doanh</v>
      </c>
      <c r="AH66" s="16" t="str">
        <f>IFERROR(__xludf.DUMMYFUNCTION("""COMPUTED_VALUE"""),"gửi tiết kiệm online có an toàn không")</f>
        <v>gửi tiết kiệm online có an toàn không</v>
      </c>
      <c r="AI66" s="21" t="str">
        <f>IFERROR(__xludf.DUMMYFUNCTION("""COMPUTED_VALUE"""),"https://techcombank.com/thong-tin/blog/quy-trinh-gui-tien-tiet-kiem")</f>
        <v>https://techcombank.com/thong-tin/blog/quy-trinh-gui-tien-tiet-kiem</v>
      </c>
      <c r="AJ66" s="16" t="str">
        <f>IFERROR(__xludf.DUMMYFUNCTION("""COMPUTED_VALUE"""),"rủi ro khi gửi tiết kiệm online")</f>
        <v>rủi ro khi gửi tiết kiệm online</v>
      </c>
      <c r="AK66" s="21" t="str">
        <f>IFERROR(__xludf.DUMMYFUNCTION("""COMPUTED_VALUE"""),"https://techcombank.com/thong-tin/blog/vay-the-chap-khong-tra-duoc")</f>
        <v>https://techcombank.com/thong-tin/blog/vay-the-chap-khong-tra-duoc</v>
      </c>
      <c r="AL66" s="16" t="str">
        <f>IFERROR(__xludf.DUMMYFUNCTION("""COMPUTED_VALUE"""),"gửi tiết kiệm online có an toàn không")</f>
        <v>gửi tiết kiệm online có an toàn không</v>
      </c>
      <c r="AM66" s="21" t="str">
        <f>IFERROR(__xludf.DUMMYFUNCTION("""COMPUTED_VALUE"""),"https://techcombank.com/thong-tin/blog/phan-bo-tai-san")</f>
        <v>https://techcombank.com/thong-tin/blog/phan-bo-tai-san</v>
      </c>
      <c r="AN66" s="16" t="str">
        <f>IFERROR(__xludf.DUMMYFUNCTION("""COMPUTED_VALUE"""),"rủi ro khi gửi tiết kiệm online")</f>
        <v>rủi ro khi gửi tiết kiệm online</v>
      </c>
      <c r="AO66" s="21" t="str">
        <f>IFERROR(__xludf.DUMMYFUNCTION("""COMPUTED_VALUE"""),"https://techcombank.com/thong-tin/blog/vay-the-chap-so-bao-hiem-xa-hoi")</f>
        <v>https://techcombank.com/thong-tin/blog/vay-the-chap-so-bao-hiem-xa-hoi</v>
      </c>
      <c r="AP66" s="16" t="str">
        <f>IFERROR(__xludf.DUMMYFUNCTION("""COMPUTED_VALUE"""),"gửi tiết kiệm online có an toàn không")</f>
        <v>gửi tiết kiệm online có an toàn không</v>
      </c>
      <c r="AQ66" s="21" t="str">
        <f>IFERROR(__xludf.DUMMYFUNCTION("""COMPUTED_VALUE"""),"https://techcombank.com/thong-tin/blog/mat-the-tin-dung-co-bi-mat-tien-khong")</f>
        <v>https://techcombank.com/thong-tin/blog/mat-the-tin-dung-co-bi-mat-tien-khong</v>
      </c>
      <c r="AR66" s="16" t="str">
        <f>IFERROR(__xludf.DUMMYFUNCTION("""COMPUTED_VALUE"""),"rủi ro khi gửi tiết kiệm online")</f>
        <v>rủi ro khi gửi tiết kiệm online</v>
      </c>
      <c r="AS66" s="21" t="str">
        <f>IFERROR(__xludf.DUMMYFUNCTION("""COMPUTED_VALUE"""),"https://techcombank.com/thong-tin/blog/chung-chi-quy-va-co-phieu")</f>
        <v>https://techcombank.com/thong-tin/blog/chung-chi-quy-va-co-phieu</v>
      </c>
      <c r="AT66" s="16" t="str">
        <f>IFERROR(__xludf.DUMMYFUNCTION("""COMPUTED_VALUE"""),"gửi tiết kiệm online có an toàn không")</f>
        <v>gửi tiết kiệm online có an toàn không</v>
      </c>
      <c r="AU66" s="21" t="str">
        <f>IFERROR(__xludf.DUMMYFUNCTION("""COMPUTED_VALUE"""),"https://techcombank.com/thong-tin/blog/gui-tiet-kiem-vang")</f>
        <v>https://techcombank.com/thong-tin/blog/gui-tiet-kiem-vang</v>
      </c>
      <c r="AV66" s="16" t="str">
        <f>IFERROR(__xludf.DUMMYFUNCTION("""COMPUTED_VALUE"""),"rủi ro khi gửi tiết kiệm online")</f>
        <v>rủi ro khi gửi tiết kiệm online</v>
      </c>
      <c r="AW66" s="21" t="str">
        <f>IFERROR(__xludf.DUMMYFUNCTION("""COMPUTED_VALUE"""),"https://techcombank.com/thong-tin/blog/lo-so-tai-khoan-ngan-hang-co-sao-khong")</f>
        <v>https://techcombank.com/thong-tin/blog/lo-so-tai-khoan-ngan-hang-co-sao-khong</v>
      </c>
      <c r="AX66" s="16" t="str">
        <f>IFERROR(__xludf.DUMMYFUNCTION("""COMPUTED_VALUE"""),"gửi tiết kiệm online có an toàn không")</f>
        <v>gửi tiết kiệm online có an toàn không</v>
      </c>
      <c r="AY66" s="21" t="str">
        <f>IFERROR(__xludf.DUMMYFUNCTION("""COMPUTED_VALUE"""),"https://techcombank.com/thong-tin/blog/tai-sao-gui-tiet-kiem-online-lai-suat-cao-hon")</f>
        <v>https://techcombank.com/thong-tin/blog/tai-sao-gui-tiet-kiem-online-lai-suat-cao-hon</v>
      </c>
      <c r="AZ66" s="16" t="str">
        <f>IFERROR(__xludf.DUMMYFUNCTION("""COMPUTED_VALUE"""),"rủi ro khi gửi tiết kiệm online")</f>
        <v>rủi ro khi gửi tiết kiệm online</v>
      </c>
      <c r="BA66" s="21" t="str">
        <f>IFERROR(__xludf.DUMMYFUNCTION("""COMPUTED_VALUE"""),"https://techcombank.com/thong-tin/blog/rui-ro-khi-vay-the-chap-ngan-hang")</f>
        <v>https://techcombank.com/thong-tin/blog/rui-ro-khi-vay-the-chap-ngan-hang</v>
      </c>
      <c r="BB66" s="16" t="str">
        <f>IFERROR(__xludf.DUMMYFUNCTION("""COMPUTED_VALUE"""),"gửi tiết kiệm online có an toàn không")</f>
        <v>gửi tiết kiệm online có an toàn không</v>
      </c>
      <c r="BC66" s="21" t="str">
        <f>IFERROR(__xludf.DUMMYFUNCTION("""COMPUTED_VALUE"""),"https://techcombank.com/thong-tin/blog/the-atm-khong-rut-duoc-tien")</f>
        <v>https://techcombank.com/thong-tin/blog/the-atm-khong-rut-duoc-tien</v>
      </c>
      <c r="BD66" s="16" t="str">
        <f>IFERROR(__xludf.DUMMYFUNCTION("""COMPUTED_VALUE"""),"rủi ro khi gửi tiết kiệm online")</f>
        <v>rủi ro khi gửi tiết kiệm online</v>
      </c>
      <c r="BE66" s="21" t="str">
        <f>IFERROR(__xludf.DUMMYFUNCTION("""COMPUTED_VALUE"""),"https://techcombank.com/thong-tin/blog/phuong-phap-dau-tu-chung-chi-quy")</f>
        <v>https://techcombank.com/thong-tin/blog/phuong-phap-dau-tu-chung-chi-quy</v>
      </c>
      <c r="BF66" s="16" t="str">
        <f>IFERROR(__xludf.DUMMYFUNCTION("""COMPUTED_VALUE"""),"gửi tiết kiệm online có an toàn không")</f>
        <v>gửi tiết kiệm online có an toàn không</v>
      </c>
      <c r="BG66" s="21" t="str">
        <f>IFERROR(__xludf.DUMMYFUNCTION("""COMPUTED_VALUE"""),"https://techcombank.com/thong-tin/blog/gia-chung-chi-quy-la-gi")</f>
        <v>https://techcombank.com/thong-tin/blog/gia-chung-chi-quy-la-gi</v>
      </c>
      <c r="BH66" s="16" t="str">
        <f>IFERROR(__xludf.DUMMYFUNCTION("""COMPUTED_VALUE"""),"rủi ro khi gửi tiết kiệm online")</f>
        <v>rủi ro khi gửi tiết kiệm online</v>
      </c>
      <c r="BI66" s="21" t="str">
        <f>IFERROR(__xludf.DUMMYFUNCTION("""COMPUTED_VALUE"""),"https://techcombank.com/thong-tin/blog/chung-chi-quy-va-chung-khoan")</f>
        <v>https://techcombank.com/thong-tin/blog/chung-chi-quy-va-chung-khoan</v>
      </c>
      <c r="BJ66" s="16" t="str">
        <f>IFERROR(__xludf.DUMMYFUNCTION("""COMPUTED_VALUE"""),"gửi tiết kiệm online có an toàn không")</f>
        <v>gửi tiết kiệm online có an toàn không</v>
      </c>
      <c r="BK66" s="21" t="str">
        <f>IFERROR(__xludf.DUMMYFUNCTION("""COMPUTED_VALUE"""),"https://techcombank.com/thong-tin/blog/danh-muc-dau-tu")</f>
        <v>https://techcombank.com/thong-tin/blog/danh-muc-dau-tu</v>
      </c>
      <c r="BL66" s="16" t="str">
        <f>IFERROR(__xludf.DUMMYFUNCTION("""COMPUTED_VALUE"""),"rủi ro khi gửi tiết kiệm online")</f>
        <v>rủi ro khi gửi tiết kiệm online</v>
      </c>
      <c r="BM66" s="21" t="str">
        <f>IFERROR(__xludf.DUMMYFUNCTION("""COMPUTED_VALUE"""),"https://techcombank.com/thong-tin/blog/cach-khoa-the-ngan-hang")</f>
        <v>https://techcombank.com/thong-tin/blog/cach-khoa-the-ngan-hang</v>
      </c>
      <c r="BN66" s="16" t="str">
        <f>IFERROR(__xludf.DUMMYFUNCTION("""COMPUTED_VALUE"""),"gửi tiết kiệm online có an toàn không")</f>
        <v>gửi tiết kiệm online có an toàn không</v>
      </c>
      <c r="BO66" s="21" t="str">
        <f>IFERROR(__xludf.DUMMYFUNCTION("""COMPUTED_VALUE"""),"https://techcombank.com/thong-tin/blog/cac-chung-chi-quy-o-viet-nam")</f>
        <v>https://techcombank.com/thong-tin/blog/cac-chung-chi-quy-o-viet-nam</v>
      </c>
      <c r="BP66" s="16" t="str">
        <f>IFERROR(__xludf.DUMMYFUNCTION("""COMPUTED_VALUE"""),"rủi ro khi gửi tiết kiệm online")</f>
        <v>rủi ro khi gửi tiết kiệm online</v>
      </c>
      <c r="BQ66" s="21" t="str">
        <f>IFERROR(__xludf.DUMMYFUNCTION("""COMPUTED_VALUE"""),"https://techcombank.com/thong-tin/blog/mo-tai-khoan-ngan-hang-online-co-an-toan-khong")</f>
        <v>https://techcombank.com/thong-tin/blog/mo-tai-khoan-ngan-hang-online-co-an-toan-khong</v>
      </c>
      <c r="BR66" s="16" t="str">
        <f>IFERROR(__xludf.DUMMYFUNCTION("""COMPUTED_VALUE"""),"gửi tiết kiệm online có an toàn không")</f>
        <v>gửi tiết kiệm online có an toàn không</v>
      </c>
      <c r="BS66" s="21" t="str">
        <f>IFERROR(__xludf.DUMMYFUNCTION("""COMPUTED_VALUE"""),"https://techcombank.com/thong-tin/blog/tra-no-vay-thau-chi-nhu-the-nao")</f>
        <v>https://techcombank.com/thong-tin/blog/tra-no-vay-thau-chi-nhu-the-nao</v>
      </c>
      <c r="BT66" s="16" t="str">
        <f>IFERROR(__xludf.DUMMYFUNCTION("""COMPUTED_VALUE"""),"rủi ro khi gửi tiết kiệm online")</f>
        <v>rủi ro khi gửi tiết kiệm online</v>
      </c>
      <c r="BU66" s="21" t="str">
        <f>IFERROR(__xludf.DUMMYFUNCTION("""COMPUTED_VALUE"""),"https://techcombank.com/thong-tin/blog/luu-y-khi-su-dung-the-tin-dung")</f>
        <v>https://techcombank.com/thong-tin/blog/luu-y-khi-su-dung-the-tin-dung</v>
      </c>
      <c r="BV66" s="16" t="str">
        <f>IFERROR(__xludf.DUMMYFUNCTION("""COMPUTED_VALUE"""),"gửi tiết kiệm online có an toàn không")</f>
        <v>gửi tiết kiệm online có an toàn không</v>
      </c>
      <c r="BW66" s="21" t="str">
        <f>IFERROR(__xludf.DUMMYFUNCTION("""COMPUTED_VALUE"""),"https://techcombank.com/thong-tin/blog/tactical-asset-allocation")</f>
        <v>https://techcombank.com/thong-tin/blog/tactical-asset-allocation</v>
      </c>
      <c r="BX66" s="16" t="str">
        <f>IFERROR(__xludf.DUMMYFUNCTION("""COMPUTED_VALUE"""),"rủi ro khi gửi tiết kiệm online")</f>
        <v>rủi ro khi gửi tiết kiệm online</v>
      </c>
      <c r="BY66" s="21" t="str">
        <f>IFERROR(__xludf.DUMMYFUNCTION("""COMPUTED_VALUE"""),"https://techcombank.com/thong-tin/blog/gui-tiet-kiem-online-co-rut-truoc-han-duoc-khong")</f>
        <v>https://techcombank.com/thong-tin/blog/gui-tiet-kiem-online-co-rut-truoc-han-duoc-khong</v>
      </c>
      <c r="BZ66" s="16" t="str">
        <f>IFERROR(__xludf.DUMMYFUNCTION("""COMPUTED_VALUE"""),"gửi tiết kiệm online có an toàn không")</f>
        <v>gửi tiết kiệm online có an toàn không</v>
      </c>
      <c r="CA66" s="21" t="str">
        <f>IFERROR(__xludf.DUMMYFUNCTION("""COMPUTED_VALUE"""),"https://techcombank.com/thong-tin/blog/cach-bao-ve-tai-khoan")</f>
        <v>https://techcombank.com/thong-tin/blog/cach-bao-ve-tai-khoan</v>
      </c>
      <c r="CB66" s="16" t="str">
        <f>IFERROR(__xludf.DUMMYFUNCTION("""COMPUTED_VALUE"""),"rủi ro khi gửi tiết kiệm online")</f>
        <v>rủi ro khi gửi tiết kiệm online</v>
      </c>
      <c r="CC66" s="21" t="str">
        <f>IFERROR(__xludf.DUMMYFUNCTION("""COMPUTED_VALUE"""),"https://techcombank.com/thong-tin/blog/dau-co-va-dau-tu")</f>
        <v>https://techcombank.com/thong-tin/blog/dau-co-va-dau-tu</v>
      </c>
      <c r="CD66" s="16" t="str">
        <f>IFERROR(__xludf.DUMMYFUNCTION("""COMPUTED_VALUE"""),"gửi tiết kiệm online có an toàn không")</f>
        <v>gửi tiết kiệm online có an toàn không</v>
      </c>
      <c r="CE66" s="21" t="str">
        <f>IFERROR(__xludf.DUMMYFUNCTION("""COMPUTED_VALUE"""),"https://techcombank.com/thong-tin/blog/gui-tiet-kiem-online-quay-vong-ca-goc-va-lai")</f>
        <v>https://techcombank.com/thong-tin/blog/gui-tiet-kiem-online-quay-vong-ca-goc-va-lai</v>
      </c>
      <c r="CF66" s="16" t="str">
        <f>IFERROR(__xludf.DUMMYFUNCTION("""COMPUTED_VALUE"""),"rủi ro khi gửi tiết kiệm online")</f>
        <v>rủi ro khi gửi tiết kiệm online</v>
      </c>
      <c r="CG66" s="21" t="str">
        <f>IFERROR(__xludf.DUMMYFUNCTION("""COMPUTED_VALUE"""),"https://techcombank.com/thong-tin/blog/cac-loai-hinh-bao-hiem-nhan-tho")</f>
        <v>https://techcombank.com/thong-tin/blog/cac-loai-hinh-bao-hiem-nhan-tho</v>
      </c>
      <c r="CH66" s="16" t="str">
        <f>IFERROR(__xludf.DUMMYFUNCTION("""COMPUTED_VALUE"""),"gửi tiết kiệm online có an toàn không")</f>
        <v>gửi tiết kiệm online có an toàn không</v>
      </c>
      <c r="CI66" s="21" t="str">
        <f>IFERROR(__xludf.DUMMYFUNCTION("""COMPUTED_VALUE"""),"https://techcombank.com/thong-tin/blog/so-sanh-gui-tiet-kiem-online-va-tai-quay")</f>
        <v>https://techcombank.com/thong-tin/blog/so-sanh-gui-tiet-kiem-online-va-tai-quay</v>
      </c>
      <c r="CJ66" s="16" t="str">
        <f>IFERROR(__xludf.DUMMYFUNCTION("""COMPUTED_VALUE"""),"rủi ro khi gửi tiết kiệm online")</f>
        <v>rủi ro khi gửi tiết kiệm online</v>
      </c>
      <c r="CK66" s="21" t="str">
        <f>IFERROR(__xludf.DUMMYFUNCTION("""COMPUTED_VALUE"""),"https://techcombank.com/thong-tin/blog/vay-tin-chap-khong-tra-duoc-co-sao-khong")</f>
        <v>https://techcombank.com/thong-tin/blog/vay-tin-chap-khong-tra-duoc-co-sao-khong</v>
      </c>
      <c r="CL66" s="16" t="str">
        <f>IFERROR(__xludf.DUMMYFUNCTION("""COMPUTED_VALUE"""),"gửi tiết kiệm online có an toàn không")</f>
        <v>gửi tiết kiệm online có an toàn không</v>
      </c>
      <c r="CM66" s="21" t="str">
        <f>IFERROR(__xludf.DUMMYFUNCTION("""COMPUTED_VALUE"""),"https://techcombank.com/thong-tin/blog/ngoai-hoi-la-gi")</f>
        <v>https://techcombank.com/thong-tin/blog/ngoai-hoi-la-gi</v>
      </c>
      <c r="CN66" s="16" t="str">
        <f>IFERROR(__xludf.DUMMYFUNCTION("""COMPUTED_VALUE"""),"rủi ro khi gửi tiết kiệm online")</f>
        <v>rủi ro khi gửi tiết kiệm online</v>
      </c>
      <c r="CO66" s="21" t="str">
        <f>IFERROR(__xludf.DUMMYFUNCTION("""COMPUTED_VALUE"""),"https://techcombank.com/thong-tin/blog/cach-tinh-ty-gia-ky-han")</f>
        <v>https://techcombank.com/thong-tin/blog/cach-tinh-ty-gia-ky-han</v>
      </c>
      <c r="CP66" s="16" t="str">
        <f>IFERROR(__xludf.DUMMYFUNCTION("""COMPUTED_VALUE"""),"gửi tiết kiệm online có an toàn không")</f>
        <v>gửi tiết kiệm online có an toàn không</v>
      </c>
      <c r="CQ66" s="21" t="str">
        <f>IFERROR(__xludf.DUMMYFUNCTION("""COMPUTED_VALUE"""),"https://techcombank.com/thong-tin/blog/bien-dong-ty-gia-voi-doanh-nghiep-sme")</f>
        <v>https://techcombank.com/thong-tin/blog/bien-dong-ty-gia-voi-doanh-nghiep-sme</v>
      </c>
      <c r="CR66" s="16"/>
      <c r="CS66" s="16"/>
      <c r="CT66" s="16"/>
      <c r="CU66" s="16"/>
      <c r="CV66" s="16"/>
      <c r="CW66" s="16"/>
      <c r="CX66" s="16"/>
      <c r="CY66" s="16"/>
      <c r="CZ66" s="16"/>
      <c r="DA66" s="16"/>
      <c r="DB66" s="16"/>
      <c r="DC66" s="16"/>
      <c r="DD66" s="16"/>
      <c r="DE66" s="16"/>
      <c r="DF66" s="16"/>
      <c r="DG66" s="16"/>
      <c r="DH66" s="16"/>
      <c r="DI66" s="16"/>
      <c r="DJ66" s="16"/>
      <c r="DK66" s="16"/>
      <c r="DL66" s="16"/>
      <c r="DM66" s="16"/>
      <c r="DN66" s="16"/>
      <c r="DO66" s="16"/>
      <c r="DP66" s="16"/>
      <c r="DQ66" s="16"/>
      <c r="DR66" s="16"/>
      <c r="DS66" s="16"/>
      <c r="DT66" s="16"/>
      <c r="DU66" s="16"/>
      <c r="DV66" s="16"/>
      <c r="DW66" s="16"/>
      <c r="DX66" s="16"/>
      <c r="DY66" s="16"/>
      <c r="DZ66" s="16"/>
      <c r="EA66" s="16"/>
      <c r="EB66" s="16"/>
      <c r="EC66" s="16"/>
      <c r="ED66" s="16"/>
      <c r="EE66" s="16"/>
      <c r="EF66" s="16"/>
      <c r="EG66" s="16"/>
      <c r="EH66" s="16"/>
      <c r="EI66" s="16"/>
      <c r="EJ66" s="16"/>
      <c r="EK66" s="16"/>
      <c r="EL66" s="16"/>
      <c r="EM66" s="16"/>
      <c r="EN66" s="16"/>
      <c r="EO66" s="16"/>
      <c r="EP66" s="16"/>
      <c r="EQ66" s="16"/>
      <c r="ER66" s="16"/>
      <c r="ES66" s="16"/>
      <c r="ET66" s="16"/>
      <c r="EU66" s="16"/>
      <c r="EV66" s="16"/>
      <c r="EW66" s="16"/>
      <c r="EX66" s="16"/>
      <c r="EY66" s="16"/>
      <c r="EZ66" s="16"/>
      <c r="FA66" s="16"/>
      <c r="FB66" s="16"/>
      <c r="FC66" s="16"/>
      <c r="FD66" s="16"/>
      <c r="FE66" s="16"/>
      <c r="FF66" s="16"/>
      <c r="FG66" s="16"/>
      <c r="FH66" s="16"/>
      <c r="FI66" s="16"/>
      <c r="FJ66" s="16"/>
      <c r="FK66" s="16"/>
      <c r="FL66" s="16"/>
      <c r="FM66" s="16"/>
      <c r="FN66" s="16"/>
      <c r="FO66" s="16"/>
      <c r="FP66" s="16"/>
      <c r="FQ66" s="16"/>
      <c r="FR66" s="16"/>
      <c r="FS66" s="16"/>
      <c r="FT66" s="16"/>
      <c r="FU66" s="16"/>
      <c r="FV66" s="16"/>
      <c r="FW66" s="16"/>
      <c r="FX66" s="16"/>
      <c r="FY66" s="16"/>
      <c r="FZ66" s="16"/>
      <c r="GA66" s="16"/>
      <c r="GB66" s="16"/>
      <c r="GC66" s="16"/>
      <c r="GD66" s="16"/>
      <c r="GE66" s="16"/>
      <c r="GF66" s="16"/>
      <c r="GG66" s="16"/>
      <c r="GH66" s="16"/>
      <c r="GI66" s="16"/>
      <c r="GJ66" s="16"/>
      <c r="GK66" s="16"/>
      <c r="GL66" s="16"/>
      <c r="GM66" s="16"/>
      <c r="GN66" s="16"/>
      <c r="GO66" s="16"/>
    </row>
    <row r="67" ht="18.0" customHeight="1">
      <c r="A67" s="15">
        <v>66.0</v>
      </c>
      <c r="B67" s="16" t="s">
        <v>1401</v>
      </c>
      <c r="C67" s="17" t="s">
        <v>1405</v>
      </c>
      <c r="D67" s="16" t="s">
        <v>366</v>
      </c>
      <c r="E67" s="15">
        <f>COUNTIF('Tổng hợp 75 trang đích'!$B$2:$B$2505,$D67)</f>
        <v>60</v>
      </c>
      <c r="F67" s="15">
        <f>COUNTIFS('Tổng hợp 75 trang đích'!$B$2:$B$2505,$D67,'Tổng hợp 75 trang đích'!$K$2:$K$2505,"PHÙ HỢP CAO")</f>
        <v>3</v>
      </c>
      <c r="G67" s="15">
        <f>COUNTIFS('Tổng hợp 75 trang đích'!$B$2:$B$2505,$D67,'Tổng hợp 75 trang đích'!$K$2:$K$2505,"CÓ THỂ ĐI")</f>
        <v>2</v>
      </c>
      <c r="H67" s="15">
        <f>COUNTIFS('Tổng hợp 75 trang đích'!$B$2:$B$2505,$D67,'Tổng hợp 75 trang đích'!$K$2:$K$2505,"CẦN SOÁT")</f>
        <v>55</v>
      </c>
      <c r="I67" s="19" t="s">
        <v>256</v>
      </c>
      <c r="J67" s="19" t="b">
        <v>0</v>
      </c>
      <c r="K67" s="20" t="s">
        <v>258</v>
      </c>
      <c r="L67" s="16" t="str">
        <f>IFERROR(__xludf.DUMMYFUNCTION("IFERROR(TOROW(CHOOSECOLS(SORT(FILTER({'Tổng hợp 75 trang đích'!$J$2:$J$2505,'Tổng hợp 75 trang đích'!$I$2:$I$2505,MATCH('Tổng hợp 75 trang đích'!$K$2:$K$2505,{""PHÙ HỢP CAO"",""CÓ THỂ ĐI"",""CẦN SOÁT""},0)},'Tổng hợp 75 trang đích'!$B$2:$B$2505=$D67),3,TR"&amp;"UE),1,2)),"""")"),"tính lãi suất vay ngân hàng")</f>
        <v>tính lãi suất vay ngân hàng</v>
      </c>
      <c r="M67" s="21" t="str">
        <f>IFERROR(__xludf.DUMMYFUNCTION("""COMPUTED_VALUE"""),"https://techcombank.com/thong-tin/blog/vay-100-trieu")</f>
        <v>https://techcombank.com/thong-tin/blog/vay-100-trieu</v>
      </c>
      <c r="N67" s="16" t="str">
        <f>IFERROR(__xludf.DUMMYFUNCTION("""COMPUTED_VALUE"""),"tính lãi vay ngân hàng")</f>
        <v>tính lãi vay ngân hàng</v>
      </c>
      <c r="O67" s="21" t="str">
        <f>IFERROR(__xludf.DUMMYFUNCTION("""COMPUTED_VALUE"""),"https://techcombank.com/thong-tin/blog/vay-200-trieu")</f>
        <v>https://techcombank.com/thong-tin/blog/vay-200-trieu</v>
      </c>
      <c r="P67" s="16" t="str">
        <f>IFERROR(__xludf.DUMMYFUNCTION("""COMPUTED_VALUE"""),"bảng tính lãi suất vay ngân hàng")</f>
        <v>bảng tính lãi suất vay ngân hàng</v>
      </c>
      <c r="Q67" s="21" t="str">
        <f>IFERROR(__xludf.DUMMYFUNCTION("""COMPUTED_VALUE"""),"https://techcombank.com/thong-tin/blog/vay-300-trieu")</f>
        <v>https://techcombank.com/thong-tin/blog/vay-300-trieu</v>
      </c>
      <c r="R67" s="16" t="str">
        <f>IFERROR(__xludf.DUMMYFUNCTION("""COMPUTED_VALUE"""),"tính lãi suất vay ngân hàng")</f>
        <v>tính lãi suất vay ngân hàng</v>
      </c>
      <c r="S67" s="21" t="str">
        <f>IFERROR(__xludf.DUMMYFUNCTION("""COMPUTED_VALUE"""),"https://techcombank.com/thong-tin/blog/vay-tra-gop")</f>
        <v>https://techcombank.com/thong-tin/blog/vay-tra-gop</v>
      </c>
      <c r="T67" s="16" t="str">
        <f>IFERROR(__xludf.DUMMYFUNCTION("""COMPUTED_VALUE"""),"tính lãi vay ngân hàng")</f>
        <v>tính lãi vay ngân hàng</v>
      </c>
      <c r="U67" s="21" t="str">
        <f>IFERROR(__xludf.DUMMYFUNCTION("""COMPUTED_VALUE"""),"https://techcombank.com/thong-tin/blog/dang-vay-tra-gop-co-vay-them-duoc-khong")</f>
        <v>https://techcombank.com/thong-tin/blog/dang-vay-tra-gop-co-vay-them-duoc-khong</v>
      </c>
      <c r="V67" s="16" t="str">
        <f>IFERROR(__xludf.DUMMYFUNCTION("""COMPUTED_VALUE"""),"bảng tính lãi suất vay ngân hàng")</f>
        <v>bảng tính lãi suất vay ngân hàng</v>
      </c>
      <c r="W67" s="21" t="str">
        <f>IFERROR(__xludf.DUMMYFUNCTION("""COMPUTED_VALUE"""),"https://techcombank.com/thong-tin/blog/lai-suat-vay-kinh-doanh")</f>
        <v>https://techcombank.com/thong-tin/blog/lai-suat-vay-kinh-doanh</v>
      </c>
      <c r="X67" s="16" t="str">
        <f>IFERROR(__xludf.DUMMYFUNCTION("""COMPUTED_VALUE"""),"tính lãi suất vay ngân hàng")</f>
        <v>tính lãi suất vay ngân hàng</v>
      </c>
      <c r="Y67" s="21" t="str">
        <f>IFERROR(__xludf.DUMMYFUNCTION("""COMPUTED_VALUE"""),"https://techcombank.com/thong-tin/blog/cac-hinh-thuc-vay-von-ngan-hang")</f>
        <v>https://techcombank.com/thong-tin/blog/cac-hinh-thuc-vay-von-ngan-hang</v>
      </c>
      <c r="Z67" s="16" t="str">
        <f>IFERROR(__xludf.DUMMYFUNCTION("""COMPUTED_VALUE"""),"tính lãi vay ngân hàng")</f>
        <v>tính lãi vay ngân hàng</v>
      </c>
      <c r="AA67" s="21" t="str">
        <f>IFERROR(__xludf.DUMMYFUNCTION("""COMPUTED_VALUE"""),"https://techcombank.com/thong-tin/blog/loi-nhuan")</f>
        <v>https://techcombank.com/thong-tin/blog/loi-nhuan</v>
      </c>
      <c r="AB67" s="16" t="str">
        <f>IFERROR(__xludf.DUMMYFUNCTION("""COMPUTED_VALUE"""),"bảng tính lãi suất vay ngân hàng")</f>
        <v>bảng tính lãi suất vay ngân hàng</v>
      </c>
      <c r="AC67" s="21" t="str">
        <f>IFERROR(__xludf.DUMMYFUNCTION("""COMPUTED_VALUE"""),"https://techcombank.com/thong-tin/blog/co-nen-mua-o-to-tra-gop")</f>
        <v>https://techcombank.com/thong-tin/blog/co-nen-mua-o-to-tra-gop</v>
      </c>
      <c r="AD67" s="16" t="str">
        <f>IFERROR(__xludf.DUMMYFUNCTION("""COMPUTED_VALUE"""),"tính lãi suất vay ngân hàng")</f>
        <v>tính lãi suất vay ngân hàng</v>
      </c>
      <c r="AE67" s="21" t="str">
        <f>IFERROR(__xludf.DUMMYFUNCTION("""COMPUTED_VALUE"""),"https://techcombank.com/thong-tin/blog/thanh-toan-khoan-vay")</f>
        <v>https://techcombank.com/thong-tin/blog/thanh-toan-khoan-vay</v>
      </c>
      <c r="AF67" s="16" t="str">
        <f>IFERROR(__xludf.DUMMYFUNCTION("""COMPUTED_VALUE"""),"tính lãi vay ngân hàng")</f>
        <v>tính lãi vay ngân hàng</v>
      </c>
      <c r="AG67" s="21" t="str">
        <f>IFERROR(__xludf.DUMMYFUNCTION("""COMPUTED_VALUE"""),"https://techcombank.com/thong-tin/blog/kiem-tra-no-xau")</f>
        <v>https://techcombank.com/thong-tin/blog/kiem-tra-no-xau</v>
      </c>
      <c r="AH67" s="16" t="str">
        <f>IFERROR(__xludf.DUMMYFUNCTION("""COMPUTED_VALUE"""),"bảng tính lãi suất vay ngân hàng")</f>
        <v>bảng tính lãi suất vay ngân hàng</v>
      </c>
      <c r="AI67" s="21" t="str">
        <f>IFERROR(__xludf.DUMMYFUNCTION("""COMPUTED_VALUE"""),"https://techcombank.com/thong-tin/blog/mua-truoc-tra-sau")</f>
        <v>https://techcombank.com/thong-tin/blog/mua-truoc-tra-sau</v>
      </c>
      <c r="AJ67" s="16" t="str">
        <f>IFERROR(__xludf.DUMMYFUNCTION("""COMPUTED_VALUE"""),"tính lãi suất vay ngân hàng")</f>
        <v>tính lãi suất vay ngân hàng</v>
      </c>
      <c r="AK67" s="21" t="str">
        <f>IFERROR(__xludf.DUMMYFUNCTION("""COMPUTED_VALUE"""),"https://techcombank.com/thong-tin/blog/the-visa-de-lam-gi")</f>
        <v>https://techcombank.com/thong-tin/blog/the-visa-de-lam-gi</v>
      </c>
      <c r="AL67" s="16" t="str">
        <f>IFERROR(__xludf.DUMMYFUNCTION("""COMPUTED_VALUE"""),"tính lãi vay ngân hàng")</f>
        <v>tính lãi vay ngân hàng</v>
      </c>
      <c r="AM67" s="21" t="str">
        <f>IFERROR(__xludf.DUMMYFUNCTION("""COMPUTED_VALUE"""),"https://techcombank.com/thong-tin/blog/rui-ro-khi-vay-the-chap-ngan-hang")</f>
        <v>https://techcombank.com/thong-tin/blog/rui-ro-khi-vay-the-chap-ngan-hang</v>
      </c>
      <c r="AN67" s="16" t="str">
        <f>IFERROR(__xludf.DUMMYFUNCTION("""COMPUTED_VALUE"""),"bảng tính lãi suất vay ngân hàng")</f>
        <v>bảng tính lãi suất vay ngân hàng</v>
      </c>
      <c r="AO67" s="21" t="str">
        <f>IFERROR(__xludf.DUMMYFUNCTION("""COMPUTED_VALUE"""),"https://techcombank.com/thong-tin/blog/vay-tin-chap-va-vay-the-chap")</f>
        <v>https://techcombank.com/thong-tin/blog/vay-tin-chap-va-vay-the-chap</v>
      </c>
      <c r="AP67" s="16" t="str">
        <f>IFERROR(__xludf.DUMMYFUNCTION("""COMPUTED_VALUE"""),"tính lãi suất vay ngân hàng")</f>
        <v>tính lãi suất vay ngân hàng</v>
      </c>
      <c r="AQ67" s="21" t="str">
        <f>IFERROR(__xludf.DUMMYFUNCTION("""COMPUTED_VALUE"""),"https://techcombank.com/thong-tin/blog/lai-suat-vay-the-chap")</f>
        <v>https://techcombank.com/thong-tin/blog/lai-suat-vay-the-chap</v>
      </c>
      <c r="AR67" s="16" t="str">
        <f>IFERROR(__xludf.DUMMYFUNCTION("""COMPUTED_VALUE"""),"tính lãi vay ngân hàng")</f>
        <v>tính lãi vay ngân hàng</v>
      </c>
      <c r="AS67" s="21" t="str">
        <f>IFERROR(__xludf.DUMMYFUNCTION("""COMPUTED_VALUE"""),"https://techcombank.com/thong-tin/blog/tat-toan")</f>
        <v>https://techcombank.com/thong-tin/blog/tat-toan</v>
      </c>
      <c r="AT67" s="16" t="str">
        <f>IFERROR(__xludf.DUMMYFUNCTION("""COMPUTED_VALUE"""),"bảng tính lãi suất vay ngân hàng")</f>
        <v>bảng tính lãi suất vay ngân hàng</v>
      </c>
      <c r="AU67" s="21" t="str">
        <f>IFERROR(__xludf.DUMMYFUNCTION("""COMPUTED_VALUE"""),"https://techcombank.com/thong-tin/blog/dao-han-la-gi")</f>
        <v>https://techcombank.com/thong-tin/blog/dao-han-la-gi</v>
      </c>
      <c r="AV67" s="16" t="str">
        <f>IFERROR(__xludf.DUMMYFUNCTION("""COMPUTED_VALUE"""),"tính lãi suất vay ngân hàng")</f>
        <v>tính lãi suất vay ngân hàng</v>
      </c>
      <c r="AW67" s="21" t="str">
        <f>IFERROR(__xludf.DUMMYFUNCTION("""COMPUTED_VALUE"""),"https://techcombank.com/thong-tin/blog/vay-mua-xe-tra-gop-ngan-hang-nao-tot-nhat")</f>
        <v>https://techcombank.com/thong-tin/blog/vay-mua-xe-tra-gop-ngan-hang-nao-tot-nhat</v>
      </c>
      <c r="AX67" s="16" t="str">
        <f>IFERROR(__xludf.DUMMYFUNCTION("""COMPUTED_VALUE"""),"tính lãi vay ngân hàng")</f>
        <v>tính lãi vay ngân hàng</v>
      </c>
      <c r="AY67" s="21" t="str">
        <f>IFERROR(__xludf.DUMMYFUNCTION("""COMPUTED_VALUE"""),"https://techcombank.com/thong-tin/blog/lai-suat-vay-thau-chi")</f>
        <v>https://techcombank.com/thong-tin/blog/lai-suat-vay-thau-chi</v>
      </c>
      <c r="AZ67" s="16" t="str">
        <f>IFERROR(__xludf.DUMMYFUNCTION("""COMPUTED_VALUE"""),"bảng tính lãi suất vay ngân hàng")</f>
        <v>bảng tính lãi suất vay ngân hàng</v>
      </c>
      <c r="BA67" s="21" t="str">
        <f>IFERROR(__xludf.DUMMYFUNCTION("""COMPUTED_VALUE"""),"https://techcombank.com/thong-tin/blog/vay-mua-nha-tra-gop")</f>
        <v>https://techcombank.com/thong-tin/blog/vay-mua-nha-tra-gop</v>
      </c>
      <c r="BB67" s="16" t="str">
        <f>IFERROR(__xludf.DUMMYFUNCTION("""COMPUTED_VALUE"""),"tính lãi suất vay ngân hàng")</f>
        <v>tính lãi suất vay ngân hàng</v>
      </c>
      <c r="BC67" s="21" t="str">
        <f>IFERROR(__xludf.DUMMYFUNCTION("""COMPUTED_VALUE"""),"https://techcombank.com/thong-tin/blog/quy-trinh-tat-toan-khoan-vay-the-chap")</f>
        <v>https://techcombank.com/thong-tin/blog/quy-trinh-tat-toan-khoan-vay-the-chap</v>
      </c>
      <c r="BD67" s="16" t="str">
        <f>IFERROR(__xludf.DUMMYFUNCTION("""COMPUTED_VALUE"""),"tính lãi vay ngân hàng")</f>
        <v>tính lãi vay ngân hàng</v>
      </c>
      <c r="BE67" s="21" t="str">
        <f>IFERROR(__xludf.DUMMYFUNCTION("""COMPUTED_VALUE"""),"https://techcombank.com/thong-tin/blog/vay-40-trieu")</f>
        <v>https://techcombank.com/thong-tin/blog/vay-40-trieu</v>
      </c>
      <c r="BF67" s="16" t="str">
        <f>IFERROR(__xludf.DUMMYFUNCTION("""COMPUTED_VALUE"""),"bảng tính lãi suất vay ngân hàng")</f>
        <v>bảng tính lãi suất vay ngân hàng</v>
      </c>
      <c r="BG67" s="21" t="str">
        <f>IFERROR(__xludf.DUMMYFUNCTION("""COMPUTED_VALUE"""),"https://techcombank.com/thong-tin/blog/thu-tuc-mua-xe-tra-gop")</f>
        <v>https://techcombank.com/thong-tin/blog/thu-tuc-mua-xe-tra-gop</v>
      </c>
      <c r="BH67" s="16" t="str">
        <f>IFERROR(__xludf.DUMMYFUNCTION("""COMPUTED_VALUE"""),"tính lãi suất vay ngân hàng")</f>
        <v>tính lãi suất vay ngân hàng</v>
      </c>
      <c r="BI67" s="21" t="str">
        <f>IFERROR(__xludf.DUMMYFUNCTION("""COMPUTED_VALUE"""),"https://techcombank.com/thong-tin/blog/vay-ngan-hang-chi-can-cccd")</f>
        <v>https://techcombank.com/thong-tin/blog/vay-ngan-hang-chi-can-cccd</v>
      </c>
      <c r="BJ67" s="16" t="str">
        <f>IFERROR(__xludf.DUMMYFUNCTION("""COMPUTED_VALUE"""),"tính lãi vay ngân hàng")</f>
        <v>tính lãi vay ngân hàng</v>
      </c>
      <c r="BK67" s="21" t="str">
        <f>IFERROR(__xludf.DUMMYFUNCTION("""COMPUTED_VALUE"""),"https://techcombank.com/thong-tin/blog/tra-gop-shopee")</f>
        <v>https://techcombank.com/thong-tin/blog/tra-gop-shopee</v>
      </c>
      <c r="BL67" s="16" t="str">
        <f>IFERROR(__xludf.DUMMYFUNCTION("""COMPUTED_VALUE"""),"bảng tính lãi suất vay ngân hàng")</f>
        <v>bảng tính lãi suất vay ngân hàng</v>
      </c>
      <c r="BM67" s="21" t="str">
        <f>IFERROR(__xludf.DUMMYFUNCTION("""COMPUTED_VALUE"""),"https://techcombank.com/thong-tin/blog/tra-gop-hoc-phi")</f>
        <v>https://techcombank.com/thong-tin/blog/tra-gop-hoc-phi</v>
      </c>
      <c r="BN67" s="16" t="str">
        <f>IFERROR(__xludf.DUMMYFUNCTION("""COMPUTED_VALUE"""),"tính lãi suất vay ngân hàng")</f>
        <v>tính lãi suất vay ngân hàng</v>
      </c>
      <c r="BO67" s="21" t="str">
        <f>IFERROR(__xludf.DUMMYFUNCTION("""COMPUTED_VALUE"""),"https://techcombank.com/thong-tin/blog/thanh-toan-tra-gop-qua-the-tin-dung")</f>
        <v>https://techcombank.com/thong-tin/blog/thanh-toan-tra-gop-qua-the-tin-dung</v>
      </c>
      <c r="BP67" s="16" t="str">
        <f>IFERROR(__xludf.DUMMYFUNCTION("""COMPUTED_VALUE"""),"tính lãi vay ngân hàng")</f>
        <v>tính lãi vay ngân hàng</v>
      </c>
      <c r="BQ67" s="21" t="str">
        <f>IFERROR(__xludf.DUMMYFUNCTION("""COMPUTED_VALUE"""),"https://techcombank.com/thong-tin/blog/tra-gop-lazada")</f>
        <v>https://techcombank.com/thong-tin/blog/tra-gop-lazada</v>
      </c>
      <c r="BR67" s="16" t="str">
        <f>IFERROR(__xludf.DUMMYFUNCTION("""COMPUTED_VALUE"""),"bảng tính lãi suất vay ngân hàng")</f>
        <v>bảng tính lãi suất vay ngân hàng</v>
      </c>
      <c r="BS67" s="21" t="str">
        <f>IFERROR(__xludf.DUMMYFUNCTION("""COMPUTED_VALUE"""),"https://techcombank.com/thong-tin/blog/lai-suat-vay-the-chap-so-do")</f>
        <v>https://techcombank.com/thong-tin/blog/lai-suat-vay-the-chap-so-do</v>
      </c>
      <c r="BT67" s="16" t="str">
        <f>IFERROR(__xludf.DUMMYFUNCTION("""COMPUTED_VALUE"""),"tính lãi suất vay ngân hàng")</f>
        <v>tính lãi suất vay ngân hàng</v>
      </c>
      <c r="BU67" s="21" t="str">
        <f>IFERROR(__xludf.DUMMYFUNCTION("""COMPUTED_VALUE"""),"https://techcombank.com/thong-tin/blog/nen-mua-xe-tra-gop-hay-tra-thang")</f>
        <v>https://techcombank.com/thong-tin/blog/nen-mua-xe-tra-gop-hay-tra-thang</v>
      </c>
      <c r="BV67" s="16" t="str">
        <f>IFERROR(__xludf.DUMMYFUNCTION("""COMPUTED_VALUE"""),"tính lãi vay ngân hàng")</f>
        <v>tính lãi vay ngân hàng</v>
      </c>
      <c r="BW67" s="21" t="str">
        <f>IFERROR(__xludf.DUMMYFUNCTION("""COMPUTED_VALUE"""),"https://techcombank.com/thong-tin/blog/vay-15-trieu")</f>
        <v>https://techcombank.com/thong-tin/blog/vay-15-trieu</v>
      </c>
      <c r="BX67" s="16" t="str">
        <f>IFERROR(__xludf.DUMMYFUNCTION("""COMPUTED_VALUE"""),"bảng tính lãi suất vay ngân hàng")</f>
        <v>bảng tính lãi suất vay ngân hàng</v>
      </c>
      <c r="BY67" s="21" t="str">
        <f>IFERROR(__xludf.DUMMYFUNCTION("""COMPUTED_VALUE"""),"https://techcombank.com/thong-tin/blog/lai-suat-vay-tieu-dung")</f>
        <v>https://techcombank.com/thong-tin/blog/lai-suat-vay-tieu-dung</v>
      </c>
      <c r="BZ67" s="16" t="str">
        <f>IFERROR(__xludf.DUMMYFUNCTION("""COMPUTED_VALUE"""),"tính lãi suất vay ngân hàng")</f>
        <v>tính lãi suất vay ngân hàng</v>
      </c>
      <c r="CA67" s="21" t="str">
        <f>IFERROR(__xludf.DUMMYFUNCTION("""COMPUTED_VALUE"""),"https://techcombank.com/thong-tin/blog/lam-ho-so-tra-gop-dien-thoai")</f>
        <v>https://techcombank.com/thong-tin/blog/lam-ho-so-tra-gop-dien-thoai</v>
      </c>
      <c r="CB67" s="16" t="str">
        <f>IFERROR(__xludf.DUMMYFUNCTION("""COMPUTED_VALUE"""),"tính lãi vay ngân hàng")</f>
        <v>tính lãi vay ngân hàng</v>
      </c>
      <c r="CC67" s="21" t="str">
        <f>IFERROR(__xludf.DUMMYFUNCTION("""COMPUTED_VALUE"""),"https://techcombank.com/thong-tin/blog/vay-30-trieu")</f>
        <v>https://techcombank.com/thong-tin/blog/vay-30-trieu</v>
      </c>
      <c r="CD67" s="16" t="str">
        <f>IFERROR(__xludf.DUMMYFUNCTION("""COMPUTED_VALUE"""),"bảng tính lãi suất vay ngân hàng")</f>
        <v>bảng tính lãi suất vay ngân hàng</v>
      </c>
      <c r="CE67" s="21" t="str">
        <f>IFERROR(__xludf.DUMMYFUNCTION("""COMPUTED_VALUE"""),"https://techcombank.com/thong-tin/blog/thu-tuc-vay-von-ngan-hang-de-xay-nha")</f>
        <v>https://techcombank.com/thong-tin/blog/thu-tuc-vay-von-ngan-hang-de-xay-nha</v>
      </c>
      <c r="CF67" s="16" t="str">
        <f>IFERROR(__xludf.DUMMYFUNCTION("""COMPUTED_VALUE"""),"tính lãi suất vay ngân hàng")</f>
        <v>tính lãi suất vay ngân hàng</v>
      </c>
      <c r="CG67" s="21" t="str">
        <f>IFERROR(__xludf.DUMMYFUNCTION("""COMPUTED_VALUE"""),"https://techcombank.com/thong-tin/blog/cach-su-dung-the-tin-dung")</f>
        <v>https://techcombank.com/thong-tin/blog/cach-su-dung-the-tin-dung</v>
      </c>
      <c r="CH67" s="16" t="str">
        <f>IFERROR(__xludf.DUMMYFUNCTION("""COMPUTED_VALUE"""),"tính lãi vay ngân hàng")</f>
        <v>tính lãi vay ngân hàng</v>
      </c>
      <c r="CI67" s="21" t="str">
        <f>IFERROR(__xludf.DUMMYFUNCTION("""COMPUTED_VALUE"""),"https://techcombank.com/thong-tin/blog/vay-mua-nha-o-xa-hoi")</f>
        <v>https://techcombank.com/thong-tin/blog/vay-mua-nha-o-xa-hoi</v>
      </c>
      <c r="CJ67" s="16" t="str">
        <f>IFERROR(__xludf.DUMMYFUNCTION("""COMPUTED_VALUE"""),"bảng tính lãi suất vay ngân hàng")</f>
        <v>bảng tính lãi suất vay ngân hàng</v>
      </c>
      <c r="CK67" s="21" t="str">
        <f>IFERROR(__xludf.DUMMYFUNCTION("""COMPUTED_VALUE"""),"https://techcombank.com/thong-tin/blog/kinh-nghiem-vay-tien-ngan-hang-xay-nha")</f>
        <v>https://techcombank.com/thong-tin/blog/kinh-nghiem-vay-tien-ngan-hang-xay-nha</v>
      </c>
      <c r="CL67" s="16" t="str">
        <f>IFERROR(__xludf.DUMMYFUNCTION("""COMPUTED_VALUE"""),"tính lãi suất vay ngân hàng")</f>
        <v>tính lãi suất vay ngân hàng</v>
      </c>
      <c r="CM67" s="21" t="str">
        <f>IFERROR(__xludf.DUMMYFUNCTION("""COMPUTED_VALUE"""),"https://techcombank.com/thong-tin/blog/vay-tin-chap-theo-luong")</f>
        <v>https://techcombank.com/thong-tin/blog/vay-tin-chap-theo-luong</v>
      </c>
      <c r="CN67" s="16" t="str">
        <f>IFERROR(__xludf.DUMMYFUNCTION("""COMPUTED_VALUE"""),"tính lãi vay ngân hàng")</f>
        <v>tính lãi vay ngân hàng</v>
      </c>
      <c r="CO67" s="21" t="str">
        <f>IFERROR(__xludf.DUMMYFUNCTION("""COMPUTED_VALUE"""),"https://techcombank.com/thong-tin/blog/tra-gop-qua-the-tin-dung")</f>
        <v>https://techcombank.com/thong-tin/blog/tra-gop-qua-the-tin-dung</v>
      </c>
      <c r="CP67" s="16" t="str">
        <f>IFERROR(__xludf.DUMMYFUNCTION("""COMPUTED_VALUE"""),"bảng tính lãi suất vay ngân hàng")</f>
        <v>bảng tính lãi suất vay ngân hàng</v>
      </c>
      <c r="CQ67" s="21" t="str">
        <f>IFERROR(__xludf.DUMMYFUNCTION("""COMPUTED_VALUE"""),"https://techcombank.com/thong-tin/blog/cach-tinh-lai-vay-ngan-hang")</f>
        <v>https://techcombank.com/thong-tin/blog/cach-tinh-lai-vay-ngan-hang</v>
      </c>
      <c r="CR67" s="16" t="str">
        <f>IFERROR(__xludf.DUMMYFUNCTION("""COMPUTED_VALUE"""),"tính lãi suất vay ngân hàng")</f>
        <v>tính lãi suất vay ngân hàng</v>
      </c>
      <c r="CS67" s="21" t="str">
        <f>IFERROR(__xludf.DUMMYFUNCTION("""COMPUTED_VALUE"""),"https://techcombank.com/thong-tin/blog/cach-su-dung-the-visa-techcombank")</f>
        <v>https://techcombank.com/thong-tin/blog/cach-su-dung-the-visa-techcombank</v>
      </c>
      <c r="CT67" s="16" t="str">
        <f>IFERROR(__xludf.DUMMYFUNCTION("""COMPUTED_VALUE"""),"tính lãi vay ngân hàng")</f>
        <v>tính lãi vay ngân hàng</v>
      </c>
      <c r="CU67" s="21" t="str">
        <f>IFERROR(__xludf.DUMMYFUNCTION("""COMPUTED_VALUE"""),"https://techcombank.com/thong-tin/blog/lai-suat-vay-ngan-hang")</f>
        <v>https://techcombank.com/thong-tin/blog/lai-suat-vay-ngan-hang</v>
      </c>
      <c r="CV67" s="16" t="str">
        <f>IFERROR(__xludf.DUMMYFUNCTION("""COMPUTED_VALUE"""),"bảng tính lãi suất vay ngân hàng")</f>
        <v>bảng tính lãi suất vay ngân hàng</v>
      </c>
      <c r="CW67" s="21" t="str">
        <f>IFERROR(__xludf.DUMMYFUNCTION("""COMPUTED_VALUE"""),"https://techcombank.com/thong-tin/blog/du-no-tin-dung-la-gi")</f>
        <v>https://techcombank.com/thong-tin/blog/du-no-tin-dung-la-gi</v>
      </c>
      <c r="CX67" s="16" t="str">
        <f>IFERROR(__xludf.DUMMYFUNCTION("""COMPUTED_VALUE"""),"tính lãi suất vay ngân hàng")</f>
        <v>tính lãi suất vay ngân hàng</v>
      </c>
      <c r="CY67" s="21" t="str">
        <f>IFERROR(__xludf.DUMMYFUNCTION("""COMPUTED_VALUE"""),"https://techcombank.com/thong-tin/blog/mua-nha-tra-gop-dua-truoc-100-trieu")</f>
        <v>https://techcombank.com/thong-tin/blog/mua-nha-tra-gop-dua-truoc-100-trieu</v>
      </c>
      <c r="CZ67" s="16" t="str">
        <f>IFERROR(__xludf.DUMMYFUNCTION("""COMPUTED_VALUE"""),"tính lãi vay ngân hàng")</f>
        <v>tính lãi vay ngân hàng</v>
      </c>
      <c r="DA67" s="21" t="str">
        <f>IFERROR(__xludf.DUMMYFUNCTION("""COMPUTED_VALUE"""),"https://techcombank.com/thong-tin/blog/vay-han-muc-la-gi")</f>
        <v>https://techcombank.com/thong-tin/blog/vay-han-muc-la-gi</v>
      </c>
      <c r="DB67" s="16" t="str">
        <f>IFERROR(__xludf.DUMMYFUNCTION("""COMPUTED_VALUE"""),"bảng tính lãi suất vay ngân hàng")</f>
        <v>bảng tính lãi suất vay ngân hàng</v>
      </c>
      <c r="DC67" s="21" t="str">
        <f>IFERROR(__xludf.DUMMYFUNCTION("""COMPUTED_VALUE"""),"https://techcombank.com/thong-tin/blog/lai-suat-vay-mua-o-to")</f>
        <v>https://techcombank.com/thong-tin/blog/lai-suat-vay-mua-o-to</v>
      </c>
      <c r="DD67" s="16" t="str">
        <f>IFERROR(__xludf.DUMMYFUNCTION("""COMPUTED_VALUE"""),"tính lãi suất vay ngân hàng")</f>
        <v>tính lãi suất vay ngân hàng</v>
      </c>
      <c r="DE67" s="21" t="str">
        <f>IFERROR(__xludf.DUMMYFUNCTION("""COMPUTED_VALUE"""),"https://techcombank.com/thong-tin/blog/no-xau-nhom-2")</f>
        <v>https://techcombank.com/thong-tin/blog/no-xau-nhom-2</v>
      </c>
      <c r="DF67" s="16" t="str">
        <f>IFERROR(__xludf.DUMMYFUNCTION("""COMPUTED_VALUE"""),"tính lãi vay ngân hàng")</f>
        <v>tính lãi vay ngân hàng</v>
      </c>
      <c r="DG67" s="21" t="str">
        <f>IFERROR(__xludf.DUMMYFUNCTION("""COMPUTED_VALUE"""),"https://techcombank.com/thong-tin/blog/lai-suat-vay-tin-chap")</f>
        <v>https://techcombank.com/thong-tin/blog/lai-suat-vay-tin-chap</v>
      </c>
      <c r="DH67" s="16" t="str">
        <f>IFERROR(__xludf.DUMMYFUNCTION("""COMPUTED_VALUE"""),"bảng tính lãi suất vay ngân hàng")</f>
        <v>bảng tính lãi suất vay ngân hàng</v>
      </c>
      <c r="DI67" s="21" t="str">
        <f>IFERROR(__xludf.DUMMYFUNCTION("""COMPUTED_VALUE"""),"https://techcombank.com/thong-tin/blog/co-100-trieu-co-mua-nen-mua-tra-gop")</f>
        <v>https://techcombank.com/thong-tin/blog/co-100-trieu-co-mua-nen-mua-tra-gop</v>
      </c>
      <c r="DJ67" s="16" t="str">
        <f>IFERROR(__xludf.DUMMYFUNCTION("""COMPUTED_VALUE"""),"tính lãi suất vay ngân hàng")</f>
        <v>tính lãi suất vay ngân hàng</v>
      </c>
      <c r="DK67" s="21" t="str">
        <f>IFERROR(__xludf.DUMMYFUNCTION("""COMPUTED_VALUE"""),"https://techcombank.com/thong-tin/blog/bao-hiem-vat-chat-xe-o-to")</f>
        <v>https://techcombank.com/thong-tin/blog/bao-hiem-vat-chat-xe-o-to</v>
      </c>
      <c r="DL67" s="16" t="str">
        <f>IFERROR(__xludf.DUMMYFUNCTION("""COMPUTED_VALUE"""),"tính lãi vay ngân hàng")</f>
        <v>tính lãi vay ngân hàng</v>
      </c>
      <c r="DM67" s="21" t="str">
        <f>IFERROR(__xludf.DUMMYFUNCTION("""COMPUTED_VALUE"""),"https://techcombank.com/thong-tin/blog/han-muc-tra-gop-the-tin-dung")</f>
        <v>https://techcombank.com/thong-tin/blog/han-muc-tra-gop-the-tin-dung</v>
      </c>
      <c r="DN67" s="16" t="str">
        <f>IFERROR(__xludf.DUMMYFUNCTION("""COMPUTED_VALUE"""),"bảng tính lãi suất vay ngân hàng")</f>
        <v>bảng tính lãi suất vay ngân hàng</v>
      </c>
      <c r="DO67" s="21" t="str">
        <f>IFERROR(__xludf.DUMMYFUNCTION("""COMPUTED_VALUE"""),"https://techcombank.com/thong-tin/blog/quy-trinh-cho-vay-tieu-dung")</f>
        <v>https://techcombank.com/thong-tin/blog/quy-trinh-cho-vay-tieu-dung</v>
      </c>
      <c r="DP67" s="16" t="str">
        <f>IFERROR(__xludf.DUMMYFUNCTION("""COMPUTED_VALUE"""),"tính lãi suất vay ngân hàng")</f>
        <v>tính lãi suất vay ngân hàng</v>
      </c>
      <c r="DQ67" s="21" t="str">
        <f>IFERROR(__xludf.DUMMYFUNCTION("""COMPUTED_VALUE"""),"https://techcombank.com/thong-tin/blog/vay-20-trieu")</f>
        <v>https://techcombank.com/thong-tin/blog/vay-20-trieu</v>
      </c>
      <c r="DR67" s="16" t="str">
        <f>IFERROR(__xludf.DUMMYFUNCTION("""COMPUTED_VALUE"""),"tính lãi vay ngân hàng")</f>
        <v>tính lãi vay ngân hàng</v>
      </c>
      <c r="DS67" s="21" t="str">
        <f>IFERROR(__xludf.DUMMYFUNCTION("""COMPUTED_VALUE"""),"https://techcombank.com/thong-tin/blog/kinh-nghiem-vay-tien-mua-nha")</f>
        <v>https://techcombank.com/thong-tin/blog/kinh-nghiem-vay-tien-mua-nha</v>
      </c>
      <c r="DT67" s="16" t="str">
        <f>IFERROR(__xludf.DUMMYFUNCTION("""COMPUTED_VALUE"""),"bảng tính lãi suất vay ngân hàng")</f>
        <v>bảng tính lãi suất vay ngân hàng</v>
      </c>
      <c r="DU67" s="21" t="str">
        <f>IFERROR(__xludf.DUMMYFUNCTION("""COMPUTED_VALUE"""),"https://techcombank.com/thong-tin/blog/vay-tin-chap-la-gi")</f>
        <v>https://techcombank.com/thong-tin/blog/vay-tin-chap-la-gi</v>
      </c>
      <c r="DV67" s="16" t="str">
        <f>IFERROR(__xludf.DUMMYFUNCTION("""COMPUTED_VALUE"""),"tính lãi suất vay ngân hàng")</f>
        <v>tính lãi suất vay ngân hàng</v>
      </c>
      <c r="DW67" s="21" t="str">
        <f>IFERROR(__xludf.DUMMYFUNCTION("""COMPUTED_VALUE"""),"https://techcombank.com/thong-tin/blog/vay-mua-dien-thoai")</f>
        <v>https://techcombank.com/thong-tin/blog/vay-mua-dien-thoai</v>
      </c>
      <c r="DX67" s="16" t="str">
        <f>IFERROR(__xludf.DUMMYFUNCTION("""COMPUTED_VALUE"""),"tính lãi vay ngân hàng")</f>
        <v>tính lãi vay ngân hàng</v>
      </c>
      <c r="DY67" s="21" t="str">
        <f>IFERROR(__xludf.DUMMYFUNCTION("""COMPUTED_VALUE"""),"https://techcombank.com/thong-tin/blog/vay-the-chap-hop-dong-mua-ban-can-ho")</f>
        <v>https://techcombank.com/thong-tin/blog/vay-the-chap-hop-dong-mua-ban-can-ho</v>
      </c>
      <c r="DZ67" s="16" t="str">
        <f>IFERROR(__xludf.DUMMYFUNCTION("""COMPUTED_VALUE"""),"bảng tính lãi suất vay ngân hàng")</f>
        <v>bảng tính lãi suất vay ngân hàng</v>
      </c>
      <c r="EA67" s="21" t="str">
        <f>IFERROR(__xludf.DUMMYFUNCTION("""COMPUTED_VALUE"""),"https://techcombank.com/thong-tin/blog/lai-suat-cho-vay-doanh-nghiep")</f>
        <v>https://techcombank.com/thong-tin/blog/lai-suat-cho-vay-doanh-nghiep</v>
      </c>
      <c r="EB67" s="16"/>
      <c r="EC67" s="16"/>
      <c r="ED67" s="16"/>
      <c r="EE67" s="16"/>
      <c r="EF67" s="16"/>
      <c r="EG67" s="16"/>
      <c r="EH67" s="16"/>
      <c r="EI67" s="16"/>
      <c r="EJ67" s="16"/>
      <c r="EK67" s="16"/>
      <c r="EL67" s="16"/>
      <c r="EM67" s="16"/>
      <c r="EN67" s="16"/>
      <c r="EO67" s="16"/>
      <c r="EP67" s="16"/>
      <c r="EQ67" s="16"/>
      <c r="ER67" s="16"/>
      <c r="ES67" s="16"/>
      <c r="ET67" s="16"/>
      <c r="EU67" s="16"/>
      <c r="EV67" s="16"/>
      <c r="EW67" s="16"/>
      <c r="EX67" s="16"/>
      <c r="EY67" s="16"/>
      <c r="EZ67" s="16"/>
      <c r="FA67" s="16"/>
      <c r="FB67" s="16"/>
      <c r="FC67" s="16"/>
      <c r="FD67" s="16"/>
      <c r="FE67" s="16"/>
      <c r="FF67" s="16"/>
      <c r="FG67" s="16"/>
      <c r="FH67" s="16"/>
      <c r="FI67" s="16"/>
      <c r="FJ67" s="16"/>
      <c r="FK67" s="16"/>
      <c r="FL67" s="16"/>
      <c r="FM67" s="16"/>
      <c r="FN67" s="16"/>
      <c r="FO67" s="16"/>
      <c r="FP67" s="16"/>
      <c r="FQ67" s="16"/>
      <c r="FR67" s="16"/>
      <c r="FS67" s="16"/>
      <c r="FT67" s="16"/>
      <c r="FU67" s="16"/>
      <c r="FV67" s="16"/>
      <c r="FW67" s="16"/>
      <c r="FX67" s="16"/>
      <c r="FY67" s="16"/>
      <c r="FZ67" s="16"/>
      <c r="GA67" s="16"/>
      <c r="GB67" s="16"/>
      <c r="GC67" s="16"/>
      <c r="GD67" s="16"/>
      <c r="GE67" s="16"/>
      <c r="GF67" s="16"/>
      <c r="GG67" s="16"/>
      <c r="GH67" s="16"/>
      <c r="GI67" s="16"/>
      <c r="GJ67" s="16"/>
      <c r="GK67" s="16"/>
      <c r="GL67" s="16"/>
      <c r="GM67" s="16"/>
      <c r="GN67" s="16"/>
      <c r="GO67" s="16"/>
    </row>
    <row r="68" ht="18.0" customHeight="1">
      <c r="A68" s="15">
        <v>67.0</v>
      </c>
      <c r="B68" s="16" t="s">
        <v>1401</v>
      </c>
      <c r="C68" s="17" t="s">
        <v>1424</v>
      </c>
      <c r="D68" s="16" t="s">
        <v>368</v>
      </c>
      <c r="E68" s="15">
        <f>COUNTIF('Tổng hợp 75 trang đích'!$B$2:$B$2505,$D68)</f>
        <v>62</v>
      </c>
      <c r="F68" s="15">
        <f>COUNTIFS('Tổng hợp 75 trang đích'!$B$2:$B$2505,$D68,'Tổng hợp 75 trang đích'!$K$2:$K$2505,"PHÙ HỢP CAO")</f>
        <v>2</v>
      </c>
      <c r="G68" s="15">
        <f>COUNTIFS('Tổng hợp 75 trang đích'!$B$2:$B$2505,$D68,'Tổng hợp 75 trang đích'!$K$2:$K$2505,"CÓ THỂ ĐI")</f>
        <v>3</v>
      </c>
      <c r="H68" s="15">
        <f>COUNTIFS('Tổng hợp 75 trang đích'!$B$2:$B$2505,$D68,'Tổng hợp 75 trang đích'!$K$2:$K$2505,"CẦN SOÁT")</f>
        <v>57</v>
      </c>
      <c r="I68" s="19" t="s">
        <v>256</v>
      </c>
      <c r="J68" s="19" t="b">
        <v>0</v>
      </c>
      <c r="K68" s="20" t="s">
        <v>258</v>
      </c>
      <c r="L68" s="16" t="str">
        <f>IFERROR(__xludf.DUMMYFUNCTION("IFERROR(TOROW(CHOOSECOLS(SORT(FILTER({'Tổng hợp 75 trang đích'!$J$2:$J$2505,'Tổng hợp 75 trang đích'!$I$2:$I$2505,MATCH('Tổng hợp 75 trang đích'!$K$2:$K$2505,{""PHÙ HỢP CAO"",""CÓ THỂ ĐI"",""CẦN SOÁT""},0)},'Tổng hợp 75 trang đích'!$B$2:$B$2505=$D68),3,TR"&amp;"UE),1,2)),"""")"),"công cụ tính lãi tiết kiệm")</f>
        <v>công cụ tính lãi tiết kiệm</v>
      </c>
      <c r="M68" s="21" t="str">
        <f>IFERROR(__xludf.DUMMYFUNCTION("""COMPUTED_VALUE"""),"https://techcombank.com/thong-tin/blog/cach-tiet-kiem-100-trieu-1-nam")</f>
        <v>https://techcombank.com/thong-tin/blog/cach-tiet-kiem-100-trieu-1-nam</v>
      </c>
      <c r="N68" s="16" t="str">
        <f>IFERROR(__xludf.DUMMYFUNCTION("""COMPUTED_VALUE"""),"bảng tính lãi suất tiết kiệm")</f>
        <v>bảng tính lãi suất tiết kiệm</v>
      </c>
      <c r="O68" s="21" t="str">
        <f>IFERROR(__xludf.DUMMYFUNCTION("""COMPUTED_VALUE"""),"https://techcombank.com/thong-tin/blog/co-50-trieu-nen-mua-vang-hay-gui-tiet-kiem")</f>
        <v>https://techcombank.com/thong-tin/blog/co-50-trieu-nen-mua-vang-hay-gui-tiet-kiem</v>
      </c>
      <c r="P68" s="16" t="str">
        <f>IFERROR(__xludf.DUMMYFUNCTION("""COMPUTED_VALUE"""),"công cụ tính lãi tiết kiệm")</f>
        <v>công cụ tính lãi tiết kiệm</v>
      </c>
      <c r="Q68" s="21" t="str">
        <f>IFERROR(__xludf.DUMMYFUNCTION("""COMPUTED_VALUE"""),"https://techcombank.com/thong-tin/blog/gui-tiet-kiem-tich-luy-la-gi")</f>
        <v>https://techcombank.com/thong-tin/blog/gui-tiet-kiem-tich-luy-la-gi</v>
      </c>
      <c r="R68" s="16" t="str">
        <f>IFERROR(__xludf.DUMMYFUNCTION("""COMPUTED_VALUE"""),"bảng tính lãi suất tiết kiệm")</f>
        <v>bảng tính lãi suất tiết kiệm</v>
      </c>
      <c r="S68" s="21" t="str">
        <f>IFERROR(__xludf.DUMMYFUNCTION("""COMPUTED_VALUE"""),"https://techcombank.com/thong-tin/blog/quy-trinh-gui-tien-tiet-kiem")</f>
        <v>https://techcombank.com/thong-tin/blog/quy-trinh-gui-tien-tiet-kiem</v>
      </c>
      <c r="T68" s="16" t="str">
        <f>IFERROR(__xludf.DUMMYFUNCTION("""COMPUTED_VALUE"""),"công cụ tính lãi tiết kiệm")</f>
        <v>công cụ tính lãi tiết kiệm</v>
      </c>
      <c r="U68" s="21" t="str">
        <f>IFERROR(__xludf.DUMMYFUNCTION("""COMPUTED_VALUE"""),"https://techcombank.com/thong-tin/blog/nen-de-tien-trong-the-hay-gui-tiet-kiem")</f>
        <v>https://techcombank.com/thong-tin/blog/nen-de-tien-trong-the-hay-gui-tiet-kiem</v>
      </c>
      <c r="V68" s="16" t="str">
        <f>IFERROR(__xludf.DUMMYFUNCTION("""COMPUTED_VALUE"""),"bảng tính lãi suất tiết kiệm")</f>
        <v>bảng tính lãi suất tiết kiệm</v>
      </c>
      <c r="W68" s="21" t="str">
        <f>IFERROR(__xludf.DUMMYFUNCTION("""COMPUTED_VALUE"""),"https://techcombank.com/thong-tin/blog/lai-suat-vay-kinh-doanh")</f>
        <v>https://techcombank.com/thong-tin/blog/lai-suat-vay-kinh-doanh</v>
      </c>
      <c r="X68" s="16" t="str">
        <f>IFERROR(__xludf.DUMMYFUNCTION("""COMPUTED_VALUE"""),"công cụ tính lãi tiết kiệm")</f>
        <v>công cụ tính lãi tiết kiệm</v>
      </c>
      <c r="Y68" s="21" t="str">
        <f>IFERROR(__xludf.DUMMYFUNCTION("""COMPUTED_VALUE"""),"https://techcombank.com/thong-tin/blog/cong-thuc-tinh-lai-suat-thuc")</f>
        <v>https://techcombank.com/thong-tin/blog/cong-thuc-tinh-lai-suat-thuc</v>
      </c>
      <c r="Z68" s="16" t="str">
        <f>IFERROR(__xludf.DUMMYFUNCTION("""COMPUTED_VALUE"""),"bảng tính lãi suất tiết kiệm")</f>
        <v>bảng tính lãi suất tiết kiệm</v>
      </c>
      <c r="AA68" s="21" t="str">
        <f>IFERROR(__xludf.DUMMYFUNCTION("""COMPUTED_VALUE"""),"https://techcombank.com/thong-tin/blog/diem-loyalty-la-gi")</f>
        <v>https://techcombank.com/thong-tin/blog/diem-loyalty-la-gi</v>
      </c>
      <c r="AB68" s="16" t="str">
        <f>IFERROR(__xludf.DUMMYFUNCTION("""COMPUTED_VALUE"""),"công cụ tính lãi tiết kiệm")</f>
        <v>công cụ tính lãi tiết kiệm</v>
      </c>
      <c r="AC68" s="21" t="str">
        <f>IFERROR(__xludf.DUMMYFUNCTION("""COMPUTED_VALUE"""),"https://techcombank.com/thong-tin/blog/techcombank-oneu")</f>
        <v>https://techcombank.com/thong-tin/blog/techcombank-oneu</v>
      </c>
      <c r="AD68" s="16" t="str">
        <f>IFERROR(__xludf.DUMMYFUNCTION("""COMPUTED_VALUE"""),"bảng tính lãi suất tiết kiệm")</f>
        <v>bảng tính lãi suất tiết kiệm</v>
      </c>
      <c r="AE68" s="21" t="str">
        <f>IFERROR(__xludf.DUMMYFUNCTION("""COMPUTED_VALUE"""),"https://techcombank.com/thong-tin/blog/gui-tiet-kiem-theo-ngay")</f>
        <v>https://techcombank.com/thong-tin/blog/gui-tiet-kiem-theo-ngay</v>
      </c>
      <c r="AF68" s="16" t="str">
        <f>IFERROR(__xludf.DUMMYFUNCTION("""COMPUTED_VALUE"""),"công cụ tính lãi tiết kiệm")</f>
        <v>công cụ tính lãi tiết kiệm</v>
      </c>
      <c r="AG68" s="21" t="str">
        <f>IFERROR(__xludf.DUMMYFUNCTION("""COMPUTED_VALUE"""),"https://techcombank.com/thong-tin/blog/gui-tiet-kiem-vang")</f>
        <v>https://techcombank.com/thong-tin/blog/gui-tiet-kiem-vang</v>
      </c>
      <c r="AH68" s="16" t="str">
        <f>IFERROR(__xludf.DUMMYFUNCTION("""COMPUTED_VALUE"""),"bảng tính lãi suất tiết kiệm")</f>
        <v>bảng tính lãi suất tiết kiệm</v>
      </c>
      <c r="AI68" s="21" t="str">
        <f>IFERROR(__xludf.DUMMYFUNCTION("""COMPUTED_VALUE"""),"https://techcombank.com/thong-tin/blog/nen-gui-tiet-kiem-thong-thuong-hay-tich-luy")</f>
        <v>https://techcombank.com/thong-tin/blog/nen-gui-tiet-kiem-thong-thuong-hay-tich-luy</v>
      </c>
      <c r="AJ68" s="16" t="str">
        <f>IFERROR(__xludf.DUMMYFUNCTION("""COMPUTED_VALUE"""),"công cụ tính lãi tiết kiệm")</f>
        <v>công cụ tính lãi tiết kiệm</v>
      </c>
      <c r="AK68" s="21" t="str">
        <f>IFERROR(__xludf.DUMMYFUNCTION("""COMPUTED_VALUE"""),"https://techcombank.com/thong-tin/blog/tai-sao-gui-tiet-kiem-online-lai-suat-cao-hon")</f>
        <v>https://techcombank.com/thong-tin/blog/tai-sao-gui-tiet-kiem-online-lai-suat-cao-hon</v>
      </c>
      <c r="AL68" s="16" t="str">
        <f>IFERROR(__xludf.DUMMYFUNCTION("""COMPUTED_VALUE"""),"bảng tính lãi suất tiết kiệm")</f>
        <v>bảng tính lãi suất tiết kiệm</v>
      </c>
      <c r="AM68" s="21" t="str">
        <f>IFERROR(__xludf.DUMMYFUNCTION("""COMPUTED_VALUE"""),"https://techcombank.com/thong-tin/blog/rui-ro-khi-vay-the-chap-ngan-hang")</f>
        <v>https://techcombank.com/thong-tin/blog/rui-ro-khi-vay-the-chap-ngan-hang</v>
      </c>
      <c r="AN68" s="16" t="str">
        <f>IFERROR(__xludf.DUMMYFUNCTION("""COMPUTED_VALUE"""),"công cụ tính lãi tiết kiệm")</f>
        <v>công cụ tính lãi tiết kiệm</v>
      </c>
      <c r="AO68" s="21" t="str">
        <f>IFERROR(__xludf.DUMMYFUNCTION("""COMPUTED_VALUE"""),"https://techcombank.com/thong-tin/blog/lai-kep-ngan-hang")</f>
        <v>https://techcombank.com/thong-tin/blog/lai-kep-ngan-hang</v>
      </c>
      <c r="AP68" s="16" t="str">
        <f>IFERROR(__xludf.DUMMYFUNCTION("""COMPUTED_VALUE"""),"bảng tính lãi suất tiết kiệm")</f>
        <v>bảng tính lãi suất tiết kiệm</v>
      </c>
      <c r="AQ68" s="21" t="str">
        <f>IFERROR(__xludf.DUMMYFUNCTION("""COMPUTED_VALUE"""),"https://techcombank.com/thong-tin/blog/lai-suat-vay-thau-chi")</f>
        <v>https://techcombank.com/thong-tin/blog/lai-suat-vay-thau-chi</v>
      </c>
      <c r="AR68" s="16" t="str">
        <f>IFERROR(__xludf.DUMMYFUNCTION("""COMPUTED_VALUE"""),"công cụ tính lãi tiết kiệm")</f>
        <v>công cụ tính lãi tiết kiệm</v>
      </c>
      <c r="AS68" s="21" t="str">
        <f>IFERROR(__xludf.DUMMYFUNCTION("""COMPUTED_VALUE"""),"https://techcombank.com/thong-tin/blog/tien-gui-khong-ky-han")</f>
        <v>https://techcombank.com/thong-tin/blog/tien-gui-khong-ky-han</v>
      </c>
      <c r="AT68" s="16" t="str">
        <f>IFERROR(__xludf.DUMMYFUNCTION("""COMPUTED_VALUE"""),"bảng tính lãi suất tiết kiệm")</f>
        <v>bảng tính lãi suất tiết kiệm</v>
      </c>
      <c r="AU68" s="21" t="str">
        <f>IFERROR(__xludf.DUMMYFUNCTION("""COMPUTED_VALUE"""),"https://techcombank.com/thong-tin/blog/qua-han-thanh-toan-the-tin-dung-1-ngay")</f>
        <v>https://techcombank.com/thong-tin/blog/qua-han-thanh-toan-the-tin-dung-1-ngay</v>
      </c>
      <c r="AV68" s="16" t="str">
        <f>IFERROR(__xludf.DUMMYFUNCTION("""COMPUTED_VALUE"""),"công cụ tính lãi tiết kiệm")</f>
        <v>công cụ tính lãi tiết kiệm</v>
      </c>
      <c r="AW68" s="21" t="str">
        <f>IFERROR(__xludf.DUMMYFUNCTION("""COMPUTED_VALUE"""),"https://techcombank.com/thong-tin/blog/co-nen-gui-tiet-kiem-ngan-hang")</f>
        <v>https://techcombank.com/thong-tin/blog/co-nen-gui-tiet-kiem-ngan-hang</v>
      </c>
      <c r="AX68" s="16" t="str">
        <f>IFERROR(__xludf.DUMMYFUNCTION("""COMPUTED_VALUE"""),"bảng tính lãi suất tiết kiệm")</f>
        <v>bảng tính lãi suất tiết kiệm</v>
      </c>
      <c r="AY68" s="21" t="str">
        <f>IFERROR(__xludf.DUMMYFUNCTION("""COMPUTED_VALUE"""),"https://techcombank.com/thong-tin/blog/lai-suat-tiet-kiem")</f>
        <v>https://techcombank.com/thong-tin/blog/lai-suat-tiet-kiem</v>
      </c>
      <c r="AZ68" s="16" t="str">
        <f>IFERROR(__xludf.DUMMYFUNCTION("""COMPUTED_VALUE"""),"công cụ tính lãi tiết kiệm")</f>
        <v>công cụ tính lãi tiết kiệm</v>
      </c>
      <c r="BA68" s="21" t="str">
        <f>IFERROR(__xludf.DUMMYFUNCTION("""COMPUTED_VALUE"""),"https://techcombank.com/thong-tin/blog/co-nen-gui-tiet-kiem-online")</f>
        <v>https://techcombank.com/thong-tin/blog/co-nen-gui-tiet-kiem-online</v>
      </c>
      <c r="BB68" s="16" t="str">
        <f>IFERROR(__xludf.DUMMYFUNCTION("""COMPUTED_VALUE"""),"bảng tính lãi suất tiết kiệm")</f>
        <v>bảng tính lãi suất tiết kiệm</v>
      </c>
      <c r="BC68" s="21" t="str">
        <f>IFERROR(__xludf.DUMMYFUNCTION("""COMPUTED_VALUE"""),"https://techcombank.com/thong-tin/blog/gui-tiet-kiem-ngan-hang-van-la-lua-chon-an-toan-trong-thoi-ky-kinh-te-con-nhieu-bien-dong")</f>
        <v>https://techcombank.com/thong-tin/blog/gui-tiet-kiem-ngan-hang-van-la-lua-chon-an-toan-trong-thoi-ky-kinh-te-con-nhieu-bien-dong</v>
      </c>
      <c r="BD68" s="16" t="str">
        <f>IFERROR(__xludf.DUMMYFUNCTION("""COMPUTED_VALUE"""),"công cụ tính lãi tiết kiệm")</f>
        <v>công cụ tính lãi tiết kiệm</v>
      </c>
      <c r="BE68" s="21" t="str">
        <f>IFERROR(__xludf.DUMMYFUNCTION("""COMPUTED_VALUE"""),"https://techcombank.com/thong-tin/blog/cach-gui-tiet-kiem-online")</f>
        <v>https://techcombank.com/thong-tin/blog/cach-gui-tiet-kiem-online</v>
      </c>
      <c r="BF68" s="16" t="str">
        <f>IFERROR(__xludf.DUMMYFUNCTION("""COMPUTED_VALUE"""),"bảng tính lãi suất tiết kiệm")</f>
        <v>bảng tính lãi suất tiết kiệm</v>
      </c>
      <c r="BG68" s="21" t="str">
        <f>IFERROR(__xludf.DUMMYFUNCTION("""COMPUTED_VALUE"""),"https://techcombank.com/thong-tin/blog/gui-tien-ngan-hang-co-an-toan-khong")</f>
        <v>https://techcombank.com/thong-tin/blog/gui-tien-ngan-hang-co-an-toan-khong</v>
      </c>
      <c r="BH68" s="16" t="str">
        <f>IFERROR(__xludf.DUMMYFUNCTION("""COMPUTED_VALUE"""),"công cụ tính lãi tiết kiệm")</f>
        <v>công cụ tính lãi tiết kiệm</v>
      </c>
      <c r="BI68" s="21" t="str">
        <f>IFERROR(__xludf.DUMMYFUNCTION("""COMPUTED_VALUE"""),"https://techcombank.com/thong-tin/blog/dau-tu-trai-phieu-doanh-nghiep-dung-ham-lai-suat-cao")</f>
        <v>https://techcombank.com/thong-tin/blog/dau-tu-trai-phieu-doanh-nghiep-dung-ham-lai-suat-cao</v>
      </c>
      <c r="BJ68" s="16" t="str">
        <f>IFERROR(__xludf.DUMMYFUNCTION("""COMPUTED_VALUE"""),"bảng tính lãi suất tiết kiệm")</f>
        <v>bảng tính lãi suất tiết kiệm</v>
      </c>
      <c r="BK68" s="21" t="str">
        <f>IFERROR(__xludf.DUMMYFUNCTION("""COMPUTED_VALUE"""),"https://techcombank.com/thong-tin/blog/nen-gui-tiet-kiem-6-thang-hay-1-nam")</f>
        <v>https://techcombank.com/thong-tin/blog/nen-gui-tiet-kiem-6-thang-hay-1-nam</v>
      </c>
      <c r="BL68" s="16" t="str">
        <f>IFERROR(__xludf.DUMMYFUNCTION("""COMPUTED_VALUE"""),"công cụ tính lãi tiết kiệm")</f>
        <v>công cụ tính lãi tiết kiệm</v>
      </c>
      <c r="BM68" s="21" t="str">
        <f>IFERROR(__xludf.DUMMYFUNCTION("""COMPUTED_VALUE"""),"https://techcombank.com/thong-tin/blog/mo-tai-khoan-tiet-kiem-cho-con")</f>
        <v>https://techcombank.com/thong-tin/blog/mo-tai-khoan-tiet-kiem-cho-con</v>
      </c>
      <c r="BN68" s="16" t="str">
        <f>IFERROR(__xludf.DUMMYFUNCTION("""COMPUTED_VALUE"""),"bảng tính lãi suất tiết kiệm")</f>
        <v>bảng tính lãi suất tiết kiệm</v>
      </c>
      <c r="BO68" s="21" t="str">
        <f>IFERROR(__xludf.DUMMYFUNCTION("""COMPUTED_VALUE"""),"https://techcombank.com/thong-tin/blog/lai-suat-the-tin-dung")</f>
        <v>https://techcombank.com/thong-tin/blog/lai-suat-the-tin-dung</v>
      </c>
      <c r="BP68" s="16" t="str">
        <f>IFERROR(__xludf.DUMMYFUNCTION("""COMPUTED_VALUE"""),"công cụ tính lãi tiết kiệm")</f>
        <v>công cụ tính lãi tiết kiệm</v>
      </c>
      <c r="BQ68" s="21" t="str">
        <f>IFERROR(__xludf.DUMMYFUNCTION("""COMPUTED_VALUE"""),"https://techcombank.com/thong-tin/blog/quy-gia-dinh")</f>
        <v>https://techcombank.com/thong-tin/blog/quy-gia-dinh</v>
      </c>
      <c r="BR68" s="16" t="str">
        <f>IFERROR(__xludf.DUMMYFUNCTION("""COMPUTED_VALUE"""),"bảng tính lãi suất tiết kiệm")</f>
        <v>bảng tính lãi suất tiết kiệm</v>
      </c>
      <c r="BS68" s="21" t="str">
        <f>IFERROR(__xludf.DUMMYFUNCTION("""COMPUTED_VALUE"""),"https://techcombank.com/thong-tin/blog/lai-suat-vay-the-chap-so-do")</f>
        <v>https://techcombank.com/thong-tin/blog/lai-suat-vay-the-chap-so-do</v>
      </c>
      <c r="BT68" s="16" t="str">
        <f>IFERROR(__xludf.DUMMYFUNCTION("""COMPUTED_VALUE"""),"công cụ tính lãi tiết kiệm")</f>
        <v>công cụ tính lãi tiết kiệm</v>
      </c>
      <c r="BU68" s="21" t="str">
        <f>IFERROR(__xludf.DUMMYFUNCTION("""COMPUTED_VALUE"""),"https://techcombank.com/thong-tin/blog/gui-tiet-kiem-lay-lai-hang-thang")</f>
        <v>https://techcombank.com/thong-tin/blog/gui-tiet-kiem-lay-lai-hang-thang</v>
      </c>
      <c r="BV68" s="16" t="str">
        <f>IFERROR(__xludf.DUMMYFUNCTION("""COMPUTED_VALUE"""),"bảng tính lãi suất tiết kiệm")</f>
        <v>bảng tính lãi suất tiết kiệm</v>
      </c>
      <c r="BW68" s="21" t="str">
        <f>IFERROR(__xludf.DUMMYFUNCTION("""COMPUTED_VALUE"""),"https://techcombank.com/thong-tin/blog/rui-ro-khi-gui-tiet-kiem-online")</f>
        <v>https://techcombank.com/thong-tin/blog/rui-ro-khi-gui-tiet-kiem-online</v>
      </c>
      <c r="BX68" s="16" t="str">
        <f>IFERROR(__xludf.DUMMYFUNCTION("""COMPUTED_VALUE"""),"công cụ tính lãi tiết kiệm")</f>
        <v>công cụ tính lãi tiết kiệm</v>
      </c>
      <c r="BY68" s="21" t="str">
        <f>IFERROR(__xludf.DUMMYFUNCTION("""COMPUTED_VALUE"""),"https://techcombank.com/thong-tin/blog/tich-luy-tai-san")</f>
        <v>https://techcombank.com/thong-tin/blog/tich-luy-tai-san</v>
      </c>
      <c r="BZ68" s="16" t="str">
        <f>IFERROR(__xludf.DUMMYFUNCTION("""COMPUTED_VALUE"""),"bảng tính lãi suất tiết kiệm")</f>
        <v>bảng tính lãi suất tiết kiệm</v>
      </c>
      <c r="CA68" s="21" t="str">
        <f>IFERROR(__xludf.DUMMYFUNCTION("""COMPUTED_VALUE"""),"https://techcombank.com/thong-tin/blog/cach-tinh-lai-suat-tien-gui-tiet-kiem")</f>
        <v>https://techcombank.com/thong-tin/blog/cach-tinh-lai-suat-tien-gui-tiet-kiem</v>
      </c>
      <c r="CB68" s="16" t="str">
        <f>IFERROR(__xludf.DUMMYFUNCTION("""COMPUTED_VALUE"""),"công cụ tính lãi tiết kiệm")</f>
        <v>công cụ tính lãi tiết kiệm</v>
      </c>
      <c r="CC68" s="21" t="str">
        <f>IFERROR(__xludf.DUMMYFUNCTION("""COMPUTED_VALUE"""),"https://techcombank.com/thong-tin/blog/lai-suat-tha-noi")</f>
        <v>https://techcombank.com/thong-tin/blog/lai-suat-tha-noi</v>
      </c>
      <c r="CD68" s="16" t="str">
        <f>IFERROR(__xludf.DUMMYFUNCTION("""COMPUTED_VALUE"""),"bảng tính lãi suất tiết kiệm")</f>
        <v>bảng tính lãi suất tiết kiệm</v>
      </c>
      <c r="CE68" s="21" t="str">
        <f>IFERROR(__xludf.DUMMYFUNCTION("""COMPUTED_VALUE"""),"https://techcombank.com/thong-tin/blog/lai-suat-vay-tieu-dung")</f>
        <v>https://techcombank.com/thong-tin/blog/lai-suat-vay-tieu-dung</v>
      </c>
      <c r="CF68" s="16" t="str">
        <f>IFERROR(__xludf.DUMMYFUNCTION("""COMPUTED_VALUE"""),"công cụ tính lãi tiết kiệm")</f>
        <v>công cụ tính lãi tiết kiệm</v>
      </c>
      <c r="CG68" s="21" t="str">
        <f>IFERROR(__xludf.DUMMYFUNCTION("""COMPUTED_VALUE"""),"https://techcombank.com/thong-tin/blog/chon-kenh-dau-tu-an-toan-trong-boi-canh-thi-truong-bien-dong")</f>
        <v>https://techcombank.com/thong-tin/blog/chon-kenh-dau-tu-an-toan-trong-boi-canh-thi-truong-bien-dong</v>
      </c>
      <c r="CH68" s="16" t="str">
        <f>IFERROR(__xludf.DUMMYFUNCTION("""COMPUTED_VALUE"""),"bảng tính lãi suất tiết kiệm")</f>
        <v>bảng tính lãi suất tiết kiệm</v>
      </c>
      <c r="CI68" s="21" t="str">
        <f>IFERROR(__xludf.DUMMYFUNCTION("""COMPUTED_VALUE"""),"https://techcombank.com/thong-tin/blog/gui-tiet-kiem-ngoai-te")</f>
        <v>https://techcombank.com/thong-tin/blog/gui-tiet-kiem-ngoai-te</v>
      </c>
      <c r="CJ68" s="16" t="str">
        <f>IFERROR(__xludf.DUMMYFUNCTION("""COMPUTED_VALUE"""),"công cụ tính lãi tiết kiệm")</f>
        <v>công cụ tính lãi tiết kiệm</v>
      </c>
      <c r="CK68" s="21" t="str">
        <f>IFERROR(__xludf.DUMMYFUNCTION("""COMPUTED_VALUE"""),"https://techcombank.com/thong-tin/blog/lai-suat-ngan-hang-cho-vay-xay-nha")</f>
        <v>https://techcombank.com/thong-tin/blog/lai-suat-ngan-hang-cho-vay-xay-nha</v>
      </c>
      <c r="CL68" s="16" t="str">
        <f>IFERROR(__xludf.DUMMYFUNCTION("""COMPUTED_VALUE"""),"bảng tính lãi suất tiết kiệm")</f>
        <v>bảng tính lãi suất tiết kiệm</v>
      </c>
      <c r="CM68" s="21" t="str">
        <f>IFERROR(__xludf.DUMMYFUNCTION("""COMPUTED_VALUE"""),"https://techcombank.com/thong-tin/blog/rui-ro-khi-gui-tiet-kiem-ngan-hang")</f>
        <v>https://techcombank.com/thong-tin/blog/rui-ro-khi-gui-tiet-kiem-ngan-hang</v>
      </c>
      <c r="CN68" s="16" t="str">
        <f>IFERROR(__xludf.DUMMYFUNCTION("""COMPUTED_VALUE"""),"công cụ tính lãi tiết kiệm")</f>
        <v>công cụ tính lãi tiết kiệm</v>
      </c>
      <c r="CO68" s="21" t="str">
        <f>IFERROR(__xludf.DUMMYFUNCTION("""COMPUTED_VALUE"""),"https://techcombank.com/thong-tin/blog/gui-tiet-kiem-hang-thang")</f>
        <v>https://techcombank.com/thong-tin/blog/gui-tiet-kiem-hang-thang</v>
      </c>
      <c r="CP68" s="16" t="str">
        <f>IFERROR(__xludf.DUMMYFUNCTION("""COMPUTED_VALUE"""),"bảng tính lãi suất tiết kiệm")</f>
        <v>bảng tính lãi suất tiết kiệm</v>
      </c>
      <c r="CQ68" s="21" t="str">
        <f>IFERROR(__xludf.DUMMYFUNCTION("""COMPUTED_VALUE"""),"https://techcombank.com/thong-tin/blog/cach-tiet-kiem-tien")</f>
        <v>https://techcombank.com/thong-tin/blog/cach-tiet-kiem-tien</v>
      </c>
      <c r="CR68" s="16" t="str">
        <f>IFERROR(__xludf.DUMMYFUNCTION("""COMPUTED_VALUE"""),"công cụ tính lãi tiết kiệm")</f>
        <v>công cụ tính lãi tiết kiệm</v>
      </c>
      <c r="CS68" s="21" t="str">
        <f>IFERROR(__xludf.DUMMYFUNCTION("""COMPUTED_VALUE"""),"https://techcombank.com/thong-tin/blog/tra-no-vay-thau-chi-nhu-the-nao")</f>
        <v>https://techcombank.com/thong-tin/blog/tra-no-vay-thau-chi-nhu-the-nao</v>
      </c>
      <c r="CT68" s="16" t="str">
        <f>IFERROR(__xludf.DUMMYFUNCTION("""COMPUTED_VALUE"""),"bảng tính lãi suất tiết kiệm")</f>
        <v>bảng tính lãi suất tiết kiệm</v>
      </c>
      <c r="CU68" s="21" t="str">
        <f>IFERROR(__xludf.DUMMYFUNCTION("""COMPUTED_VALUE"""),"https://techcombank.com/thong-tin/blog/rut-tien-bao-hiem-nhan-tho-khi-het-han")</f>
        <v>https://techcombank.com/thong-tin/blog/rut-tien-bao-hiem-nhan-tho-khi-het-han</v>
      </c>
      <c r="CV68" s="16" t="str">
        <f>IFERROR(__xludf.DUMMYFUNCTION("""COMPUTED_VALUE"""),"công cụ tính lãi tiết kiệm")</f>
        <v>công cụ tính lãi tiết kiệm</v>
      </c>
      <c r="CW68" s="21" t="str">
        <f>IFERROR(__xludf.DUMMYFUNCTION("""COMPUTED_VALUE"""),"https://techcombank.com/thong-tin/blog/cach-tinh-lai-vay-ngan-hang")</f>
        <v>https://techcombank.com/thong-tin/blog/cach-tinh-lai-vay-ngan-hang</v>
      </c>
      <c r="CX68" s="16" t="str">
        <f>IFERROR(__xludf.DUMMYFUNCTION("""COMPUTED_VALUE"""),"bảng tính lãi suất tiết kiệm")</f>
        <v>bảng tính lãi suất tiết kiệm</v>
      </c>
      <c r="CY68" s="21" t="str">
        <f>IFERROR(__xludf.DUMMYFUNCTION("""COMPUTED_VALUE"""),"https://techcombank.com/thong-tin/blog/gui-tiet-kiem-online-bi-mat-tien")</f>
        <v>https://techcombank.com/thong-tin/blog/gui-tiet-kiem-online-bi-mat-tien</v>
      </c>
      <c r="CZ68" s="16" t="str">
        <f>IFERROR(__xludf.DUMMYFUNCTION("""COMPUTED_VALUE"""),"công cụ tính lãi tiết kiệm")</f>
        <v>công cụ tính lãi tiết kiệm</v>
      </c>
      <c r="DA68" s="21" t="str">
        <f>IFERROR(__xludf.DUMMYFUNCTION("""COMPUTED_VALUE"""),"https://techcombank.com/thong-tin/blog/kinh-nghiem-gui-tiet-kiem-online")</f>
        <v>https://techcombank.com/thong-tin/blog/kinh-nghiem-gui-tiet-kiem-online</v>
      </c>
      <c r="DB68" s="16" t="str">
        <f>IFERROR(__xludf.DUMMYFUNCTION("""COMPUTED_VALUE"""),"bảng tính lãi suất tiết kiệm")</f>
        <v>bảng tính lãi suất tiết kiệm</v>
      </c>
      <c r="DC68" s="21" t="str">
        <f>IFERROR(__xludf.DUMMYFUNCTION("""COMPUTED_VALUE"""),"https://techcombank.com/thong-tin/blog/vay-thau-chi-bang-so-tiet-kiem")</f>
        <v>https://techcombank.com/thong-tin/blog/vay-thau-chi-bang-so-tiet-kiem</v>
      </c>
      <c r="DD68" s="16" t="str">
        <f>IFERROR(__xludf.DUMMYFUNCTION("""COMPUTED_VALUE"""),"công cụ tính lãi tiết kiệm")</f>
        <v>công cụ tính lãi tiết kiệm</v>
      </c>
      <c r="DE68" s="21" t="str">
        <f>IFERROR(__xludf.DUMMYFUNCTION("""COMPUTED_VALUE"""),"https://techcombank.com/thong-tin/blog/lai-suat-vay-ngan-hang")</f>
        <v>https://techcombank.com/thong-tin/blog/lai-suat-vay-ngan-hang</v>
      </c>
      <c r="DF68" s="16" t="str">
        <f>IFERROR(__xludf.DUMMYFUNCTION("""COMPUTED_VALUE"""),"bảng tính lãi suất tiết kiệm")</f>
        <v>bảng tính lãi suất tiết kiệm</v>
      </c>
      <c r="DG68" s="21" t="str">
        <f>IFERROR(__xludf.DUMMYFUNCTION("""COMPUTED_VALUE"""),"https://techcombank.com/thong-tin/blog/gui-tiet-kiem-online-co-rut-truoc-han-duoc-khong")</f>
        <v>https://techcombank.com/thong-tin/blog/gui-tiet-kiem-online-co-rut-truoc-han-duoc-khong</v>
      </c>
      <c r="DH68" s="16" t="str">
        <f>IFERROR(__xludf.DUMMYFUNCTION("""COMPUTED_VALUE"""),"công cụ tính lãi tiết kiệm")</f>
        <v>công cụ tính lãi tiết kiệm</v>
      </c>
      <c r="DI68" s="21" t="str">
        <f>IFERROR(__xludf.DUMMYFUNCTION("""COMPUTED_VALUE"""),"https://techcombank.com/thong-tin/blog/gui-tiet-kiem-online-quay-vong-ca-goc-va-lai")</f>
        <v>https://techcombank.com/thong-tin/blog/gui-tiet-kiem-online-quay-vong-ca-goc-va-lai</v>
      </c>
      <c r="DJ68" s="16" t="str">
        <f>IFERROR(__xludf.DUMMYFUNCTION("""COMPUTED_VALUE"""),"bảng tính lãi suất tiết kiệm")</f>
        <v>bảng tính lãi suất tiết kiệm</v>
      </c>
      <c r="DK68" s="21" t="str">
        <f>IFERROR(__xludf.DUMMYFUNCTION("""COMPUTED_VALUE"""),"https://techcombank.com/thong-tin/blog/chung-chi-tien-gui-khac-gi-so-tiet-kiem")</f>
        <v>https://techcombank.com/thong-tin/blog/chung-chi-tien-gui-khac-gi-so-tiet-kiem</v>
      </c>
      <c r="DL68" s="16" t="str">
        <f>IFERROR(__xludf.DUMMYFUNCTION("""COMPUTED_VALUE"""),"công cụ tính lãi tiết kiệm")</f>
        <v>công cụ tính lãi tiết kiệm</v>
      </c>
      <c r="DM68" s="21" t="str">
        <f>IFERROR(__xludf.DUMMYFUNCTION("""COMPUTED_VALUE"""),"https://techcombank.com/thong-tin/blog/tich-diem-doi-qua")</f>
        <v>https://techcombank.com/thong-tin/blog/tich-diem-doi-qua</v>
      </c>
      <c r="DN68" s="16" t="str">
        <f>IFERROR(__xludf.DUMMYFUNCTION("""COMPUTED_VALUE"""),"bảng tính lãi suất tiết kiệm")</f>
        <v>bảng tính lãi suất tiết kiệm</v>
      </c>
      <c r="DO68" s="21" t="str">
        <f>IFERROR(__xludf.DUMMYFUNCTION("""COMPUTED_VALUE"""),"https://techcombank.com/thong-tin/blog/so-sanh-gui-tiet-kiem-online-va-tai-quay")</f>
        <v>https://techcombank.com/thong-tin/blog/so-sanh-gui-tiet-kiem-online-va-tai-quay</v>
      </c>
      <c r="DP68" s="16" t="str">
        <f>IFERROR(__xludf.DUMMYFUNCTION("""COMPUTED_VALUE"""),"công cụ tính lãi tiết kiệm")</f>
        <v>công cụ tính lãi tiết kiệm</v>
      </c>
      <c r="DQ68" s="21" t="str">
        <f>IFERROR(__xludf.DUMMYFUNCTION("""COMPUTED_VALUE"""),"https://techcombank.com/thong-tin/blog/lai-suat-vay-tin-chap")</f>
        <v>https://techcombank.com/thong-tin/blog/lai-suat-vay-tin-chap</v>
      </c>
      <c r="DR68" s="16" t="str">
        <f>IFERROR(__xludf.DUMMYFUNCTION("""COMPUTED_VALUE"""),"bảng tính lãi suất tiết kiệm")</f>
        <v>bảng tính lãi suất tiết kiệm</v>
      </c>
      <c r="DS68" s="21" t="str">
        <f>IFERROR(__xludf.DUMMYFUNCTION("""COMPUTED_VALUE"""),"https://techcombank.com/thong-tin/blog/cach-tiet-kiem-tien-sinh-loi")</f>
        <v>https://techcombank.com/thong-tin/blog/cach-tiet-kiem-tien-sinh-loi</v>
      </c>
      <c r="DT68" s="16" t="str">
        <f>IFERROR(__xludf.DUMMYFUNCTION("""COMPUTED_VALUE"""),"công cụ tính lãi tiết kiệm")</f>
        <v>công cụ tính lãi tiết kiệm</v>
      </c>
      <c r="DU68" s="21" t="str">
        <f>IFERROR(__xludf.DUMMYFUNCTION("""COMPUTED_VALUE"""),"https://techcombank.com/thong-tin/blog/vay-20-trieu")</f>
        <v>https://techcombank.com/thong-tin/blog/vay-20-trieu</v>
      </c>
      <c r="DV68" s="16" t="str">
        <f>IFERROR(__xludf.DUMMYFUNCTION("""COMPUTED_VALUE"""),"bảng tính lãi suất tiết kiệm")</f>
        <v>bảng tính lãi suất tiết kiệm</v>
      </c>
      <c r="DW68" s="21" t="str">
        <f>IFERROR(__xludf.DUMMYFUNCTION("""COMPUTED_VALUE"""),"https://techcombank.com/thong-tin/blog/vay-tin-chap-la-gi")</f>
        <v>https://techcombank.com/thong-tin/blog/vay-tin-chap-la-gi</v>
      </c>
      <c r="DX68" s="16" t="str">
        <f>IFERROR(__xludf.DUMMYFUNCTION("""COMPUTED_VALUE"""),"công cụ tính lãi tiết kiệm")</f>
        <v>công cụ tính lãi tiết kiệm</v>
      </c>
      <c r="DY68" s="21" t="str">
        <f>IFERROR(__xludf.DUMMYFUNCTION("""COMPUTED_VALUE"""),"https://techcombank.com/thong-tin/blog/tien-nhan-roi-nen-lam-gi")</f>
        <v>https://techcombank.com/thong-tin/blog/tien-nhan-roi-nen-lam-gi</v>
      </c>
      <c r="DZ68" s="16" t="str">
        <f>IFERROR(__xludf.DUMMYFUNCTION("""COMPUTED_VALUE"""),"bảng tính lãi suất tiết kiệm")</f>
        <v>bảng tính lãi suất tiết kiệm</v>
      </c>
      <c r="EA68" s="21" t="str">
        <f>IFERROR(__xludf.DUMMYFUNCTION("""COMPUTED_VALUE"""),"https://techcombank.com/thong-tin/blog/tien-gui-co-ky-han")</f>
        <v>https://techcombank.com/thong-tin/blog/tien-gui-co-ky-han</v>
      </c>
      <c r="EB68" s="16" t="str">
        <f>IFERROR(__xludf.DUMMYFUNCTION("""COMPUTED_VALUE"""),"công cụ tính lãi tiết kiệm")</f>
        <v>công cụ tính lãi tiết kiệm</v>
      </c>
      <c r="EC68" s="21" t="str">
        <f>IFERROR(__xludf.DUMMYFUNCTION("""COMPUTED_VALUE"""),"https://techcombank.com/thong-tin/blog/lai-suat-gui-tiet-kiem-usd")</f>
        <v>https://techcombank.com/thong-tin/blog/lai-suat-gui-tiet-kiem-usd</v>
      </c>
      <c r="ED68" s="16" t="str">
        <f>IFERROR(__xludf.DUMMYFUNCTION("""COMPUTED_VALUE"""),"bảng tính lãi suất tiết kiệm")</f>
        <v>bảng tính lãi suất tiết kiệm</v>
      </c>
      <c r="EE68" s="21" t="str">
        <f>IFERROR(__xludf.DUMMYFUNCTION("""COMPUTED_VALUE"""),"https://techcombank.com/thong-tin/blog/gui-tiet-kiem-usd")</f>
        <v>https://techcombank.com/thong-tin/blog/gui-tiet-kiem-usd</v>
      </c>
      <c r="EF68" s="16"/>
      <c r="EG68" s="16"/>
      <c r="EH68" s="16"/>
      <c r="EI68" s="16"/>
      <c r="EJ68" s="16"/>
      <c r="EK68" s="16"/>
      <c r="EL68" s="16"/>
      <c r="EM68" s="16"/>
      <c r="EN68" s="16"/>
      <c r="EO68" s="16"/>
      <c r="EP68" s="16"/>
      <c r="EQ68" s="16"/>
      <c r="ER68" s="16"/>
      <c r="ES68" s="16"/>
      <c r="ET68" s="16"/>
      <c r="EU68" s="16"/>
      <c r="EV68" s="16"/>
      <c r="EW68" s="16"/>
      <c r="EX68" s="16"/>
      <c r="EY68" s="16"/>
      <c r="EZ68" s="16"/>
      <c r="FA68" s="16"/>
      <c r="FB68" s="16"/>
      <c r="FC68" s="16"/>
      <c r="FD68" s="16"/>
      <c r="FE68" s="16"/>
      <c r="FF68" s="16"/>
      <c r="FG68" s="16"/>
      <c r="FH68" s="16"/>
      <c r="FI68" s="16"/>
      <c r="FJ68" s="16"/>
      <c r="FK68" s="16"/>
      <c r="FL68" s="16"/>
      <c r="FM68" s="16"/>
      <c r="FN68" s="16"/>
      <c r="FO68" s="16"/>
      <c r="FP68" s="16"/>
      <c r="FQ68" s="16"/>
      <c r="FR68" s="16"/>
      <c r="FS68" s="16"/>
      <c r="FT68" s="16"/>
      <c r="FU68" s="16"/>
      <c r="FV68" s="16"/>
      <c r="FW68" s="16"/>
      <c r="FX68" s="16"/>
      <c r="FY68" s="16"/>
      <c r="FZ68" s="16"/>
      <c r="GA68" s="16"/>
      <c r="GB68" s="16"/>
      <c r="GC68" s="16"/>
      <c r="GD68" s="16"/>
      <c r="GE68" s="16"/>
      <c r="GF68" s="16"/>
      <c r="GG68" s="16"/>
      <c r="GH68" s="16"/>
      <c r="GI68" s="16"/>
      <c r="GJ68" s="16"/>
      <c r="GK68" s="16"/>
      <c r="GL68" s="16"/>
      <c r="GM68" s="16"/>
      <c r="GN68" s="16"/>
      <c r="GO68" s="16"/>
    </row>
    <row r="69" ht="18.0" customHeight="1">
      <c r="A69" s="15">
        <v>68.0</v>
      </c>
      <c r="B69" s="16" t="s">
        <v>1435</v>
      </c>
      <c r="C69" s="17" t="s">
        <v>1438</v>
      </c>
      <c r="D69" s="16" t="s">
        <v>371</v>
      </c>
      <c r="E69" s="15">
        <f>COUNTIF('Tổng hợp 75 trang đích'!$B$2:$B$2505,$D69)</f>
        <v>17</v>
      </c>
      <c r="F69" s="15">
        <f>COUNTIFS('Tổng hợp 75 trang đích'!$B$2:$B$2505,$D69,'Tổng hợp 75 trang đích'!$K$2:$K$2505,"PHÙ HỢP CAO")</f>
        <v>4</v>
      </c>
      <c r="G69" s="15">
        <f>COUNTIFS('Tổng hợp 75 trang đích'!$B$2:$B$2505,$D69,'Tổng hợp 75 trang đích'!$K$2:$K$2505,"CÓ THỂ ĐI")</f>
        <v>1</v>
      </c>
      <c r="H69" s="15">
        <f>COUNTIFS('Tổng hợp 75 trang đích'!$B$2:$B$2505,$D69,'Tổng hợp 75 trang đích'!$K$2:$K$2505,"CẦN SOÁT")</f>
        <v>12</v>
      </c>
      <c r="I69" s="19" t="s">
        <v>256</v>
      </c>
      <c r="J69" s="19" t="b">
        <v>0</v>
      </c>
      <c r="K69" s="20" t="s">
        <v>258</v>
      </c>
      <c r="L69" s="16" t="str">
        <f>IFERROR(__xludf.DUMMYFUNCTION("IFERROR(TOROW(CHOOSECOLS(SORT(FILTER({'Tổng hợp 75 trang đích'!$J$2:$J$2505,'Tổng hợp 75 trang đích'!$I$2:$I$2505,MATCH('Tổng hợp 75 trang đích'!$K$2:$K$2505,{""PHÙ HỢP CAO"",""CÓ THỂ ĐI"",""CẦN SOÁT""},0)},'Tổng hợp 75 trang đích'!$B$2:$B$2505=$D69),3,TR"&amp;"UE),1,2)),"""")"),"vay nhanh")</f>
        <v>vay nhanh</v>
      </c>
      <c r="M69" s="21" t="str">
        <f>IFERROR(__xludf.DUMMYFUNCTION("""COMPUTED_VALUE"""),"https://techcombank.com/thong-tin/blog/vay-tien-online")</f>
        <v>https://techcombank.com/thong-tin/blog/vay-tien-online</v>
      </c>
      <c r="N69" s="16" t="str">
        <f>IFERROR(__xludf.DUMMYFUNCTION("""COMPUTED_VALUE"""),"vay")</f>
        <v>vay</v>
      </c>
      <c r="O69" s="21" t="str">
        <f>IFERROR(__xludf.DUMMYFUNCTION("""COMPUTED_VALUE"""),"https://techcombank.com/thong-tin/blog/vay-ngan-hang-chi-can-cccd")</f>
        <v>https://techcombank.com/thong-tin/blog/vay-ngan-hang-chi-can-cccd</v>
      </c>
      <c r="P69" s="16" t="str">
        <f>IFERROR(__xludf.DUMMYFUNCTION("""COMPUTED_VALUE"""),"vay tiền")</f>
        <v>vay tiền</v>
      </c>
      <c r="Q69" s="21" t="str">
        <f>IFERROR(__xludf.DUMMYFUNCTION("""COMPUTED_VALUE"""),"https://techcombank.com/thong-tin/blog/vay-30-trieu")</f>
        <v>https://techcombank.com/thong-tin/blog/vay-30-trieu</v>
      </c>
      <c r="R69" s="16" t="str">
        <f>IFERROR(__xludf.DUMMYFUNCTION("""COMPUTED_VALUE"""),"vay tiền online chuyển khoản ngay")</f>
        <v>vay tiền online chuyển khoản ngay</v>
      </c>
      <c r="S69" s="21" t="str">
        <f>IFERROR(__xludf.DUMMYFUNCTION("""COMPUTED_VALUE"""),"https://techcombank.com/thong-tin/blog/vay-50-trieu")</f>
        <v>https://techcombank.com/thong-tin/blog/vay-50-trieu</v>
      </c>
      <c r="T69" s="16" t="str">
        <f>IFERROR(__xludf.DUMMYFUNCTION("""COMPUTED_VALUE"""),"app vay")</f>
        <v>app vay</v>
      </c>
      <c r="U69" s="21" t="str">
        <f>IFERROR(__xludf.DUMMYFUNCTION("""COMPUTED_VALUE"""),"https://techcombank.com/thong-tin/blog/vay-sieu-toc")</f>
        <v>https://techcombank.com/thong-tin/blog/vay-sieu-toc</v>
      </c>
      <c r="V69" s="16" t="str">
        <f>IFERROR(__xludf.DUMMYFUNCTION("""COMPUTED_VALUE"""),"vay tiền app")</f>
        <v>vay tiền app</v>
      </c>
      <c r="W69" s="21" t="str">
        <f>IFERROR(__xludf.DUMMYFUNCTION("""COMPUTED_VALUE"""),"https://techcombank.com/thong-tin/blog/vay-kinh-doanh-online")</f>
        <v>https://techcombank.com/thong-tin/blog/vay-kinh-doanh-online</v>
      </c>
      <c r="X69" s="16" t="str">
        <f>IFERROR(__xludf.DUMMYFUNCTION("""COMPUTED_VALUE"""),"app vay tiền")</f>
        <v>app vay tiền</v>
      </c>
      <c r="Y69" s="21" t="str">
        <f>IFERROR(__xludf.DUMMYFUNCTION("""COMPUTED_VALUE"""),"https://techcombank.com/thong-tin/blog/vay-the-chap-qua-luong")</f>
        <v>https://techcombank.com/thong-tin/blog/vay-the-chap-qua-luong</v>
      </c>
      <c r="Z69" s="16" t="str">
        <f>IFERROR(__xludf.DUMMYFUNCTION("""COMPUTED_VALUE"""),"app vay nhanh")</f>
        <v>app vay nhanh</v>
      </c>
      <c r="AA69" s="21" t="str">
        <f>IFERROR(__xludf.DUMMYFUNCTION("""COMPUTED_VALUE"""),"https://techcombank.com/thong-tin/blog/vay-tien-mat")</f>
        <v>https://techcombank.com/thong-tin/blog/vay-tien-mat</v>
      </c>
      <c r="AB69" s="16" t="str">
        <f>IFERROR(__xludf.DUMMYFUNCTION("""COMPUTED_VALUE"""),"app vay tiền nhanh")</f>
        <v>app vay tiền nhanh</v>
      </c>
      <c r="AC69" s="21" t="str">
        <f>IFERROR(__xludf.DUMMYFUNCTION("""COMPUTED_VALUE"""),"https://techcombank.com/thong-tin/blog/vay-tin-chap-toi-da-duoc-bao-nhieu")</f>
        <v>https://techcombank.com/thong-tin/blog/vay-tin-chap-toi-da-duoc-bao-nhieu</v>
      </c>
      <c r="AD69" s="16" t="str">
        <f>IFERROR(__xludf.DUMMYFUNCTION("""COMPUTED_VALUE"""),"vay nhanh")</f>
        <v>vay nhanh</v>
      </c>
      <c r="AE69" s="21" t="str">
        <f>IFERROR(__xludf.DUMMYFUNCTION("""COMPUTED_VALUE"""),"https://techcombank.com/thong-tin/blog/kinh-nghiem-vay-tien-ngan-hang-xay-nha")</f>
        <v>https://techcombank.com/thong-tin/blog/kinh-nghiem-vay-tien-ngan-hang-xay-nha</v>
      </c>
      <c r="AF69" s="16" t="str">
        <f>IFERROR(__xludf.DUMMYFUNCTION("""COMPUTED_VALUE"""),"vay")</f>
        <v>vay</v>
      </c>
      <c r="AG69" s="21" t="str">
        <f>IFERROR(__xludf.DUMMYFUNCTION("""COMPUTED_VALUE"""),"https://techcombank.com/thong-tin/blog/lai-suat-vay-ngan-hang")</f>
        <v>https://techcombank.com/thong-tin/blog/lai-suat-vay-ngan-hang</v>
      </c>
      <c r="AH69" s="16" t="str">
        <f>IFERROR(__xludf.DUMMYFUNCTION("""COMPUTED_VALUE"""),"vay tiền")</f>
        <v>vay tiền</v>
      </c>
      <c r="AI69" s="21" t="str">
        <f>IFERROR(__xludf.DUMMYFUNCTION("""COMPUTED_VALUE"""),"https://techcombank.com/thong-tin/blog/dang-vay-tra-gop-co-vay-them-duoc-khong")</f>
        <v>https://techcombank.com/thong-tin/blog/dang-vay-tra-gop-co-vay-them-duoc-khong</v>
      </c>
      <c r="AJ69" s="16" t="str">
        <f>IFERROR(__xludf.DUMMYFUNCTION("""COMPUTED_VALUE"""),"vay tiền online chuyển khoản ngay")</f>
        <v>vay tiền online chuyển khoản ngay</v>
      </c>
      <c r="AK69" s="21" t="str">
        <f>IFERROR(__xludf.DUMMYFUNCTION("""COMPUTED_VALUE"""),"https://techcombank.com/thong-tin/blog/vay-tra-gop")</f>
        <v>https://techcombank.com/thong-tin/blog/vay-tra-gop</v>
      </c>
      <c r="AL69" s="16" t="str">
        <f>IFERROR(__xludf.DUMMYFUNCTION("""COMPUTED_VALUE"""),"app vay")</f>
        <v>app vay</v>
      </c>
      <c r="AM69" s="21" t="str">
        <f>IFERROR(__xludf.DUMMYFUNCTION("""COMPUTED_VALUE"""),"https://techcombank.com/thong-tin/blog/quy-trinh-cho-vay-tieu-dung")</f>
        <v>https://techcombank.com/thong-tin/blog/quy-trinh-cho-vay-tieu-dung</v>
      </c>
      <c r="AN69" s="16" t="str">
        <f>IFERROR(__xludf.DUMMYFUNCTION("""COMPUTED_VALUE"""),"vay tiền app")</f>
        <v>vay tiền app</v>
      </c>
      <c r="AO69" s="21" t="str">
        <f>IFERROR(__xludf.DUMMYFUNCTION("""COMPUTED_VALUE"""),"https://techcombank.com/thong-tin/blog/kinh-nghiem-vay-tien-mua-nha")</f>
        <v>https://techcombank.com/thong-tin/blog/kinh-nghiem-vay-tien-mua-nha</v>
      </c>
      <c r="AP69" s="16" t="str">
        <f>IFERROR(__xludf.DUMMYFUNCTION("""COMPUTED_VALUE"""),"app vay tiền")</f>
        <v>app vay tiền</v>
      </c>
      <c r="AQ69" s="21" t="str">
        <f>IFERROR(__xludf.DUMMYFUNCTION("""COMPUTED_VALUE"""),"https://techcombank.com/thong-tin/blog/vay-the-chap-hop-dong-mua-ban-can-ho")</f>
        <v>https://techcombank.com/thong-tin/blog/vay-the-chap-hop-dong-mua-ban-can-ho</v>
      </c>
      <c r="AR69" s="16" t="str">
        <f>IFERROR(__xludf.DUMMYFUNCTION("""COMPUTED_VALUE"""),"app vay nhanh")</f>
        <v>app vay nhanh</v>
      </c>
      <c r="AS69" s="21" t="str">
        <f>IFERROR(__xludf.DUMMYFUNCTION("""COMPUTED_VALUE"""),"https://techcombank.com/thong-tin/blog/vay-du-hoc")</f>
        <v>https://techcombank.com/thong-tin/blog/vay-du-hoc</v>
      </c>
      <c r="AT69" s="16"/>
      <c r="AU69" s="16"/>
      <c r="AV69" s="16"/>
      <c r="AW69" s="16"/>
      <c r="AX69" s="16"/>
      <c r="AY69" s="16"/>
      <c r="AZ69" s="16"/>
      <c r="BA69" s="16"/>
      <c r="BB69" s="16"/>
      <c r="BC69" s="16"/>
      <c r="BD69" s="16"/>
      <c r="BE69" s="16"/>
      <c r="BF69" s="16"/>
      <c r="BG69" s="16"/>
      <c r="BH69" s="16"/>
      <c r="BI69" s="16"/>
      <c r="BJ69" s="16"/>
      <c r="BK69" s="16"/>
      <c r="BL69" s="16"/>
      <c r="BM69" s="16"/>
      <c r="BN69" s="16"/>
      <c r="BO69" s="16"/>
      <c r="BP69" s="16"/>
      <c r="BQ69" s="16"/>
      <c r="BR69" s="16"/>
      <c r="BS69" s="16"/>
      <c r="BT69" s="16"/>
      <c r="BU69" s="16"/>
      <c r="BV69" s="16"/>
      <c r="BW69" s="16"/>
      <c r="BX69" s="16"/>
      <c r="BY69" s="16"/>
      <c r="BZ69" s="16"/>
      <c r="CA69" s="16"/>
      <c r="CB69" s="16"/>
      <c r="CC69" s="16"/>
      <c r="CD69" s="16"/>
      <c r="CE69" s="16"/>
      <c r="CF69" s="16"/>
      <c r="CG69" s="16"/>
      <c r="CH69" s="16"/>
      <c r="CI69" s="16"/>
      <c r="CJ69" s="16"/>
      <c r="CK69" s="16"/>
      <c r="CL69" s="16"/>
      <c r="CM69" s="16"/>
      <c r="CN69" s="16"/>
      <c r="CO69" s="16"/>
      <c r="CP69" s="16"/>
      <c r="CQ69" s="16"/>
      <c r="CR69" s="16"/>
      <c r="CS69" s="16"/>
      <c r="CT69" s="16"/>
      <c r="CU69" s="16"/>
      <c r="CV69" s="16"/>
      <c r="CW69" s="16"/>
      <c r="CX69" s="16"/>
      <c r="CY69" s="16"/>
      <c r="CZ69" s="16"/>
      <c r="DA69" s="16"/>
      <c r="DB69" s="16"/>
      <c r="DC69" s="16"/>
      <c r="DD69" s="16"/>
      <c r="DE69" s="16"/>
      <c r="DF69" s="16"/>
      <c r="DG69" s="16"/>
      <c r="DH69" s="16"/>
      <c r="DI69" s="16"/>
      <c r="DJ69" s="16"/>
      <c r="DK69" s="16"/>
      <c r="DL69" s="16"/>
      <c r="DM69" s="16"/>
      <c r="DN69" s="16"/>
      <c r="DO69" s="16"/>
      <c r="DP69" s="16"/>
      <c r="DQ69" s="16"/>
      <c r="DR69" s="16"/>
      <c r="DS69" s="16"/>
      <c r="DT69" s="16"/>
      <c r="DU69" s="16"/>
      <c r="DV69" s="16"/>
      <c r="DW69" s="16"/>
      <c r="DX69" s="16"/>
      <c r="DY69" s="16"/>
      <c r="DZ69" s="16"/>
      <c r="EA69" s="16"/>
      <c r="EB69" s="16"/>
      <c r="EC69" s="16"/>
      <c r="ED69" s="16"/>
      <c r="EE69" s="16"/>
      <c r="EF69" s="16"/>
      <c r="EG69" s="16"/>
      <c r="EH69" s="16"/>
      <c r="EI69" s="16"/>
      <c r="EJ69" s="16"/>
      <c r="EK69" s="16"/>
      <c r="EL69" s="16"/>
      <c r="EM69" s="16"/>
      <c r="EN69" s="16"/>
      <c r="EO69" s="16"/>
      <c r="EP69" s="16"/>
      <c r="EQ69" s="16"/>
      <c r="ER69" s="16"/>
      <c r="ES69" s="16"/>
      <c r="ET69" s="16"/>
      <c r="EU69" s="16"/>
      <c r="EV69" s="16"/>
      <c r="EW69" s="16"/>
      <c r="EX69" s="16"/>
      <c r="EY69" s="16"/>
      <c r="EZ69" s="16"/>
      <c r="FA69" s="16"/>
      <c r="FB69" s="16"/>
      <c r="FC69" s="16"/>
      <c r="FD69" s="16"/>
      <c r="FE69" s="16"/>
      <c r="FF69" s="16"/>
      <c r="FG69" s="16"/>
      <c r="FH69" s="16"/>
      <c r="FI69" s="16"/>
      <c r="FJ69" s="16"/>
      <c r="FK69" s="16"/>
      <c r="FL69" s="16"/>
      <c r="FM69" s="16"/>
      <c r="FN69" s="16"/>
      <c r="FO69" s="16"/>
      <c r="FP69" s="16"/>
      <c r="FQ69" s="16"/>
      <c r="FR69" s="16"/>
      <c r="FS69" s="16"/>
      <c r="FT69" s="16"/>
      <c r="FU69" s="16"/>
      <c r="FV69" s="16"/>
      <c r="FW69" s="16"/>
      <c r="FX69" s="16"/>
      <c r="FY69" s="16"/>
      <c r="FZ69" s="16"/>
      <c r="GA69" s="16"/>
      <c r="GB69" s="16"/>
      <c r="GC69" s="16"/>
      <c r="GD69" s="16"/>
      <c r="GE69" s="16"/>
      <c r="GF69" s="16"/>
      <c r="GG69" s="16"/>
      <c r="GH69" s="16"/>
      <c r="GI69" s="16"/>
      <c r="GJ69" s="16"/>
      <c r="GK69" s="16"/>
      <c r="GL69" s="16"/>
      <c r="GM69" s="16"/>
      <c r="GN69" s="16"/>
      <c r="GO69" s="16"/>
    </row>
    <row r="70" ht="18.0" customHeight="1">
      <c r="A70" s="15">
        <v>69.0</v>
      </c>
      <c r="B70" s="16" t="s">
        <v>1435</v>
      </c>
      <c r="C70" s="17" t="s">
        <v>1454</v>
      </c>
      <c r="D70" s="16" t="s">
        <v>372</v>
      </c>
      <c r="E70" s="15">
        <f>COUNTIF('Tổng hợp 75 trang đích'!$B$2:$B$2505,$D70)</f>
        <v>16</v>
      </c>
      <c r="F70" s="15">
        <f>COUNTIFS('Tổng hợp 75 trang đích'!$B$2:$B$2505,$D70,'Tổng hợp 75 trang đích'!$K$2:$K$2505,"PHÙ HỢP CAO")</f>
        <v>3</v>
      </c>
      <c r="G70" s="15">
        <f>COUNTIFS('Tổng hợp 75 trang đích'!$B$2:$B$2505,$D70,'Tổng hợp 75 trang đích'!$K$2:$K$2505,"CÓ THỂ ĐI")</f>
        <v>2</v>
      </c>
      <c r="H70" s="15">
        <f>COUNTIFS('Tổng hợp 75 trang đích'!$B$2:$B$2505,$D70,'Tổng hợp 75 trang đích'!$K$2:$K$2505,"CẦN SOÁT")</f>
        <v>11</v>
      </c>
      <c r="I70" s="19" t="s">
        <v>256</v>
      </c>
      <c r="J70" s="19" t="b">
        <v>0</v>
      </c>
      <c r="K70" s="20" t="s">
        <v>258</v>
      </c>
      <c r="L70" s="16" t="str">
        <f>IFERROR(__xludf.DUMMYFUNCTION("IFERROR(TOROW(CHOOSECOLS(SORT(FILTER({'Tổng hợp 75 trang đích'!$J$2:$J$2505,'Tổng hợp 75 trang đích'!$I$2:$I$2505,MATCH('Tổng hợp 75 trang đích'!$K$2:$K$2505,{""PHÙ HỢP CAO"",""CÓ THỂ ĐI"",""CẦN SOÁT""},0)},'Tổng hợp 75 trang đích'!$B$2:$B$2505=$D70),3,TR"&amp;"UE),1,2)),"""")"),"lãi suất vay ngân hàng")</f>
        <v>lãi suất vay ngân hàng</v>
      </c>
      <c r="M70" s="21" t="str">
        <f>IFERROR(__xludf.DUMMYFUNCTION("""COMPUTED_VALUE"""),"https://techcombank.com/thong-tin/blog/lai-suat-la-gi")</f>
        <v>https://techcombank.com/thong-tin/blog/lai-suat-la-gi</v>
      </c>
      <c r="N70" s="16" t="str">
        <f>IFERROR(__xludf.DUMMYFUNCTION("""COMPUTED_VALUE"""),"lãi suất vay ngân hàng hiện nay")</f>
        <v>lãi suất vay ngân hàng hiện nay</v>
      </c>
      <c r="O70" s="21" t="str">
        <f>IFERROR(__xludf.DUMMYFUNCTION("""COMPUTED_VALUE"""),"https://techcombank.com/thong-tin/blog/lai-suat-vay-tieu-dung")</f>
        <v>https://techcombank.com/thong-tin/blog/lai-suat-vay-tieu-dung</v>
      </c>
      <c r="P70" s="16" t="str">
        <f>IFERROR(__xludf.DUMMYFUNCTION("""COMPUTED_VALUE"""),"lãi suất cho vay ngân hàng")</f>
        <v>lãi suất cho vay ngân hàng</v>
      </c>
      <c r="Q70" s="21" t="str">
        <f>IFERROR(__xludf.DUMMYFUNCTION("""COMPUTED_VALUE"""),"https://techcombank.com/thong-tin/blog/lai-suat-vay-tin-chap")</f>
        <v>https://techcombank.com/thong-tin/blog/lai-suat-vay-tin-chap</v>
      </c>
      <c r="R70" s="16" t="str">
        <f>IFERROR(__xludf.DUMMYFUNCTION("""COMPUTED_VALUE"""),"lãi vay ngân hàng hiện nay")</f>
        <v>lãi vay ngân hàng hiện nay</v>
      </c>
      <c r="S70" s="21" t="str">
        <f>IFERROR(__xludf.DUMMYFUNCTION("""COMPUTED_VALUE"""),"https://techcombank.com/thong-tin/blog/dieu-kien-vay-von-ngan-hang")</f>
        <v>https://techcombank.com/thong-tin/blog/dieu-kien-vay-von-ngan-hang</v>
      </c>
      <c r="T70" s="16" t="str">
        <f>IFERROR(__xludf.DUMMYFUNCTION("""COMPUTED_VALUE"""),"lãi suất vay ngân hàng hôm nay")</f>
        <v>lãi suất vay ngân hàng hôm nay</v>
      </c>
      <c r="U70" s="21" t="str">
        <f>IFERROR(__xludf.DUMMYFUNCTION("""COMPUTED_VALUE"""),"https://techcombank.com/thong-tin/blog/lai-suat-qua-han")</f>
        <v>https://techcombank.com/thong-tin/blog/lai-suat-qua-han</v>
      </c>
      <c r="V70" s="16" t="str">
        <f>IFERROR(__xludf.DUMMYFUNCTION("""COMPUTED_VALUE"""),"lãi suất vay ngân hàng")</f>
        <v>lãi suất vay ngân hàng</v>
      </c>
      <c r="W70" s="21" t="str">
        <f>IFERROR(__xludf.DUMMYFUNCTION("""COMPUTED_VALUE"""),"https://techcombank.com/thong-tin/blog/lai-suat-vay-kinh-doanh")</f>
        <v>https://techcombank.com/thong-tin/blog/lai-suat-vay-kinh-doanh</v>
      </c>
      <c r="X70" s="16" t="str">
        <f>IFERROR(__xludf.DUMMYFUNCTION("""COMPUTED_VALUE"""),"lãi suất vay ngân hàng hiện nay")</f>
        <v>lãi suất vay ngân hàng hiện nay</v>
      </c>
      <c r="Y70" s="21" t="str">
        <f>IFERROR(__xludf.DUMMYFUNCTION("""COMPUTED_VALUE"""),"https://techcombank.com/thong-tin/blog/loi-nhuan")</f>
        <v>https://techcombank.com/thong-tin/blog/loi-nhuan</v>
      </c>
      <c r="Z70" s="16" t="str">
        <f>IFERROR(__xludf.DUMMYFUNCTION("""COMPUTED_VALUE"""),"lãi suất cho vay ngân hàng")</f>
        <v>lãi suất cho vay ngân hàng</v>
      </c>
      <c r="AA70" s="21" t="str">
        <f>IFERROR(__xludf.DUMMYFUNCTION("""COMPUTED_VALUE"""),"https://techcombank.com/thong-tin/blog/vay-tin-chap-va-vay-the-chap")</f>
        <v>https://techcombank.com/thong-tin/blog/vay-tin-chap-va-vay-the-chap</v>
      </c>
      <c r="AB70" s="16" t="str">
        <f>IFERROR(__xludf.DUMMYFUNCTION("""COMPUTED_VALUE"""),"lãi vay ngân hàng hiện nay")</f>
        <v>lãi vay ngân hàng hiện nay</v>
      </c>
      <c r="AC70" s="21" t="str">
        <f>IFERROR(__xludf.DUMMYFUNCTION("""COMPUTED_VALUE"""),"https://techcombank.com/thong-tin/blog/lai-suat-vay-the-chap")</f>
        <v>https://techcombank.com/thong-tin/blog/lai-suat-vay-the-chap</v>
      </c>
      <c r="AD70" s="16" t="str">
        <f>IFERROR(__xludf.DUMMYFUNCTION("""COMPUTED_VALUE"""),"lãi suất vay ngân hàng hôm nay")</f>
        <v>lãi suất vay ngân hàng hôm nay</v>
      </c>
      <c r="AE70" s="21" t="str">
        <f>IFERROR(__xludf.DUMMYFUNCTION("""COMPUTED_VALUE"""),"https://techcombank.com/thong-tin/blog/lai-suat-vay-thau-chi")</f>
        <v>https://techcombank.com/thong-tin/blog/lai-suat-vay-thau-chi</v>
      </c>
      <c r="AF70" s="16" t="str">
        <f>IFERROR(__xludf.DUMMYFUNCTION("""COMPUTED_VALUE"""),"lãi suất vay ngân hàng")</f>
        <v>lãi suất vay ngân hàng</v>
      </c>
      <c r="AG70" s="21" t="str">
        <f>IFERROR(__xludf.DUMMYFUNCTION("""COMPUTED_VALUE"""),"https://techcombank.com/thong-tin/blog/lai-suat-vay-the-chap-so-do")</f>
        <v>https://techcombank.com/thong-tin/blog/lai-suat-vay-the-chap-so-do</v>
      </c>
      <c r="AH70" s="16" t="str">
        <f>IFERROR(__xludf.DUMMYFUNCTION("""COMPUTED_VALUE"""),"lãi suất vay ngân hàng hiện nay")</f>
        <v>lãi suất vay ngân hàng hiện nay</v>
      </c>
      <c r="AI70" s="21" t="str">
        <f>IFERROR(__xludf.DUMMYFUNCTION("""COMPUTED_VALUE"""),"https://techcombank.com/thong-tin/blog/lai-suat-ngan-hang-cho-vay-xay-nha")</f>
        <v>https://techcombank.com/thong-tin/blog/lai-suat-ngan-hang-cho-vay-xay-nha</v>
      </c>
      <c r="AJ70" s="16" t="str">
        <f>IFERROR(__xludf.DUMMYFUNCTION("""COMPUTED_VALUE"""),"lãi suất cho vay ngân hàng")</f>
        <v>lãi suất cho vay ngân hàng</v>
      </c>
      <c r="AK70" s="21" t="str">
        <f>IFERROR(__xludf.DUMMYFUNCTION("""COMPUTED_VALUE"""),"https://techcombank.com/thong-tin/blog/cach-tinh-lai-vay-ngan-hang")</f>
        <v>https://techcombank.com/thong-tin/blog/cach-tinh-lai-vay-ngan-hang</v>
      </c>
      <c r="AL70" s="16" t="str">
        <f>IFERROR(__xludf.DUMMYFUNCTION("""COMPUTED_VALUE"""),"lãi vay ngân hàng hiện nay")</f>
        <v>lãi vay ngân hàng hiện nay</v>
      </c>
      <c r="AM70" s="21" t="str">
        <f>IFERROR(__xludf.DUMMYFUNCTION("""COMPUTED_VALUE"""),"https://techcombank.com/thong-tin/blog/lai-suat-vay-mua-o-to")</f>
        <v>https://techcombank.com/thong-tin/blog/lai-suat-vay-mua-o-to</v>
      </c>
      <c r="AN70" s="16" t="str">
        <f>IFERROR(__xludf.DUMMYFUNCTION("""COMPUTED_VALUE"""),"lãi suất vay ngân hàng hôm nay")</f>
        <v>lãi suất vay ngân hàng hôm nay</v>
      </c>
      <c r="AO70" s="21" t="str">
        <f>IFERROR(__xludf.DUMMYFUNCTION("""COMPUTED_VALUE"""),"https://techcombank.com/thong-tin/blog/vay-tin-chap-la-gi")</f>
        <v>https://techcombank.com/thong-tin/blog/vay-tin-chap-la-gi</v>
      </c>
      <c r="AP70" s="16" t="str">
        <f>IFERROR(__xludf.DUMMYFUNCTION("""COMPUTED_VALUE"""),"lãi suất vay ngân hàng")</f>
        <v>lãi suất vay ngân hàng</v>
      </c>
      <c r="AQ70" s="21" t="str">
        <f>IFERROR(__xludf.DUMMYFUNCTION("""COMPUTED_VALUE"""),"https://techcombank.com/thong-tin/blog/lai-suat-cho-vay-doanh-nghiep")</f>
        <v>https://techcombank.com/thong-tin/blog/lai-suat-cho-vay-doanh-nghiep</v>
      </c>
      <c r="AR70" s="16"/>
      <c r="AS70" s="16"/>
      <c r="AT70" s="16"/>
      <c r="AU70" s="16"/>
      <c r="AV70" s="16"/>
      <c r="AW70" s="16"/>
      <c r="AX70" s="16"/>
      <c r="AY70" s="16"/>
      <c r="AZ70" s="16"/>
      <c r="BA70" s="16"/>
      <c r="BB70" s="16"/>
      <c r="BC70" s="16"/>
      <c r="BD70" s="16"/>
      <c r="BE70" s="16"/>
      <c r="BF70" s="16"/>
      <c r="BG70" s="16"/>
      <c r="BH70" s="16"/>
      <c r="BI70" s="16"/>
      <c r="BJ70" s="16"/>
      <c r="BK70" s="16"/>
      <c r="BL70" s="16"/>
      <c r="BM70" s="16"/>
      <c r="BN70" s="16"/>
      <c r="BO70" s="16"/>
      <c r="BP70" s="16"/>
      <c r="BQ70" s="16"/>
      <c r="BR70" s="16"/>
      <c r="BS70" s="16"/>
      <c r="BT70" s="16"/>
      <c r="BU70" s="16"/>
      <c r="BV70" s="16"/>
      <c r="BW70" s="16"/>
      <c r="BX70" s="16"/>
      <c r="BY70" s="16"/>
      <c r="BZ70" s="16"/>
      <c r="CA70" s="16"/>
      <c r="CB70" s="16"/>
      <c r="CC70" s="16"/>
      <c r="CD70" s="16"/>
      <c r="CE70" s="16"/>
      <c r="CF70" s="16"/>
      <c r="CG70" s="16"/>
      <c r="CH70" s="16"/>
      <c r="CI70" s="16"/>
      <c r="CJ70" s="16"/>
      <c r="CK70" s="16"/>
      <c r="CL70" s="16"/>
      <c r="CM70" s="16"/>
      <c r="CN70" s="16"/>
      <c r="CO70" s="16"/>
      <c r="CP70" s="16"/>
      <c r="CQ70" s="16"/>
      <c r="CR70" s="16"/>
      <c r="CS70" s="16"/>
      <c r="CT70" s="16"/>
      <c r="CU70" s="16"/>
      <c r="CV70" s="16"/>
      <c r="CW70" s="16"/>
      <c r="CX70" s="16"/>
      <c r="CY70" s="16"/>
      <c r="CZ70" s="16"/>
      <c r="DA70" s="16"/>
      <c r="DB70" s="16"/>
      <c r="DC70" s="16"/>
      <c r="DD70" s="16"/>
      <c r="DE70" s="16"/>
      <c r="DF70" s="16"/>
      <c r="DG70" s="16"/>
      <c r="DH70" s="16"/>
      <c r="DI70" s="16"/>
      <c r="DJ70" s="16"/>
      <c r="DK70" s="16"/>
      <c r="DL70" s="16"/>
      <c r="DM70" s="16"/>
      <c r="DN70" s="16"/>
      <c r="DO70" s="16"/>
      <c r="DP70" s="16"/>
      <c r="DQ70" s="16"/>
      <c r="DR70" s="16"/>
      <c r="DS70" s="16"/>
      <c r="DT70" s="16"/>
      <c r="DU70" s="16"/>
      <c r="DV70" s="16"/>
      <c r="DW70" s="16"/>
      <c r="DX70" s="16"/>
      <c r="DY70" s="16"/>
      <c r="DZ70" s="16"/>
      <c r="EA70" s="16"/>
      <c r="EB70" s="16"/>
      <c r="EC70" s="16"/>
      <c r="ED70" s="16"/>
      <c r="EE70" s="16"/>
      <c r="EF70" s="16"/>
      <c r="EG70" s="16"/>
      <c r="EH70" s="16"/>
      <c r="EI70" s="16"/>
      <c r="EJ70" s="16"/>
      <c r="EK70" s="16"/>
      <c r="EL70" s="16"/>
      <c r="EM70" s="16"/>
      <c r="EN70" s="16"/>
      <c r="EO70" s="16"/>
      <c r="EP70" s="16"/>
      <c r="EQ70" s="16"/>
      <c r="ER70" s="16"/>
      <c r="ES70" s="16"/>
      <c r="ET70" s="16"/>
      <c r="EU70" s="16"/>
      <c r="EV70" s="16"/>
      <c r="EW70" s="16"/>
      <c r="EX70" s="16"/>
      <c r="EY70" s="16"/>
      <c r="EZ70" s="16"/>
      <c r="FA70" s="16"/>
      <c r="FB70" s="16"/>
      <c r="FC70" s="16"/>
      <c r="FD70" s="16"/>
      <c r="FE70" s="16"/>
      <c r="FF70" s="16"/>
      <c r="FG70" s="16"/>
      <c r="FH70" s="16"/>
      <c r="FI70" s="16"/>
      <c r="FJ70" s="16"/>
      <c r="FK70" s="16"/>
      <c r="FL70" s="16"/>
      <c r="FM70" s="16"/>
      <c r="FN70" s="16"/>
      <c r="FO70" s="16"/>
      <c r="FP70" s="16"/>
      <c r="FQ70" s="16"/>
      <c r="FR70" s="16"/>
      <c r="FS70" s="16"/>
      <c r="FT70" s="16"/>
      <c r="FU70" s="16"/>
      <c r="FV70" s="16"/>
      <c r="FW70" s="16"/>
      <c r="FX70" s="16"/>
      <c r="FY70" s="16"/>
      <c r="FZ70" s="16"/>
      <c r="GA70" s="16"/>
      <c r="GB70" s="16"/>
      <c r="GC70" s="16"/>
      <c r="GD70" s="16"/>
      <c r="GE70" s="16"/>
      <c r="GF70" s="16"/>
      <c r="GG70" s="16"/>
      <c r="GH70" s="16"/>
      <c r="GI70" s="16"/>
      <c r="GJ70" s="16"/>
      <c r="GK70" s="16"/>
      <c r="GL70" s="16"/>
      <c r="GM70" s="16"/>
      <c r="GN70" s="16"/>
      <c r="GO70" s="16"/>
    </row>
    <row r="71" ht="18.0" customHeight="1">
      <c r="A71" s="15">
        <v>70.0</v>
      </c>
      <c r="B71" s="16" t="s">
        <v>1435</v>
      </c>
      <c r="C71" s="17" t="s">
        <v>1467</v>
      </c>
      <c r="D71" s="16" t="s">
        <v>373</v>
      </c>
      <c r="E71" s="15">
        <f>COUNTIF('Tổng hợp 75 trang đích'!$B$2:$B$2505,$D71)</f>
        <v>9</v>
      </c>
      <c r="F71" s="15">
        <f>COUNTIFS('Tổng hợp 75 trang đích'!$B$2:$B$2505,$D71,'Tổng hợp 75 trang đích'!$K$2:$K$2505,"PHÙ HỢP CAO")</f>
        <v>4</v>
      </c>
      <c r="G71" s="15">
        <f>COUNTIFS('Tổng hợp 75 trang đích'!$B$2:$B$2505,$D71,'Tổng hợp 75 trang đích'!$K$2:$K$2505,"CÓ THỂ ĐI")</f>
        <v>1</v>
      </c>
      <c r="H71" s="15">
        <f>COUNTIFS('Tổng hợp 75 trang đích'!$B$2:$B$2505,$D71,'Tổng hợp 75 trang đích'!$K$2:$K$2505,"CẦN SOÁT")</f>
        <v>4</v>
      </c>
      <c r="I71" s="19" t="s">
        <v>256</v>
      </c>
      <c r="J71" s="19" t="b">
        <v>0</v>
      </c>
      <c r="K71" s="20" t="s">
        <v>258</v>
      </c>
      <c r="L71" s="16" t="str">
        <f>IFERROR(__xludf.DUMMYFUNCTION("IFERROR(TOROW(CHOOSECOLS(SORT(FILTER({'Tổng hợp 75 trang đích'!$J$2:$J$2505,'Tổng hợp 75 trang đích'!$I$2:$I$2505,MATCH('Tổng hợp 75 trang đích'!$K$2:$K$2505,{""PHÙ HỢP CAO"",""CÓ THỂ ĐI"",""CẦN SOÁT""},0)},'Tổng hợp 75 trang đích'!$B$2:$B$2505=$D71),3,TR"&amp;"UE),1,2)),"""")"),"vay thấu chi là gì")</f>
        <v>vay thấu chi là gì</v>
      </c>
      <c r="M71" s="21" t="str">
        <f>IFERROR(__xludf.DUMMYFUNCTION("""COMPUTED_VALUE"""),"https://techcombank.com/thong-tin/blog/han-muc-thau-chi-la-gi")</f>
        <v>https://techcombank.com/thong-tin/blog/han-muc-thau-chi-la-gi</v>
      </c>
      <c r="N71" s="16" t="str">
        <f>IFERROR(__xludf.DUMMYFUNCTION("""COMPUTED_VALUE"""),"vay thấu chi")</f>
        <v>vay thấu chi</v>
      </c>
      <c r="O71" s="21" t="str">
        <f>IFERROR(__xludf.DUMMYFUNCTION("""COMPUTED_VALUE"""),"https://techcombank.com/thong-tin/blog/lai-suat-vay-thau-chi")</f>
        <v>https://techcombank.com/thong-tin/blog/lai-suat-vay-thau-chi</v>
      </c>
      <c r="P71" s="16" t="str">
        <f>IFERROR(__xludf.DUMMYFUNCTION("""COMPUTED_VALUE"""),"thấu chi là gì")</f>
        <v>thấu chi là gì</v>
      </c>
      <c r="Q71" s="21" t="str">
        <f>IFERROR(__xludf.DUMMYFUNCTION("""COMPUTED_VALUE"""),"https://techcombank.com/thong-tin/blog/thoi-han-vay-thau-chi")</f>
        <v>https://techcombank.com/thong-tin/blog/thoi-han-vay-thau-chi</v>
      </c>
      <c r="R71" s="16" t="str">
        <f>IFERROR(__xludf.DUMMYFUNCTION("""COMPUTED_VALUE"""),"vay thấu chi là như nào")</f>
        <v>vay thấu chi là như nào</v>
      </c>
      <c r="S71" s="21" t="str">
        <f>IFERROR(__xludf.DUMMYFUNCTION("""COMPUTED_VALUE"""),"https://techcombank.com/thong-tin/blog/tra-no-vay-thau-chi-nhu-the-nao")</f>
        <v>https://techcombank.com/thong-tin/blog/tra-no-vay-thau-chi-nhu-the-nao</v>
      </c>
      <c r="T71" s="16" t="str">
        <f>IFERROR(__xludf.DUMMYFUNCTION("""COMPUTED_VALUE"""),"vay thấu chi là gì")</f>
        <v>vay thấu chi là gì</v>
      </c>
      <c r="U71" s="21" t="str">
        <f>IFERROR(__xludf.DUMMYFUNCTION("""COMPUTED_VALUE"""),"https://techcombank.com/thong-tin/blog/vay-han-muc-la-gi")</f>
        <v>https://techcombank.com/thong-tin/blog/vay-han-muc-la-gi</v>
      </c>
      <c r="V71" s="16" t="str">
        <f>IFERROR(__xludf.DUMMYFUNCTION("""COMPUTED_VALUE"""),"vay thấu chi")</f>
        <v>vay thấu chi</v>
      </c>
      <c r="W71" s="21" t="str">
        <f>IFERROR(__xludf.DUMMYFUNCTION("""COMPUTED_VALUE"""),"https://techcombank.com/thong-tin/blog/cac-hinh-thuc-vay-von-ngan-hang")</f>
        <v>https://techcombank.com/thong-tin/blog/cac-hinh-thuc-vay-von-ngan-hang</v>
      </c>
      <c r="X71" s="16" t="str">
        <f>IFERROR(__xludf.DUMMYFUNCTION("""COMPUTED_VALUE"""),"thấu chi là gì")</f>
        <v>thấu chi là gì</v>
      </c>
      <c r="Y71" s="21" t="str">
        <f>IFERROR(__xludf.DUMMYFUNCTION("""COMPUTED_VALUE"""),"https://techcombank.com/thong-tin/blog/vay-san-xuat-kinh-doanh")</f>
        <v>https://techcombank.com/thong-tin/blog/vay-san-xuat-kinh-doanh</v>
      </c>
      <c r="Z71" s="16" t="str">
        <f>IFERROR(__xludf.DUMMYFUNCTION("""COMPUTED_VALUE"""),"vay thấu chi là như nào")</f>
        <v>vay thấu chi là như nào</v>
      </c>
      <c r="AA71" s="21" t="str">
        <f>IFERROR(__xludf.DUMMYFUNCTION("""COMPUTED_VALUE"""),"https://techcombank.com/thong-tin/blog/cach-tinh-lai-vay-ngan-hang")</f>
        <v>https://techcombank.com/thong-tin/blog/cach-tinh-lai-vay-ngan-hang</v>
      </c>
      <c r="AB71" s="16" t="str">
        <f>IFERROR(__xludf.DUMMYFUNCTION("""COMPUTED_VALUE"""),"vay thấu chi là gì")</f>
        <v>vay thấu chi là gì</v>
      </c>
      <c r="AC71" s="21" t="str">
        <f>IFERROR(__xludf.DUMMYFUNCTION("""COMPUTED_VALUE"""),"https://techcombank.com/thong-tin/blog/vay-thau-chi-bang-so-tiet-kiem")</f>
        <v>https://techcombank.com/thong-tin/blog/vay-thau-chi-bang-so-tiet-kiem</v>
      </c>
      <c r="AD71" s="16"/>
      <c r="AE71" s="16"/>
      <c r="AF71" s="16"/>
      <c r="AG71" s="16"/>
      <c r="AH71" s="16"/>
      <c r="AI71" s="16"/>
      <c r="AJ71" s="16"/>
      <c r="AK71" s="16"/>
      <c r="AL71" s="16"/>
      <c r="AM71" s="16"/>
      <c r="AN71" s="16"/>
      <c r="AO71" s="16"/>
      <c r="AP71" s="16"/>
      <c r="AQ71" s="16"/>
      <c r="AR71" s="16"/>
      <c r="AS71" s="16"/>
      <c r="AT71" s="16"/>
      <c r="AU71" s="16"/>
      <c r="AV71" s="16"/>
      <c r="AW71" s="16"/>
      <c r="AX71" s="16"/>
      <c r="AY71" s="16"/>
      <c r="AZ71" s="16"/>
      <c r="BA71" s="16"/>
      <c r="BB71" s="16"/>
      <c r="BC71" s="16"/>
      <c r="BD71" s="16"/>
      <c r="BE71" s="16"/>
      <c r="BF71" s="16"/>
      <c r="BG71" s="16"/>
      <c r="BH71" s="16"/>
      <c r="BI71" s="16"/>
      <c r="BJ71" s="16"/>
      <c r="BK71" s="16"/>
      <c r="BL71" s="16"/>
      <c r="BM71" s="16"/>
      <c r="BN71" s="16"/>
      <c r="BO71" s="16"/>
      <c r="BP71" s="16"/>
      <c r="BQ71" s="16"/>
      <c r="BR71" s="16"/>
      <c r="BS71" s="16"/>
      <c r="BT71" s="16"/>
      <c r="BU71" s="16"/>
      <c r="BV71" s="16"/>
      <c r="BW71" s="16"/>
      <c r="BX71" s="16"/>
      <c r="BY71" s="16"/>
      <c r="BZ71" s="16"/>
      <c r="CA71" s="16"/>
      <c r="CB71" s="16"/>
      <c r="CC71" s="16"/>
      <c r="CD71" s="16"/>
      <c r="CE71" s="16"/>
      <c r="CF71" s="16"/>
      <c r="CG71" s="16"/>
      <c r="CH71" s="16"/>
      <c r="CI71" s="16"/>
      <c r="CJ71" s="16"/>
      <c r="CK71" s="16"/>
      <c r="CL71" s="16"/>
      <c r="CM71" s="16"/>
      <c r="CN71" s="16"/>
      <c r="CO71" s="16"/>
      <c r="CP71" s="16"/>
      <c r="CQ71" s="16"/>
      <c r="CR71" s="16"/>
      <c r="CS71" s="16"/>
      <c r="CT71" s="16"/>
      <c r="CU71" s="16"/>
      <c r="CV71" s="16"/>
      <c r="CW71" s="16"/>
      <c r="CX71" s="16"/>
      <c r="CY71" s="16"/>
      <c r="CZ71" s="16"/>
      <c r="DA71" s="16"/>
      <c r="DB71" s="16"/>
      <c r="DC71" s="16"/>
      <c r="DD71" s="16"/>
      <c r="DE71" s="16"/>
      <c r="DF71" s="16"/>
      <c r="DG71" s="16"/>
      <c r="DH71" s="16"/>
      <c r="DI71" s="16"/>
      <c r="DJ71" s="16"/>
      <c r="DK71" s="16"/>
      <c r="DL71" s="16"/>
      <c r="DM71" s="16"/>
      <c r="DN71" s="16"/>
      <c r="DO71" s="16"/>
      <c r="DP71" s="16"/>
      <c r="DQ71" s="16"/>
      <c r="DR71" s="16"/>
      <c r="DS71" s="16"/>
      <c r="DT71" s="16"/>
      <c r="DU71" s="16"/>
      <c r="DV71" s="16"/>
      <c r="DW71" s="16"/>
      <c r="DX71" s="16"/>
      <c r="DY71" s="16"/>
      <c r="DZ71" s="16"/>
      <c r="EA71" s="16"/>
      <c r="EB71" s="16"/>
      <c r="EC71" s="16"/>
      <c r="ED71" s="16"/>
      <c r="EE71" s="16"/>
      <c r="EF71" s="16"/>
      <c r="EG71" s="16"/>
      <c r="EH71" s="16"/>
      <c r="EI71" s="16"/>
      <c r="EJ71" s="16"/>
      <c r="EK71" s="16"/>
      <c r="EL71" s="16"/>
      <c r="EM71" s="16"/>
      <c r="EN71" s="16"/>
      <c r="EO71" s="16"/>
      <c r="EP71" s="16"/>
      <c r="EQ71" s="16"/>
      <c r="ER71" s="16"/>
      <c r="ES71" s="16"/>
      <c r="ET71" s="16"/>
      <c r="EU71" s="16"/>
      <c r="EV71" s="16"/>
      <c r="EW71" s="16"/>
      <c r="EX71" s="16"/>
      <c r="EY71" s="16"/>
      <c r="EZ71" s="16"/>
      <c r="FA71" s="16"/>
      <c r="FB71" s="16"/>
      <c r="FC71" s="16"/>
      <c r="FD71" s="16"/>
      <c r="FE71" s="16"/>
      <c r="FF71" s="16"/>
      <c r="FG71" s="16"/>
      <c r="FH71" s="16"/>
      <c r="FI71" s="16"/>
      <c r="FJ71" s="16"/>
      <c r="FK71" s="16"/>
      <c r="FL71" s="16"/>
      <c r="FM71" s="16"/>
      <c r="FN71" s="16"/>
      <c r="FO71" s="16"/>
      <c r="FP71" s="16"/>
      <c r="FQ71" s="16"/>
      <c r="FR71" s="16"/>
      <c r="FS71" s="16"/>
      <c r="FT71" s="16"/>
      <c r="FU71" s="16"/>
      <c r="FV71" s="16"/>
      <c r="FW71" s="16"/>
      <c r="FX71" s="16"/>
      <c r="FY71" s="16"/>
      <c r="FZ71" s="16"/>
      <c r="GA71" s="16"/>
      <c r="GB71" s="16"/>
      <c r="GC71" s="16"/>
      <c r="GD71" s="16"/>
      <c r="GE71" s="16"/>
      <c r="GF71" s="16"/>
      <c r="GG71" s="16"/>
      <c r="GH71" s="16"/>
      <c r="GI71" s="16"/>
      <c r="GJ71" s="16"/>
      <c r="GK71" s="16"/>
      <c r="GL71" s="16"/>
      <c r="GM71" s="16"/>
      <c r="GN71" s="16"/>
      <c r="GO71" s="16"/>
    </row>
    <row r="72" ht="18.0" customHeight="1">
      <c r="A72" s="15">
        <v>71.0</v>
      </c>
      <c r="B72" s="16" t="s">
        <v>1435</v>
      </c>
      <c r="C72" s="17" t="s">
        <v>1483</v>
      </c>
      <c r="D72" s="16" t="s">
        <v>374</v>
      </c>
      <c r="E72" s="15">
        <f>COUNTIF('Tổng hợp 75 trang đích'!$B$2:$B$2505,$D72)</f>
        <v>16</v>
      </c>
      <c r="F72" s="15">
        <f>COUNTIFS('Tổng hợp 75 trang đích'!$B$2:$B$2505,$D72,'Tổng hợp 75 trang đích'!$K$2:$K$2505,"PHÙ HỢP CAO")</f>
        <v>4</v>
      </c>
      <c r="G72" s="15">
        <f>COUNTIFS('Tổng hợp 75 trang đích'!$B$2:$B$2505,$D72,'Tổng hợp 75 trang đích'!$K$2:$K$2505,"CÓ THỂ ĐI")</f>
        <v>1</v>
      </c>
      <c r="H72" s="15">
        <f>COUNTIFS('Tổng hợp 75 trang đích'!$B$2:$B$2505,$D72,'Tổng hợp 75 trang đích'!$K$2:$K$2505,"CẦN SOÁT")</f>
        <v>11</v>
      </c>
      <c r="I72" s="19" t="s">
        <v>256</v>
      </c>
      <c r="J72" s="19" t="b">
        <v>0</v>
      </c>
      <c r="K72" s="20" t="s">
        <v>258</v>
      </c>
      <c r="L72" s="16" t="str">
        <f>IFERROR(__xludf.DUMMYFUNCTION("IFERROR(TOROW(CHOOSECOLS(SORT(FILTER({'Tổng hợp 75 trang đích'!$J$2:$J$2505,'Tổng hợp 75 trang đích'!$I$2:$I$2505,MATCH('Tổng hợp 75 trang đích'!$K$2:$K$2505,{""PHÙ HỢP CAO"",""CÓ THỂ ĐI"",""CẦN SOÁT""},0)},'Tổng hợp 75 trang đích'!$B$2:$B$2505=$D72),3,TR"&amp;"UE),1,2)),"""")"),"kiểm tra nợ xấu")</f>
        <v>kiểm tra nợ xấu</v>
      </c>
      <c r="M72" s="21" t="str">
        <f>IFERROR(__xludf.DUMMYFUNCTION("""COMPUTED_VALUE"""),"https://techcombank.com/thong-tin/blog/no-xau-co-lam-the-visa-duoc-khong")</f>
        <v>https://techcombank.com/thong-tin/blog/no-xau-co-lam-the-visa-duoc-khong</v>
      </c>
      <c r="N72" s="16" t="str">
        <f>IFERROR(__xludf.DUMMYFUNCTION("""COMPUTED_VALUE"""),"tra cứu nợ xấu")</f>
        <v>tra cứu nợ xấu</v>
      </c>
      <c r="O72" s="21" t="str">
        <f>IFERROR(__xludf.DUMMYFUNCTION("""COMPUTED_VALUE"""),"https://techcombank.com/thong-tin/blog/no-xau-mo-the-tin-dung-duoc-khong")</f>
        <v>https://techcombank.com/thong-tin/blog/no-xau-mo-the-tin-dung-duoc-khong</v>
      </c>
      <c r="P72" s="16" t="str">
        <f>IFERROR(__xludf.DUMMYFUNCTION("""COMPUTED_VALUE"""),"kiểm tra nợ xấu")</f>
        <v>kiểm tra nợ xấu</v>
      </c>
      <c r="Q72" s="21" t="str">
        <f>IFERROR(__xludf.DUMMYFUNCTION("""COMPUTED_VALUE"""),"https://techcombank.com/thong-tin/blog/vay-tin-chap-no-xau")</f>
        <v>https://techcombank.com/thong-tin/blog/vay-tin-chap-no-xau</v>
      </c>
      <c r="R72" s="16" t="str">
        <f>IFERROR(__xludf.DUMMYFUNCTION("""COMPUTED_VALUE"""),"tra cứu nợ xấu")</f>
        <v>tra cứu nợ xấu</v>
      </c>
      <c r="S72" s="21" t="str">
        <f>IFERROR(__xludf.DUMMYFUNCTION("""COMPUTED_VALUE"""),"https://techcombank.com/thong-tin/blog/no-xau-co-vay-the-chap-duoc-khong")</f>
        <v>https://techcombank.com/thong-tin/blog/no-xau-co-vay-the-chap-duoc-khong</v>
      </c>
      <c r="T72" s="16" t="str">
        <f>IFERROR(__xludf.DUMMYFUNCTION("""COMPUTED_VALUE"""),"kiểm tra nợ xấu")</f>
        <v>kiểm tra nợ xấu</v>
      </c>
      <c r="U72" s="21" t="str">
        <f>IFERROR(__xludf.DUMMYFUNCTION("""COMPUTED_VALUE"""),"https://techcombank.com/thong-tin/blog/no-xau-nhom-2")</f>
        <v>https://techcombank.com/thong-tin/blog/no-xau-nhom-2</v>
      </c>
      <c r="V72" s="16" t="str">
        <f>IFERROR(__xludf.DUMMYFUNCTION("""COMPUTED_VALUE"""),"tra cứu nợ xấu")</f>
        <v>tra cứu nợ xấu</v>
      </c>
      <c r="W72" s="21" t="str">
        <f>IFERROR(__xludf.DUMMYFUNCTION("""COMPUTED_VALUE"""),"https://techcombank.com/thong-tin/blog/no-chu-y-la-gi")</f>
        <v>https://techcombank.com/thong-tin/blog/no-chu-y-la-gi</v>
      </c>
      <c r="X72" s="16" t="str">
        <f>IFERROR(__xludf.DUMMYFUNCTION("""COMPUTED_VALUE"""),"kiểm tra nợ xấu")</f>
        <v>kiểm tra nợ xấu</v>
      </c>
      <c r="Y72" s="21" t="str">
        <f>IFERROR(__xludf.DUMMYFUNCTION("""COMPUTED_VALUE"""),"https://techcombank.com/thong-tin/blog/diem-tin-dung")</f>
        <v>https://techcombank.com/thong-tin/blog/diem-tin-dung</v>
      </c>
      <c r="Z72" s="16" t="str">
        <f>IFERROR(__xludf.DUMMYFUNCTION("""COMPUTED_VALUE"""),"tra cứu nợ xấu")</f>
        <v>tra cứu nợ xấu</v>
      </c>
      <c r="AA72" s="21" t="str">
        <f>IFERROR(__xludf.DUMMYFUNCTION("""COMPUTED_VALUE"""),"https://techcombank.com/thong-tin/blog/no-xau")</f>
        <v>https://techcombank.com/thong-tin/blog/no-xau</v>
      </c>
      <c r="AB72" s="16" t="str">
        <f>IFERROR(__xludf.DUMMYFUNCTION("""COMPUTED_VALUE"""),"kiểm tra nợ xấu")</f>
        <v>kiểm tra nợ xấu</v>
      </c>
      <c r="AC72" s="21" t="str">
        <f>IFERROR(__xludf.DUMMYFUNCTION("""COMPUTED_VALUE"""),"https://techcombank.com/thong-tin/blog/no-xau-la-gi")</f>
        <v>https://techcombank.com/thong-tin/blog/no-xau-la-gi</v>
      </c>
      <c r="AD72" s="16" t="str">
        <f>IFERROR(__xludf.DUMMYFUNCTION("""COMPUTED_VALUE"""),"tra cứu nợ xấu")</f>
        <v>tra cứu nợ xấu</v>
      </c>
      <c r="AE72" s="21" t="str">
        <f>IFERROR(__xludf.DUMMYFUNCTION("""COMPUTED_VALUE"""),"https://techcombank.com/thong-tin/blog/thanh-toan-toi-thieu-the-tin-dung")</f>
        <v>https://techcombank.com/thong-tin/blog/thanh-toan-toi-thieu-the-tin-dung</v>
      </c>
      <c r="AF72" s="16" t="str">
        <f>IFERROR(__xludf.DUMMYFUNCTION("""COMPUTED_VALUE"""),"kiểm tra nợ xấu")</f>
        <v>kiểm tra nợ xấu</v>
      </c>
      <c r="AG72" s="21" t="str">
        <f>IFERROR(__xludf.DUMMYFUNCTION("""COMPUTED_VALUE"""),"https://techcombank.com/thong-tin/blog/spaylater")</f>
        <v>https://techcombank.com/thong-tin/blog/spaylater</v>
      </c>
      <c r="AH72" s="16" t="str">
        <f>IFERROR(__xludf.DUMMYFUNCTION("""COMPUTED_VALUE"""),"tra cứu nợ xấu")</f>
        <v>tra cứu nợ xấu</v>
      </c>
      <c r="AI72" s="21" t="str">
        <f>IFERROR(__xludf.DUMMYFUNCTION("""COMPUTED_VALUE"""),"https://techcombank.com/thong-tin/blog/no-nhom-3")</f>
        <v>https://techcombank.com/thong-tin/blog/no-nhom-3</v>
      </c>
      <c r="AJ72" s="16" t="str">
        <f>IFERROR(__xludf.DUMMYFUNCTION("""COMPUTED_VALUE"""),"kiểm tra nợ xấu")</f>
        <v>kiểm tra nợ xấu</v>
      </c>
      <c r="AK72" s="21" t="str">
        <f>IFERROR(__xludf.DUMMYFUNCTION("""COMPUTED_VALUE"""),"https://techcombank.com/thong-tin/blog/cic-la-gi")</f>
        <v>https://techcombank.com/thong-tin/blog/cic-la-gi</v>
      </c>
      <c r="AL72" s="16" t="str">
        <f>IFERROR(__xludf.DUMMYFUNCTION("""COMPUTED_VALUE"""),"tra cứu nợ xấu")</f>
        <v>tra cứu nợ xấu</v>
      </c>
      <c r="AM72" s="21" t="str">
        <f>IFERROR(__xludf.DUMMYFUNCTION("""COMPUTED_VALUE"""),"https://techcombank.com/thong-tin/blog/the-tin-dung-bi-khoa")</f>
        <v>https://techcombank.com/thong-tin/blog/the-tin-dung-bi-khoa</v>
      </c>
      <c r="AN72" s="16" t="str">
        <f>IFERROR(__xludf.DUMMYFUNCTION("""COMPUTED_VALUE"""),"kiểm tra nợ xấu")</f>
        <v>kiểm tra nợ xấu</v>
      </c>
      <c r="AO72" s="21" t="str">
        <f>IFERROR(__xludf.DUMMYFUNCTION("""COMPUTED_VALUE"""),"https://techcombank.com/thong-tin/blog/no-the-tin-dung-qua-han")</f>
        <v>https://techcombank.com/thong-tin/blog/no-the-tin-dung-qua-han</v>
      </c>
      <c r="AP72" s="16" t="str">
        <f>IFERROR(__xludf.DUMMYFUNCTION("""COMPUTED_VALUE"""),"tra cứu nợ xấu")</f>
        <v>tra cứu nợ xấu</v>
      </c>
      <c r="AQ72" s="21" t="str">
        <f>IFERROR(__xludf.DUMMYFUNCTION("""COMPUTED_VALUE"""),"https://techcombank.com/thong-tin/blog/lich-su-tin-dung")</f>
        <v>https://techcombank.com/thong-tin/blog/lich-su-tin-dung</v>
      </c>
      <c r="AR72" s="16"/>
      <c r="AS72" s="16"/>
      <c r="AT72" s="16"/>
      <c r="AU72" s="16"/>
      <c r="AV72" s="16"/>
      <c r="AW72" s="16"/>
      <c r="AX72" s="16"/>
      <c r="AY72" s="16"/>
      <c r="AZ72" s="16"/>
      <c r="BA72" s="16"/>
      <c r="BB72" s="16"/>
      <c r="BC72" s="16"/>
      <c r="BD72" s="16"/>
      <c r="BE72" s="16"/>
      <c r="BF72" s="16"/>
      <c r="BG72" s="16"/>
      <c r="BH72" s="16"/>
      <c r="BI72" s="16"/>
      <c r="BJ72" s="16"/>
      <c r="BK72" s="16"/>
      <c r="BL72" s="16"/>
      <c r="BM72" s="16"/>
      <c r="BN72" s="16"/>
      <c r="BO72" s="16"/>
      <c r="BP72" s="16"/>
      <c r="BQ72" s="16"/>
      <c r="BR72" s="16"/>
      <c r="BS72" s="16"/>
      <c r="BT72" s="16"/>
      <c r="BU72" s="16"/>
      <c r="BV72" s="16"/>
      <c r="BW72" s="16"/>
      <c r="BX72" s="16"/>
      <c r="BY72" s="16"/>
      <c r="BZ72" s="16"/>
      <c r="CA72" s="16"/>
      <c r="CB72" s="16"/>
      <c r="CC72" s="16"/>
      <c r="CD72" s="16"/>
      <c r="CE72" s="16"/>
      <c r="CF72" s="16"/>
      <c r="CG72" s="16"/>
      <c r="CH72" s="16"/>
      <c r="CI72" s="16"/>
      <c r="CJ72" s="16"/>
      <c r="CK72" s="16"/>
      <c r="CL72" s="16"/>
      <c r="CM72" s="16"/>
      <c r="CN72" s="16"/>
      <c r="CO72" s="16"/>
      <c r="CP72" s="16"/>
      <c r="CQ72" s="16"/>
      <c r="CR72" s="16"/>
      <c r="CS72" s="16"/>
      <c r="CT72" s="16"/>
      <c r="CU72" s="16"/>
      <c r="CV72" s="16"/>
      <c r="CW72" s="16"/>
      <c r="CX72" s="16"/>
      <c r="CY72" s="16"/>
      <c r="CZ72" s="16"/>
      <c r="DA72" s="16"/>
      <c r="DB72" s="16"/>
      <c r="DC72" s="16"/>
      <c r="DD72" s="16"/>
      <c r="DE72" s="16"/>
      <c r="DF72" s="16"/>
      <c r="DG72" s="16"/>
      <c r="DH72" s="16"/>
      <c r="DI72" s="16"/>
      <c r="DJ72" s="16"/>
      <c r="DK72" s="16"/>
      <c r="DL72" s="16"/>
      <c r="DM72" s="16"/>
      <c r="DN72" s="16"/>
      <c r="DO72" s="16"/>
      <c r="DP72" s="16"/>
      <c r="DQ72" s="16"/>
      <c r="DR72" s="16"/>
      <c r="DS72" s="16"/>
      <c r="DT72" s="16"/>
      <c r="DU72" s="16"/>
      <c r="DV72" s="16"/>
      <c r="DW72" s="16"/>
      <c r="DX72" s="16"/>
      <c r="DY72" s="16"/>
      <c r="DZ72" s="16"/>
      <c r="EA72" s="16"/>
      <c r="EB72" s="16"/>
      <c r="EC72" s="16"/>
      <c r="ED72" s="16"/>
      <c r="EE72" s="16"/>
      <c r="EF72" s="16"/>
      <c r="EG72" s="16"/>
      <c r="EH72" s="16"/>
      <c r="EI72" s="16"/>
      <c r="EJ72" s="16"/>
      <c r="EK72" s="16"/>
      <c r="EL72" s="16"/>
      <c r="EM72" s="16"/>
      <c r="EN72" s="16"/>
      <c r="EO72" s="16"/>
      <c r="EP72" s="16"/>
      <c r="EQ72" s="16"/>
      <c r="ER72" s="16"/>
      <c r="ES72" s="16"/>
      <c r="ET72" s="16"/>
      <c r="EU72" s="16"/>
      <c r="EV72" s="16"/>
      <c r="EW72" s="16"/>
      <c r="EX72" s="16"/>
      <c r="EY72" s="16"/>
      <c r="EZ72" s="16"/>
      <c r="FA72" s="16"/>
      <c r="FB72" s="16"/>
      <c r="FC72" s="16"/>
      <c r="FD72" s="16"/>
      <c r="FE72" s="16"/>
      <c r="FF72" s="16"/>
      <c r="FG72" s="16"/>
      <c r="FH72" s="16"/>
      <c r="FI72" s="16"/>
      <c r="FJ72" s="16"/>
      <c r="FK72" s="16"/>
      <c r="FL72" s="16"/>
      <c r="FM72" s="16"/>
      <c r="FN72" s="16"/>
      <c r="FO72" s="16"/>
      <c r="FP72" s="16"/>
      <c r="FQ72" s="16"/>
      <c r="FR72" s="16"/>
      <c r="FS72" s="16"/>
      <c r="FT72" s="16"/>
      <c r="FU72" s="16"/>
      <c r="FV72" s="16"/>
      <c r="FW72" s="16"/>
      <c r="FX72" s="16"/>
      <c r="FY72" s="16"/>
      <c r="FZ72" s="16"/>
      <c r="GA72" s="16"/>
      <c r="GB72" s="16"/>
      <c r="GC72" s="16"/>
      <c r="GD72" s="16"/>
      <c r="GE72" s="16"/>
      <c r="GF72" s="16"/>
      <c r="GG72" s="16"/>
      <c r="GH72" s="16"/>
      <c r="GI72" s="16"/>
      <c r="GJ72" s="16"/>
      <c r="GK72" s="16"/>
      <c r="GL72" s="16"/>
      <c r="GM72" s="16"/>
      <c r="GN72" s="16"/>
      <c r="GO72" s="16"/>
    </row>
    <row r="73" ht="18.0" customHeight="1">
      <c r="A73" s="15">
        <v>72.0</v>
      </c>
      <c r="B73" s="16" t="s">
        <v>1435</v>
      </c>
      <c r="C73" s="17" t="s">
        <v>1495</v>
      </c>
      <c r="D73" s="16" t="s">
        <v>375</v>
      </c>
      <c r="E73" s="15">
        <f>COUNTIF('Tổng hợp 75 trang đích'!$B$2:$B$2505,$D73)</f>
        <v>31</v>
      </c>
      <c r="F73" s="15">
        <f>COUNTIFS('Tổng hợp 75 trang đích'!$B$2:$B$2505,$D73,'Tổng hợp 75 trang đích'!$K$2:$K$2505,"PHÙ HỢP CAO")</f>
        <v>5</v>
      </c>
      <c r="G73" s="15">
        <f>COUNTIFS('Tổng hợp 75 trang đích'!$B$2:$B$2505,$D73,'Tổng hợp 75 trang đích'!$K$2:$K$2505,"CÓ THỂ ĐI")</f>
        <v>0</v>
      </c>
      <c r="H73" s="15">
        <f>COUNTIFS('Tổng hợp 75 trang đích'!$B$2:$B$2505,$D73,'Tổng hợp 75 trang đích'!$K$2:$K$2505,"CẦN SOÁT")</f>
        <v>26</v>
      </c>
      <c r="I73" s="19" t="s">
        <v>256</v>
      </c>
      <c r="J73" s="19" t="b">
        <v>0</v>
      </c>
      <c r="K73" s="20" t="s">
        <v>258</v>
      </c>
      <c r="L73" s="16" t="str">
        <f>IFERROR(__xludf.DUMMYFUNCTION("IFERROR(TOROW(CHOOSECOLS(SORT(FILTER({'Tổng hợp 75 trang đích'!$J$2:$J$2505,'Tổng hợp 75 trang đích'!$I$2:$I$2505,MATCH('Tổng hợp 75 trang đích'!$K$2:$K$2505,{""PHÙ HỢP CAO"",""CÓ THỂ ĐI"",""CẦN SOÁT""},0)},'Tổng hợp 75 trang đích'!$B$2:$B$2505=$D73),3,TR"&amp;"UE),1,2)),"""")"),"nên vay tín chấp ở đâu")</f>
        <v>nên vay tín chấp ở đâu</v>
      </c>
      <c r="M73" s="21" t="str">
        <f>IFERROR(__xludf.DUMMYFUNCTION("""COMPUTED_VALUE"""),"https://techcombank.com/thong-tin/blog/vay-tin-chap-la-gi")</f>
        <v>https://techcombank.com/thong-tin/blog/vay-tin-chap-la-gi</v>
      </c>
      <c r="N73" s="16" t="str">
        <f>IFERROR(__xludf.DUMMYFUNCTION("""COMPUTED_VALUE"""),"nên vay tín chấp ở đâu")</f>
        <v>nên vay tín chấp ở đâu</v>
      </c>
      <c r="O73" s="21" t="str">
        <f>IFERROR(__xludf.DUMMYFUNCTION("""COMPUTED_VALUE"""),"https://techcombank.com/thong-tin/blog/ho-so-vay-tin-chap")</f>
        <v>https://techcombank.com/thong-tin/blog/ho-so-vay-tin-chap</v>
      </c>
      <c r="P73" s="16" t="str">
        <f>IFERROR(__xludf.DUMMYFUNCTION("""COMPUTED_VALUE"""),"nên vay tín chấp ở đâu")</f>
        <v>nên vay tín chấp ở đâu</v>
      </c>
      <c r="Q73" s="21" t="str">
        <f>IFERROR(__xludf.DUMMYFUNCTION("""COMPUTED_VALUE"""),"https://techcombank.com/thong-tin/blog/vay-tin-chap-toi-da-duoc-bao-nhieu")</f>
        <v>https://techcombank.com/thong-tin/blog/vay-tin-chap-toi-da-duoc-bao-nhieu</v>
      </c>
      <c r="R73" s="16" t="str">
        <f>IFERROR(__xludf.DUMMYFUNCTION("""COMPUTED_VALUE"""),"nên vay tín chấp ở đâu")</f>
        <v>nên vay tín chấp ở đâu</v>
      </c>
      <c r="S73" s="21" t="str">
        <f>IFERROR(__xludf.DUMMYFUNCTION("""COMPUTED_VALUE"""),"https://techcombank.com/thong-tin/blog/vay-tin-chap-va-vay-the-chap")</f>
        <v>https://techcombank.com/thong-tin/blog/vay-tin-chap-va-vay-the-chap</v>
      </c>
      <c r="T73" s="16" t="str">
        <f>IFERROR(__xludf.DUMMYFUNCTION("""COMPUTED_VALUE"""),"nên vay tín chấp ở đâu")</f>
        <v>nên vay tín chấp ở đâu</v>
      </c>
      <c r="U73" s="21" t="str">
        <f>IFERROR(__xludf.DUMMYFUNCTION("""COMPUTED_VALUE"""),"https://techcombank.com/thong-tin/blog/lai-suat-vay-tin-chap")</f>
        <v>https://techcombank.com/thong-tin/blog/lai-suat-vay-tin-chap</v>
      </c>
      <c r="V73" s="16" t="str">
        <f>IFERROR(__xludf.DUMMYFUNCTION("""COMPUTED_VALUE"""),"nên vay tín chấp ở đâu")</f>
        <v>nên vay tín chấp ở đâu</v>
      </c>
      <c r="W73" s="21" t="str">
        <f>IFERROR(__xludf.DUMMYFUNCTION("""COMPUTED_VALUE"""),"https://techcombank.com/thong-tin/blog/vay-tin-chap-ho-kinh-doanh")</f>
        <v>https://techcombank.com/thong-tin/blog/vay-tin-chap-ho-kinh-doanh</v>
      </c>
      <c r="X73" s="16" t="str">
        <f>IFERROR(__xludf.DUMMYFUNCTION("""COMPUTED_VALUE"""),"nên vay tín chấp ở đâu")</f>
        <v>nên vay tín chấp ở đâu</v>
      </c>
      <c r="Y73" s="21" t="str">
        <f>IFERROR(__xludf.DUMMYFUNCTION("""COMPUTED_VALUE"""),"https://techcombank.com/thong-tin/blog/vay-tin-chap-cho-doanh-nghiep-moi-thanh-lap")</f>
        <v>https://techcombank.com/thong-tin/blog/vay-tin-chap-cho-doanh-nghiep-moi-thanh-lap</v>
      </c>
      <c r="Z73" s="16" t="str">
        <f>IFERROR(__xludf.DUMMYFUNCTION("""COMPUTED_VALUE"""),"nên vay tín chấp ở đâu")</f>
        <v>nên vay tín chấp ở đâu</v>
      </c>
      <c r="AA73" s="21" t="str">
        <f>IFERROR(__xludf.DUMMYFUNCTION("""COMPUTED_VALUE"""),"https://techcombank.com/thong-tin/blog/thu-tuc-vay-von-kinh-doanh-nho")</f>
        <v>https://techcombank.com/thong-tin/blog/thu-tuc-vay-von-kinh-doanh-nho</v>
      </c>
      <c r="AB73" s="16" t="str">
        <f>IFERROR(__xludf.DUMMYFUNCTION("""COMPUTED_VALUE"""),"nên vay tín chấp ở đâu")</f>
        <v>nên vay tín chấp ở đâu</v>
      </c>
      <c r="AC73" s="21" t="str">
        <f>IFERROR(__xludf.DUMMYFUNCTION("""COMPUTED_VALUE"""),"https://techcombank.com/thong-tin/blog/cac-hinh-thuc-vay-von-ngan-hang")</f>
        <v>https://techcombank.com/thong-tin/blog/cac-hinh-thuc-vay-von-ngan-hang</v>
      </c>
      <c r="AD73" s="16" t="str">
        <f>IFERROR(__xludf.DUMMYFUNCTION("""COMPUTED_VALUE"""),"nên vay tín chấp ở đâu")</f>
        <v>nên vay tín chấp ở đâu</v>
      </c>
      <c r="AE73" s="21" t="str">
        <f>IFERROR(__xludf.DUMMYFUNCTION("""COMPUTED_VALUE"""),"https://techcombank.com/thong-tin/blog/vay-san-xuat-kinh-doanh")</f>
        <v>https://techcombank.com/thong-tin/blog/vay-san-xuat-kinh-doanh</v>
      </c>
      <c r="AF73" s="16" t="str">
        <f>IFERROR(__xludf.DUMMYFUNCTION("""COMPUTED_VALUE"""),"nên vay tín chấp ở đâu")</f>
        <v>nên vay tín chấp ở đâu</v>
      </c>
      <c r="AG73" s="21" t="str">
        <f>IFERROR(__xludf.DUMMYFUNCTION("""COMPUTED_VALUE"""),"https://techcombank.com/thong-tin/blog/tin-chap-doanh-nghiep")</f>
        <v>https://techcombank.com/thong-tin/blog/tin-chap-doanh-nghiep</v>
      </c>
      <c r="AH73" s="16" t="str">
        <f>IFERROR(__xludf.DUMMYFUNCTION("""COMPUTED_VALUE"""),"nên vay tín chấp ở đâu")</f>
        <v>nên vay tín chấp ở đâu</v>
      </c>
      <c r="AI73" s="21" t="str">
        <f>IFERROR(__xludf.DUMMYFUNCTION("""COMPUTED_VALUE"""),"https://techcombank.com/thong-tin/blog/cho-vay-tieu-dung-la-gi")</f>
        <v>https://techcombank.com/thong-tin/blog/cho-vay-tieu-dung-la-gi</v>
      </c>
      <c r="AJ73" s="16" t="str">
        <f>IFERROR(__xludf.DUMMYFUNCTION("""COMPUTED_VALUE"""),"nên vay tín chấp ở đâu")</f>
        <v>nên vay tín chấp ở đâu</v>
      </c>
      <c r="AK73" s="21" t="str">
        <f>IFERROR(__xludf.DUMMYFUNCTION("""COMPUTED_VALUE"""),"https://techcombank.com/thong-tin/blog/vay-the-chap-qua-luong")</f>
        <v>https://techcombank.com/thong-tin/blog/vay-the-chap-qua-luong</v>
      </c>
      <c r="AL73" s="16" t="str">
        <f>IFERROR(__xludf.DUMMYFUNCTION("""COMPUTED_VALUE"""),"nên vay tín chấp ở đâu")</f>
        <v>nên vay tín chấp ở đâu</v>
      </c>
      <c r="AM73" s="21" t="str">
        <f>IFERROR(__xludf.DUMMYFUNCTION("""COMPUTED_VALUE"""),"https://techcombank.com/thong-tin/blog/vay-ngan-hang-chi-can-cccd")</f>
        <v>https://techcombank.com/thong-tin/blog/vay-ngan-hang-chi-can-cccd</v>
      </c>
      <c r="AN73" s="16" t="str">
        <f>IFERROR(__xludf.DUMMYFUNCTION("""COMPUTED_VALUE"""),"nên vay tín chấp ở đâu")</f>
        <v>nên vay tín chấp ở đâu</v>
      </c>
      <c r="AO73" s="21" t="str">
        <f>IFERROR(__xludf.DUMMYFUNCTION("""COMPUTED_VALUE"""),"https://techcombank.com/thong-tin/blog/nhu-cau-vay-tieu-dung-cua-nguoi-viet-du-kien-tang-manh-trong-thoi-gian-toi")</f>
        <v>https://techcombank.com/thong-tin/blog/nhu-cau-vay-tieu-dung-cua-nguoi-viet-du-kien-tang-manh-trong-thoi-gian-toi</v>
      </c>
      <c r="AP73" s="16" t="str">
        <f>IFERROR(__xludf.DUMMYFUNCTION("""COMPUTED_VALUE"""),"nên vay tín chấp ở đâu")</f>
        <v>nên vay tín chấp ở đâu</v>
      </c>
      <c r="AQ73" s="21" t="str">
        <f>IFERROR(__xludf.DUMMYFUNCTION("""COMPUTED_VALUE"""),"https://techcombank.com/thong-tin/blog/lai-suat-vay-tieu-dung")</f>
        <v>https://techcombank.com/thong-tin/blog/lai-suat-vay-tieu-dung</v>
      </c>
      <c r="AR73" s="16" t="str">
        <f>IFERROR(__xludf.DUMMYFUNCTION("""COMPUTED_VALUE"""),"nên vay tín chấp ở đâu")</f>
        <v>nên vay tín chấp ở đâu</v>
      </c>
      <c r="AS73" s="21" t="str">
        <f>IFERROR(__xludf.DUMMYFUNCTION("""COMPUTED_VALUE"""),"https://techcombank.com/thong-tin/blog/vay-tien-mat")</f>
        <v>https://techcombank.com/thong-tin/blog/vay-tien-mat</v>
      </c>
      <c r="AT73" s="16" t="str">
        <f>IFERROR(__xludf.DUMMYFUNCTION("""COMPUTED_VALUE"""),"nên vay tín chấp ở đâu")</f>
        <v>nên vay tín chấp ở đâu</v>
      </c>
      <c r="AU73" s="21" t="str">
        <f>IFERROR(__xludf.DUMMYFUNCTION("""COMPUTED_VALUE"""),"https://techcombank.com/thong-tin/blog/vay-200-trieu")</f>
        <v>https://techcombank.com/thong-tin/blog/vay-200-trieu</v>
      </c>
      <c r="AV73" s="16" t="str">
        <f>IFERROR(__xludf.DUMMYFUNCTION("""COMPUTED_VALUE"""),"nên vay tín chấp ở đâu")</f>
        <v>nên vay tín chấp ở đâu</v>
      </c>
      <c r="AW73" s="21" t="str">
        <f>IFERROR(__xludf.DUMMYFUNCTION("""COMPUTED_VALUE"""),"https://techcombank.com/thong-tin/blog/kinh-nghiem-vay-tien-ngan-hang-xay-nha")</f>
        <v>https://techcombank.com/thong-tin/blog/kinh-nghiem-vay-tien-ngan-hang-xay-nha</v>
      </c>
      <c r="AX73" s="16" t="str">
        <f>IFERROR(__xludf.DUMMYFUNCTION("""COMPUTED_VALUE"""),"nên vay tín chấp ở đâu")</f>
        <v>nên vay tín chấp ở đâu</v>
      </c>
      <c r="AY73" s="21" t="str">
        <f>IFERROR(__xludf.DUMMYFUNCTION("""COMPUTED_VALUE"""),"https://techcombank.com/thong-tin/blog/vay-tien-online")</f>
        <v>https://techcombank.com/thong-tin/blog/vay-tien-online</v>
      </c>
      <c r="AZ73" s="16" t="str">
        <f>IFERROR(__xludf.DUMMYFUNCTION("""COMPUTED_VALUE"""),"nên vay tín chấp ở đâu")</f>
        <v>nên vay tín chấp ở đâu</v>
      </c>
      <c r="BA73" s="21" t="str">
        <f>IFERROR(__xludf.DUMMYFUNCTION("""COMPUTED_VALUE"""),"https://techcombank.com/thong-tin/blog/vay-tin-chap-no-xau")</f>
        <v>https://techcombank.com/thong-tin/blog/vay-tin-chap-no-xau</v>
      </c>
      <c r="BB73" s="16" t="str">
        <f>IFERROR(__xludf.DUMMYFUNCTION("""COMPUTED_VALUE"""),"nên vay tín chấp ở đâu")</f>
        <v>nên vay tín chấp ở đâu</v>
      </c>
      <c r="BC73" s="21" t="str">
        <f>IFERROR(__xludf.DUMMYFUNCTION("""COMPUTED_VALUE"""),"https://techcombank.com/thong-tin/blog/lai-suat-vay-ngan-hang")</f>
        <v>https://techcombank.com/thong-tin/blog/lai-suat-vay-ngan-hang</v>
      </c>
      <c r="BD73" s="16" t="str">
        <f>IFERROR(__xludf.DUMMYFUNCTION("""COMPUTED_VALUE"""),"nên vay tín chấp ở đâu")</f>
        <v>nên vay tín chấp ở đâu</v>
      </c>
      <c r="BE73" s="21" t="str">
        <f>IFERROR(__xludf.DUMMYFUNCTION("""COMPUTED_VALUE"""),"https://techcombank.com/thong-tin/blog/cac-hinh-thuc-cho-vay-tieu-dung")</f>
        <v>https://techcombank.com/thong-tin/blog/cac-hinh-thuc-cho-vay-tieu-dung</v>
      </c>
      <c r="BF73" s="16" t="str">
        <f>IFERROR(__xludf.DUMMYFUNCTION("""COMPUTED_VALUE"""),"nên vay tín chấp ở đâu")</f>
        <v>nên vay tín chấp ở đâu</v>
      </c>
      <c r="BG73" s="21" t="str">
        <f>IFERROR(__xludf.DUMMYFUNCTION("""COMPUTED_VALUE"""),"https://techcombank.com/thong-tin/blog/dang-vay-tra-gop-co-vay-them-duoc-khong")</f>
        <v>https://techcombank.com/thong-tin/blog/dang-vay-tra-gop-co-vay-them-duoc-khong</v>
      </c>
      <c r="BH73" s="16" t="str">
        <f>IFERROR(__xludf.DUMMYFUNCTION("""COMPUTED_VALUE"""),"nên vay tín chấp ở đâu")</f>
        <v>nên vay tín chấp ở đâu</v>
      </c>
      <c r="BI73" s="21" t="str">
        <f>IFERROR(__xludf.DUMMYFUNCTION("""COMPUTED_VALUE"""),"https://techcombank.com/thong-tin/blog/app-vay-tien-nhanh")</f>
        <v>https://techcombank.com/thong-tin/blog/app-vay-tien-nhanh</v>
      </c>
      <c r="BJ73" s="16" t="str">
        <f>IFERROR(__xludf.DUMMYFUNCTION("""COMPUTED_VALUE"""),"nên vay tín chấp ở đâu")</f>
        <v>nên vay tín chấp ở đâu</v>
      </c>
      <c r="BK73" s="21" t="str">
        <f>IFERROR(__xludf.DUMMYFUNCTION("""COMPUTED_VALUE"""),"https://techcombank.com/thong-tin/blog/vay-tra-gop")</f>
        <v>https://techcombank.com/thong-tin/blog/vay-tra-gop</v>
      </c>
      <c r="BL73" s="16" t="str">
        <f>IFERROR(__xludf.DUMMYFUNCTION("""COMPUTED_VALUE"""),"nên vay tín chấp ở đâu")</f>
        <v>nên vay tín chấp ở đâu</v>
      </c>
      <c r="BM73" s="21" t="str">
        <f>IFERROR(__xludf.DUMMYFUNCTION("""COMPUTED_VALUE"""),"https://techcombank.com/thong-tin/blog/quy-trinh-cho-vay-tieu-dung")</f>
        <v>https://techcombank.com/thong-tin/blog/quy-trinh-cho-vay-tieu-dung</v>
      </c>
      <c r="BN73" s="16" t="str">
        <f>IFERROR(__xludf.DUMMYFUNCTION("""COMPUTED_VALUE"""),"nên vay tín chấp ở đâu")</f>
        <v>nên vay tín chấp ở đâu</v>
      </c>
      <c r="BO73" s="21" t="str">
        <f>IFERROR(__xludf.DUMMYFUNCTION("""COMPUTED_VALUE"""),"https://techcombank.com/thong-tin/blog/vay-20-trieu")</f>
        <v>https://techcombank.com/thong-tin/blog/vay-20-trieu</v>
      </c>
      <c r="BP73" s="16" t="str">
        <f>IFERROR(__xludf.DUMMYFUNCTION("""COMPUTED_VALUE"""),"nên vay tín chấp ở đâu")</f>
        <v>nên vay tín chấp ở đâu</v>
      </c>
      <c r="BQ73" s="21" t="str">
        <f>IFERROR(__xludf.DUMMYFUNCTION("""COMPUTED_VALUE"""),"https://techcombank.com/thong-tin/blog/kinh-nghiem-vay-tien-mua-nha")</f>
        <v>https://techcombank.com/thong-tin/blog/kinh-nghiem-vay-tien-mua-nha</v>
      </c>
      <c r="BR73" s="16" t="str">
        <f>IFERROR(__xludf.DUMMYFUNCTION("""COMPUTED_VALUE"""),"nên vay tín chấp ở đâu")</f>
        <v>nên vay tín chấp ở đâu</v>
      </c>
      <c r="BS73" s="21" t="str">
        <f>IFERROR(__xludf.DUMMYFUNCTION("""COMPUTED_VALUE"""),"https://techcombank.com/thong-tin/blog/vay-tin-chap-khong-tra-duoc-co-sao-khong")</f>
        <v>https://techcombank.com/thong-tin/blog/vay-tin-chap-khong-tra-duoc-co-sao-khong</v>
      </c>
      <c r="BT73" s="16" t="str">
        <f>IFERROR(__xludf.DUMMYFUNCTION("""COMPUTED_VALUE"""),"nên vay tín chấp ở đâu")</f>
        <v>nên vay tín chấp ở đâu</v>
      </c>
      <c r="BU73" s="21" t="str">
        <f>IFERROR(__xludf.DUMMYFUNCTION("""COMPUTED_VALUE"""),"https://techcombank.com/thong-tin/blog/vay-du-hoc")</f>
        <v>https://techcombank.com/thong-tin/blog/vay-du-hoc</v>
      </c>
      <c r="BV73" s="16"/>
      <c r="BW73" s="16"/>
      <c r="BX73" s="16"/>
      <c r="BY73" s="16"/>
      <c r="BZ73" s="16"/>
      <c r="CA73" s="16"/>
      <c r="CB73" s="16"/>
      <c r="CC73" s="16"/>
      <c r="CD73" s="16"/>
      <c r="CE73" s="16"/>
      <c r="CF73" s="16"/>
      <c r="CG73" s="16"/>
      <c r="CH73" s="16"/>
      <c r="CI73" s="16"/>
      <c r="CJ73" s="16"/>
      <c r="CK73" s="16"/>
      <c r="CL73" s="16"/>
      <c r="CM73" s="16"/>
      <c r="CN73" s="16"/>
      <c r="CO73" s="16"/>
      <c r="CP73" s="16"/>
      <c r="CQ73" s="16"/>
      <c r="CR73" s="16"/>
      <c r="CS73" s="16"/>
      <c r="CT73" s="16"/>
      <c r="CU73" s="16"/>
      <c r="CV73" s="16"/>
      <c r="CW73" s="16"/>
      <c r="CX73" s="16"/>
      <c r="CY73" s="16"/>
      <c r="CZ73" s="16"/>
      <c r="DA73" s="16"/>
      <c r="DB73" s="16"/>
      <c r="DC73" s="16"/>
      <c r="DD73" s="16"/>
      <c r="DE73" s="16"/>
      <c r="DF73" s="16"/>
      <c r="DG73" s="16"/>
      <c r="DH73" s="16"/>
      <c r="DI73" s="16"/>
      <c r="DJ73" s="16"/>
      <c r="DK73" s="16"/>
      <c r="DL73" s="16"/>
      <c r="DM73" s="16"/>
      <c r="DN73" s="16"/>
      <c r="DO73" s="16"/>
      <c r="DP73" s="16"/>
      <c r="DQ73" s="16"/>
      <c r="DR73" s="16"/>
      <c r="DS73" s="16"/>
      <c r="DT73" s="16"/>
      <c r="DU73" s="16"/>
      <c r="DV73" s="16"/>
      <c r="DW73" s="16"/>
      <c r="DX73" s="16"/>
      <c r="DY73" s="16"/>
      <c r="DZ73" s="16"/>
      <c r="EA73" s="16"/>
      <c r="EB73" s="16"/>
      <c r="EC73" s="16"/>
      <c r="ED73" s="16"/>
      <c r="EE73" s="16"/>
      <c r="EF73" s="16"/>
      <c r="EG73" s="16"/>
      <c r="EH73" s="16"/>
      <c r="EI73" s="16"/>
      <c r="EJ73" s="16"/>
      <c r="EK73" s="16"/>
      <c r="EL73" s="16"/>
      <c r="EM73" s="16"/>
      <c r="EN73" s="16"/>
      <c r="EO73" s="16"/>
      <c r="EP73" s="16"/>
      <c r="EQ73" s="16"/>
      <c r="ER73" s="16"/>
      <c r="ES73" s="16"/>
      <c r="ET73" s="16"/>
      <c r="EU73" s="16"/>
      <c r="EV73" s="16"/>
      <c r="EW73" s="16"/>
      <c r="EX73" s="16"/>
      <c r="EY73" s="16"/>
      <c r="EZ73" s="16"/>
      <c r="FA73" s="16"/>
      <c r="FB73" s="16"/>
      <c r="FC73" s="16"/>
      <c r="FD73" s="16"/>
      <c r="FE73" s="16"/>
      <c r="FF73" s="16"/>
      <c r="FG73" s="16"/>
      <c r="FH73" s="16"/>
      <c r="FI73" s="16"/>
      <c r="FJ73" s="16"/>
      <c r="FK73" s="16"/>
      <c r="FL73" s="16"/>
      <c r="FM73" s="16"/>
      <c r="FN73" s="16"/>
      <c r="FO73" s="16"/>
      <c r="FP73" s="16"/>
      <c r="FQ73" s="16"/>
      <c r="FR73" s="16"/>
      <c r="FS73" s="16"/>
      <c r="FT73" s="16"/>
      <c r="FU73" s="16"/>
      <c r="FV73" s="16"/>
      <c r="FW73" s="16"/>
      <c r="FX73" s="16"/>
      <c r="FY73" s="16"/>
      <c r="FZ73" s="16"/>
      <c r="GA73" s="16"/>
      <c r="GB73" s="16"/>
      <c r="GC73" s="16"/>
      <c r="GD73" s="16"/>
      <c r="GE73" s="16"/>
      <c r="GF73" s="16"/>
      <c r="GG73" s="16"/>
      <c r="GH73" s="16"/>
      <c r="GI73" s="16"/>
      <c r="GJ73" s="16"/>
      <c r="GK73" s="16"/>
      <c r="GL73" s="16"/>
      <c r="GM73" s="16"/>
      <c r="GN73" s="16"/>
      <c r="GO73" s="16"/>
    </row>
    <row r="74" ht="18.0" customHeight="1">
      <c r="A74" s="15">
        <v>73.0</v>
      </c>
      <c r="B74" s="16" t="s">
        <v>1435</v>
      </c>
      <c r="C74" s="17" t="s">
        <v>1511</v>
      </c>
      <c r="D74" s="16" t="s">
        <v>376</v>
      </c>
      <c r="E74" s="15">
        <f>COUNTIF('Tổng hợp 75 trang đích'!$B$2:$B$2505,$D74)</f>
        <v>16</v>
      </c>
      <c r="F74" s="15">
        <f>COUNTIFS('Tổng hợp 75 trang đích'!$B$2:$B$2505,$D74,'Tổng hợp 75 trang đích'!$K$2:$K$2505,"PHÙ HỢP CAO")</f>
        <v>2</v>
      </c>
      <c r="G74" s="15">
        <f>COUNTIFS('Tổng hợp 75 trang đích'!$B$2:$B$2505,$D74,'Tổng hợp 75 trang đích'!$K$2:$K$2505,"CÓ THỂ ĐI")</f>
        <v>3</v>
      </c>
      <c r="H74" s="15">
        <f>COUNTIFS('Tổng hợp 75 trang đích'!$B$2:$B$2505,$D74,'Tổng hợp 75 trang đích'!$K$2:$K$2505,"CẦN SOÁT")</f>
        <v>11</v>
      </c>
      <c r="I74" s="19" t="s">
        <v>256</v>
      </c>
      <c r="J74" s="19" t="b">
        <v>0</v>
      </c>
      <c r="K74" s="20" t="s">
        <v>258</v>
      </c>
      <c r="L74" s="16" t="str">
        <f>IFERROR(__xludf.DUMMYFUNCTION("IFERROR(TOROW(CHOOSECOLS(SORT(FILTER({'Tổng hợp 75 trang đích'!$J$2:$J$2505,'Tổng hợp 75 trang đích'!$I$2:$I$2505,MATCH('Tổng hợp 75 trang đích'!$K$2:$K$2505,{""PHÙ HỢP CAO"",""CÓ THỂ ĐI"",""CẦN SOÁT""},0)},'Tổng hợp 75 trang đích'!$B$2:$B$2505=$D74),3,TR"&amp;"UE),1,2)),"""")"),"nợ xấu là gì")</f>
        <v>nợ xấu là gì</v>
      </c>
      <c r="M74" s="21" t="str">
        <f>IFERROR(__xludf.DUMMYFUNCTION("""COMPUTED_VALUE"""),"https://techcombank.com/thong-tin/blog/no-chu-y-la-gi")</f>
        <v>https://techcombank.com/thong-tin/blog/no-chu-y-la-gi</v>
      </c>
      <c r="N74" s="16" t="str">
        <f>IFERROR(__xludf.DUMMYFUNCTION("""COMPUTED_VALUE"""),"nợ xấu")</f>
        <v>nợ xấu</v>
      </c>
      <c r="O74" s="21" t="str">
        <f>IFERROR(__xludf.DUMMYFUNCTION("""COMPUTED_VALUE"""),"https://techcombank.com/thong-tin/blog/no-nhom-3")</f>
        <v>https://techcombank.com/thong-tin/blog/no-nhom-3</v>
      </c>
      <c r="P74" s="16" t="str">
        <f>IFERROR(__xludf.DUMMYFUNCTION("""COMPUTED_VALUE"""),"nợ xấu là gì")</f>
        <v>nợ xấu là gì</v>
      </c>
      <c r="Q74" s="21" t="str">
        <f>IFERROR(__xludf.DUMMYFUNCTION("""COMPUTED_VALUE"""),"https://techcombank.com/thong-tin/blog/du-no-tin-dung-la-gi")</f>
        <v>https://techcombank.com/thong-tin/blog/du-no-tin-dung-la-gi</v>
      </c>
      <c r="R74" s="16" t="str">
        <f>IFERROR(__xludf.DUMMYFUNCTION("""COMPUTED_VALUE"""),"nợ xấu")</f>
        <v>nợ xấu</v>
      </c>
      <c r="S74" s="21" t="str">
        <f>IFERROR(__xludf.DUMMYFUNCTION("""COMPUTED_VALUE"""),"https://techcombank.com/thong-tin/blog/no-the-tin-dung-qua-han")</f>
        <v>https://techcombank.com/thong-tin/blog/no-the-tin-dung-qua-han</v>
      </c>
      <c r="T74" s="16" t="str">
        <f>IFERROR(__xludf.DUMMYFUNCTION("""COMPUTED_VALUE"""),"nợ xấu là gì")</f>
        <v>nợ xấu là gì</v>
      </c>
      <c r="U74" s="21" t="str">
        <f>IFERROR(__xludf.DUMMYFUNCTION("""COMPUTED_VALUE"""),"https://techcombank.com/thong-tin/blog/no-xau")</f>
        <v>https://techcombank.com/thong-tin/blog/no-xau</v>
      </c>
      <c r="V74" s="16" t="str">
        <f>IFERROR(__xludf.DUMMYFUNCTION("""COMPUTED_VALUE"""),"nợ xấu")</f>
        <v>nợ xấu</v>
      </c>
      <c r="W74" s="21" t="str">
        <f>IFERROR(__xludf.DUMMYFUNCTION("""COMPUTED_VALUE"""),"https://techcombank.com/thong-tin/blog/du-no-la-gi")</f>
        <v>https://techcombank.com/thong-tin/blog/du-no-la-gi</v>
      </c>
      <c r="X74" s="16" t="str">
        <f>IFERROR(__xludf.DUMMYFUNCTION("""COMPUTED_VALUE"""),"nợ xấu là gì")</f>
        <v>nợ xấu là gì</v>
      </c>
      <c r="Y74" s="21" t="str">
        <f>IFERROR(__xludf.DUMMYFUNCTION("""COMPUTED_VALUE"""),"https://techcombank.com/thong-tin/blog/kiem-tra-no-xau")</f>
        <v>https://techcombank.com/thong-tin/blog/kiem-tra-no-xau</v>
      </c>
      <c r="Z74" s="16" t="str">
        <f>IFERROR(__xludf.DUMMYFUNCTION("""COMPUTED_VALUE"""),"nợ xấu")</f>
        <v>nợ xấu</v>
      </c>
      <c r="AA74" s="21" t="str">
        <f>IFERROR(__xludf.DUMMYFUNCTION("""COMPUTED_VALUE"""),"https://techcombank.com/thong-tin/blog/qua-han-thanh-toan-the-tin-dung-1-ngay")</f>
        <v>https://techcombank.com/thong-tin/blog/qua-han-thanh-toan-the-tin-dung-1-ngay</v>
      </c>
      <c r="AB74" s="16" t="str">
        <f>IFERROR(__xludf.DUMMYFUNCTION("""COMPUTED_VALUE"""),"nợ xấu là gì")</f>
        <v>nợ xấu là gì</v>
      </c>
      <c r="AC74" s="21" t="str">
        <f>IFERROR(__xludf.DUMMYFUNCTION("""COMPUTED_VALUE"""),"https://techcombank.com/thong-tin/blog/no-xau-co-lam-the-visa-duoc-khong")</f>
        <v>https://techcombank.com/thong-tin/blog/no-xau-co-lam-the-visa-duoc-khong</v>
      </c>
      <c r="AD74" s="16" t="str">
        <f>IFERROR(__xludf.DUMMYFUNCTION("""COMPUTED_VALUE"""),"nợ xấu")</f>
        <v>nợ xấu</v>
      </c>
      <c r="AE74" s="21" t="str">
        <f>IFERROR(__xludf.DUMMYFUNCTION("""COMPUTED_VALUE"""),"https://techcombank.com/thong-tin/blog/thanh-toan-toi-thieu-the-tin-dung")</f>
        <v>https://techcombank.com/thong-tin/blog/thanh-toan-toi-thieu-the-tin-dung</v>
      </c>
      <c r="AF74" s="16" t="str">
        <f>IFERROR(__xludf.DUMMYFUNCTION("""COMPUTED_VALUE"""),"nợ xấu là gì")</f>
        <v>nợ xấu là gì</v>
      </c>
      <c r="AG74" s="21" t="str">
        <f>IFERROR(__xludf.DUMMYFUNCTION("""COMPUTED_VALUE"""),"https://techcombank.com/thong-tin/blog/the-tin-dung-bi-khoa")</f>
        <v>https://techcombank.com/thong-tin/blog/the-tin-dung-bi-khoa</v>
      </c>
      <c r="AH74" s="16" t="str">
        <f>IFERROR(__xludf.DUMMYFUNCTION("""COMPUTED_VALUE"""),"nợ xấu")</f>
        <v>nợ xấu</v>
      </c>
      <c r="AI74" s="21" t="str">
        <f>IFERROR(__xludf.DUMMYFUNCTION("""COMPUTED_VALUE"""),"https://techcombank.com/thong-tin/blog/no-xau-mo-the-tin-dung-duoc-khong")</f>
        <v>https://techcombank.com/thong-tin/blog/no-xau-mo-the-tin-dung-duoc-khong</v>
      </c>
      <c r="AJ74" s="16" t="str">
        <f>IFERROR(__xludf.DUMMYFUNCTION("""COMPUTED_VALUE"""),"nợ xấu là gì")</f>
        <v>nợ xấu là gì</v>
      </c>
      <c r="AK74" s="21" t="str">
        <f>IFERROR(__xludf.DUMMYFUNCTION("""COMPUTED_VALUE"""),"https://techcombank.com/thong-tin/blog/no-xau-co-vay-the-chap-duoc-khong")</f>
        <v>https://techcombank.com/thong-tin/blog/no-xau-co-vay-the-chap-duoc-khong</v>
      </c>
      <c r="AL74" s="16" t="str">
        <f>IFERROR(__xludf.DUMMYFUNCTION("""COMPUTED_VALUE"""),"nợ xấu")</f>
        <v>nợ xấu</v>
      </c>
      <c r="AM74" s="21" t="str">
        <f>IFERROR(__xludf.DUMMYFUNCTION("""COMPUTED_VALUE"""),"https://techcombank.com/thong-tin/blog/vay-tin-chap-no-xau")</f>
        <v>https://techcombank.com/thong-tin/blog/vay-tin-chap-no-xau</v>
      </c>
      <c r="AN74" s="16" t="str">
        <f>IFERROR(__xludf.DUMMYFUNCTION("""COMPUTED_VALUE"""),"nợ xấu là gì")</f>
        <v>nợ xấu là gì</v>
      </c>
      <c r="AO74" s="21" t="str">
        <f>IFERROR(__xludf.DUMMYFUNCTION("""COMPUTED_VALUE"""),"https://techcombank.com/thong-tin/blog/lai-suat-qua-han")</f>
        <v>https://techcombank.com/thong-tin/blog/lai-suat-qua-han</v>
      </c>
      <c r="AP74" s="16" t="str">
        <f>IFERROR(__xludf.DUMMYFUNCTION("""COMPUTED_VALUE"""),"nợ xấu")</f>
        <v>nợ xấu</v>
      </c>
      <c r="AQ74" s="21" t="str">
        <f>IFERROR(__xludf.DUMMYFUNCTION("""COMPUTED_VALUE"""),"https://techcombank.com/thong-tin/blog/no-xau-nhom-2")</f>
        <v>https://techcombank.com/thong-tin/blog/no-xau-nhom-2</v>
      </c>
      <c r="AR74" s="16"/>
      <c r="AS74" s="16"/>
      <c r="AT74" s="16"/>
      <c r="AU74" s="16"/>
      <c r="AV74" s="16"/>
      <c r="AW74" s="16"/>
      <c r="AX74" s="16"/>
      <c r="AY74" s="16"/>
      <c r="AZ74" s="16"/>
      <c r="BA74" s="16"/>
      <c r="BB74" s="16"/>
      <c r="BC74" s="16"/>
      <c r="BD74" s="16"/>
      <c r="BE74" s="16"/>
      <c r="BF74" s="16"/>
      <c r="BG74" s="16"/>
      <c r="BH74" s="16"/>
      <c r="BI74" s="16"/>
      <c r="BJ74" s="16"/>
      <c r="BK74" s="16"/>
      <c r="BL74" s="16"/>
      <c r="BM74" s="16"/>
      <c r="BN74" s="16"/>
      <c r="BO74" s="16"/>
      <c r="BP74" s="16"/>
      <c r="BQ74" s="16"/>
      <c r="BR74" s="16"/>
      <c r="BS74" s="16"/>
      <c r="BT74" s="16"/>
      <c r="BU74" s="16"/>
      <c r="BV74" s="16"/>
      <c r="BW74" s="16"/>
      <c r="BX74" s="16"/>
      <c r="BY74" s="16"/>
      <c r="BZ74" s="16"/>
      <c r="CA74" s="16"/>
      <c r="CB74" s="16"/>
      <c r="CC74" s="16"/>
      <c r="CD74" s="16"/>
      <c r="CE74" s="16"/>
      <c r="CF74" s="16"/>
      <c r="CG74" s="16"/>
      <c r="CH74" s="16"/>
      <c r="CI74" s="16"/>
      <c r="CJ74" s="16"/>
      <c r="CK74" s="16"/>
      <c r="CL74" s="16"/>
      <c r="CM74" s="16"/>
      <c r="CN74" s="16"/>
      <c r="CO74" s="16"/>
      <c r="CP74" s="16"/>
      <c r="CQ74" s="16"/>
      <c r="CR74" s="16"/>
      <c r="CS74" s="16"/>
      <c r="CT74" s="16"/>
      <c r="CU74" s="16"/>
      <c r="CV74" s="16"/>
      <c r="CW74" s="16"/>
      <c r="CX74" s="16"/>
      <c r="CY74" s="16"/>
      <c r="CZ74" s="16"/>
      <c r="DA74" s="16"/>
      <c r="DB74" s="16"/>
      <c r="DC74" s="16"/>
      <c r="DD74" s="16"/>
      <c r="DE74" s="16"/>
      <c r="DF74" s="16"/>
      <c r="DG74" s="16"/>
      <c r="DH74" s="16"/>
      <c r="DI74" s="16"/>
      <c r="DJ74" s="16"/>
      <c r="DK74" s="16"/>
      <c r="DL74" s="16"/>
      <c r="DM74" s="16"/>
      <c r="DN74" s="16"/>
      <c r="DO74" s="16"/>
      <c r="DP74" s="16"/>
      <c r="DQ74" s="16"/>
      <c r="DR74" s="16"/>
      <c r="DS74" s="16"/>
      <c r="DT74" s="16"/>
      <c r="DU74" s="16"/>
      <c r="DV74" s="16"/>
      <c r="DW74" s="16"/>
      <c r="DX74" s="16"/>
      <c r="DY74" s="16"/>
      <c r="DZ74" s="16"/>
      <c r="EA74" s="16"/>
      <c r="EB74" s="16"/>
      <c r="EC74" s="16"/>
      <c r="ED74" s="16"/>
      <c r="EE74" s="16"/>
      <c r="EF74" s="16"/>
      <c r="EG74" s="16"/>
      <c r="EH74" s="16"/>
      <c r="EI74" s="16"/>
      <c r="EJ74" s="16"/>
      <c r="EK74" s="16"/>
      <c r="EL74" s="16"/>
      <c r="EM74" s="16"/>
      <c r="EN74" s="16"/>
      <c r="EO74" s="16"/>
      <c r="EP74" s="16"/>
      <c r="EQ74" s="16"/>
      <c r="ER74" s="16"/>
      <c r="ES74" s="16"/>
      <c r="ET74" s="16"/>
      <c r="EU74" s="16"/>
      <c r="EV74" s="16"/>
      <c r="EW74" s="16"/>
      <c r="EX74" s="16"/>
      <c r="EY74" s="16"/>
      <c r="EZ74" s="16"/>
      <c r="FA74" s="16"/>
      <c r="FB74" s="16"/>
      <c r="FC74" s="16"/>
      <c r="FD74" s="16"/>
      <c r="FE74" s="16"/>
      <c r="FF74" s="16"/>
      <c r="FG74" s="16"/>
      <c r="FH74" s="16"/>
      <c r="FI74" s="16"/>
      <c r="FJ74" s="16"/>
      <c r="FK74" s="16"/>
      <c r="FL74" s="16"/>
      <c r="FM74" s="16"/>
      <c r="FN74" s="16"/>
      <c r="FO74" s="16"/>
      <c r="FP74" s="16"/>
      <c r="FQ74" s="16"/>
      <c r="FR74" s="16"/>
      <c r="FS74" s="16"/>
      <c r="FT74" s="16"/>
      <c r="FU74" s="16"/>
      <c r="FV74" s="16"/>
      <c r="FW74" s="16"/>
      <c r="FX74" s="16"/>
      <c r="FY74" s="16"/>
      <c r="FZ74" s="16"/>
      <c r="GA74" s="16"/>
      <c r="GB74" s="16"/>
      <c r="GC74" s="16"/>
      <c r="GD74" s="16"/>
      <c r="GE74" s="16"/>
      <c r="GF74" s="16"/>
      <c r="GG74" s="16"/>
      <c r="GH74" s="16"/>
      <c r="GI74" s="16"/>
      <c r="GJ74" s="16"/>
      <c r="GK74" s="16"/>
      <c r="GL74" s="16"/>
      <c r="GM74" s="16"/>
      <c r="GN74" s="16"/>
      <c r="GO74" s="16"/>
    </row>
    <row r="75" ht="18.0" customHeight="1">
      <c r="A75" s="15">
        <v>74.0</v>
      </c>
      <c r="B75" s="16" t="s">
        <v>1435</v>
      </c>
      <c r="C75" s="17" t="s">
        <v>1522</v>
      </c>
      <c r="D75" s="16" t="s">
        <v>377</v>
      </c>
      <c r="E75" s="15">
        <f>COUNTIF('Tổng hợp 75 trang đích'!$B$2:$B$2505,$D75)</f>
        <v>34</v>
      </c>
      <c r="F75" s="15">
        <f>COUNTIFS('Tổng hợp 75 trang đích'!$B$2:$B$2505,$D75,'Tổng hợp 75 trang đích'!$K$2:$K$2505,"PHÙ HỢP CAO")</f>
        <v>2</v>
      </c>
      <c r="G75" s="15">
        <f>COUNTIFS('Tổng hợp 75 trang đích'!$B$2:$B$2505,$D75,'Tổng hợp 75 trang đích'!$K$2:$K$2505,"CÓ THỂ ĐI")</f>
        <v>3</v>
      </c>
      <c r="H75" s="15">
        <f>COUNTIFS('Tổng hợp 75 trang đích'!$B$2:$B$2505,$D75,'Tổng hợp 75 trang đích'!$K$2:$K$2505,"CẦN SOÁT")</f>
        <v>29</v>
      </c>
      <c r="I75" s="19" t="s">
        <v>256</v>
      </c>
      <c r="J75" s="19" t="b">
        <v>0</v>
      </c>
      <c r="K75" s="20" t="s">
        <v>258</v>
      </c>
      <c r="L75" s="16" t="str">
        <f>IFERROR(__xludf.DUMMYFUNCTION("IFERROR(TOROW(CHOOSECOLS(SORT(FILTER({'Tổng hợp 75 trang đích'!$J$2:$J$2505,'Tổng hợp 75 trang đích'!$I$2:$I$2505,MATCH('Tổng hợp 75 trang đích'!$K$2:$K$2505,{""PHÙ HỢP CAO"",""CÓ THỂ ĐI"",""CẦN SOÁT""},0)},'Tổng hợp 75 trang đích'!$B$2:$B$2505=$D75),3,TR"&amp;"UE),1,2)),"""")"),"vay tín chấp không trả được có sao không")</f>
        <v>vay tín chấp không trả được có sao không</v>
      </c>
      <c r="M75" s="21" t="str">
        <f>IFERROR(__xludf.DUMMYFUNCTION("""COMPUTED_VALUE"""),"https://techcombank.com/thong-tin/blog/vay-the-chap-khong-tra-duoc")</f>
        <v>https://techcombank.com/thong-tin/blog/vay-the-chap-khong-tra-duoc</v>
      </c>
      <c r="N75" s="16" t="str">
        <f>IFERROR(__xludf.DUMMYFUNCTION("""COMPUTED_VALUE"""),"vay tín chấp không trả được có sao không")</f>
        <v>vay tín chấp không trả được có sao không</v>
      </c>
      <c r="O75" s="21" t="str">
        <f>IFERROR(__xludf.DUMMYFUNCTION("""COMPUTED_VALUE"""),"https://techcombank.com/thong-tin/blog/lai-suat-qua-han")</f>
        <v>https://techcombank.com/thong-tin/blog/lai-suat-qua-han</v>
      </c>
      <c r="P75" s="16" t="str">
        <f>IFERROR(__xludf.DUMMYFUNCTION("""COMPUTED_VALUE"""),"vay tín chấp không trả được có sao không")</f>
        <v>vay tín chấp không trả được có sao không</v>
      </c>
      <c r="Q75" s="21" t="str">
        <f>IFERROR(__xludf.DUMMYFUNCTION("""COMPUTED_VALUE"""),"https://techcombank.com/thong-tin/blog/no-the-tin-dung-qua-han")</f>
        <v>https://techcombank.com/thong-tin/blog/no-the-tin-dung-qua-han</v>
      </c>
      <c r="R75" s="16" t="str">
        <f>IFERROR(__xludf.DUMMYFUNCTION("""COMPUTED_VALUE"""),"vay tín chấp không trả được có sao không")</f>
        <v>vay tín chấp không trả được có sao không</v>
      </c>
      <c r="S75" s="21" t="str">
        <f>IFERROR(__xludf.DUMMYFUNCTION("""COMPUTED_VALUE"""),"https://techcombank.com/thong-tin/blog/vay-tin-chap-la-gi")</f>
        <v>https://techcombank.com/thong-tin/blog/vay-tin-chap-la-gi</v>
      </c>
      <c r="T75" s="16" t="str">
        <f>IFERROR(__xludf.DUMMYFUNCTION("""COMPUTED_VALUE"""),"vay tín chấp không trả được có sao không")</f>
        <v>vay tín chấp không trả được có sao không</v>
      </c>
      <c r="U75" s="21" t="str">
        <f>IFERROR(__xludf.DUMMYFUNCTION("""COMPUTED_VALUE"""),"https://techcombank.com/thong-tin/blog/tat-toan")</f>
        <v>https://techcombank.com/thong-tin/blog/tat-toan</v>
      </c>
      <c r="V75" s="16" t="str">
        <f>IFERROR(__xludf.DUMMYFUNCTION("""COMPUTED_VALUE"""),"vay tín chấp không trả được có sao không")</f>
        <v>vay tín chấp không trả được có sao không</v>
      </c>
      <c r="W75" s="21" t="str">
        <f>IFERROR(__xludf.DUMMYFUNCTION("""COMPUTED_VALUE"""),"https://techcombank.com/thong-tin/blog/du-no-la-gi")</f>
        <v>https://techcombank.com/thong-tin/blog/du-no-la-gi</v>
      </c>
      <c r="X75" s="16" t="str">
        <f>IFERROR(__xludf.DUMMYFUNCTION("""COMPUTED_VALUE"""),"vay tín chấp không trả được có sao không")</f>
        <v>vay tín chấp không trả được có sao không</v>
      </c>
      <c r="Y75" s="21" t="str">
        <f>IFERROR(__xludf.DUMMYFUNCTION("""COMPUTED_VALUE"""),"https://techcombank.com/thong-tin/blog/vay-tin-chap-ho-kinh-doanh")</f>
        <v>https://techcombank.com/thong-tin/blog/vay-tin-chap-ho-kinh-doanh</v>
      </c>
      <c r="Z75" s="16" t="str">
        <f>IFERROR(__xludf.DUMMYFUNCTION("""COMPUTED_VALUE"""),"vay tín chấp không trả được có sao không")</f>
        <v>vay tín chấp không trả được có sao không</v>
      </c>
      <c r="AA75" s="21" t="str">
        <f>IFERROR(__xludf.DUMMYFUNCTION("""COMPUTED_VALUE"""),"https://techcombank.com/thong-tin/blog/vay-tin-chap-cho-doanh-nghiep-moi-thanh-lap")</f>
        <v>https://techcombank.com/thong-tin/blog/vay-tin-chap-cho-doanh-nghiep-moi-thanh-lap</v>
      </c>
      <c r="AB75" s="16" t="str">
        <f>IFERROR(__xludf.DUMMYFUNCTION("""COMPUTED_VALUE"""),"vay tín chấp không trả được có sao không")</f>
        <v>vay tín chấp không trả được có sao không</v>
      </c>
      <c r="AC75" s="21" t="str">
        <f>IFERROR(__xludf.DUMMYFUNCTION("""COMPUTED_VALUE"""),"https://techcombank.com/thong-tin/blog/thu-tuc-vay-von-kinh-doanh-nho")</f>
        <v>https://techcombank.com/thong-tin/blog/thu-tuc-vay-von-kinh-doanh-nho</v>
      </c>
      <c r="AD75" s="16" t="str">
        <f>IFERROR(__xludf.DUMMYFUNCTION("""COMPUTED_VALUE"""),"vay tín chấp không trả được có sao không")</f>
        <v>vay tín chấp không trả được có sao không</v>
      </c>
      <c r="AE75" s="21" t="str">
        <f>IFERROR(__xludf.DUMMYFUNCTION("""COMPUTED_VALUE"""),"https://techcombank.com/thong-tin/blog/cac-hinh-thuc-vay-von-ngan-hang")</f>
        <v>https://techcombank.com/thong-tin/blog/cac-hinh-thuc-vay-von-ngan-hang</v>
      </c>
      <c r="AF75" s="16" t="str">
        <f>IFERROR(__xludf.DUMMYFUNCTION("""COMPUTED_VALUE"""),"vay tín chấp không trả được có sao không")</f>
        <v>vay tín chấp không trả được có sao không</v>
      </c>
      <c r="AG75" s="21" t="str">
        <f>IFERROR(__xludf.DUMMYFUNCTION("""COMPUTED_VALUE"""),"https://techcombank.com/thong-tin/blog/vay-san-xuat-kinh-doanh")</f>
        <v>https://techcombank.com/thong-tin/blog/vay-san-xuat-kinh-doanh</v>
      </c>
      <c r="AH75" s="16" t="str">
        <f>IFERROR(__xludf.DUMMYFUNCTION("""COMPUTED_VALUE"""),"vay tín chấp không trả được có sao không")</f>
        <v>vay tín chấp không trả được có sao không</v>
      </c>
      <c r="AI75" s="21" t="str">
        <f>IFERROR(__xludf.DUMMYFUNCTION("""COMPUTED_VALUE"""),"https://techcombank.com/thong-tin/blog/tin-chap-doanh-nghiep")</f>
        <v>https://techcombank.com/thong-tin/blog/tin-chap-doanh-nghiep</v>
      </c>
      <c r="AJ75" s="16" t="str">
        <f>IFERROR(__xludf.DUMMYFUNCTION("""COMPUTED_VALUE"""),"vay tín chấp không trả được có sao không")</f>
        <v>vay tín chấp không trả được có sao không</v>
      </c>
      <c r="AK75" s="21" t="str">
        <f>IFERROR(__xludf.DUMMYFUNCTION("""COMPUTED_VALUE"""),"https://techcombank.com/thong-tin/blog/nen-vay-tin-chap-o-dau")</f>
        <v>https://techcombank.com/thong-tin/blog/nen-vay-tin-chap-o-dau</v>
      </c>
      <c r="AL75" s="16" t="str">
        <f>IFERROR(__xludf.DUMMYFUNCTION("""COMPUTED_VALUE"""),"vay tín chấp không trả được có sao không")</f>
        <v>vay tín chấp không trả được có sao không</v>
      </c>
      <c r="AM75" s="21" t="str">
        <f>IFERROR(__xludf.DUMMYFUNCTION("""COMPUTED_VALUE"""),"https://techcombank.com/thong-tin/blog/no-chu-y-la-gi")</f>
        <v>https://techcombank.com/thong-tin/blog/no-chu-y-la-gi</v>
      </c>
      <c r="AN75" s="16" t="str">
        <f>IFERROR(__xludf.DUMMYFUNCTION("""COMPUTED_VALUE"""),"vay tín chấp không trả được có sao không")</f>
        <v>vay tín chấp không trả được có sao không</v>
      </c>
      <c r="AO75" s="21" t="str">
        <f>IFERROR(__xludf.DUMMYFUNCTION("""COMPUTED_VALUE"""),"https://techcombank.com/thong-tin/blog/kiem-tra-no-xau")</f>
        <v>https://techcombank.com/thong-tin/blog/kiem-tra-no-xau</v>
      </c>
      <c r="AP75" s="16" t="str">
        <f>IFERROR(__xludf.DUMMYFUNCTION("""COMPUTED_VALUE"""),"vay tín chấp không trả được có sao không")</f>
        <v>vay tín chấp không trả được có sao không</v>
      </c>
      <c r="AQ75" s="21" t="str">
        <f>IFERROR(__xludf.DUMMYFUNCTION("""COMPUTED_VALUE"""),"https://techcombank.com/thong-tin/blog/no-xau")</f>
        <v>https://techcombank.com/thong-tin/blog/no-xau</v>
      </c>
      <c r="AR75" s="16" t="str">
        <f>IFERROR(__xludf.DUMMYFUNCTION("""COMPUTED_VALUE"""),"vay tín chấp không trả được có sao không")</f>
        <v>vay tín chấp không trả được có sao không</v>
      </c>
      <c r="AS75" s="21" t="str">
        <f>IFERROR(__xludf.DUMMYFUNCTION("""COMPUTED_VALUE"""),"https://techcombank.com/thong-tin/blog/vay-tin-chap-va-vay-the-chap")</f>
        <v>https://techcombank.com/thong-tin/blog/vay-tin-chap-va-vay-the-chap</v>
      </c>
      <c r="AT75" s="16" t="str">
        <f>IFERROR(__xludf.DUMMYFUNCTION("""COMPUTED_VALUE"""),"vay tín chấp không trả được có sao không")</f>
        <v>vay tín chấp không trả được có sao không</v>
      </c>
      <c r="AU75" s="21" t="str">
        <f>IFERROR(__xludf.DUMMYFUNCTION("""COMPUTED_VALUE"""),"https://techcombank.com/thong-tin/blog/no-xau-la-gi")</f>
        <v>https://techcombank.com/thong-tin/blog/no-xau-la-gi</v>
      </c>
      <c r="AV75" s="16" t="str">
        <f>IFERROR(__xludf.DUMMYFUNCTION("""COMPUTED_VALUE"""),"vay tín chấp không trả được có sao không")</f>
        <v>vay tín chấp không trả được có sao không</v>
      </c>
      <c r="AW75" s="21" t="str">
        <f>IFERROR(__xludf.DUMMYFUNCTION("""COMPUTED_VALUE"""),"https://techcombank.com/thong-tin/blog/qua-han-thanh-toan-the-tin-dung-1-ngay")</f>
        <v>https://techcombank.com/thong-tin/blog/qua-han-thanh-toan-the-tin-dung-1-ngay</v>
      </c>
      <c r="AX75" s="16" t="str">
        <f>IFERROR(__xludf.DUMMYFUNCTION("""COMPUTED_VALUE"""),"vay tín chấp không trả được có sao không")</f>
        <v>vay tín chấp không trả được có sao không</v>
      </c>
      <c r="AY75" s="21" t="str">
        <f>IFERROR(__xludf.DUMMYFUNCTION("""COMPUTED_VALUE"""),"https://techcombank.com/thong-tin/blog/no-xau-co-lam-the-visa-duoc-khong")</f>
        <v>https://techcombank.com/thong-tin/blog/no-xau-co-lam-the-visa-duoc-khong</v>
      </c>
      <c r="AZ75" s="16" t="str">
        <f>IFERROR(__xludf.DUMMYFUNCTION("""COMPUTED_VALUE"""),"vay tín chấp không trả được có sao không")</f>
        <v>vay tín chấp không trả được có sao không</v>
      </c>
      <c r="BA75" s="21" t="str">
        <f>IFERROR(__xludf.DUMMYFUNCTION("""COMPUTED_VALUE"""),"https://techcombank.com/thong-tin/blog/ho-so-vay-tin-chap")</f>
        <v>https://techcombank.com/thong-tin/blog/ho-so-vay-tin-chap</v>
      </c>
      <c r="BB75" s="16" t="str">
        <f>IFERROR(__xludf.DUMMYFUNCTION("""COMPUTED_VALUE"""),"vay tín chấp không trả được có sao không")</f>
        <v>vay tín chấp không trả được có sao không</v>
      </c>
      <c r="BC75" s="21" t="str">
        <f>IFERROR(__xludf.DUMMYFUNCTION("""COMPUTED_VALUE"""),"https://techcombank.com/thong-tin/blog/thanh-toan-toi-thieu-the-tin-dung")</f>
        <v>https://techcombank.com/thong-tin/blog/thanh-toan-toi-thieu-the-tin-dung</v>
      </c>
      <c r="BD75" s="16" t="str">
        <f>IFERROR(__xludf.DUMMYFUNCTION("""COMPUTED_VALUE"""),"vay tín chấp không trả được có sao không")</f>
        <v>vay tín chấp không trả được có sao không</v>
      </c>
      <c r="BE75" s="21" t="str">
        <f>IFERROR(__xludf.DUMMYFUNCTION("""COMPUTED_VALUE"""),"https://techcombank.com/thong-tin/blog/no-nhom-3")</f>
        <v>https://techcombank.com/thong-tin/blog/no-nhom-3</v>
      </c>
      <c r="BF75" s="16" t="str">
        <f>IFERROR(__xludf.DUMMYFUNCTION("""COMPUTED_VALUE"""),"vay tín chấp không trả được có sao không")</f>
        <v>vay tín chấp không trả được có sao không</v>
      </c>
      <c r="BG75" s="21" t="str">
        <f>IFERROR(__xludf.DUMMYFUNCTION("""COMPUTED_VALUE"""),"https://techcombank.com/thong-tin/blog/vay-tin-chap-toi-da-duoc-bao-nhieu")</f>
        <v>https://techcombank.com/thong-tin/blog/vay-tin-chap-toi-da-duoc-bao-nhieu</v>
      </c>
      <c r="BH75" s="16" t="str">
        <f>IFERROR(__xludf.DUMMYFUNCTION("""COMPUTED_VALUE"""),"vay tín chấp không trả được có sao không")</f>
        <v>vay tín chấp không trả được có sao không</v>
      </c>
      <c r="BI75" s="21" t="str">
        <f>IFERROR(__xludf.DUMMYFUNCTION("""COMPUTED_VALUE"""),"https://techcombank.com/thong-tin/blog/vay-200-trieu")</f>
        <v>https://techcombank.com/thong-tin/blog/vay-200-trieu</v>
      </c>
      <c r="BJ75" s="16" t="str">
        <f>IFERROR(__xludf.DUMMYFUNCTION("""COMPUTED_VALUE"""),"vay tín chấp không trả được có sao không")</f>
        <v>vay tín chấp không trả được có sao không</v>
      </c>
      <c r="BK75" s="21" t="str">
        <f>IFERROR(__xludf.DUMMYFUNCTION("""COMPUTED_VALUE"""),"https://techcombank.com/thong-tin/blog/the-tin-dung-bi-khoa")</f>
        <v>https://techcombank.com/thong-tin/blog/the-tin-dung-bi-khoa</v>
      </c>
      <c r="BL75" s="16" t="str">
        <f>IFERROR(__xludf.DUMMYFUNCTION("""COMPUTED_VALUE"""),"vay tín chấp không trả được có sao không")</f>
        <v>vay tín chấp không trả được có sao không</v>
      </c>
      <c r="BM75" s="21" t="str">
        <f>IFERROR(__xludf.DUMMYFUNCTION("""COMPUTED_VALUE"""),"https://techcombank.com/thong-tin/blog/no-xau-mo-the-tin-dung-duoc-khong")</f>
        <v>https://techcombank.com/thong-tin/blog/no-xau-mo-the-tin-dung-duoc-khong</v>
      </c>
      <c r="BN75" s="16" t="str">
        <f>IFERROR(__xludf.DUMMYFUNCTION("""COMPUTED_VALUE"""),"vay tín chấp không trả được có sao không")</f>
        <v>vay tín chấp không trả được có sao không</v>
      </c>
      <c r="BO75" s="21" t="str">
        <f>IFERROR(__xludf.DUMMYFUNCTION("""COMPUTED_VALUE"""),"https://techcombank.com/thong-tin/blog/no-xau-co-vay-the-chap-duoc-khong")</f>
        <v>https://techcombank.com/thong-tin/blog/no-xau-co-vay-the-chap-duoc-khong</v>
      </c>
      <c r="BP75" s="16" t="str">
        <f>IFERROR(__xludf.DUMMYFUNCTION("""COMPUTED_VALUE"""),"vay tín chấp không trả được có sao không")</f>
        <v>vay tín chấp không trả được có sao không</v>
      </c>
      <c r="BQ75" s="21" t="str">
        <f>IFERROR(__xludf.DUMMYFUNCTION("""COMPUTED_VALUE"""),"https://techcombank.com/thong-tin/blog/vay-tin-chap-no-xau")</f>
        <v>https://techcombank.com/thong-tin/blog/vay-tin-chap-no-xau</v>
      </c>
      <c r="BR75" s="16" t="str">
        <f>IFERROR(__xludf.DUMMYFUNCTION("""COMPUTED_VALUE"""),"vay tín chấp không trả được có sao không")</f>
        <v>vay tín chấp không trả được có sao không</v>
      </c>
      <c r="BS75" s="21" t="str">
        <f>IFERROR(__xludf.DUMMYFUNCTION("""COMPUTED_VALUE"""),"https://techcombank.com/thong-tin/blog/cac-hinh-thuc-cho-vay-tieu-dung")</f>
        <v>https://techcombank.com/thong-tin/blog/cac-hinh-thuc-cho-vay-tieu-dung</v>
      </c>
      <c r="BT75" s="16" t="str">
        <f>IFERROR(__xludf.DUMMYFUNCTION("""COMPUTED_VALUE"""),"vay tín chấp không trả được có sao không")</f>
        <v>vay tín chấp không trả được có sao không</v>
      </c>
      <c r="BU75" s="21" t="str">
        <f>IFERROR(__xludf.DUMMYFUNCTION("""COMPUTED_VALUE"""),"https://techcombank.com/thong-tin/blog/no-xau-nhom-2")</f>
        <v>https://techcombank.com/thong-tin/blog/no-xau-nhom-2</v>
      </c>
      <c r="BV75" s="16" t="str">
        <f>IFERROR(__xludf.DUMMYFUNCTION("""COMPUTED_VALUE"""),"vay tín chấp không trả được có sao không")</f>
        <v>vay tín chấp không trả được có sao không</v>
      </c>
      <c r="BW75" s="21" t="str">
        <f>IFERROR(__xludf.DUMMYFUNCTION("""COMPUTED_VALUE"""),"https://techcombank.com/thong-tin/blog/lai-suat-vay-tin-chap")</f>
        <v>https://techcombank.com/thong-tin/blog/lai-suat-vay-tin-chap</v>
      </c>
      <c r="BX75" s="16" t="str">
        <f>IFERROR(__xludf.DUMMYFUNCTION("""COMPUTED_VALUE"""),"vay tín chấp không trả được có sao không")</f>
        <v>vay tín chấp không trả được có sao không</v>
      </c>
      <c r="BY75" s="21" t="str">
        <f>IFERROR(__xludf.DUMMYFUNCTION("""COMPUTED_VALUE"""),"https://techcombank.com/thong-tin/blog/vay-tra-gop")</f>
        <v>https://techcombank.com/thong-tin/blog/vay-tra-gop</v>
      </c>
      <c r="BZ75" s="16" t="str">
        <f>IFERROR(__xludf.DUMMYFUNCTION("""COMPUTED_VALUE"""),"vay tín chấp không trả được có sao không")</f>
        <v>vay tín chấp không trả được có sao không</v>
      </c>
      <c r="CA75" s="21" t="str">
        <f>IFERROR(__xludf.DUMMYFUNCTION("""COMPUTED_VALUE"""),"https://techcombank.com/thong-tin/blog/vay-20-trieu")</f>
        <v>https://techcombank.com/thong-tin/blog/vay-20-trieu</v>
      </c>
      <c r="CB75" s="16"/>
      <c r="CC75" s="16"/>
      <c r="CD75" s="16"/>
      <c r="CE75" s="16"/>
      <c r="CF75" s="16"/>
      <c r="CG75" s="16"/>
      <c r="CH75" s="16"/>
      <c r="CI75" s="16"/>
      <c r="CJ75" s="16"/>
      <c r="CK75" s="16"/>
      <c r="CL75" s="16"/>
      <c r="CM75" s="16"/>
      <c r="CN75" s="16"/>
      <c r="CO75" s="16"/>
      <c r="CP75" s="16"/>
      <c r="CQ75" s="16"/>
      <c r="CR75" s="16"/>
      <c r="CS75" s="16"/>
      <c r="CT75" s="16"/>
      <c r="CU75" s="16"/>
      <c r="CV75" s="16"/>
      <c r="CW75" s="16"/>
      <c r="CX75" s="16"/>
      <c r="CY75" s="16"/>
      <c r="CZ75" s="16"/>
      <c r="DA75" s="16"/>
      <c r="DB75" s="16"/>
      <c r="DC75" s="16"/>
      <c r="DD75" s="16"/>
      <c r="DE75" s="16"/>
      <c r="DF75" s="16"/>
      <c r="DG75" s="16"/>
      <c r="DH75" s="16"/>
      <c r="DI75" s="16"/>
      <c r="DJ75" s="16"/>
      <c r="DK75" s="16"/>
      <c r="DL75" s="16"/>
      <c r="DM75" s="16"/>
      <c r="DN75" s="16"/>
      <c r="DO75" s="16"/>
      <c r="DP75" s="16"/>
      <c r="DQ75" s="16"/>
      <c r="DR75" s="16"/>
      <c r="DS75" s="16"/>
      <c r="DT75" s="16"/>
      <c r="DU75" s="16"/>
      <c r="DV75" s="16"/>
      <c r="DW75" s="16"/>
      <c r="DX75" s="16"/>
      <c r="DY75" s="16"/>
      <c r="DZ75" s="16"/>
      <c r="EA75" s="16"/>
      <c r="EB75" s="16"/>
      <c r="EC75" s="16"/>
      <c r="ED75" s="16"/>
      <c r="EE75" s="16"/>
      <c r="EF75" s="16"/>
      <c r="EG75" s="16"/>
      <c r="EH75" s="16"/>
      <c r="EI75" s="16"/>
      <c r="EJ75" s="16"/>
      <c r="EK75" s="16"/>
      <c r="EL75" s="16"/>
      <c r="EM75" s="16"/>
      <c r="EN75" s="16"/>
      <c r="EO75" s="16"/>
      <c r="EP75" s="16"/>
      <c r="EQ75" s="16"/>
      <c r="ER75" s="16"/>
      <c r="ES75" s="16"/>
      <c r="ET75" s="16"/>
      <c r="EU75" s="16"/>
      <c r="EV75" s="16"/>
      <c r="EW75" s="16"/>
      <c r="EX75" s="16"/>
      <c r="EY75" s="16"/>
      <c r="EZ75" s="16"/>
      <c r="FA75" s="16"/>
      <c r="FB75" s="16"/>
      <c r="FC75" s="16"/>
      <c r="FD75" s="16"/>
      <c r="FE75" s="16"/>
      <c r="FF75" s="16"/>
      <c r="FG75" s="16"/>
      <c r="FH75" s="16"/>
      <c r="FI75" s="16"/>
      <c r="FJ75" s="16"/>
      <c r="FK75" s="16"/>
      <c r="FL75" s="16"/>
      <c r="FM75" s="16"/>
      <c r="FN75" s="16"/>
      <c r="FO75" s="16"/>
      <c r="FP75" s="16"/>
      <c r="FQ75" s="16"/>
      <c r="FR75" s="16"/>
      <c r="FS75" s="16"/>
      <c r="FT75" s="16"/>
      <c r="FU75" s="16"/>
      <c r="FV75" s="16"/>
      <c r="FW75" s="16"/>
      <c r="FX75" s="16"/>
      <c r="FY75" s="16"/>
      <c r="FZ75" s="16"/>
      <c r="GA75" s="16"/>
      <c r="GB75" s="16"/>
      <c r="GC75" s="16"/>
      <c r="GD75" s="16"/>
      <c r="GE75" s="16"/>
      <c r="GF75" s="16"/>
      <c r="GG75" s="16"/>
      <c r="GH75" s="16"/>
      <c r="GI75" s="16"/>
      <c r="GJ75" s="16"/>
      <c r="GK75" s="16"/>
      <c r="GL75" s="16"/>
      <c r="GM75" s="16"/>
      <c r="GN75" s="16"/>
      <c r="GO75" s="16"/>
    </row>
    <row r="76" ht="18.0" customHeight="1">
      <c r="A76" s="15">
        <v>75.0</v>
      </c>
      <c r="B76" s="16" t="s">
        <v>1527</v>
      </c>
      <c r="C76" s="17" t="s">
        <v>1530</v>
      </c>
      <c r="D76" s="16" t="s">
        <v>378</v>
      </c>
      <c r="E76" s="15">
        <f>COUNTIF('Tổng hợp 75 trang đích'!$B$2:$B$2505,$D76)</f>
        <v>61</v>
      </c>
      <c r="F76" s="15">
        <f>COUNTIFS('Tổng hợp 75 trang đích'!$B$2:$B$2505,$D76,'Tổng hợp 75 trang đích'!$K$2:$K$2505,"PHÙ HỢP CAO")</f>
        <v>5</v>
      </c>
      <c r="G76" s="15">
        <f>COUNTIFS('Tổng hợp 75 trang đích'!$B$2:$B$2505,$D76,'Tổng hợp 75 trang đích'!$K$2:$K$2505,"CÓ THỂ ĐI")</f>
        <v>0</v>
      </c>
      <c r="H76" s="15">
        <f>COUNTIFS('Tổng hợp 75 trang đích'!$B$2:$B$2505,$D76,'Tổng hợp 75 trang đích'!$K$2:$K$2505,"CẦN SOÁT")</f>
        <v>56</v>
      </c>
      <c r="I76" s="19" t="s">
        <v>256</v>
      </c>
      <c r="J76" s="19" t="b">
        <v>0</v>
      </c>
      <c r="K76" s="20" t="s">
        <v>258</v>
      </c>
      <c r="L76" s="16" t="str">
        <f>IFERROR(__xludf.DUMMYFUNCTION("IFERROR(TOROW(CHOOSECOLS(SORT(FILTER({'Tổng hợp 75 trang đích'!$J$2:$J$2505,'Tổng hợp 75 trang đích'!$I$2:$I$2505,MATCH('Tổng hợp 75 trang đích'!$K$2:$K$2505,{""PHÙ HỢP CAO"",""CÓ THỂ ĐI"",""CẦN SOÁT""},0)},'Tổng hợp 75 trang đích'!$B$2:$B$2505=$D76),3,TR"&amp;"UE),1,2)),"""")"),"phương pháp đầu tư chứng chỉ quỹ")</f>
        <v>phương pháp đầu tư chứng chỉ quỹ</v>
      </c>
      <c r="M76" s="21" t="str">
        <f>IFERROR(__xludf.DUMMYFUNCTION("""COMPUTED_VALUE"""),"https://techcombank.com/thong-tin/blog/chung-chi-quy")</f>
        <v>https://techcombank.com/thong-tin/blog/chung-chi-quy</v>
      </c>
      <c r="N76" s="16" t="str">
        <f>IFERROR(__xludf.DUMMYFUNCTION("""COMPUTED_VALUE"""),"cách đầu tư chứng chỉ quỹ")</f>
        <v>cách đầu tư chứng chỉ quỹ</v>
      </c>
      <c r="O76" s="21" t="str">
        <f>IFERROR(__xludf.DUMMYFUNCTION("""COMPUTED_VALUE"""),"https://techcombank.com/thong-tin/blog/mua-chung-chi-quy")</f>
        <v>https://techcombank.com/thong-tin/blog/mua-chung-chi-quy</v>
      </c>
      <c r="P76" s="16" t="str">
        <f>IFERROR(__xludf.DUMMYFUNCTION("""COMPUTED_VALUE"""),"đầu tư chứng chỉ quỹ cho người mới")</f>
        <v>đầu tư chứng chỉ quỹ cho người mới</v>
      </c>
      <c r="Q76" s="21" t="str">
        <f>IFERROR(__xludf.DUMMYFUNCTION("""COMPUTED_VALUE"""),"https://techcombank.com/thong-tin/blog/dau-tu-quy-mo")</f>
        <v>https://techcombank.com/thong-tin/blog/dau-tu-quy-mo</v>
      </c>
      <c r="R76" s="16" t="str">
        <f>IFERROR(__xludf.DUMMYFUNCTION("""COMPUTED_VALUE"""),"phương pháp đầu tư chứng chỉ quỹ")</f>
        <v>phương pháp đầu tư chứng chỉ quỹ</v>
      </c>
      <c r="S76" s="21" t="str">
        <f>IFERROR(__xludf.DUMMYFUNCTION("""COMPUTED_VALUE"""),"https://techcombank.com/thong-tin/blog/app-theo-doi-chung-chi-quy")</f>
        <v>https://techcombank.com/thong-tin/blog/app-theo-doi-chung-chi-quy</v>
      </c>
      <c r="T76" s="16" t="str">
        <f>IFERROR(__xludf.DUMMYFUNCTION("""COMPUTED_VALUE"""),"cách đầu tư chứng chỉ quỹ")</f>
        <v>cách đầu tư chứng chỉ quỹ</v>
      </c>
      <c r="U76" s="21" t="str">
        <f>IFERROR(__xludf.DUMMYFUNCTION("""COMPUTED_VALUE"""),"https://techcombank.com/thong-tin/blog/chung-chi-quy-va-co-phieu")</f>
        <v>https://techcombank.com/thong-tin/blog/chung-chi-quy-va-co-phieu</v>
      </c>
      <c r="V76" s="16" t="str">
        <f>IFERROR(__xludf.DUMMYFUNCTION("""COMPUTED_VALUE"""),"đầu tư chứng chỉ quỹ cho người mới")</f>
        <v>đầu tư chứng chỉ quỹ cho người mới</v>
      </c>
      <c r="W76" s="21" t="str">
        <f>IFERROR(__xludf.DUMMYFUNCTION("""COMPUTED_VALUE"""),"https://techcombank.com/thong-tin/blog/wacc-la-gi")</f>
        <v>https://techcombank.com/thong-tin/blog/wacc-la-gi</v>
      </c>
      <c r="X76" s="16" t="str">
        <f>IFERROR(__xludf.DUMMYFUNCTION("""COMPUTED_VALUE"""),"phương pháp đầu tư chứng chỉ quỹ")</f>
        <v>phương pháp đầu tư chứng chỉ quỹ</v>
      </c>
      <c r="Y76" s="21" t="str">
        <f>IFERROR(__xludf.DUMMYFUNCTION("""COMPUTED_VALUE"""),"https://techcombank.com/thong-tin/blog/thi-truong-trai-phieu-co-hoi-dau-tu-trai-phieu-vang-du-lai-suat-thap")</f>
        <v>https://techcombank.com/thong-tin/blog/thi-truong-trai-phieu-co-hoi-dau-tu-trai-phieu-vang-du-lai-suat-thap</v>
      </c>
      <c r="Z76" s="16" t="str">
        <f>IFERROR(__xludf.DUMMYFUNCTION("""COMPUTED_VALUE"""),"cách đầu tư chứng chỉ quỹ")</f>
        <v>cách đầu tư chứng chỉ quỹ</v>
      </c>
      <c r="AA76" s="21" t="str">
        <f>IFERROR(__xludf.DUMMYFUNCTION("""COMPUTED_VALUE"""),"https://techcombank.com/thong-tin/blog/y-concert")</f>
        <v>https://techcombank.com/thong-tin/blog/y-concert</v>
      </c>
      <c r="AB76" s="16" t="str">
        <f>IFERROR(__xludf.DUMMYFUNCTION("""COMPUTED_VALUE"""),"đầu tư chứng chỉ quỹ cho người mới")</f>
        <v>đầu tư chứng chỉ quỹ cho người mới</v>
      </c>
      <c r="AC76" s="21" t="str">
        <f>IFERROR(__xludf.DUMMYFUNCTION("""COMPUTED_VALUE"""),"https://techcombank.com/thong-tin/blog/softpos")</f>
        <v>https://techcombank.com/thong-tin/blog/softpos</v>
      </c>
      <c r="AD76" s="16" t="str">
        <f>IFERROR(__xludf.DUMMYFUNCTION("""COMPUTED_VALUE"""),"phương pháp đầu tư chứng chỉ quỹ")</f>
        <v>phương pháp đầu tư chứng chỉ quỹ</v>
      </c>
      <c r="AE76" s="21" t="str">
        <f>IFERROR(__xludf.DUMMYFUNCTION("""COMPUTED_VALUE"""),"https://techcombank.com/thong-tin/blog/due-diligence")</f>
        <v>https://techcombank.com/thong-tin/blog/due-diligence</v>
      </c>
      <c r="AF76" s="16" t="str">
        <f>IFERROR(__xludf.DUMMYFUNCTION("""COMPUTED_VALUE"""),"cách đầu tư chứng chỉ quỹ")</f>
        <v>cách đầu tư chứng chỉ quỹ</v>
      </c>
      <c r="AG76" s="21" t="str">
        <f>IFERROR(__xludf.DUMMYFUNCTION("""COMPUTED_VALUE"""),"https://techcombank.com/thong-tin/blog/cach-quan-ly-tai-san")</f>
        <v>https://techcombank.com/thong-tin/blog/cach-quan-ly-tai-san</v>
      </c>
      <c r="AH76" s="16" t="str">
        <f>IFERROR(__xludf.DUMMYFUNCTION("""COMPUTED_VALUE"""),"đầu tư chứng chỉ quỹ cho người mới")</f>
        <v>đầu tư chứng chỉ quỹ cho người mới</v>
      </c>
      <c r="AI76" s="21" t="str">
        <f>IFERROR(__xludf.DUMMYFUNCTION("""COMPUTED_VALUE"""),"https://techcombank.com/thong-tin/blog/5-trieu-mua-duoc-bao-nhieu-vang")</f>
        <v>https://techcombank.com/thong-tin/blog/5-trieu-mua-duoc-bao-nhieu-vang</v>
      </c>
      <c r="AJ76" s="16" t="str">
        <f>IFERROR(__xludf.DUMMYFUNCTION("""COMPUTED_VALUE"""),"phương pháp đầu tư chứng chỉ quỹ")</f>
        <v>phương pháp đầu tư chứng chỉ quỹ</v>
      </c>
      <c r="AK76" s="21" t="str">
        <f>IFERROR(__xludf.DUMMYFUNCTION("""COMPUTED_VALUE"""),"https://techcombank.com/thong-tin/blog/thi-truong-trai-phieu-am-tro-lai-nha-dau-tu-san-sang-cho-nhung-co-hoi-sinh-loi-moi")</f>
        <v>https://techcombank.com/thong-tin/blog/thi-truong-trai-phieu-am-tro-lai-nha-dau-tu-san-sang-cho-nhung-co-hoi-sinh-loi-moi</v>
      </c>
      <c r="AL76" s="16" t="str">
        <f>IFERROR(__xludf.DUMMYFUNCTION("""COMPUTED_VALUE"""),"cách đầu tư chứng chỉ quỹ")</f>
        <v>cách đầu tư chứng chỉ quỹ</v>
      </c>
      <c r="AM76" s="21" t="str">
        <f>IFERROR(__xludf.DUMMYFUNCTION("""COMPUTED_VALUE"""),"https://techcombank.com/thong-tin/blog/tinh-thanh-khoan-la-gi")</f>
        <v>https://techcombank.com/thong-tin/blog/tinh-thanh-khoan-la-gi</v>
      </c>
      <c r="AN76" s="16" t="str">
        <f>IFERROR(__xludf.DUMMYFUNCTION("""COMPUTED_VALUE"""),"đầu tư chứng chỉ quỹ cho người mới")</f>
        <v>đầu tư chứng chỉ quỹ cho người mới</v>
      </c>
      <c r="AO76" s="21" t="str">
        <f>IFERROR(__xludf.DUMMYFUNCTION("""COMPUTED_VALUE"""),"https://techcombank.com/thong-tin/blog/kinh-nghiem-mua-vang-tich-tru")</f>
        <v>https://techcombank.com/thong-tin/blog/kinh-nghiem-mua-vang-tich-tru</v>
      </c>
      <c r="AP76" s="16" t="str">
        <f>IFERROR(__xludf.DUMMYFUNCTION("""COMPUTED_VALUE"""),"phương pháp đầu tư chứng chỉ quỹ")</f>
        <v>phương pháp đầu tư chứng chỉ quỹ</v>
      </c>
      <c r="AQ76" s="21" t="str">
        <f>IFERROR(__xludf.DUMMYFUNCTION("""COMPUTED_VALUE"""),"https://techcombank.com/thong-tin/blog/npv-la-gi")</f>
        <v>https://techcombank.com/thong-tin/blog/npv-la-gi</v>
      </c>
      <c r="AR76" s="16" t="str">
        <f>IFERROR(__xludf.DUMMYFUNCTION("""COMPUTED_VALUE"""),"cách đầu tư chứng chỉ quỹ")</f>
        <v>cách đầu tư chứng chỉ quỹ</v>
      </c>
      <c r="AS76" s="21" t="str">
        <f>IFERROR(__xludf.DUMMYFUNCTION("""COMPUTED_VALUE"""),"https://techcombank.com/thong-tin/blog/vang-24k")</f>
        <v>https://techcombank.com/thong-tin/blog/vang-24k</v>
      </c>
      <c r="AT76" s="16" t="str">
        <f>IFERROR(__xludf.DUMMYFUNCTION("""COMPUTED_VALUE"""),"đầu tư chứng chỉ quỹ cho người mới")</f>
        <v>đầu tư chứng chỉ quỹ cho người mới</v>
      </c>
      <c r="AU76" s="21" t="str">
        <f>IFERROR(__xludf.DUMMYFUNCTION("""COMPUTED_VALUE"""),"https://techcombank.com/thong-tin/blog/chien-luoc-dau-tu")</f>
        <v>https://techcombank.com/thong-tin/blog/chien-luoc-dau-tu</v>
      </c>
      <c r="AV76" s="16" t="str">
        <f>IFERROR(__xludf.DUMMYFUNCTION("""COMPUTED_VALUE"""),"phương pháp đầu tư chứng chỉ quỹ")</f>
        <v>phương pháp đầu tư chứng chỉ quỹ</v>
      </c>
      <c r="AW76" s="21" t="str">
        <f>IFERROR(__xludf.DUMMYFUNCTION("""COMPUTED_VALUE"""),"https://techcombank.com/thong-tin/blog/khau-vi-nha-dau-tu-tpdn-thay-doi-the-nao-sau-nhung-bien-dong-vua-qua")</f>
        <v>https://techcombank.com/thong-tin/blog/khau-vi-nha-dau-tu-tpdn-thay-doi-the-nao-sau-nhung-bien-dong-vua-qua</v>
      </c>
      <c r="AX76" s="16" t="str">
        <f>IFERROR(__xludf.DUMMYFUNCTION("""COMPUTED_VALUE"""),"cách đầu tư chứng chỉ quỹ")</f>
        <v>cách đầu tư chứng chỉ quỹ</v>
      </c>
      <c r="AY76" s="21" t="str">
        <f>IFERROR(__xludf.DUMMYFUNCTION("""COMPUTED_VALUE"""),"https://techcombank.com/thong-tin/blog/thoi-gian-khop-lech-chung-chi-quy")</f>
        <v>https://techcombank.com/thong-tin/blog/thoi-gian-khop-lech-chung-chi-quy</v>
      </c>
      <c r="AZ76" s="16" t="str">
        <f>IFERROR(__xludf.DUMMYFUNCTION("""COMPUTED_VALUE"""),"đầu tư chứng chỉ quỹ cho người mới")</f>
        <v>đầu tư chứng chỉ quỹ cho người mới</v>
      </c>
      <c r="BA76" s="21" t="str">
        <f>IFERROR(__xludf.DUMMYFUNCTION("""COMPUTED_VALUE"""),"https://techcombank.com/thong-tin/blog/nha-dau-tu-giao-dich-trai-phieu-truc-tuyen-tang-manh-tro-lai")</f>
        <v>https://techcombank.com/thong-tin/blog/nha-dau-tu-giao-dich-trai-phieu-truc-tuyen-tang-manh-tro-lai</v>
      </c>
      <c r="BB76" s="16" t="str">
        <f>IFERROR(__xludf.DUMMYFUNCTION("""COMPUTED_VALUE"""),"phương pháp đầu tư chứng chỉ quỹ")</f>
        <v>phương pháp đầu tư chứng chỉ quỹ</v>
      </c>
      <c r="BC76" s="21" t="str">
        <f>IFERROR(__xludf.DUMMYFUNCTION("""COMPUTED_VALUE"""),"https://techcombank.com/thong-tin/blog/techcom-securities-nhung-buoc-tien-phong-tren-san-thu-cap")</f>
        <v>https://techcombank.com/thong-tin/blog/techcom-securities-nhung-buoc-tien-phong-tren-san-thu-cap</v>
      </c>
      <c r="BD76" s="16" t="str">
        <f>IFERROR(__xludf.DUMMYFUNCTION("""COMPUTED_VALUE"""),"cách đầu tư chứng chỉ quỹ")</f>
        <v>cách đầu tư chứng chỉ quỹ</v>
      </c>
      <c r="BE76" s="21" t="str">
        <f>IFERROR(__xludf.DUMMYFUNCTION("""COMPUTED_VALUE"""),"https://techcombank.com/thong-tin/blog/gia-chung-chi-quy-la-gi")</f>
        <v>https://techcombank.com/thong-tin/blog/gia-chung-chi-quy-la-gi</v>
      </c>
      <c r="BF76" s="16" t="str">
        <f>IFERROR(__xludf.DUMMYFUNCTION("""COMPUTED_VALUE"""),"đầu tư chứng chỉ quỹ cho người mới")</f>
        <v>đầu tư chứng chỉ quỹ cho người mới</v>
      </c>
      <c r="BG76" s="21" t="str">
        <f>IFERROR(__xludf.DUMMYFUNCTION("""COMPUTED_VALUE"""),"https://techcombank.com/thong-tin/blog/lap-ke-hoach-tai-chinh-ca-nhan")</f>
        <v>https://techcombank.com/thong-tin/blog/lap-ke-hoach-tai-chinh-ca-nhan</v>
      </c>
      <c r="BH76" s="16" t="str">
        <f>IFERROR(__xludf.DUMMYFUNCTION("""COMPUTED_VALUE"""),"phương pháp đầu tư chứng chỉ quỹ")</f>
        <v>phương pháp đầu tư chứng chỉ quỹ</v>
      </c>
      <c r="BI76" s="21" t="str">
        <f>IFERROR(__xludf.DUMMYFUNCTION("""COMPUTED_VALUE"""),"https://techcombank.com/thong-tin/blog/chung-chi-quy-va-chung-khoan")</f>
        <v>https://techcombank.com/thong-tin/blog/chung-chi-quy-va-chung-khoan</v>
      </c>
      <c r="BJ76" s="16" t="str">
        <f>IFERROR(__xludf.DUMMYFUNCTION("""COMPUTED_VALUE"""),"cách đầu tư chứng chỉ quỹ")</f>
        <v>cách đầu tư chứng chỉ quỹ</v>
      </c>
      <c r="BK76" s="21" t="str">
        <f>IFERROR(__xludf.DUMMYFUNCTION("""COMPUTED_VALUE"""),"https://techcombank.com/thong-tin/blog/lai-suat-chung-chi-quy")</f>
        <v>https://techcombank.com/thong-tin/blog/lai-suat-chung-chi-quy</v>
      </c>
      <c r="BL76" s="16" t="str">
        <f>IFERROR(__xludf.DUMMYFUNCTION("""COMPUTED_VALUE"""),"đầu tư chứng chỉ quỹ cho người mới")</f>
        <v>đầu tư chứng chỉ quỹ cho người mới</v>
      </c>
      <c r="BM76" s="21" t="str">
        <f>IFERROR(__xludf.DUMMYFUNCTION("""COMPUTED_VALUE"""),"https://techcombank.com/thong-tin/blog/gui-tiet-kiem-ngan-hang-van-la-lua-chon-an-toan-trong-thoi-ky-kinh-te-con-nhieu-bien-dong")</f>
        <v>https://techcombank.com/thong-tin/blog/gui-tiet-kiem-ngan-hang-van-la-lua-chon-an-toan-trong-thoi-ky-kinh-te-con-nhieu-bien-dong</v>
      </c>
      <c r="BN76" s="16" t="str">
        <f>IFERROR(__xludf.DUMMYFUNCTION("""COMPUTED_VALUE"""),"phương pháp đầu tư chứng chỉ quỹ")</f>
        <v>phương pháp đầu tư chứng chỉ quỹ</v>
      </c>
      <c r="BO76" s="21" t="str">
        <f>IFERROR(__xludf.DUMMYFUNCTION("""COMPUTED_VALUE"""),"https://techcombank.com/thong-tin/blog/co-nen-gui-chung-chi-tien-gui")</f>
        <v>https://techcombank.com/thong-tin/blog/co-nen-gui-chung-chi-tien-gui</v>
      </c>
      <c r="BP76" s="16" t="str">
        <f>IFERROR(__xludf.DUMMYFUNCTION("""COMPUTED_VALUE"""),"cách đầu tư chứng chỉ quỹ")</f>
        <v>cách đầu tư chứng chỉ quỹ</v>
      </c>
      <c r="BQ76" s="21" t="str">
        <f>IFERROR(__xludf.DUMMYFUNCTION("""COMPUTED_VALUE"""),"https://techcombank.com/thong-tin/blog/dau-tu-trai-phieu-doanh-nghiep-dung-ham-lai-suat-cao")</f>
        <v>https://techcombank.com/thong-tin/blog/dau-tu-trai-phieu-doanh-nghiep-dung-ham-lai-suat-cao</v>
      </c>
      <c r="BR76" s="16" t="str">
        <f>IFERROR(__xludf.DUMMYFUNCTION("""COMPUTED_VALUE"""),"đầu tư chứng chỉ quỹ cho người mới")</f>
        <v>đầu tư chứng chỉ quỹ cho người mới</v>
      </c>
      <c r="BS76" s="21" t="str">
        <f>IFERROR(__xludf.DUMMYFUNCTION("""COMPUTED_VALUE"""),"https://techcombank.com/thong-tin/blog/phan-mem-lap-ke-hoach-tai-chinh-ca-nhan")</f>
        <v>https://techcombank.com/thong-tin/blog/phan-mem-lap-ke-hoach-tai-chinh-ca-nhan</v>
      </c>
      <c r="BT76" s="16" t="str">
        <f>IFERROR(__xludf.DUMMYFUNCTION("""COMPUTED_VALUE"""),"phương pháp đầu tư chứng chỉ quỹ")</f>
        <v>phương pháp đầu tư chứng chỉ quỹ</v>
      </c>
      <c r="BU76" s="21" t="str">
        <f>IFERROR(__xludf.DUMMYFUNCTION("""COMPUTED_VALUE"""),"https://techcombank.com/thong-tin/blog/dau-tu-ngan-han")</f>
        <v>https://techcombank.com/thong-tin/blog/dau-tu-ngan-han</v>
      </c>
      <c r="BV76" s="16" t="str">
        <f>IFERROR(__xludf.DUMMYFUNCTION("""COMPUTED_VALUE"""),"cách đầu tư chứng chỉ quỹ")</f>
        <v>cách đầu tư chứng chỉ quỹ</v>
      </c>
      <c r="BW76" s="21" t="str">
        <f>IFERROR(__xludf.DUMMYFUNCTION("""COMPUTED_VALUE"""),"https://techcombank.com/thong-tin/blog/danh-muc-dau-tu")</f>
        <v>https://techcombank.com/thong-tin/blog/danh-muc-dau-tu</v>
      </c>
      <c r="BX76" s="16" t="str">
        <f>IFERROR(__xludf.DUMMYFUNCTION("""COMPUTED_VALUE"""),"đầu tư chứng chỉ quỹ cho người mới")</f>
        <v>đầu tư chứng chỉ quỹ cho người mới</v>
      </c>
      <c r="BY76" s="21" t="str">
        <f>IFERROR(__xludf.DUMMYFUNCTION("""COMPUTED_VALUE"""),"https://techcombank.com/thong-tin/blog/gui-tiet-kiem-lay-lai-hang-thang")</f>
        <v>https://techcombank.com/thong-tin/blog/gui-tiet-kiem-lay-lai-hang-thang</v>
      </c>
      <c r="BZ76" s="16" t="str">
        <f>IFERROR(__xludf.DUMMYFUNCTION("""COMPUTED_VALUE"""),"phương pháp đầu tư chứng chỉ quỹ")</f>
        <v>phương pháp đầu tư chứng chỉ quỹ</v>
      </c>
      <c r="CA76" s="21" t="str">
        <f>IFERROR(__xludf.DUMMYFUNCTION("""COMPUTED_VALUE"""),"https://techcombank.com/thong-tin/blog/tich-luy-tai-san")</f>
        <v>https://techcombank.com/thong-tin/blog/tich-luy-tai-san</v>
      </c>
      <c r="CB76" s="16" t="str">
        <f>IFERROR(__xludf.DUMMYFUNCTION("""COMPUTED_VALUE"""),"cách đầu tư chứng chỉ quỹ")</f>
        <v>cách đầu tư chứng chỉ quỹ</v>
      </c>
      <c r="CC76" s="21" t="str">
        <f>IFERROR(__xludf.DUMMYFUNCTION("""COMPUTED_VALUE"""),"https://techcombank.com/thong-tin/blog/tat-toan-chung-chi-tien-gui")</f>
        <v>https://techcombank.com/thong-tin/blog/tat-toan-chung-chi-tien-gui</v>
      </c>
      <c r="CD76" s="16" t="str">
        <f>IFERROR(__xludf.DUMMYFUNCTION("""COMPUTED_VALUE"""),"đầu tư chứng chỉ quỹ cho người mới")</f>
        <v>đầu tư chứng chỉ quỹ cho người mới</v>
      </c>
      <c r="CE76" s="21" t="str">
        <f>IFERROR(__xludf.DUMMYFUNCTION("""COMPUTED_VALUE"""),"https://techcombank.com/thong-tin/blog/bao-hiem-lien-ket-dau-tu")</f>
        <v>https://techcombank.com/thong-tin/blog/bao-hiem-lien-ket-dau-tu</v>
      </c>
      <c r="CF76" s="16" t="str">
        <f>IFERROR(__xludf.DUMMYFUNCTION("""COMPUTED_VALUE"""),"phương pháp đầu tư chứng chỉ quỹ")</f>
        <v>phương pháp đầu tư chứng chỉ quỹ</v>
      </c>
      <c r="CG76" s="21" t="str">
        <f>IFERROR(__xludf.DUMMYFUNCTION("""COMPUTED_VALUE"""),"https://techcombank.com/thong-tin/blog/chon-kenh-dau-tu-an-toan-trong-boi-canh-thi-truong-bien-dong")</f>
        <v>https://techcombank.com/thong-tin/blog/chon-kenh-dau-tu-an-toan-trong-boi-canh-thi-truong-bien-dong</v>
      </c>
      <c r="CH76" s="16" t="str">
        <f>IFERROR(__xludf.DUMMYFUNCTION("""COMPUTED_VALUE"""),"cách đầu tư chứng chỉ quỹ")</f>
        <v>cách đầu tư chứng chỉ quỹ</v>
      </c>
      <c r="CI76" s="21" t="str">
        <f>IFERROR(__xludf.DUMMYFUNCTION("""COMPUTED_VALUE"""),"https://techcombank.com/thong-tin/blog/nghich-ly-nha-dau-tu-che-trai-phieu-lai-suat-cao-ua-ma-an-toan-du-lai-suat-thap-hon-05-1")</f>
        <v>https://techcombank.com/thong-tin/blog/nghich-ly-nha-dau-tu-che-trai-phieu-lai-suat-cao-ua-ma-an-toan-du-lai-suat-thap-hon-05-1</v>
      </c>
      <c r="CJ76" s="16" t="str">
        <f>IFERROR(__xludf.DUMMYFUNCTION("""COMPUTED_VALUE"""),"đầu tư chứng chỉ quỹ cho người mới")</f>
        <v>đầu tư chứng chỉ quỹ cho người mới</v>
      </c>
      <c r="CK76" s="21" t="str">
        <f>IFERROR(__xludf.DUMMYFUNCTION("""COMPUTED_VALUE"""),"https://techcombank.com/thong-tin/blog/anh-sang-cuoi-duong-ham-xuat-hien-trai-phieu-doanh-nghiep-tot-va-an-toan-se-duoc-nha-dau-tu-chon")</f>
        <v>https://techcombank.com/thong-tin/blog/anh-sang-cuoi-duong-ham-xuat-hien-trai-phieu-doanh-nghiep-tot-va-an-toan-se-duoc-nha-dau-tu-chon</v>
      </c>
      <c r="CL76" s="16" t="str">
        <f>IFERROR(__xludf.DUMMYFUNCTION("""COMPUTED_VALUE"""),"phương pháp đầu tư chứng chỉ quỹ")</f>
        <v>phương pháp đầu tư chứng chỉ quỹ</v>
      </c>
      <c r="CM76" s="21" t="str">
        <f>IFERROR(__xludf.DUMMYFUNCTION("""COMPUTED_VALUE"""),"https://techcombank.com/thong-tin/blog/vang-giam")</f>
        <v>https://techcombank.com/thong-tin/blog/vang-giam</v>
      </c>
      <c r="CN76" s="16" t="str">
        <f>IFERROR(__xludf.DUMMYFUNCTION("""COMPUTED_VALUE"""),"cách đầu tư chứng chỉ quỹ")</f>
        <v>cách đầu tư chứng chỉ quỹ</v>
      </c>
      <c r="CO76" s="21" t="str">
        <f>IFERROR(__xludf.DUMMYFUNCTION("""COMPUTED_VALUE"""),"https://techcombank.com/thong-tin/blog/cac-chung-chi-quy-o-viet-nam")</f>
        <v>https://techcombank.com/thong-tin/blog/cac-chung-chi-quy-o-viet-nam</v>
      </c>
      <c r="CP76" s="16" t="str">
        <f>IFERROR(__xludf.DUMMYFUNCTION("""COMPUTED_VALUE"""),"đầu tư chứng chỉ quỹ cho người mới")</f>
        <v>đầu tư chứng chỉ quỹ cho người mới</v>
      </c>
      <c r="CQ76" s="21" t="str">
        <f>IFERROR(__xludf.DUMMYFUNCTION("""COMPUTED_VALUE"""),"https://techcombank.com/thong-tin/blog/bang-gia-chung-chi-quy")</f>
        <v>https://techcombank.com/thong-tin/blog/bang-gia-chung-chi-quy</v>
      </c>
      <c r="CR76" s="16" t="str">
        <f>IFERROR(__xludf.DUMMYFUNCTION("""COMPUTED_VALUE"""),"phương pháp đầu tư chứng chỉ quỹ")</f>
        <v>phương pháp đầu tư chứng chỉ quỹ</v>
      </c>
      <c r="CS76" s="21" t="str">
        <f>IFERROR(__xludf.DUMMYFUNCTION("""COMPUTED_VALUE"""),"https://techcombank.com/thong-tin/blog/chung-chi-quy-dong")</f>
        <v>https://techcombank.com/thong-tin/blog/chung-chi-quy-dong</v>
      </c>
      <c r="CT76" s="16" t="str">
        <f>IFERROR(__xludf.DUMMYFUNCTION("""COMPUTED_VALUE"""),"cách đầu tư chứng chỉ quỹ")</f>
        <v>cách đầu tư chứng chỉ quỹ</v>
      </c>
      <c r="CU76" s="21" t="str">
        <f>IFERROR(__xludf.DUMMYFUNCTION("""COMPUTED_VALUE"""),"https://techcombank.com/thong-tin/blog/xu-huong-dau-tu-trai-phieu-ky-han-duoi-mot-nam-lua-chon-an-toan-khi-thi-truong-bien-dong")</f>
        <v>https://techcombank.com/thong-tin/blog/xu-huong-dau-tu-trai-phieu-ky-han-duoi-mot-nam-lua-chon-an-toan-khi-thi-truong-bien-dong</v>
      </c>
      <c r="CV76" s="16" t="str">
        <f>IFERROR(__xludf.DUMMYFUNCTION("""COMPUTED_VALUE"""),"đầu tư chứng chỉ quỹ cho người mới")</f>
        <v>đầu tư chứng chỉ quỹ cho người mới</v>
      </c>
      <c r="CW76" s="21" t="str">
        <f>IFERROR(__xludf.DUMMYFUNCTION("""COMPUTED_VALUE"""),"https://techcombank.com/thong-tin/blog/bao-hiem-sinh-ky-la-gi")</f>
        <v>https://techcombank.com/thong-tin/blog/bao-hiem-sinh-ky-la-gi</v>
      </c>
      <c r="CX76" s="16" t="str">
        <f>IFERROR(__xludf.DUMMYFUNCTION("""COMPUTED_VALUE"""),"phương pháp đầu tư chứng chỉ quỹ")</f>
        <v>phương pháp đầu tư chứng chỉ quỹ</v>
      </c>
      <c r="CY76" s="21" t="str">
        <f>IFERROR(__xludf.DUMMYFUNCTION("""COMPUTED_VALUE"""),"https://techcombank.com/thong-tin/blog/rut-tien-bao-hiem-nhan-tho-khi-het-han")</f>
        <v>https://techcombank.com/thong-tin/blog/rut-tien-bao-hiem-nhan-tho-khi-het-han</v>
      </c>
      <c r="CZ76" s="16" t="str">
        <f>IFERROR(__xludf.DUMMYFUNCTION("""COMPUTED_VALUE"""),"cách đầu tư chứng chỉ quỹ")</f>
        <v>cách đầu tư chứng chỉ quỹ</v>
      </c>
      <c r="DA76" s="21" t="str">
        <f>IFERROR(__xludf.DUMMYFUNCTION("""COMPUTED_VALUE"""),"https://techcombank.com/thong-tin/blog/ngan-hang-xanh")</f>
        <v>https://techcombank.com/thong-tin/blog/ngan-hang-xanh</v>
      </c>
      <c r="DB76" s="16" t="str">
        <f>IFERROR(__xludf.DUMMYFUNCTION("""COMPUTED_VALUE"""),"đầu tư chứng chỉ quỹ cho người mới")</f>
        <v>đầu tư chứng chỉ quỹ cho người mới</v>
      </c>
      <c r="DC76" s="21" t="str">
        <f>IFERROR(__xludf.DUMMYFUNCTION("""COMPUTED_VALUE"""),"https://techcombank.com/thong-tin/blog/chung-chi-quy-mo-va-dong")</f>
        <v>https://techcombank.com/thong-tin/blog/chung-chi-quy-mo-va-dong</v>
      </c>
      <c r="DD76" s="16" t="str">
        <f>IFERROR(__xludf.DUMMYFUNCTION("""COMPUTED_VALUE"""),"phương pháp đầu tư chứng chỉ quỹ")</f>
        <v>phương pháp đầu tư chứng chỉ quỹ</v>
      </c>
      <c r="DE76" s="21" t="str">
        <f>IFERROR(__xludf.DUMMYFUNCTION("""COMPUTED_VALUE"""),"https://techcombank.com/thong-tin/blog/bi-quyet-lua-chon-trai-phieu-an-toan-cho-nha-dau-tu")</f>
        <v>https://techcombank.com/thong-tin/blog/bi-quyet-lua-chon-trai-phieu-an-toan-cho-nha-dau-tu</v>
      </c>
      <c r="DF76" s="16" t="str">
        <f>IFERROR(__xludf.DUMMYFUNCTION("""COMPUTED_VALUE"""),"cách đầu tư chứng chỉ quỹ")</f>
        <v>cách đầu tư chứng chỉ quỹ</v>
      </c>
      <c r="DG76" s="21" t="str">
        <f>IFERROR(__xludf.DUMMYFUNCTION("""COMPUTED_VALUE"""),"https://techcombank.com/thong-tin/blog/tactical-asset-allocation")</f>
        <v>https://techcombank.com/thong-tin/blog/tactical-asset-allocation</v>
      </c>
      <c r="DH76" s="16" t="str">
        <f>IFERROR(__xludf.DUMMYFUNCTION("""COMPUTED_VALUE"""),"đầu tư chứng chỉ quỹ cho người mới")</f>
        <v>đầu tư chứng chỉ quỹ cho người mới</v>
      </c>
      <c r="DI76" s="21" t="str">
        <f>IFERROR(__xludf.DUMMYFUNCTION("""COMPUTED_VALUE"""),"https://techcombank.com/thong-tin/blog/ngan-hang-so")</f>
        <v>https://techcombank.com/thong-tin/blog/ngan-hang-so</v>
      </c>
      <c r="DJ76" s="16" t="str">
        <f>IFERROR(__xludf.DUMMYFUNCTION("""COMPUTED_VALUE"""),"phương pháp đầu tư chứng chỉ quỹ")</f>
        <v>phương pháp đầu tư chứng chỉ quỹ</v>
      </c>
      <c r="DK76" s="21" t="str">
        <f>IFERROR(__xludf.DUMMYFUNCTION("""COMPUTED_VALUE"""),"https://techcombank.com/thong-tin/blog/dau-co-va-dau-tu")</f>
        <v>https://techcombank.com/thong-tin/blog/dau-co-va-dau-tu</v>
      </c>
      <c r="DL76" s="16" t="str">
        <f>IFERROR(__xludf.DUMMYFUNCTION("""COMPUTED_VALUE"""),"cách đầu tư chứng chỉ quỹ")</f>
        <v>cách đầu tư chứng chỉ quỹ</v>
      </c>
      <c r="DM76" s="21" t="str">
        <f>IFERROR(__xludf.DUMMYFUNCTION("""COMPUTED_VALUE"""),"https://techcombank.com/thong-tin/blog/dau-tu-tai-chinh-ca-nhan")</f>
        <v>https://techcombank.com/thong-tin/blog/dau-tu-tai-chinh-ca-nhan</v>
      </c>
      <c r="DN76" s="16" t="str">
        <f>IFERROR(__xludf.DUMMYFUNCTION("""COMPUTED_VALUE"""),"đầu tư chứng chỉ quỹ cho người mới")</f>
        <v>đầu tư chứng chỉ quỹ cho người mới</v>
      </c>
      <c r="DO76" s="21" t="str">
        <f>IFERROR(__xludf.DUMMYFUNCTION("""COMPUTED_VALUE"""),"https://techcombank.com/thong-tin/blog/dau-tu-dai-han")</f>
        <v>https://techcombank.com/thong-tin/blog/dau-tu-dai-han</v>
      </c>
      <c r="DP76" s="16" t="str">
        <f>IFERROR(__xludf.DUMMYFUNCTION("""COMPUTED_VALUE"""),"phương pháp đầu tư chứng chỉ quỹ")</f>
        <v>phương pháp đầu tư chứng chỉ quỹ</v>
      </c>
      <c r="DQ76" s="21" t="str">
        <f>IFERROR(__xludf.DUMMYFUNCTION("""COMPUTED_VALUE"""),"https://techcombank.com/thong-tin/blog/bao-hiem-tu-ky-la-gi")</f>
        <v>https://techcombank.com/thong-tin/blog/bao-hiem-tu-ky-la-gi</v>
      </c>
      <c r="DR76" s="16" t="str">
        <f>IFERROR(__xludf.DUMMYFUNCTION("""COMPUTED_VALUE"""),"cách đầu tư chứng chỉ quỹ")</f>
        <v>cách đầu tư chứng chỉ quỹ</v>
      </c>
      <c r="DS76" s="21" t="str">
        <f>IFERROR(__xludf.DUMMYFUNCTION("""COMPUTED_VALUE"""),"https://techcombank.com/thong-tin/blog/quan-ly-danh-muc-dau-tu")</f>
        <v>https://techcombank.com/thong-tin/blog/quan-ly-danh-muc-dau-tu</v>
      </c>
      <c r="DT76" s="16" t="str">
        <f>IFERROR(__xludf.DUMMYFUNCTION("""COMPUTED_VALUE"""),"đầu tư chứng chỉ quỹ cho người mới")</f>
        <v>đầu tư chứng chỉ quỹ cho người mới</v>
      </c>
      <c r="DU76" s="21" t="str">
        <f>IFERROR(__xludf.DUMMYFUNCTION("""COMPUTED_VALUE"""),"https://techcombank.com/thong-tin/blog/chung-chi-tien-gui-co-an-toan-khong")</f>
        <v>https://techcombank.com/thong-tin/blog/chung-chi-tien-gui-co-an-toan-khong</v>
      </c>
      <c r="DV76" s="16" t="str">
        <f>IFERROR(__xludf.DUMMYFUNCTION("""COMPUTED_VALUE"""),"phương pháp đầu tư chứng chỉ quỹ")</f>
        <v>phương pháp đầu tư chứng chỉ quỹ</v>
      </c>
      <c r="DW76" s="21" t="str">
        <f>IFERROR(__xludf.DUMMYFUNCTION("""COMPUTED_VALUE"""),"https://techcombank.com/thong-tin/blog/tien-nhan-roi-nen-lam-gi")</f>
        <v>https://techcombank.com/thong-tin/blog/tien-nhan-roi-nen-lam-gi</v>
      </c>
      <c r="DX76" s="16" t="str">
        <f>IFERROR(__xludf.DUMMYFUNCTION("""COMPUTED_VALUE"""),"cách đầu tư chứng chỉ quỹ")</f>
        <v>cách đầu tư chứng chỉ quỹ</v>
      </c>
      <c r="DY76" s="21" t="str">
        <f>IFERROR(__xludf.DUMMYFUNCTION("""COMPUTED_VALUE"""),"https://techcombank.com/thong-tin/blog/fdi")</f>
        <v>https://techcombank.com/thong-tin/blog/fdi</v>
      </c>
      <c r="DZ76" s="16" t="str">
        <f>IFERROR(__xludf.DUMMYFUNCTION("""COMPUTED_VALUE"""),"đầu tư chứng chỉ quỹ cho người mới")</f>
        <v>đầu tư chứng chỉ quỹ cho người mới</v>
      </c>
      <c r="EA76" s="21" t="str">
        <f>IFERROR(__xludf.DUMMYFUNCTION("""COMPUTED_VALUE"""),"https://techcombank.com/thong-tin/blog/cach-dau-tu")</f>
        <v>https://techcombank.com/thong-tin/blog/cach-dau-tu</v>
      </c>
      <c r="EB76" s="16" t="str">
        <f>IFERROR(__xludf.DUMMYFUNCTION("""COMPUTED_VALUE"""),"phương pháp đầu tư chứng chỉ quỹ")</f>
        <v>phương pháp đầu tư chứng chỉ quỹ</v>
      </c>
      <c r="EC76" s="21" t="str">
        <f>IFERROR(__xludf.DUMMYFUNCTION("""COMPUTED_VALUE"""),"https://techcombank.com/thong-tin/blog/du-bao-gia-vang")</f>
        <v>https://techcombank.com/thong-tin/blog/du-bao-gia-vang</v>
      </c>
      <c r="ED76" s="16"/>
      <c r="EE76" s="16"/>
      <c r="EF76" s="16"/>
      <c r="EG76" s="16"/>
      <c r="EH76" s="16"/>
      <c r="EI76" s="16"/>
      <c r="EJ76" s="16"/>
      <c r="EK76" s="16"/>
      <c r="EL76" s="16"/>
      <c r="EM76" s="16"/>
      <c r="EN76" s="16"/>
      <c r="EO76" s="16"/>
      <c r="EP76" s="16"/>
      <c r="EQ76" s="16"/>
      <c r="ER76" s="16"/>
      <c r="ES76" s="16"/>
      <c r="ET76" s="16"/>
      <c r="EU76" s="16"/>
      <c r="EV76" s="16"/>
      <c r="EW76" s="16"/>
      <c r="EX76" s="16"/>
      <c r="EY76" s="16"/>
      <c r="EZ76" s="16"/>
      <c r="FA76" s="16"/>
      <c r="FB76" s="16"/>
      <c r="FC76" s="16"/>
      <c r="FD76" s="16"/>
      <c r="FE76" s="16"/>
      <c r="FF76" s="16"/>
      <c r="FG76" s="16"/>
      <c r="FH76" s="16"/>
      <c r="FI76" s="16"/>
      <c r="FJ76" s="16"/>
      <c r="FK76" s="16"/>
      <c r="FL76" s="16"/>
      <c r="FM76" s="16"/>
      <c r="FN76" s="16"/>
      <c r="FO76" s="16"/>
      <c r="FP76" s="16"/>
      <c r="FQ76" s="16"/>
      <c r="FR76" s="16"/>
      <c r="FS76" s="16"/>
      <c r="FT76" s="16"/>
      <c r="FU76" s="16"/>
      <c r="FV76" s="16"/>
      <c r="FW76" s="16"/>
      <c r="FX76" s="16"/>
      <c r="FY76" s="16"/>
      <c r="FZ76" s="16"/>
      <c r="GA76" s="16"/>
      <c r="GB76" s="16"/>
      <c r="GC76" s="16"/>
      <c r="GD76" s="16"/>
      <c r="GE76" s="16"/>
      <c r="GF76" s="16"/>
      <c r="GG76" s="16"/>
      <c r="GH76" s="16"/>
      <c r="GI76" s="16"/>
      <c r="GJ76" s="16"/>
      <c r="GK76" s="16"/>
      <c r="GL76" s="16"/>
      <c r="GM76" s="16"/>
      <c r="GN76" s="16"/>
      <c r="GO76" s="16"/>
    </row>
  </sheetData>
  <autoFilter ref="$A$1:$K$76"/>
  <conditionalFormatting sqref="L2:GO76">
    <cfRule type="expression" dxfId="2" priority="1" stopIfTrue="1">
      <formula>COUNTIFS(INDIRECT("'Trang tính3'!A:A"),$D2,INDIRECT("'Trang tính3'!B:B"),L2)&gt;0</formula>
    </cfRule>
  </conditionalFormatting>
  <conditionalFormatting sqref="I2:I76">
    <cfRule type="cellIs" dxfId="3" priority="2" stopIfTrue="1" operator="equal">
      <formula>"Chưa hoàn thành"</formula>
    </cfRule>
  </conditionalFormatting>
  <conditionalFormatting sqref="I2:I76">
    <cfRule type="cellIs" dxfId="4" priority="3" stopIfTrue="1" operator="equal">
      <formula>"Đang làm"</formula>
    </cfRule>
  </conditionalFormatting>
  <conditionalFormatting sqref="I2:I76">
    <cfRule type="cellIs" dxfId="5" priority="4" stopIfTrue="1" operator="equal">
      <formula>"Đã hoàn thành"</formula>
    </cfRule>
  </conditionalFormatting>
  <conditionalFormatting sqref="L2:GO76">
    <cfRule type="expression" dxfId="5" priority="5" stopIfTrue="1">
      <formula>AND(L2&lt;&gt;"",INT((COLUMN()-12)/2)+1&lt;=$F2)</formula>
    </cfRule>
  </conditionalFormatting>
  <conditionalFormatting sqref="L2:GO76">
    <cfRule type="expression" dxfId="6" priority="6" stopIfTrue="1">
      <formula>AND(L2&lt;&gt;"",INT((COLUMN()-12)/2)+1&lt;=$F2+$G2)</formula>
    </cfRule>
  </conditionalFormatting>
  <conditionalFormatting sqref="L2:GO76">
    <cfRule type="expression" dxfId="7" priority="7" stopIfTrue="1">
      <formula>L2&lt;&gt;""</formula>
    </cfRule>
  </conditionalFormatting>
  <dataValidations>
    <dataValidation type="list" allowBlank="1" showErrorMessage="1" sqref="I2:I76">
      <formula1>"Chưa hoàn thành,Đang làm,Đã hoàn thành"</formula1>
    </dataValidation>
  </dataValidations>
  <hyperlinks>
    <hyperlink r:id="rId1" ref="M2"/>
    <hyperlink r:id="rId2" ref="O2"/>
    <hyperlink r:id="rId3" ref="Q2"/>
    <hyperlink r:id="rId4" ref="S2"/>
    <hyperlink r:id="rId5" ref="U2"/>
    <hyperlink r:id="rId6" ref="W2"/>
    <hyperlink r:id="rId7" ref="Y2"/>
    <hyperlink r:id="rId8" ref="M3"/>
    <hyperlink r:id="rId9" ref="O3"/>
    <hyperlink r:id="rId10" ref="Q3"/>
    <hyperlink r:id="rId11" ref="S3"/>
    <hyperlink r:id="rId12" ref="U3"/>
    <hyperlink r:id="rId13" ref="W3"/>
    <hyperlink r:id="rId14" ref="Y3"/>
    <hyperlink r:id="rId15" ref="AA3"/>
    <hyperlink r:id="rId16" ref="AC3"/>
    <hyperlink r:id="rId17" ref="AE3"/>
    <hyperlink r:id="rId18" ref="AG3"/>
    <hyperlink r:id="rId19" ref="AI3"/>
    <hyperlink r:id="rId20" ref="AK3"/>
    <hyperlink r:id="rId21" ref="AM3"/>
    <hyperlink r:id="rId22" ref="AO3"/>
    <hyperlink r:id="rId23" ref="AQ3"/>
    <hyperlink r:id="rId24" ref="AS3"/>
    <hyperlink r:id="rId25" ref="AU3"/>
    <hyperlink r:id="rId26" ref="AW3"/>
    <hyperlink r:id="rId27" ref="AY3"/>
    <hyperlink r:id="rId28" ref="BA3"/>
    <hyperlink r:id="rId29" ref="M4"/>
    <hyperlink r:id="rId30" ref="O4"/>
    <hyperlink r:id="rId31" ref="Q4"/>
    <hyperlink r:id="rId32" ref="S4"/>
    <hyperlink r:id="rId33" ref="U4"/>
    <hyperlink r:id="rId34" ref="W4"/>
    <hyperlink r:id="rId35" ref="Y4"/>
    <hyperlink r:id="rId36" ref="AA4"/>
    <hyperlink r:id="rId37" ref="AC4"/>
    <hyperlink r:id="rId38" ref="AE4"/>
    <hyperlink r:id="rId39" ref="AG4"/>
    <hyperlink r:id="rId40" ref="AI4"/>
    <hyperlink r:id="rId41" ref="AK4"/>
    <hyperlink r:id="rId42" ref="AM4"/>
    <hyperlink r:id="rId43" ref="AO4"/>
    <hyperlink r:id="rId44" ref="AQ4"/>
    <hyperlink r:id="rId45" ref="AS4"/>
    <hyperlink r:id="rId46" ref="AU4"/>
    <hyperlink r:id="rId47" ref="AW4"/>
    <hyperlink r:id="rId48" ref="AY4"/>
    <hyperlink r:id="rId49" ref="BA4"/>
    <hyperlink r:id="rId50" ref="BC4"/>
    <hyperlink r:id="rId51" ref="M5"/>
    <hyperlink r:id="rId52" ref="O5"/>
    <hyperlink r:id="rId53" ref="Q5"/>
    <hyperlink r:id="rId54" ref="S5"/>
    <hyperlink r:id="rId55" ref="U5"/>
    <hyperlink r:id="rId56" ref="W5"/>
    <hyperlink r:id="rId57" ref="Y5"/>
    <hyperlink r:id="rId58" ref="AA5"/>
    <hyperlink r:id="rId59" ref="AC5"/>
    <hyperlink r:id="rId60" ref="AE5"/>
    <hyperlink r:id="rId61" ref="AG5"/>
    <hyperlink r:id="rId62" ref="AI5"/>
    <hyperlink r:id="rId63" ref="AK5"/>
    <hyperlink r:id="rId64" ref="AM5"/>
    <hyperlink r:id="rId65" ref="AO5"/>
    <hyperlink r:id="rId66" ref="AQ5"/>
    <hyperlink r:id="rId67" ref="AS5"/>
    <hyperlink r:id="rId68" ref="AU5"/>
    <hyperlink r:id="rId69" ref="AW5"/>
    <hyperlink r:id="rId70" ref="AY5"/>
    <hyperlink r:id="rId71" ref="BA5"/>
    <hyperlink r:id="rId72" ref="BC5"/>
    <hyperlink r:id="rId73" ref="BE5"/>
    <hyperlink r:id="rId74" ref="BG5"/>
    <hyperlink r:id="rId75" ref="BI5"/>
    <hyperlink r:id="rId76" ref="BK5"/>
    <hyperlink r:id="rId77" ref="BM5"/>
    <hyperlink r:id="rId78" ref="BO5"/>
    <hyperlink r:id="rId79" ref="M6"/>
    <hyperlink r:id="rId80" ref="O6"/>
    <hyperlink r:id="rId81" ref="Q6"/>
    <hyperlink r:id="rId82" ref="S6"/>
    <hyperlink r:id="rId83" ref="U6"/>
    <hyperlink r:id="rId84" ref="W6"/>
    <hyperlink r:id="rId85" ref="Y6"/>
    <hyperlink r:id="rId86" ref="AA6"/>
    <hyperlink r:id="rId87" ref="AC6"/>
    <hyperlink r:id="rId88" ref="AE6"/>
    <hyperlink r:id="rId89" ref="AG6"/>
    <hyperlink r:id="rId90" ref="AI6"/>
    <hyperlink r:id="rId91" ref="AK6"/>
    <hyperlink r:id="rId92" ref="AM6"/>
    <hyperlink r:id="rId93" ref="AO6"/>
    <hyperlink r:id="rId94" ref="AQ6"/>
    <hyperlink r:id="rId95" ref="AS6"/>
    <hyperlink r:id="rId96" ref="AU6"/>
    <hyperlink r:id="rId97" ref="AW6"/>
    <hyperlink r:id="rId98" ref="AY6"/>
    <hyperlink r:id="rId99" ref="BA6"/>
    <hyperlink r:id="rId100" ref="BC6"/>
    <hyperlink r:id="rId101" ref="BE6"/>
    <hyperlink r:id="rId102" ref="M7"/>
    <hyperlink r:id="rId103" ref="O7"/>
    <hyperlink r:id="rId104" ref="Q7"/>
    <hyperlink r:id="rId105" ref="S7"/>
    <hyperlink r:id="rId106" ref="U7"/>
    <hyperlink r:id="rId107" ref="W7"/>
    <hyperlink r:id="rId108" ref="Y7"/>
    <hyperlink r:id="rId109" ref="AA7"/>
    <hyperlink r:id="rId110" ref="AC7"/>
    <hyperlink r:id="rId111" ref="AE7"/>
    <hyperlink r:id="rId112" ref="M8"/>
    <hyperlink r:id="rId113" ref="O8"/>
    <hyperlink r:id="rId114" ref="Q8"/>
    <hyperlink r:id="rId115" ref="S8"/>
    <hyperlink r:id="rId116" ref="U8"/>
    <hyperlink r:id="rId117" ref="W8"/>
    <hyperlink r:id="rId118" ref="Y8"/>
    <hyperlink r:id="rId119" ref="AA8"/>
    <hyperlink r:id="rId120" ref="AC8"/>
    <hyperlink r:id="rId121" ref="AE8"/>
    <hyperlink r:id="rId122" ref="AG8"/>
    <hyperlink r:id="rId123" ref="AI8"/>
    <hyperlink r:id="rId124" ref="AK8"/>
    <hyperlink r:id="rId125" ref="AM8"/>
    <hyperlink r:id="rId126" ref="AO8"/>
    <hyperlink r:id="rId127" ref="AQ8"/>
    <hyperlink r:id="rId128" ref="AS8"/>
    <hyperlink r:id="rId129" ref="AU8"/>
    <hyperlink r:id="rId130" ref="AW8"/>
    <hyperlink r:id="rId131" ref="M9"/>
    <hyperlink r:id="rId132" ref="O9"/>
    <hyperlink r:id="rId133" ref="Q9"/>
    <hyperlink r:id="rId134" ref="S9"/>
    <hyperlink r:id="rId135" ref="U9"/>
    <hyperlink r:id="rId136" ref="W9"/>
    <hyperlink r:id="rId137" ref="Y9"/>
    <hyperlink r:id="rId138" ref="AA9"/>
    <hyperlink r:id="rId139" ref="AC9"/>
    <hyperlink r:id="rId140" ref="AE9"/>
    <hyperlink r:id="rId141" ref="AG9"/>
    <hyperlink r:id="rId142" ref="AI9"/>
    <hyperlink r:id="rId143" ref="AK9"/>
    <hyperlink r:id="rId144" ref="M10"/>
    <hyperlink r:id="rId145" ref="O10"/>
    <hyperlink r:id="rId146" ref="Q10"/>
    <hyperlink r:id="rId147" ref="S10"/>
    <hyperlink r:id="rId148" ref="U10"/>
    <hyperlink r:id="rId149" ref="W10"/>
    <hyperlink r:id="rId150" ref="Y10"/>
    <hyperlink r:id="rId151" ref="AA10"/>
    <hyperlink r:id="rId152" ref="AC10"/>
    <hyperlink r:id="rId153" ref="AE10"/>
    <hyperlink r:id="rId154" ref="AG10"/>
    <hyperlink r:id="rId155" ref="AI10"/>
    <hyperlink r:id="rId156" ref="AK10"/>
    <hyperlink r:id="rId157" ref="AM10"/>
    <hyperlink r:id="rId158" ref="AO10"/>
    <hyperlink r:id="rId159" ref="AQ10"/>
    <hyperlink r:id="rId160" ref="AS10"/>
    <hyperlink r:id="rId161" ref="AU10"/>
    <hyperlink r:id="rId162" ref="AW10"/>
    <hyperlink r:id="rId163" ref="AY10"/>
    <hyperlink r:id="rId164" ref="BA10"/>
    <hyperlink r:id="rId165" ref="BC10"/>
    <hyperlink r:id="rId166" ref="BE10"/>
    <hyperlink r:id="rId167" ref="BG10"/>
    <hyperlink r:id="rId168" ref="BI10"/>
    <hyperlink r:id="rId169" ref="M11"/>
    <hyperlink r:id="rId170" ref="O11"/>
    <hyperlink r:id="rId171" ref="Q11"/>
    <hyperlink r:id="rId172" ref="S11"/>
    <hyperlink r:id="rId173" ref="U11"/>
    <hyperlink r:id="rId174" ref="W11"/>
    <hyperlink r:id="rId175" ref="Y11"/>
    <hyperlink r:id="rId176" ref="AA11"/>
    <hyperlink r:id="rId177" ref="M12"/>
    <hyperlink r:id="rId178" ref="O12"/>
    <hyperlink r:id="rId179" ref="Q12"/>
    <hyperlink r:id="rId180" ref="S12"/>
    <hyperlink r:id="rId181" ref="U12"/>
    <hyperlink r:id="rId182" ref="W12"/>
    <hyperlink r:id="rId183" ref="Y12"/>
    <hyperlink r:id="rId184" ref="AA12"/>
    <hyperlink r:id="rId185" ref="AC12"/>
    <hyperlink r:id="rId186" ref="AE12"/>
    <hyperlink r:id="rId187" ref="AG12"/>
    <hyperlink r:id="rId188" ref="AI12"/>
    <hyperlink r:id="rId189" ref="AK12"/>
    <hyperlink r:id="rId190" ref="AM12"/>
    <hyperlink r:id="rId191" ref="AO12"/>
    <hyperlink r:id="rId192" ref="AQ12"/>
    <hyperlink r:id="rId193" ref="AS12"/>
    <hyperlink r:id="rId194" ref="M13"/>
    <hyperlink r:id="rId195" ref="O13"/>
    <hyperlink r:id="rId196" ref="Q13"/>
    <hyperlink r:id="rId197" ref="S13"/>
    <hyperlink r:id="rId198" ref="U13"/>
    <hyperlink r:id="rId199" ref="W13"/>
    <hyperlink r:id="rId200" ref="Y13"/>
    <hyperlink r:id="rId201" ref="AA13"/>
    <hyperlink r:id="rId202" ref="AC13"/>
    <hyperlink r:id="rId203" ref="AE13"/>
    <hyperlink r:id="rId204" ref="AG13"/>
    <hyperlink r:id="rId205" ref="AI13"/>
    <hyperlink r:id="rId206" ref="AK13"/>
    <hyperlink r:id="rId207" ref="AM13"/>
    <hyperlink r:id="rId208" ref="AO13"/>
    <hyperlink r:id="rId209" ref="AQ13"/>
    <hyperlink r:id="rId210" ref="M14"/>
    <hyperlink r:id="rId211" ref="O14"/>
    <hyperlink r:id="rId212" ref="Q14"/>
    <hyperlink r:id="rId213" ref="S14"/>
    <hyperlink r:id="rId214" ref="U14"/>
    <hyperlink r:id="rId215" ref="W14"/>
    <hyperlink r:id="rId216" ref="Y14"/>
    <hyperlink r:id="rId217" ref="AA14"/>
    <hyperlink r:id="rId218" ref="AC14"/>
    <hyperlink r:id="rId219" ref="AE14"/>
    <hyperlink r:id="rId220" ref="AG14"/>
    <hyperlink r:id="rId221" ref="AI14"/>
    <hyperlink r:id="rId222" ref="AK14"/>
    <hyperlink r:id="rId223" ref="AM14"/>
    <hyperlink r:id="rId224" ref="AO14"/>
    <hyperlink r:id="rId225" ref="AQ14"/>
    <hyperlink r:id="rId226" ref="AS14"/>
    <hyperlink r:id="rId227" ref="AU14"/>
    <hyperlink r:id="rId228" ref="AW14"/>
    <hyperlink r:id="rId229" ref="AY14"/>
    <hyperlink r:id="rId230" ref="BA14"/>
    <hyperlink r:id="rId231" ref="BC14"/>
    <hyperlink r:id="rId232" ref="M15"/>
    <hyperlink r:id="rId233" ref="O15"/>
    <hyperlink r:id="rId234" ref="Q15"/>
    <hyperlink r:id="rId235" ref="S15"/>
    <hyperlink r:id="rId236" ref="U15"/>
    <hyperlink r:id="rId237" ref="W15"/>
    <hyperlink r:id="rId238" ref="Y15"/>
    <hyperlink r:id="rId239" ref="AA15"/>
    <hyperlink r:id="rId240" ref="AC15"/>
    <hyperlink r:id="rId241" ref="AE15"/>
    <hyperlink r:id="rId242" ref="AG15"/>
    <hyperlink r:id="rId243" ref="AI15"/>
    <hyperlink r:id="rId244" ref="AK15"/>
    <hyperlink r:id="rId245" ref="AM15"/>
    <hyperlink r:id="rId246" ref="AO15"/>
    <hyperlink r:id="rId247" ref="AQ15"/>
    <hyperlink r:id="rId248" ref="AS15"/>
    <hyperlink r:id="rId249" ref="AU15"/>
    <hyperlink r:id="rId250" ref="AW15"/>
    <hyperlink r:id="rId251" ref="AY15"/>
    <hyperlink r:id="rId252" ref="BA15"/>
    <hyperlink r:id="rId253" ref="BC15"/>
    <hyperlink r:id="rId254" ref="BE15"/>
    <hyperlink r:id="rId255" ref="BG15"/>
    <hyperlink r:id="rId256" ref="BI15"/>
    <hyperlink r:id="rId257" ref="BK15"/>
    <hyperlink r:id="rId258" ref="BM15"/>
    <hyperlink r:id="rId259" ref="BO15"/>
    <hyperlink r:id="rId260" ref="BQ15"/>
    <hyperlink r:id="rId261" ref="BS15"/>
    <hyperlink r:id="rId262" ref="BU15"/>
    <hyperlink r:id="rId263" ref="BW15"/>
    <hyperlink r:id="rId264" ref="BY15"/>
    <hyperlink r:id="rId265" ref="CA15"/>
    <hyperlink r:id="rId266" ref="CC15"/>
    <hyperlink r:id="rId267" ref="CE15"/>
    <hyperlink r:id="rId268" ref="CG15"/>
    <hyperlink r:id="rId269" ref="CI15"/>
    <hyperlink r:id="rId270" ref="CK15"/>
    <hyperlink r:id="rId271" ref="CM15"/>
    <hyperlink r:id="rId272" ref="CO15"/>
    <hyperlink r:id="rId273" ref="CQ15"/>
    <hyperlink r:id="rId274" ref="CS15"/>
    <hyperlink r:id="rId275" ref="CU15"/>
    <hyperlink r:id="rId276" ref="CW15"/>
    <hyperlink r:id="rId277" ref="CY15"/>
    <hyperlink r:id="rId278" ref="DA15"/>
    <hyperlink r:id="rId279" ref="DC15"/>
    <hyperlink r:id="rId280" ref="DE15"/>
    <hyperlink r:id="rId281" ref="DG15"/>
    <hyperlink r:id="rId282" ref="DI15"/>
    <hyperlink r:id="rId283" ref="DK15"/>
    <hyperlink r:id="rId284" ref="DM15"/>
    <hyperlink r:id="rId285" ref="M16"/>
    <hyperlink r:id="rId286" ref="O16"/>
    <hyperlink r:id="rId287" ref="Q16"/>
    <hyperlink r:id="rId288" ref="S16"/>
    <hyperlink r:id="rId289" ref="U16"/>
    <hyperlink r:id="rId290" ref="W16"/>
    <hyperlink r:id="rId291" ref="Y16"/>
    <hyperlink r:id="rId292" ref="AA16"/>
    <hyperlink r:id="rId293" ref="AC16"/>
    <hyperlink r:id="rId294" ref="AE16"/>
    <hyperlink r:id="rId295" ref="AG16"/>
    <hyperlink r:id="rId296" ref="AI16"/>
    <hyperlink r:id="rId297" ref="AK16"/>
    <hyperlink r:id="rId298" ref="AM16"/>
    <hyperlink r:id="rId299" ref="AO16"/>
    <hyperlink r:id="rId300" ref="AQ16"/>
    <hyperlink r:id="rId301" ref="AS16"/>
    <hyperlink r:id="rId302" ref="AU16"/>
    <hyperlink r:id="rId303" ref="AW16"/>
    <hyperlink r:id="rId304" ref="AY16"/>
    <hyperlink r:id="rId305" ref="BA16"/>
    <hyperlink r:id="rId306" ref="BC16"/>
    <hyperlink r:id="rId307" ref="BE16"/>
    <hyperlink r:id="rId308" ref="BG16"/>
    <hyperlink r:id="rId309" ref="BI16"/>
    <hyperlink r:id="rId310" ref="BK16"/>
    <hyperlink r:id="rId311" ref="BM16"/>
    <hyperlink r:id="rId312" ref="BO16"/>
    <hyperlink r:id="rId313" ref="BQ16"/>
    <hyperlink r:id="rId314" ref="BS16"/>
    <hyperlink r:id="rId315" ref="M17"/>
    <hyperlink r:id="rId316" ref="O17"/>
    <hyperlink r:id="rId317" ref="Q17"/>
    <hyperlink r:id="rId318" ref="S17"/>
    <hyperlink r:id="rId319" ref="U17"/>
    <hyperlink r:id="rId320" ref="W17"/>
    <hyperlink r:id="rId321" ref="Y17"/>
    <hyperlink r:id="rId322" ref="AA17"/>
    <hyperlink r:id="rId323" ref="AC17"/>
    <hyperlink r:id="rId324" ref="AE17"/>
    <hyperlink r:id="rId325" ref="AG17"/>
    <hyperlink r:id="rId326" ref="AI17"/>
    <hyperlink r:id="rId327" ref="AK17"/>
    <hyperlink r:id="rId328" ref="AM17"/>
    <hyperlink r:id="rId329" ref="AO17"/>
    <hyperlink r:id="rId330" ref="AQ17"/>
    <hyperlink r:id="rId331" ref="AS17"/>
    <hyperlink r:id="rId332" ref="AU17"/>
    <hyperlink r:id="rId333" ref="AW17"/>
    <hyperlink r:id="rId334" ref="AY17"/>
    <hyperlink r:id="rId335" ref="BA17"/>
    <hyperlink r:id="rId336" ref="BC17"/>
    <hyperlink r:id="rId337" ref="BE17"/>
    <hyperlink r:id="rId338" ref="BG17"/>
    <hyperlink r:id="rId339" ref="BI17"/>
    <hyperlink r:id="rId340" ref="BK17"/>
    <hyperlink r:id="rId341" ref="BM17"/>
    <hyperlink r:id="rId342" ref="BO17"/>
    <hyperlink r:id="rId343" ref="BQ17"/>
    <hyperlink r:id="rId344" ref="BS17"/>
    <hyperlink r:id="rId345" ref="BU17"/>
    <hyperlink r:id="rId346" ref="BW17"/>
    <hyperlink r:id="rId347" ref="BY17"/>
    <hyperlink r:id="rId348" ref="CA17"/>
    <hyperlink r:id="rId349" ref="CC17"/>
    <hyperlink r:id="rId350" ref="CE17"/>
    <hyperlink r:id="rId351" ref="CG17"/>
    <hyperlink r:id="rId352" ref="CI17"/>
    <hyperlink r:id="rId353" ref="CK17"/>
    <hyperlink r:id="rId354" ref="CM17"/>
    <hyperlink r:id="rId355" ref="CO17"/>
    <hyperlink r:id="rId356" ref="CQ17"/>
    <hyperlink r:id="rId357" ref="CS17"/>
    <hyperlink r:id="rId358" ref="CU17"/>
    <hyperlink r:id="rId359" ref="CW17"/>
    <hyperlink r:id="rId360" ref="CY17"/>
    <hyperlink r:id="rId361" ref="M18"/>
    <hyperlink r:id="rId362" ref="O18"/>
    <hyperlink r:id="rId363" ref="Q18"/>
    <hyperlink r:id="rId364" ref="S18"/>
    <hyperlink r:id="rId365" ref="U18"/>
    <hyperlink r:id="rId366" ref="W18"/>
    <hyperlink r:id="rId367" ref="Y18"/>
    <hyperlink r:id="rId368" ref="AA18"/>
    <hyperlink r:id="rId369" ref="AC18"/>
    <hyperlink r:id="rId370" ref="AE18"/>
    <hyperlink r:id="rId371" ref="AG18"/>
    <hyperlink r:id="rId372" ref="AI18"/>
    <hyperlink r:id="rId373" ref="AK18"/>
    <hyperlink r:id="rId374" ref="AM18"/>
    <hyperlink r:id="rId375" ref="AO18"/>
    <hyperlink r:id="rId376" ref="AQ18"/>
    <hyperlink r:id="rId377" ref="AS18"/>
    <hyperlink r:id="rId378" ref="AU18"/>
    <hyperlink r:id="rId379" ref="AW18"/>
    <hyperlink r:id="rId380" ref="AY18"/>
    <hyperlink r:id="rId381" ref="BA18"/>
    <hyperlink r:id="rId382" ref="BC18"/>
    <hyperlink r:id="rId383" ref="BE18"/>
    <hyperlink r:id="rId384" ref="BG18"/>
    <hyperlink r:id="rId385" ref="BI18"/>
    <hyperlink r:id="rId386" ref="BK18"/>
    <hyperlink r:id="rId387" ref="BM18"/>
    <hyperlink r:id="rId388" ref="BO18"/>
    <hyperlink r:id="rId389" ref="M19"/>
    <hyperlink r:id="rId390" ref="O19"/>
    <hyperlink r:id="rId391" ref="Q19"/>
    <hyperlink r:id="rId392" ref="S19"/>
    <hyperlink r:id="rId393" ref="U19"/>
    <hyperlink r:id="rId394" ref="W19"/>
    <hyperlink r:id="rId395" ref="Y19"/>
    <hyperlink r:id="rId396" ref="AA19"/>
    <hyperlink r:id="rId397" ref="AC19"/>
    <hyperlink r:id="rId398" ref="AE19"/>
    <hyperlink r:id="rId399" ref="AG19"/>
    <hyperlink r:id="rId400" ref="AI19"/>
    <hyperlink r:id="rId401" ref="AK19"/>
    <hyperlink r:id="rId402" ref="AM19"/>
    <hyperlink r:id="rId403" ref="AO19"/>
    <hyperlink r:id="rId404" ref="M20"/>
    <hyperlink r:id="rId405" ref="O20"/>
    <hyperlink r:id="rId406" ref="Q20"/>
    <hyperlink r:id="rId407" ref="S20"/>
    <hyperlink r:id="rId408" ref="U20"/>
    <hyperlink r:id="rId409" ref="W20"/>
    <hyperlink r:id="rId410" ref="Y20"/>
    <hyperlink r:id="rId411" ref="AA20"/>
    <hyperlink r:id="rId412" ref="AC20"/>
    <hyperlink r:id="rId413" ref="AE20"/>
    <hyperlink r:id="rId414" ref="AG20"/>
    <hyperlink r:id="rId415" ref="AI20"/>
    <hyperlink r:id="rId416" ref="AK20"/>
    <hyperlink r:id="rId417" ref="AM20"/>
    <hyperlink r:id="rId418" ref="AO20"/>
    <hyperlink r:id="rId419" ref="AQ20"/>
    <hyperlink r:id="rId420" ref="AS20"/>
    <hyperlink r:id="rId421" ref="AU20"/>
    <hyperlink r:id="rId422" ref="AW20"/>
    <hyperlink r:id="rId423" ref="AY20"/>
    <hyperlink r:id="rId424" ref="BA20"/>
    <hyperlink r:id="rId425" ref="BC20"/>
    <hyperlink r:id="rId426" ref="BE20"/>
    <hyperlink r:id="rId427" ref="BG20"/>
    <hyperlink r:id="rId428" ref="BI20"/>
    <hyperlink r:id="rId429" ref="BK20"/>
    <hyperlink r:id="rId430" ref="BM20"/>
    <hyperlink r:id="rId431" ref="BO20"/>
    <hyperlink r:id="rId432" ref="BQ20"/>
    <hyperlink r:id="rId433" ref="BS20"/>
    <hyperlink r:id="rId434" ref="BU20"/>
    <hyperlink r:id="rId435" ref="BW20"/>
    <hyperlink r:id="rId436" ref="M21"/>
    <hyperlink r:id="rId437" ref="O21"/>
    <hyperlink r:id="rId438" ref="Q21"/>
    <hyperlink r:id="rId439" ref="S21"/>
    <hyperlink r:id="rId440" ref="U21"/>
    <hyperlink r:id="rId441" ref="W21"/>
    <hyperlink r:id="rId442" ref="Y21"/>
    <hyperlink r:id="rId443" ref="AA21"/>
    <hyperlink r:id="rId444" ref="AC21"/>
    <hyperlink r:id="rId445" ref="AE21"/>
    <hyperlink r:id="rId446" ref="AG21"/>
    <hyperlink r:id="rId447" ref="AI21"/>
    <hyperlink r:id="rId448" ref="AK21"/>
    <hyperlink r:id="rId449" ref="AM21"/>
    <hyperlink r:id="rId450" ref="AO21"/>
    <hyperlink r:id="rId451" ref="AQ21"/>
    <hyperlink r:id="rId452" ref="AS21"/>
    <hyperlink r:id="rId453" ref="AU21"/>
    <hyperlink r:id="rId454" ref="AW21"/>
    <hyperlink r:id="rId455" ref="AY21"/>
    <hyperlink r:id="rId456" ref="BA21"/>
    <hyperlink r:id="rId457" ref="BC21"/>
    <hyperlink r:id="rId458" ref="BE21"/>
    <hyperlink r:id="rId459" ref="BG21"/>
    <hyperlink r:id="rId460" ref="BI21"/>
    <hyperlink r:id="rId461" ref="BK21"/>
    <hyperlink r:id="rId462" ref="BM21"/>
    <hyperlink r:id="rId463" ref="BO21"/>
    <hyperlink r:id="rId464" ref="BQ21"/>
    <hyperlink r:id="rId465" ref="BS21"/>
    <hyperlink r:id="rId466" ref="BU21"/>
    <hyperlink r:id="rId467" ref="BW21"/>
    <hyperlink r:id="rId468" ref="BY21"/>
    <hyperlink r:id="rId469" ref="CA21"/>
    <hyperlink r:id="rId470" ref="CC21"/>
    <hyperlink r:id="rId471" ref="CE21"/>
    <hyperlink r:id="rId472" ref="CG21"/>
    <hyperlink r:id="rId473" ref="CI21"/>
    <hyperlink r:id="rId474" ref="CK21"/>
    <hyperlink r:id="rId475" ref="CM21"/>
    <hyperlink r:id="rId476" ref="CO21"/>
    <hyperlink r:id="rId477" ref="CQ21"/>
    <hyperlink r:id="rId478" ref="CS21"/>
    <hyperlink r:id="rId479" ref="M22"/>
    <hyperlink r:id="rId480" ref="O22"/>
    <hyperlink r:id="rId481" ref="Q22"/>
    <hyperlink r:id="rId482" ref="S22"/>
    <hyperlink r:id="rId483" ref="U22"/>
    <hyperlink r:id="rId484" ref="W22"/>
    <hyperlink r:id="rId485" ref="Y22"/>
    <hyperlink r:id="rId486" ref="AA22"/>
    <hyperlink r:id="rId487" ref="AC22"/>
    <hyperlink r:id="rId488" ref="AE22"/>
    <hyperlink r:id="rId489" ref="AG22"/>
    <hyperlink r:id="rId490" ref="AI22"/>
    <hyperlink r:id="rId491" ref="M23"/>
    <hyperlink r:id="rId492" ref="O23"/>
    <hyperlink r:id="rId493" ref="Q23"/>
    <hyperlink r:id="rId494" ref="S23"/>
    <hyperlink r:id="rId495" ref="U23"/>
    <hyperlink r:id="rId496" ref="W23"/>
    <hyperlink r:id="rId497" ref="Y23"/>
    <hyperlink r:id="rId498" ref="AA23"/>
    <hyperlink r:id="rId499" ref="AC23"/>
    <hyperlink r:id="rId500" ref="AE23"/>
    <hyperlink r:id="rId501" ref="AG23"/>
    <hyperlink r:id="rId502" ref="AI23"/>
    <hyperlink r:id="rId503" ref="AK23"/>
    <hyperlink r:id="rId504" ref="AM23"/>
    <hyperlink r:id="rId505" ref="AO23"/>
    <hyperlink r:id="rId506" ref="AQ23"/>
    <hyperlink r:id="rId507" ref="AS23"/>
    <hyperlink r:id="rId508" ref="AU23"/>
    <hyperlink r:id="rId509" ref="M24"/>
    <hyperlink r:id="rId510" ref="O24"/>
    <hyperlink r:id="rId511" ref="Q24"/>
    <hyperlink r:id="rId512" ref="S24"/>
    <hyperlink r:id="rId513" ref="U24"/>
    <hyperlink r:id="rId514" ref="W24"/>
    <hyperlink r:id="rId515" ref="Y24"/>
    <hyperlink r:id="rId516" ref="AA24"/>
    <hyperlink r:id="rId517" ref="AC24"/>
    <hyperlink r:id="rId518" ref="AE24"/>
    <hyperlink r:id="rId519" ref="AG24"/>
    <hyperlink r:id="rId520" ref="AI24"/>
    <hyperlink r:id="rId521" ref="AK24"/>
    <hyperlink r:id="rId522" ref="AM24"/>
    <hyperlink r:id="rId523" ref="AO24"/>
    <hyperlink r:id="rId524" ref="AQ24"/>
    <hyperlink r:id="rId525" ref="AS24"/>
    <hyperlink r:id="rId526" ref="AU24"/>
    <hyperlink r:id="rId527" ref="AW24"/>
    <hyperlink r:id="rId528" ref="AY24"/>
    <hyperlink r:id="rId529" ref="BA24"/>
    <hyperlink r:id="rId530" ref="BC24"/>
    <hyperlink r:id="rId531" ref="BE24"/>
    <hyperlink r:id="rId532" ref="BG24"/>
    <hyperlink r:id="rId533" ref="BI24"/>
    <hyperlink r:id="rId534" ref="BK24"/>
    <hyperlink r:id="rId535" ref="BM24"/>
    <hyperlink r:id="rId536" ref="BO24"/>
    <hyperlink r:id="rId537" ref="BQ24"/>
    <hyperlink r:id="rId538" ref="BS24"/>
    <hyperlink r:id="rId539" ref="BU24"/>
    <hyperlink r:id="rId540" ref="BW24"/>
    <hyperlink r:id="rId541" ref="BY24"/>
    <hyperlink r:id="rId542" ref="M25"/>
    <hyperlink r:id="rId543" ref="O25"/>
    <hyperlink r:id="rId544" ref="Q25"/>
    <hyperlink r:id="rId545" ref="S25"/>
    <hyperlink r:id="rId546" ref="U25"/>
    <hyperlink r:id="rId547" ref="W25"/>
    <hyperlink r:id="rId548" ref="Y25"/>
    <hyperlink r:id="rId549" ref="AA25"/>
    <hyperlink r:id="rId550" ref="AC25"/>
    <hyperlink r:id="rId551" ref="AE25"/>
    <hyperlink r:id="rId552" ref="AG25"/>
    <hyperlink r:id="rId553" ref="AI25"/>
    <hyperlink r:id="rId554" ref="AK25"/>
    <hyperlink r:id="rId555" ref="AM25"/>
    <hyperlink r:id="rId556" ref="AO25"/>
    <hyperlink r:id="rId557" ref="AQ25"/>
    <hyperlink r:id="rId558" ref="AS25"/>
    <hyperlink r:id="rId559" ref="M26"/>
    <hyperlink r:id="rId560" ref="O26"/>
    <hyperlink r:id="rId561" ref="Q26"/>
    <hyperlink r:id="rId562" ref="S26"/>
    <hyperlink r:id="rId563" ref="U26"/>
    <hyperlink r:id="rId564" ref="W26"/>
    <hyperlink r:id="rId565" ref="Y26"/>
    <hyperlink r:id="rId566" ref="AA26"/>
    <hyperlink r:id="rId567" ref="AC26"/>
    <hyperlink r:id="rId568" ref="AE26"/>
    <hyperlink r:id="rId569" ref="AG26"/>
    <hyperlink r:id="rId570" ref="AI26"/>
    <hyperlink r:id="rId571" ref="AK26"/>
    <hyperlink r:id="rId572" ref="AM26"/>
    <hyperlink r:id="rId573" ref="AO26"/>
    <hyperlink r:id="rId574" ref="AQ26"/>
    <hyperlink r:id="rId575" ref="AS26"/>
    <hyperlink r:id="rId576" ref="AU26"/>
    <hyperlink r:id="rId577" ref="AW26"/>
    <hyperlink r:id="rId578" ref="AY26"/>
    <hyperlink r:id="rId579" ref="BA26"/>
    <hyperlink r:id="rId580" ref="BC26"/>
    <hyperlink r:id="rId581" ref="BE26"/>
    <hyperlink r:id="rId582" ref="BG26"/>
    <hyperlink r:id="rId583" ref="BI26"/>
    <hyperlink r:id="rId584" ref="BK26"/>
    <hyperlink r:id="rId585" ref="BM26"/>
    <hyperlink r:id="rId586" ref="BO26"/>
    <hyperlink r:id="rId587" ref="BQ26"/>
    <hyperlink r:id="rId588" ref="BS26"/>
    <hyperlink r:id="rId589" ref="BU26"/>
    <hyperlink r:id="rId590" ref="BW26"/>
    <hyperlink r:id="rId591" ref="BY26"/>
    <hyperlink r:id="rId592" ref="CA26"/>
    <hyperlink r:id="rId593" ref="CC26"/>
    <hyperlink r:id="rId594" ref="CE26"/>
    <hyperlink r:id="rId595" ref="CG26"/>
    <hyperlink r:id="rId596" ref="CI26"/>
    <hyperlink r:id="rId597" ref="CK26"/>
    <hyperlink r:id="rId598" ref="CM26"/>
    <hyperlink r:id="rId599" ref="CO26"/>
    <hyperlink r:id="rId600" ref="CQ26"/>
    <hyperlink r:id="rId601" ref="CS26"/>
    <hyperlink r:id="rId602" ref="CU26"/>
    <hyperlink r:id="rId603" ref="CW26"/>
    <hyperlink r:id="rId604" ref="CY26"/>
    <hyperlink r:id="rId605" ref="DA26"/>
    <hyperlink r:id="rId606" ref="DC26"/>
    <hyperlink r:id="rId607" ref="DE26"/>
    <hyperlink r:id="rId608" ref="DG26"/>
    <hyperlink r:id="rId609" ref="DI26"/>
    <hyperlink r:id="rId610" ref="DK26"/>
    <hyperlink r:id="rId611" ref="DM26"/>
    <hyperlink r:id="rId612" ref="DO26"/>
    <hyperlink r:id="rId613" ref="DQ26"/>
    <hyperlink r:id="rId614" ref="DS26"/>
    <hyperlink r:id="rId615" ref="DU26"/>
    <hyperlink r:id="rId616" ref="DW26"/>
    <hyperlink r:id="rId617" ref="M27"/>
    <hyperlink r:id="rId618" ref="O27"/>
    <hyperlink r:id="rId619" ref="Q27"/>
    <hyperlink r:id="rId620" ref="S27"/>
    <hyperlink r:id="rId621" ref="U27"/>
    <hyperlink r:id="rId622" ref="W27"/>
    <hyperlink r:id="rId623" ref="Y27"/>
    <hyperlink r:id="rId624" ref="AA27"/>
    <hyperlink r:id="rId625" ref="AC27"/>
    <hyperlink r:id="rId626" ref="AE27"/>
    <hyperlink r:id="rId627" ref="AG27"/>
    <hyperlink r:id="rId628" ref="AI27"/>
    <hyperlink r:id="rId629" ref="AK27"/>
    <hyperlink r:id="rId630" ref="AM27"/>
    <hyperlink r:id="rId631" ref="M28"/>
    <hyperlink r:id="rId632" ref="O28"/>
    <hyperlink r:id="rId633" ref="Q28"/>
    <hyperlink r:id="rId634" ref="S28"/>
    <hyperlink r:id="rId635" ref="U28"/>
    <hyperlink r:id="rId636" ref="W28"/>
    <hyperlink r:id="rId637" ref="Y28"/>
    <hyperlink r:id="rId638" ref="AA28"/>
    <hyperlink r:id="rId639" ref="AC28"/>
    <hyperlink r:id="rId640" ref="AE28"/>
    <hyperlink r:id="rId641" ref="AG28"/>
    <hyperlink r:id="rId642" ref="AI28"/>
    <hyperlink r:id="rId643" ref="AK28"/>
    <hyperlink r:id="rId644" ref="AM28"/>
    <hyperlink r:id="rId645" ref="AO28"/>
    <hyperlink r:id="rId646" ref="AQ28"/>
    <hyperlink r:id="rId647" ref="AS28"/>
    <hyperlink r:id="rId648" ref="AU28"/>
    <hyperlink r:id="rId649" ref="AW28"/>
    <hyperlink r:id="rId650" ref="AY28"/>
    <hyperlink r:id="rId651" ref="BA28"/>
    <hyperlink r:id="rId652" ref="BC28"/>
    <hyperlink r:id="rId653" ref="BE28"/>
    <hyperlink r:id="rId654" ref="BG28"/>
    <hyperlink r:id="rId655" ref="BI28"/>
    <hyperlink r:id="rId656" ref="BK28"/>
    <hyperlink r:id="rId657" ref="BM28"/>
    <hyperlink r:id="rId658" ref="BO28"/>
    <hyperlink r:id="rId659" ref="BQ28"/>
    <hyperlink r:id="rId660" ref="BS28"/>
    <hyperlink r:id="rId661" ref="BU28"/>
    <hyperlink r:id="rId662" ref="BW28"/>
    <hyperlink r:id="rId663" ref="BY28"/>
    <hyperlink r:id="rId664" ref="CA28"/>
    <hyperlink r:id="rId665" ref="CC28"/>
    <hyperlink r:id="rId666" ref="CE28"/>
    <hyperlink r:id="rId667" ref="CG28"/>
    <hyperlink r:id="rId668" ref="CI28"/>
    <hyperlink r:id="rId669" ref="CK28"/>
    <hyperlink r:id="rId670" ref="CM28"/>
    <hyperlink r:id="rId671" ref="CO28"/>
    <hyperlink r:id="rId672" ref="CQ28"/>
    <hyperlink r:id="rId673" ref="CS28"/>
    <hyperlink r:id="rId674" ref="CU28"/>
    <hyperlink r:id="rId675" ref="CW28"/>
    <hyperlink r:id="rId676" ref="M29"/>
    <hyperlink r:id="rId677" ref="O29"/>
    <hyperlink r:id="rId678" ref="Q29"/>
    <hyperlink r:id="rId679" ref="S29"/>
    <hyperlink r:id="rId680" ref="U29"/>
    <hyperlink r:id="rId681" ref="W29"/>
    <hyperlink r:id="rId682" ref="Y29"/>
    <hyperlink r:id="rId683" ref="AA29"/>
    <hyperlink r:id="rId684" ref="AC29"/>
    <hyperlink r:id="rId685" ref="AE29"/>
    <hyperlink r:id="rId686" ref="AG29"/>
    <hyperlink r:id="rId687" ref="AI29"/>
    <hyperlink r:id="rId688" ref="AK29"/>
    <hyperlink r:id="rId689" ref="AM29"/>
    <hyperlink r:id="rId690" ref="AO29"/>
    <hyperlink r:id="rId691" ref="AQ29"/>
    <hyperlink r:id="rId692" ref="AS29"/>
    <hyperlink r:id="rId693" ref="AU29"/>
    <hyperlink r:id="rId694" ref="AW29"/>
    <hyperlink r:id="rId695" ref="AY29"/>
    <hyperlink r:id="rId696" ref="BA29"/>
    <hyperlink r:id="rId697" ref="BC29"/>
    <hyperlink r:id="rId698" ref="M30"/>
    <hyperlink r:id="rId699" ref="O30"/>
    <hyperlink r:id="rId700" ref="Q30"/>
    <hyperlink r:id="rId701" ref="S30"/>
    <hyperlink r:id="rId702" ref="U30"/>
    <hyperlink r:id="rId703" ref="W30"/>
    <hyperlink r:id="rId704" ref="Y30"/>
    <hyperlink r:id="rId705" ref="AA30"/>
    <hyperlink r:id="rId706" ref="AC30"/>
    <hyperlink r:id="rId707" ref="AE30"/>
    <hyperlink r:id="rId708" ref="AG30"/>
    <hyperlink r:id="rId709" ref="AI30"/>
    <hyperlink r:id="rId710" ref="AK30"/>
    <hyperlink r:id="rId711" ref="AM30"/>
    <hyperlink r:id="rId712" ref="AO30"/>
    <hyperlink r:id="rId713" ref="AQ30"/>
    <hyperlink r:id="rId714" ref="AS30"/>
    <hyperlink r:id="rId715" ref="AU30"/>
    <hyperlink r:id="rId716" ref="AW30"/>
    <hyperlink r:id="rId717" ref="AY30"/>
    <hyperlink r:id="rId718" ref="BA30"/>
    <hyperlink r:id="rId719" ref="BC30"/>
    <hyperlink r:id="rId720" ref="BE30"/>
    <hyperlink r:id="rId721" ref="BG30"/>
    <hyperlink r:id="rId722" ref="BI30"/>
    <hyperlink r:id="rId723" ref="BK30"/>
    <hyperlink r:id="rId724" ref="BM30"/>
    <hyperlink r:id="rId725" ref="BO30"/>
    <hyperlink r:id="rId726" ref="BQ30"/>
    <hyperlink r:id="rId727" ref="BS30"/>
    <hyperlink r:id="rId728" ref="BU30"/>
    <hyperlink r:id="rId729" ref="BW30"/>
    <hyperlink r:id="rId730" ref="BY30"/>
    <hyperlink r:id="rId731" ref="CA30"/>
    <hyperlink r:id="rId732" ref="CC30"/>
    <hyperlink r:id="rId733" ref="CE30"/>
    <hyperlink r:id="rId734" ref="M31"/>
    <hyperlink r:id="rId735" ref="O31"/>
    <hyperlink r:id="rId736" ref="Q31"/>
    <hyperlink r:id="rId737" ref="S31"/>
    <hyperlink r:id="rId738" ref="U31"/>
    <hyperlink r:id="rId739" ref="W31"/>
    <hyperlink r:id="rId740" ref="Y31"/>
    <hyperlink r:id="rId741" ref="AA31"/>
    <hyperlink r:id="rId742" ref="AC31"/>
    <hyperlink r:id="rId743" ref="AE31"/>
    <hyperlink r:id="rId744" ref="AG31"/>
    <hyperlink r:id="rId745" ref="AI31"/>
    <hyperlink r:id="rId746" ref="AK31"/>
    <hyperlink r:id="rId747" ref="AM31"/>
    <hyperlink r:id="rId748" ref="AO31"/>
    <hyperlink r:id="rId749" ref="AQ31"/>
    <hyperlink r:id="rId750" ref="AS31"/>
    <hyperlink r:id="rId751" ref="AU31"/>
    <hyperlink r:id="rId752" ref="AW31"/>
    <hyperlink r:id="rId753" ref="AY31"/>
    <hyperlink r:id="rId754" ref="BA31"/>
    <hyperlink r:id="rId755" ref="BC31"/>
    <hyperlink r:id="rId756" ref="BE31"/>
    <hyperlink r:id="rId757" ref="BG31"/>
    <hyperlink r:id="rId758" ref="BI31"/>
    <hyperlink r:id="rId759" ref="BK31"/>
    <hyperlink r:id="rId760" ref="BM31"/>
    <hyperlink r:id="rId761" ref="BO31"/>
    <hyperlink r:id="rId762" ref="BQ31"/>
    <hyperlink r:id="rId763" ref="BS31"/>
    <hyperlink r:id="rId764" ref="BU31"/>
    <hyperlink r:id="rId765" ref="BW31"/>
    <hyperlink r:id="rId766" ref="BY31"/>
    <hyperlink r:id="rId767" ref="CA31"/>
    <hyperlink r:id="rId768" ref="CC31"/>
    <hyperlink r:id="rId769" ref="CE31"/>
    <hyperlink r:id="rId770" ref="CG31"/>
    <hyperlink r:id="rId771" ref="CI31"/>
    <hyperlink r:id="rId772" ref="CK31"/>
    <hyperlink r:id="rId773" ref="CM31"/>
    <hyperlink r:id="rId774" ref="CO31"/>
    <hyperlink r:id="rId775" ref="CQ31"/>
    <hyperlink r:id="rId776" ref="CS31"/>
    <hyperlink r:id="rId777" ref="CU31"/>
    <hyperlink r:id="rId778" ref="CW31"/>
    <hyperlink r:id="rId779" ref="CY31"/>
    <hyperlink r:id="rId780" ref="DA31"/>
    <hyperlink r:id="rId781" ref="DC31"/>
    <hyperlink r:id="rId782" ref="DE31"/>
    <hyperlink r:id="rId783" ref="DG31"/>
    <hyperlink r:id="rId784" ref="DI31"/>
    <hyperlink r:id="rId785" ref="DK31"/>
    <hyperlink r:id="rId786" ref="DM31"/>
    <hyperlink r:id="rId787" ref="DO31"/>
    <hyperlink r:id="rId788" ref="DQ31"/>
    <hyperlink r:id="rId789" ref="DS31"/>
    <hyperlink r:id="rId790" ref="DU31"/>
    <hyperlink r:id="rId791" ref="DW31"/>
    <hyperlink r:id="rId792" ref="DY31"/>
    <hyperlink r:id="rId793" ref="EA31"/>
    <hyperlink r:id="rId794" ref="EC31"/>
    <hyperlink r:id="rId795" ref="EE31"/>
    <hyperlink r:id="rId796" ref="EG31"/>
    <hyperlink r:id="rId797" ref="EI31"/>
    <hyperlink r:id="rId798" ref="EK31"/>
    <hyperlink r:id="rId799" ref="EM31"/>
    <hyperlink r:id="rId800" ref="EO31"/>
    <hyperlink r:id="rId801" ref="EQ31"/>
    <hyperlink r:id="rId802" ref="ES31"/>
    <hyperlink r:id="rId803" ref="EU31"/>
    <hyperlink r:id="rId804" ref="EW31"/>
    <hyperlink r:id="rId805" ref="EY31"/>
    <hyperlink r:id="rId806" ref="FA31"/>
    <hyperlink r:id="rId807" ref="FC31"/>
    <hyperlink r:id="rId808" ref="FE31"/>
    <hyperlink r:id="rId809" ref="FG31"/>
    <hyperlink r:id="rId810" ref="FI31"/>
    <hyperlink r:id="rId811" ref="FK31"/>
    <hyperlink r:id="rId812" ref="FM31"/>
    <hyperlink r:id="rId813" ref="FO31"/>
    <hyperlink r:id="rId814" ref="FQ31"/>
    <hyperlink r:id="rId815" ref="FS31"/>
    <hyperlink r:id="rId816" ref="FU31"/>
    <hyperlink r:id="rId817" ref="FW31"/>
    <hyperlink r:id="rId818" ref="FY31"/>
    <hyperlink r:id="rId819" ref="GA31"/>
    <hyperlink r:id="rId820" ref="GC31"/>
    <hyperlink r:id="rId821" ref="GE31"/>
    <hyperlink r:id="rId822" ref="GG31"/>
    <hyperlink r:id="rId823" ref="GI31"/>
    <hyperlink r:id="rId824" ref="GK31"/>
    <hyperlink r:id="rId825" ref="GM31"/>
    <hyperlink r:id="rId826" ref="GO31"/>
    <hyperlink r:id="rId827" ref="M32"/>
    <hyperlink r:id="rId828" ref="O32"/>
    <hyperlink r:id="rId829" ref="Q32"/>
    <hyperlink r:id="rId830" ref="S32"/>
    <hyperlink r:id="rId831" ref="U32"/>
    <hyperlink r:id="rId832" ref="W32"/>
    <hyperlink r:id="rId833" ref="Y32"/>
    <hyperlink r:id="rId834" ref="AA32"/>
    <hyperlink r:id="rId835" ref="AC32"/>
    <hyperlink r:id="rId836" ref="AE32"/>
    <hyperlink r:id="rId837" ref="AG32"/>
    <hyperlink r:id="rId838" ref="AI32"/>
    <hyperlink r:id="rId839" ref="AK32"/>
    <hyperlink r:id="rId840" ref="AM32"/>
    <hyperlink r:id="rId841" ref="AO32"/>
    <hyperlink r:id="rId842" ref="AQ32"/>
    <hyperlink r:id="rId843" ref="AS32"/>
    <hyperlink r:id="rId844" ref="AU32"/>
    <hyperlink r:id="rId845" ref="AW32"/>
    <hyperlink r:id="rId846" ref="AY32"/>
    <hyperlink r:id="rId847" ref="BA32"/>
    <hyperlink r:id="rId848" ref="BC32"/>
    <hyperlink r:id="rId849" ref="BE32"/>
    <hyperlink r:id="rId850" ref="BG32"/>
    <hyperlink r:id="rId851" ref="BI32"/>
    <hyperlink r:id="rId852" ref="BK32"/>
    <hyperlink r:id="rId853" ref="BM32"/>
    <hyperlink r:id="rId854" ref="BO32"/>
    <hyperlink r:id="rId855" ref="BQ32"/>
    <hyperlink r:id="rId856" ref="BS32"/>
    <hyperlink r:id="rId857" ref="BU32"/>
    <hyperlink r:id="rId858" ref="BW32"/>
    <hyperlink r:id="rId859" ref="BY32"/>
    <hyperlink r:id="rId860" ref="CA32"/>
    <hyperlink r:id="rId861" ref="CC32"/>
    <hyperlink r:id="rId862" ref="CE32"/>
    <hyperlink r:id="rId863" ref="CG32"/>
    <hyperlink r:id="rId864" ref="CI32"/>
    <hyperlink r:id="rId865" ref="CK32"/>
    <hyperlink r:id="rId866" ref="CM32"/>
    <hyperlink r:id="rId867" ref="CO32"/>
    <hyperlink r:id="rId868" ref="CQ32"/>
    <hyperlink r:id="rId869" ref="CS32"/>
    <hyperlink r:id="rId870" ref="CU32"/>
    <hyperlink r:id="rId871" ref="CW32"/>
    <hyperlink r:id="rId872" ref="CY32"/>
    <hyperlink r:id="rId873" ref="DA32"/>
    <hyperlink r:id="rId874" ref="DC32"/>
    <hyperlink r:id="rId875" ref="DE32"/>
    <hyperlink r:id="rId876" ref="DG32"/>
    <hyperlink r:id="rId877" ref="DI32"/>
    <hyperlink r:id="rId878" ref="DK32"/>
    <hyperlink r:id="rId879" ref="DM32"/>
    <hyperlink r:id="rId880" ref="DO32"/>
    <hyperlink r:id="rId881" ref="DQ32"/>
    <hyperlink r:id="rId882" ref="DS32"/>
    <hyperlink r:id="rId883" ref="DU32"/>
    <hyperlink r:id="rId884" ref="DW32"/>
    <hyperlink r:id="rId885" ref="DY32"/>
    <hyperlink r:id="rId886" ref="EA32"/>
    <hyperlink r:id="rId887" ref="EC32"/>
    <hyperlink r:id="rId888" ref="EE32"/>
    <hyperlink r:id="rId889" ref="EG32"/>
    <hyperlink r:id="rId890" ref="EI32"/>
    <hyperlink r:id="rId891" ref="EK32"/>
    <hyperlink r:id="rId892" ref="EM32"/>
    <hyperlink r:id="rId893" ref="EO32"/>
    <hyperlink r:id="rId894" ref="EQ32"/>
    <hyperlink r:id="rId895" ref="ES32"/>
    <hyperlink r:id="rId896" ref="EU32"/>
    <hyperlink r:id="rId897" ref="EW32"/>
    <hyperlink r:id="rId898" ref="EY32"/>
    <hyperlink r:id="rId899" ref="FA32"/>
    <hyperlink r:id="rId900" ref="FC32"/>
    <hyperlink r:id="rId901" ref="FE32"/>
    <hyperlink r:id="rId902" ref="FG32"/>
    <hyperlink r:id="rId903" ref="FI32"/>
    <hyperlink r:id="rId904" ref="FK32"/>
    <hyperlink r:id="rId905" ref="M33"/>
    <hyperlink r:id="rId906" ref="O33"/>
    <hyperlink r:id="rId907" ref="Q33"/>
    <hyperlink r:id="rId908" ref="S33"/>
    <hyperlink r:id="rId909" ref="U33"/>
    <hyperlink r:id="rId910" ref="W33"/>
    <hyperlink r:id="rId911" ref="Y33"/>
    <hyperlink r:id="rId912" ref="AA33"/>
    <hyperlink r:id="rId913" ref="AC33"/>
    <hyperlink r:id="rId914" ref="AE33"/>
    <hyperlink r:id="rId915" ref="AG33"/>
    <hyperlink r:id="rId916" ref="AI33"/>
    <hyperlink r:id="rId917" ref="AK33"/>
    <hyperlink r:id="rId918" ref="AM33"/>
    <hyperlink r:id="rId919" ref="AO33"/>
    <hyperlink r:id="rId920" ref="AQ33"/>
    <hyperlink r:id="rId921" ref="AS33"/>
    <hyperlink r:id="rId922" ref="AU33"/>
    <hyperlink r:id="rId923" ref="AW33"/>
    <hyperlink r:id="rId924" ref="AY33"/>
    <hyperlink r:id="rId925" ref="BA33"/>
    <hyperlink r:id="rId926" ref="BC33"/>
    <hyperlink r:id="rId927" ref="BE33"/>
    <hyperlink r:id="rId928" ref="BG33"/>
    <hyperlink r:id="rId929" ref="BI33"/>
    <hyperlink r:id="rId930" ref="BK33"/>
    <hyperlink r:id="rId931" ref="BM33"/>
    <hyperlink r:id="rId932" ref="BO33"/>
    <hyperlink r:id="rId933" ref="BQ33"/>
    <hyperlink r:id="rId934" ref="BS33"/>
    <hyperlink r:id="rId935" ref="BU33"/>
    <hyperlink r:id="rId936" ref="BW33"/>
    <hyperlink r:id="rId937" ref="BY33"/>
    <hyperlink r:id="rId938" ref="CA33"/>
    <hyperlink r:id="rId939" ref="CC33"/>
    <hyperlink r:id="rId940" ref="CE33"/>
    <hyperlink r:id="rId941" ref="CG33"/>
    <hyperlink r:id="rId942" ref="CI33"/>
    <hyperlink r:id="rId943" ref="CK33"/>
    <hyperlink r:id="rId944" ref="CM33"/>
    <hyperlink r:id="rId945" ref="CO33"/>
    <hyperlink r:id="rId946" ref="CQ33"/>
    <hyperlink r:id="rId947" ref="CS33"/>
    <hyperlink r:id="rId948" ref="CU33"/>
    <hyperlink r:id="rId949" ref="CW33"/>
    <hyperlink r:id="rId950" ref="CY33"/>
    <hyperlink r:id="rId951" ref="DA33"/>
    <hyperlink r:id="rId952" ref="DC33"/>
    <hyperlink r:id="rId953" ref="DE33"/>
    <hyperlink r:id="rId954" ref="DG33"/>
    <hyperlink r:id="rId955" ref="DI33"/>
    <hyperlink r:id="rId956" ref="DK33"/>
    <hyperlink r:id="rId957" ref="DM33"/>
    <hyperlink r:id="rId958" ref="DO33"/>
    <hyperlink r:id="rId959" ref="DQ33"/>
    <hyperlink r:id="rId960" ref="DS33"/>
    <hyperlink r:id="rId961" ref="DU33"/>
    <hyperlink r:id="rId962" ref="DW33"/>
    <hyperlink r:id="rId963" ref="DY33"/>
    <hyperlink r:id="rId964" ref="EA33"/>
    <hyperlink r:id="rId965" ref="EC33"/>
    <hyperlink r:id="rId966" ref="EE33"/>
    <hyperlink r:id="rId967" ref="EG33"/>
    <hyperlink r:id="rId968" ref="EI33"/>
    <hyperlink r:id="rId969" ref="EK33"/>
    <hyperlink r:id="rId970" ref="EM33"/>
    <hyperlink r:id="rId971" ref="EO33"/>
    <hyperlink r:id="rId972" ref="EQ33"/>
    <hyperlink r:id="rId973" ref="ES33"/>
    <hyperlink r:id="rId974" ref="EU33"/>
    <hyperlink r:id="rId975" ref="EW33"/>
    <hyperlink r:id="rId976" ref="EY33"/>
    <hyperlink r:id="rId977" ref="FA33"/>
    <hyperlink r:id="rId978" ref="FC33"/>
    <hyperlink r:id="rId979" ref="FE33"/>
    <hyperlink r:id="rId980" ref="FG33"/>
    <hyperlink r:id="rId981" ref="FI33"/>
    <hyperlink r:id="rId982" ref="M34"/>
    <hyperlink r:id="rId983" ref="O34"/>
    <hyperlink r:id="rId984" ref="Q34"/>
    <hyperlink r:id="rId985" ref="S34"/>
    <hyperlink r:id="rId986" ref="U34"/>
    <hyperlink r:id="rId987" ref="W34"/>
    <hyperlink r:id="rId988" ref="Y34"/>
    <hyperlink r:id="rId989" ref="AA34"/>
    <hyperlink r:id="rId990" ref="AC34"/>
    <hyperlink r:id="rId991" ref="AE34"/>
    <hyperlink r:id="rId992" ref="AG34"/>
    <hyperlink r:id="rId993" ref="AI34"/>
    <hyperlink r:id="rId994" ref="AK34"/>
    <hyperlink r:id="rId995" ref="AM34"/>
    <hyperlink r:id="rId996" ref="AO34"/>
    <hyperlink r:id="rId997" ref="AQ34"/>
    <hyperlink r:id="rId998" ref="AS34"/>
    <hyperlink r:id="rId999" ref="AU34"/>
    <hyperlink r:id="rId1000" ref="AW34"/>
    <hyperlink r:id="rId1001" ref="AY34"/>
    <hyperlink r:id="rId1002" ref="BA34"/>
    <hyperlink r:id="rId1003" ref="BC34"/>
    <hyperlink r:id="rId1004" ref="BE34"/>
    <hyperlink r:id="rId1005" ref="BG34"/>
    <hyperlink r:id="rId1006" ref="BI34"/>
    <hyperlink r:id="rId1007" ref="BK34"/>
    <hyperlink r:id="rId1008" ref="BM34"/>
    <hyperlink r:id="rId1009" ref="BO34"/>
    <hyperlink r:id="rId1010" ref="BQ34"/>
    <hyperlink r:id="rId1011" ref="BS34"/>
    <hyperlink r:id="rId1012" ref="BU34"/>
    <hyperlink r:id="rId1013" ref="BW34"/>
    <hyperlink r:id="rId1014" ref="BY34"/>
    <hyperlink r:id="rId1015" ref="CA34"/>
    <hyperlink r:id="rId1016" ref="CC34"/>
    <hyperlink r:id="rId1017" ref="CE34"/>
    <hyperlink r:id="rId1018" ref="CG34"/>
    <hyperlink r:id="rId1019" ref="CI34"/>
    <hyperlink r:id="rId1020" ref="CK34"/>
    <hyperlink r:id="rId1021" ref="CM34"/>
    <hyperlink r:id="rId1022" ref="CO34"/>
    <hyperlink r:id="rId1023" ref="CQ34"/>
    <hyperlink r:id="rId1024" ref="CS34"/>
    <hyperlink r:id="rId1025" ref="CU34"/>
    <hyperlink r:id="rId1026" ref="CW34"/>
    <hyperlink r:id="rId1027" ref="CY34"/>
    <hyperlink r:id="rId1028" ref="DA34"/>
    <hyperlink r:id="rId1029" ref="DC34"/>
    <hyperlink r:id="rId1030" ref="DE34"/>
    <hyperlink r:id="rId1031" ref="DG34"/>
    <hyperlink r:id="rId1032" ref="DI34"/>
    <hyperlink r:id="rId1033" ref="DK34"/>
    <hyperlink r:id="rId1034" ref="DM34"/>
    <hyperlink r:id="rId1035" ref="DO34"/>
    <hyperlink r:id="rId1036" ref="DQ34"/>
    <hyperlink r:id="rId1037" ref="DS34"/>
    <hyperlink r:id="rId1038" ref="DU34"/>
    <hyperlink r:id="rId1039" ref="DW34"/>
    <hyperlink r:id="rId1040" ref="DY34"/>
    <hyperlink r:id="rId1041" ref="EA34"/>
    <hyperlink r:id="rId1042" ref="EC34"/>
    <hyperlink r:id="rId1043" ref="EE34"/>
    <hyperlink r:id="rId1044" ref="EG34"/>
    <hyperlink r:id="rId1045" ref="EI34"/>
    <hyperlink r:id="rId1046" ref="EK34"/>
    <hyperlink r:id="rId1047" ref="EM34"/>
    <hyperlink r:id="rId1048" ref="EO34"/>
    <hyperlink r:id="rId1049" ref="EQ34"/>
    <hyperlink r:id="rId1050" ref="ES34"/>
    <hyperlink r:id="rId1051" ref="EU34"/>
    <hyperlink r:id="rId1052" ref="EW34"/>
    <hyperlink r:id="rId1053" ref="EY34"/>
    <hyperlink r:id="rId1054" ref="FA34"/>
    <hyperlink r:id="rId1055" ref="FC34"/>
    <hyperlink r:id="rId1056" ref="FE34"/>
    <hyperlink r:id="rId1057" ref="FG34"/>
    <hyperlink r:id="rId1058" ref="FI34"/>
    <hyperlink r:id="rId1059" ref="M35"/>
    <hyperlink r:id="rId1060" ref="O35"/>
    <hyperlink r:id="rId1061" ref="Q35"/>
    <hyperlink r:id="rId1062" ref="S35"/>
    <hyperlink r:id="rId1063" ref="U35"/>
    <hyperlink r:id="rId1064" ref="W35"/>
    <hyperlink r:id="rId1065" ref="Y35"/>
    <hyperlink r:id="rId1066" ref="AA35"/>
    <hyperlink r:id="rId1067" ref="AC35"/>
    <hyperlink r:id="rId1068" ref="AE35"/>
    <hyperlink r:id="rId1069" ref="AG35"/>
    <hyperlink r:id="rId1070" ref="AI35"/>
    <hyperlink r:id="rId1071" ref="AK35"/>
    <hyperlink r:id="rId1072" ref="AM35"/>
    <hyperlink r:id="rId1073" ref="AO35"/>
    <hyperlink r:id="rId1074" ref="AQ35"/>
    <hyperlink r:id="rId1075" ref="AS35"/>
    <hyperlink r:id="rId1076" ref="AU35"/>
    <hyperlink r:id="rId1077" ref="AW35"/>
    <hyperlink r:id="rId1078" ref="AY35"/>
    <hyperlink r:id="rId1079" ref="BA35"/>
    <hyperlink r:id="rId1080" ref="BC35"/>
    <hyperlink r:id="rId1081" ref="BE35"/>
    <hyperlink r:id="rId1082" ref="BG35"/>
    <hyperlink r:id="rId1083" ref="BI35"/>
    <hyperlink r:id="rId1084" ref="BK35"/>
    <hyperlink r:id="rId1085" ref="BM35"/>
    <hyperlink r:id="rId1086" ref="BO35"/>
    <hyperlink r:id="rId1087" ref="BQ35"/>
    <hyperlink r:id="rId1088" ref="BS35"/>
    <hyperlink r:id="rId1089" ref="BU35"/>
    <hyperlink r:id="rId1090" ref="BW35"/>
    <hyperlink r:id="rId1091" ref="BY35"/>
    <hyperlink r:id="rId1092" ref="CA35"/>
    <hyperlink r:id="rId1093" ref="CC35"/>
    <hyperlink r:id="rId1094" ref="M36"/>
    <hyperlink r:id="rId1095" ref="O36"/>
    <hyperlink r:id="rId1096" ref="Q36"/>
    <hyperlink r:id="rId1097" ref="S36"/>
    <hyperlink r:id="rId1098" ref="U36"/>
    <hyperlink r:id="rId1099" ref="W36"/>
    <hyperlink r:id="rId1100" ref="Y36"/>
    <hyperlink r:id="rId1101" ref="AA36"/>
    <hyperlink r:id="rId1102" ref="AC36"/>
    <hyperlink r:id="rId1103" ref="AE36"/>
    <hyperlink r:id="rId1104" ref="AG36"/>
    <hyperlink r:id="rId1105" ref="AI36"/>
    <hyperlink r:id="rId1106" ref="AK36"/>
    <hyperlink r:id="rId1107" ref="AM36"/>
    <hyperlink r:id="rId1108" ref="AO36"/>
    <hyperlink r:id="rId1109" ref="AQ36"/>
    <hyperlink r:id="rId1110" ref="AS36"/>
    <hyperlink r:id="rId1111" ref="AU36"/>
    <hyperlink r:id="rId1112" ref="AW36"/>
    <hyperlink r:id="rId1113" ref="AY36"/>
    <hyperlink r:id="rId1114" ref="BA36"/>
    <hyperlink r:id="rId1115" ref="BC36"/>
    <hyperlink r:id="rId1116" ref="BE36"/>
    <hyperlink r:id="rId1117" ref="BG36"/>
    <hyperlink r:id="rId1118" ref="BI36"/>
    <hyperlink r:id="rId1119" ref="BK36"/>
    <hyperlink r:id="rId1120" ref="BM36"/>
    <hyperlink r:id="rId1121" ref="BO36"/>
    <hyperlink r:id="rId1122" ref="BQ36"/>
    <hyperlink r:id="rId1123" ref="BS36"/>
    <hyperlink r:id="rId1124" ref="BU36"/>
    <hyperlink r:id="rId1125" ref="BW36"/>
    <hyperlink r:id="rId1126" ref="BY36"/>
    <hyperlink r:id="rId1127" ref="CA36"/>
    <hyperlink r:id="rId1128" ref="CC36"/>
    <hyperlink r:id="rId1129" ref="CE36"/>
    <hyperlink r:id="rId1130" ref="CG36"/>
    <hyperlink r:id="rId1131" ref="CI36"/>
    <hyperlink r:id="rId1132" ref="CK36"/>
    <hyperlink r:id="rId1133" ref="CM36"/>
    <hyperlink r:id="rId1134" ref="CO36"/>
    <hyperlink r:id="rId1135" ref="CQ36"/>
    <hyperlink r:id="rId1136" ref="CS36"/>
    <hyperlink r:id="rId1137" ref="CU36"/>
    <hyperlink r:id="rId1138" ref="CW36"/>
    <hyperlink r:id="rId1139" ref="CY36"/>
    <hyperlink r:id="rId1140" ref="DA36"/>
    <hyperlink r:id="rId1141" ref="DC36"/>
    <hyperlink r:id="rId1142" ref="DE36"/>
    <hyperlink r:id="rId1143" ref="DG36"/>
    <hyperlink r:id="rId1144" ref="DI36"/>
    <hyperlink r:id="rId1145" ref="DK36"/>
    <hyperlink r:id="rId1146" ref="DM36"/>
    <hyperlink r:id="rId1147" ref="DO36"/>
    <hyperlink r:id="rId1148" ref="DQ36"/>
    <hyperlink r:id="rId1149" ref="DS36"/>
    <hyperlink r:id="rId1150" ref="DU36"/>
    <hyperlink r:id="rId1151" ref="DW36"/>
    <hyperlink r:id="rId1152" ref="DY36"/>
    <hyperlink r:id="rId1153" ref="EA36"/>
    <hyperlink r:id="rId1154" ref="EC36"/>
    <hyperlink r:id="rId1155" ref="EE36"/>
    <hyperlink r:id="rId1156" ref="EG36"/>
    <hyperlink r:id="rId1157" ref="EI36"/>
    <hyperlink r:id="rId1158" ref="EK36"/>
    <hyperlink r:id="rId1159" ref="EM36"/>
    <hyperlink r:id="rId1160" ref="EO36"/>
    <hyperlink r:id="rId1161" ref="EQ36"/>
    <hyperlink r:id="rId1162" ref="ES36"/>
    <hyperlink r:id="rId1163" ref="EU36"/>
    <hyperlink r:id="rId1164" ref="EW36"/>
    <hyperlink r:id="rId1165" ref="EY36"/>
    <hyperlink r:id="rId1166" ref="FA36"/>
    <hyperlink r:id="rId1167" ref="FC36"/>
    <hyperlink r:id="rId1168" ref="FE36"/>
    <hyperlink r:id="rId1169" ref="FG36"/>
    <hyperlink r:id="rId1170" ref="FI36"/>
    <hyperlink r:id="rId1171" ref="FK36"/>
    <hyperlink r:id="rId1172" ref="FM36"/>
    <hyperlink r:id="rId1173" ref="FO36"/>
    <hyperlink r:id="rId1174" ref="FQ36"/>
    <hyperlink r:id="rId1175" ref="FS36"/>
    <hyperlink r:id="rId1176" ref="FU36"/>
    <hyperlink r:id="rId1177" ref="FW36"/>
    <hyperlink r:id="rId1178" ref="FY36"/>
    <hyperlink r:id="rId1179" ref="GA36"/>
    <hyperlink r:id="rId1180" ref="M37"/>
    <hyperlink r:id="rId1181" ref="O37"/>
    <hyperlink r:id="rId1182" ref="Q37"/>
    <hyperlink r:id="rId1183" ref="S37"/>
    <hyperlink r:id="rId1184" ref="U37"/>
    <hyperlink r:id="rId1185" ref="W37"/>
    <hyperlink r:id="rId1186" ref="Y37"/>
    <hyperlink r:id="rId1187" ref="AA37"/>
    <hyperlink r:id="rId1188" ref="AC37"/>
    <hyperlink r:id="rId1189" ref="AE37"/>
    <hyperlink r:id="rId1190" ref="AG37"/>
    <hyperlink r:id="rId1191" ref="AI37"/>
    <hyperlink r:id="rId1192" ref="AK37"/>
    <hyperlink r:id="rId1193" ref="AM37"/>
    <hyperlink r:id="rId1194" ref="AO37"/>
    <hyperlink r:id="rId1195" ref="AQ37"/>
    <hyperlink r:id="rId1196" ref="AS37"/>
    <hyperlink r:id="rId1197" ref="AU37"/>
    <hyperlink r:id="rId1198" ref="AW37"/>
    <hyperlink r:id="rId1199" ref="AY37"/>
    <hyperlink r:id="rId1200" ref="BA37"/>
    <hyperlink r:id="rId1201" ref="BC37"/>
    <hyperlink r:id="rId1202" ref="BE37"/>
    <hyperlink r:id="rId1203" ref="BG37"/>
    <hyperlink r:id="rId1204" ref="BI37"/>
    <hyperlink r:id="rId1205" ref="BK37"/>
    <hyperlink r:id="rId1206" ref="BM37"/>
    <hyperlink r:id="rId1207" ref="BO37"/>
    <hyperlink r:id="rId1208" ref="BQ37"/>
    <hyperlink r:id="rId1209" ref="BS37"/>
    <hyperlink r:id="rId1210" ref="BU37"/>
    <hyperlink r:id="rId1211" ref="BW37"/>
    <hyperlink r:id="rId1212" ref="BY37"/>
    <hyperlink r:id="rId1213" ref="CA37"/>
    <hyperlink r:id="rId1214" ref="CC37"/>
    <hyperlink r:id="rId1215" ref="CE37"/>
    <hyperlink r:id="rId1216" ref="CG37"/>
    <hyperlink r:id="rId1217" ref="CI37"/>
    <hyperlink r:id="rId1218" ref="CK37"/>
    <hyperlink r:id="rId1219" ref="CM37"/>
    <hyperlink r:id="rId1220" ref="CO37"/>
    <hyperlink r:id="rId1221" ref="CQ37"/>
    <hyperlink r:id="rId1222" ref="CS37"/>
    <hyperlink r:id="rId1223" ref="CU37"/>
    <hyperlink r:id="rId1224" ref="CW37"/>
    <hyperlink r:id="rId1225" ref="CY37"/>
    <hyperlink r:id="rId1226" ref="DA37"/>
    <hyperlink r:id="rId1227" ref="DC37"/>
    <hyperlink r:id="rId1228" ref="M38"/>
    <hyperlink r:id="rId1229" ref="O38"/>
    <hyperlink r:id="rId1230" ref="Q38"/>
    <hyperlink r:id="rId1231" ref="S38"/>
    <hyperlink r:id="rId1232" ref="U38"/>
    <hyperlink r:id="rId1233" ref="W38"/>
    <hyperlink r:id="rId1234" ref="Y38"/>
    <hyperlink r:id="rId1235" ref="AA38"/>
    <hyperlink r:id="rId1236" ref="AC38"/>
    <hyperlink r:id="rId1237" ref="AE38"/>
    <hyperlink r:id="rId1238" ref="AG38"/>
    <hyperlink r:id="rId1239" ref="AI38"/>
    <hyperlink r:id="rId1240" ref="AK38"/>
    <hyperlink r:id="rId1241" ref="AM38"/>
    <hyperlink r:id="rId1242" ref="M39"/>
    <hyperlink r:id="rId1243" ref="O39"/>
    <hyperlink r:id="rId1244" ref="Q39"/>
    <hyperlink r:id="rId1245" ref="S39"/>
    <hyperlink r:id="rId1246" ref="U39"/>
    <hyperlink r:id="rId1247" ref="W39"/>
    <hyperlink r:id="rId1248" ref="Y39"/>
    <hyperlink r:id="rId1249" ref="AA39"/>
    <hyperlink r:id="rId1250" ref="AC39"/>
    <hyperlink r:id="rId1251" ref="AE39"/>
    <hyperlink r:id="rId1252" ref="AG39"/>
    <hyperlink r:id="rId1253" ref="AI39"/>
    <hyperlink r:id="rId1254" ref="AK39"/>
    <hyperlink r:id="rId1255" ref="AM39"/>
    <hyperlink r:id="rId1256" ref="AO39"/>
    <hyperlink r:id="rId1257" ref="AQ39"/>
    <hyperlink r:id="rId1258" ref="AS39"/>
    <hyperlink r:id="rId1259" ref="AU39"/>
    <hyperlink r:id="rId1260" ref="AW39"/>
    <hyperlink r:id="rId1261" ref="AY39"/>
    <hyperlink r:id="rId1262" ref="M40"/>
    <hyperlink r:id="rId1263" ref="O40"/>
    <hyperlink r:id="rId1264" ref="Q40"/>
    <hyperlink r:id="rId1265" ref="S40"/>
    <hyperlink r:id="rId1266" ref="U40"/>
    <hyperlink r:id="rId1267" ref="W40"/>
    <hyperlink r:id="rId1268" ref="Y40"/>
    <hyperlink r:id="rId1269" ref="AA40"/>
    <hyperlink r:id="rId1270" ref="AC40"/>
    <hyperlink r:id="rId1271" ref="AE40"/>
    <hyperlink r:id="rId1272" ref="AG40"/>
    <hyperlink r:id="rId1273" ref="AI40"/>
    <hyperlink r:id="rId1274" ref="M41"/>
    <hyperlink r:id="rId1275" ref="O41"/>
    <hyperlink r:id="rId1276" ref="Q41"/>
    <hyperlink r:id="rId1277" ref="S41"/>
    <hyperlink r:id="rId1278" ref="U41"/>
    <hyperlink r:id="rId1279" ref="W41"/>
    <hyperlink r:id="rId1280" ref="Y41"/>
    <hyperlink r:id="rId1281" ref="AA41"/>
    <hyperlink r:id="rId1282" ref="M42"/>
    <hyperlink r:id="rId1283" ref="O42"/>
    <hyperlink r:id="rId1284" ref="Q42"/>
    <hyperlink r:id="rId1285" ref="S42"/>
    <hyperlink r:id="rId1286" ref="U42"/>
    <hyperlink r:id="rId1287" ref="W42"/>
    <hyperlink r:id="rId1288" ref="Y42"/>
    <hyperlink r:id="rId1289" ref="M43"/>
    <hyperlink r:id="rId1290" ref="O43"/>
    <hyperlink r:id="rId1291" ref="Q43"/>
    <hyperlink r:id="rId1292" ref="S43"/>
    <hyperlink r:id="rId1293" ref="U43"/>
    <hyperlink r:id="rId1294" ref="M44"/>
    <hyperlink r:id="rId1295" ref="O44"/>
    <hyperlink r:id="rId1296" ref="Q44"/>
    <hyperlink r:id="rId1297" ref="S44"/>
    <hyperlink r:id="rId1298" ref="U44"/>
    <hyperlink r:id="rId1299" ref="M45"/>
    <hyperlink r:id="rId1300" ref="O45"/>
    <hyperlink r:id="rId1301" ref="Q45"/>
    <hyperlink r:id="rId1302" ref="S45"/>
    <hyperlink r:id="rId1303" ref="U45"/>
    <hyperlink r:id="rId1304" ref="W45"/>
    <hyperlink r:id="rId1305" ref="Y45"/>
    <hyperlink r:id="rId1306" ref="M46"/>
    <hyperlink r:id="rId1307" ref="O46"/>
    <hyperlink r:id="rId1308" ref="Q46"/>
    <hyperlink r:id="rId1309" ref="S46"/>
    <hyperlink r:id="rId1310" ref="U46"/>
    <hyperlink r:id="rId1311" ref="M47"/>
    <hyperlink r:id="rId1312" ref="O47"/>
    <hyperlink r:id="rId1313" ref="Q47"/>
    <hyperlink r:id="rId1314" ref="S47"/>
    <hyperlink r:id="rId1315" ref="U47"/>
    <hyperlink r:id="rId1316" ref="W47"/>
    <hyperlink r:id="rId1317" ref="Y47"/>
    <hyperlink r:id="rId1318" ref="AA47"/>
    <hyperlink r:id="rId1319" ref="AC47"/>
    <hyperlink r:id="rId1320" ref="AE47"/>
    <hyperlink r:id="rId1321" ref="AG47"/>
    <hyperlink r:id="rId1322" ref="AI47"/>
    <hyperlink r:id="rId1323" ref="AK47"/>
    <hyperlink r:id="rId1324" ref="M48"/>
    <hyperlink r:id="rId1325" ref="O48"/>
    <hyperlink r:id="rId1326" ref="Q48"/>
    <hyperlink r:id="rId1327" ref="S48"/>
    <hyperlink r:id="rId1328" ref="M49"/>
    <hyperlink r:id="rId1329" ref="O49"/>
    <hyperlink r:id="rId1330" ref="Q49"/>
    <hyperlink r:id="rId1331" ref="S49"/>
    <hyperlink r:id="rId1332" ref="U49"/>
    <hyperlink r:id="rId1333" ref="W49"/>
    <hyperlink r:id="rId1334" ref="Y49"/>
    <hyperlink r:id="rId1335" ref="AA49"/>
    <hyperlink r:id="rId1336" ref="AC49"/>
    <hyperlink r:id="rId1337" ref="AE49"/>
    <hyperlink r:id="rId1338" ref="AG49"/>
    <hyperlink r:id="rId1339" ref="AI49"/>
    <hyperlink r:id="rId1340" ref="AK49"/>
    <hyperlink r:id="rId1341" ref="AM49"/>
    <hyperlink r:id="rId1342" ref="AO49"/>
    <hyperlink r:id="rId1343" ref="AQ49"/>
    <hyperlink r:id="rId1344" ref="AS49"/>
    <hyperlink r:id="rId1345" ref="AU49"/>
    <hyperlink r:id="rId1346" ref="AW49"/>
    <hyperlink r:id="rId1347" ref="AY49"/>
    <hyperlink r:id="rId1348" ref="BA49"/>
    <hyperlink r:id="rId1349" ref="BC49"/>
    <hyperlink r:id="rId1350" ref="BE49"/>
    <hyperlink r:id="rId1351" ref="BG49"/>
    <hyperlink r:id="rId1352" ref="BI49"/>
    <hyperlink r:id="rId1353" ref="BK49"/>
    <hyperlink r:id="rId1354" ref="BM49"/>
    <hyperlink r:id="rId1355" ref="BO49"/>
    <hyperlink r:id="rId1356" ref="BQ49"/>
    <hyperlink r:id="rId1357" ref="BS49"/>
    <hyperlink r:id="rId1358" ref="BU49"/>
    <hyperlink r:id="rId1359" ref="BW49"/>
    <hyperlink r:id="rId1360" ref="BY49"/>
    <hyperlink r:id="rId1361" ref="CA49"/>
    <hyperlink r:id="rId1362" ref="CC49"/>
    <hyperlink r:id="rId1363" ref="M50"/>
    <hyperlink r:id="rId1364" ref="O50"/>
    <hyperlink r:id="rId1365" ref="Q50"/>
    <hyperlink r:id="rId1366" ref="S50"/>
    <hyperlink r:id="rId1367" ref="U50"/>
    <hyperlink r:id="rId1368" ref="W50"/>
    <hyperlink r:id="rId1369" ref="Y50"/>
    <hyperlink r:id="rId1370" ref="AA50"/>
    <hyperlink r:id="rId1371" ref="AC50"/>
    <hyperlink r:id="rId1372" ref="AE50"/>
    <hyperlink r:id="rId1373" ref="AG50"/>
    <hyperlink r:id="rId1374" ref="AI50"/>
    <hyperlink r:id="rId1375" ref="AK50"/>
    <hyperlink r:id="rId1376" ref="AM50"/>
    <hyperlink r:id="rId1377" ref="AO50"/>
    <hyperlink r:id="rId1378" ref="AQ50"/>
    <hyperlink r:id="rId1379" ref="AS50"/>
    <hyperlink r:id="rId1380" ref="AU50"/>
    <hyperlink r:id="rId1381" ref="AW50"/>
    <hyperlink r:id="rId1382" ref="AY50"/>
    <hyperlink r:id="rId1383" ref="BA50"/>
    <hyperlink r:id="rId1384" ref="BC50"/>
    <hyperlink r:id="rId1385" ref="BE50"/>
    <hyperlink r:id="rId1386" ref="BG50"/>
    <hyperlink r:id="rId1387" ref="BI50"/>
    <hyperlink r:id="rId1388" ref="BK50"/>
    <hyperlink r:id="rId1389" ref="BM50"/>
    <hyperlink r:id="rId1390" ref="BO50"/>
    <hyperlink r:id="rId1391" ref="BQ50"/>
    <hyperlink r:id="rId1392" ref="BS50"/>
    <hyperlink r:id="rId1393" ref="BU50"/>
    <hyperlink r:id="rId1394" ref="BW50"/>
    <hyperlink r:id="rId1395" ref="BY50"/>
    <hyperlink r:id="rId1396" ref="CA50"/>
    <hyperlink r:id="rId1397" ref="CC50"/>
    <hyperlink r:id="rId1398" ref="CE50"/>
    <hyperlink r:id="rId1399" ref="CG50"/>
    <hyperlink r:id="rId1400" ref="CI50"/>
    <hyperlink r:id="rId1401" ref="CK50"/>
    <hyperlink r:id="rId1402" ref="CM50"/>
    <hyperlink r:id="rId1403" ref="CO50"/>
    <hyperlink r:id="rId1404" ref="CQ50"/>
    <hyperlink r:id="rId1405" ref="CS50"/>
    <hyperlink r:id="rId1406" ref="CU50"/>
    <hyperlink r:id="rId1407" ref="CW50"/>
    <hyperlink r:id="rId1408" ref="CY50"/>
    <hyperlink r:id="rId1409" ref="DA50"/>
    <hyperlink r:id="rId1410" ref="DC50"/>
    <hyperlink r:id="rId1411" ref="DE50"/>
    <hyperlink r:id="rId1412" ref="DG50"/>
    <hyperlink r:id="rId1413" ref="DI50"/>
    <hyperlink r:id="rId1414" ref="DK50"/>
    <hyperlink r:id="rId1415" ref="M51"/>
    <hyperlink r:id="rId1416" ref="O51"/>
    <hyperlink r:id="rId1417" ref="Q51"/>
    <hyperlink r:id="rId1418" ref="S51"/>
    <hyperlink r:id="rId1419" ref="U51"/>
    <hyperlink r:id="rId1420" ref="W51"/>
    <hyperlink r:id="rId1421" ref="Y51"/>
    <hyperlink r:id="rId1422" ref="AA51"/>
    <hyperlink r:id="rId1423" ref="AC51"/>
    <hyperlink r:id="rId1424" ref="AE51"/>
    <hyperlink r:id="rId1425" ref="AG51"/>
    <hyperlink r:id="rId1426" ref="AI51"/>
    <hyperlink r:id="rId1427" ref="AK51"/>
    <hyperlink r:id="rId1428" ref="AM51"/>
    <hyperlink r:id="rId1429" ref="AO51"/>
    <hyperlink r:id="rId1430" ref="AQ51"/>
    <hyperlink r:id="rId1431" ref="AS51"/>
    <hyperlink r:id="rId1432" ref="AU51"/>
    <hyperlink r:id="rId1433" ref="AW51"/>
    <hyperlink r:id="rId1434" ref="AY51"/>
    <hyperlink r:id="rId1435" ref="BA51"/>
    <hyperlink r:id="rId1436" ref="BC51"/>
    <hyperlink r:id="rId1437" ref="BE51"/>
    <hyperlink r:id="rId1438" ref="BG51"/>
    <hyperlink r:id="rId1439" ref="BI51"/>
    <hyperlink r:id="rId1440" ref="BK51"/>
    <hyperlink r:id="rId1441" ref="BM51"/>
    <hyperlink r:id="rId1442" ref="BO51"/>
    <hyperlink r:id="rId1443" ref="BQ51"/>
    <hyperlink r:id="rId1444" ref="BS51"/>
    <hyperlink r:id="rId1445" ref="BU51"/>
    <hyperlink r:id="rId1446" ref="BW51"/>
    <hyperlink r:id="rId1447" ref="BY51"/>
    <hyperlink r:id="rId1448" ref="CA51"/>
    <hyperlink r:id="rId1449" ref="CC51"/>
    <hyperlink r:id="rId1450" ref="CE51"/>
    <hyperlink r:id="rId1451" ref="CG51"/>
    <hyperlink r:id="rId1452" ref="CI51"/>
    <hyperlink r:id="rId1453" ref="CK51"/>
    <hyperlink r:id="rId1454" ref="CM51"/>
    <hyperlink r:id="rId1455" ref="CO51"/>
    <hyperlink r:id="rId1456" ref="CQ51"/>
    <hyperlink r:id="rId1457" ref="CS51"/>
    <hyperlink r:id="rId1458" ref="CU51"/>
    <hyperlink r:id="rId1459" ref="CW51"/>
    <hyperlink r:id="rId1460" ref="CY51"/>
    <hyperlink r:id="rId1461" ref="DA51"/>
    <hyperlink r:id="rId1462" ref="DC51"/>
    <hyperlink r:id="rId1463" ref="DE51"/>
    <hyperlink r:id="rId1464" ref="DG51"/>
    <hyperlink r:id="rId1465" ref="DI51"/>
    <hyperlink r:id="rId1466" ref="DK51"/>
    <hyperlink r:id="rId1467" ref="DM51"/>
    <hyperlink r:id="rId1468" ref="DO51"/>
    <hyperlink r:id="rId1469" ref="DQ51"/>
    <hyperlink r:id="rId1470" ref="DS51"/>
    <hyperlink r:id="rId1471" ref="DU51"/>
    <hyperlink r:id="rId1472" ref="DW51"/>
    <hyperlink r:id="rId1473" ref="DY51"/>
    <hyperlink r:id="rId1474" ref="EA51"/>
    <hyperlink r:id="rId1475" ref="EC51"/>
    <hyperlink r:id="rId1476" ref="EE51"/>
    <hyperlink r:id="rId1477" ref="EG51"/>
    <hyperlink r:id="rId1478" ref="EI51"/>
    <hyperlink r:id="rId1479" ref="M52"/>
    <hyperlink r:id="rId1480" ref="O52"/>
    <hyperlink r:id="rId1481" ref="Q52"/>
    <hyperlink r:id="rId1482" ref="S52"/>
    <hyperlink r:id="rId1483" ref="U52"/>
    <hyperlink r:id="rId1484" ref="W52"/>
    <hyperlink r:id="rId1485" ref="Y52"/>
    <hyperlink r:id="rId1486" ref="AA52"/>
    <hyperlink r:id="rId1487" ref="AC52"/>
    <hyperlink r:id="rId1488" ref="AE52"/>
    <hyperlink r:id="rId1489" ref="AG52"/>
    <hyperlink r:id="rId1490" ref="AI52"/>
    <hyperlink r:id="rId1491" ref="AK52"/>
    <hyperlink r:id="rId1492" ref="AM52"/>
    <hyperlink r:id="rId1493" ref="AO52"/>
    <hyperlink r:id="rId1494" ref="AQ52"/>
    <hyperlink r:id="rId1495" ref="AS52"/>
    <hyperlink r:id="rId1496" ref="AU52"/>
    <hyperlink r:id="rId1497" ref="AW52"/>
    <hyperlink r:id="rId1498" ref="AY52"/>
    <hyperlink r:id="rId1499" ref="BA52"/>
    <hyperlink r:id="rId1500" ref="BC52"/>
    <hyperlink r:id="rId1501" ref="BE52"/>
    <hyperlink r:id="rId1502" ref="BG52"/>
    <hyperlink r:id="rId1503" ref="BI52"/>
    <hyperlink r:id="rId1504" ref="BK52"/>
    <hyperlink r:id="rId1505" ref="BM52"/>
    <hyperlink r:id="rId1506" ref="BO52"/>
    <hyperlink r:id="rId1507" ref="BQ52"/>
    <hyperlink r:id="rId1508" ref="BS52"/>
    <hyperlink r:id="rId1509" ref="BU52"/>
    <hyperlink r:id="rId1510" ref="BW52"/>
    <hyperlink r:id="rId1511" ref="BY52"/>
    <hyperlink r:id="rId1512" ref="CA52"/>
    <hyperlink r:id="rId1513" ref="CC52"/>
    <hyperlink r:id="rId1514" ref="CE52"/>
    <hyperlink r:id="rId1515" ref="CG52"/>
    <hyperlink r:id="rId1516" ref="CI52"/>
    <hyperlink r:id="rId1517" ref="CK52"/>
    <hyperlink r:id="rId1518" ref="CM52"/>
    <hyperlink r:id="rId1519" ref="CO52"/>
    <hyperlink r:id="rId1520" ref="CQ52"/>
    <hyperlink r:id="rId1521" ref="CS52"/>
    <hyperlink r:id="rId1522" ref="CU52"/>
    <hyperlink r:id="rId1523" ref="CW52"/>
    <hyperlink r:id="rId1524" ref="CY52"/>
    <hyperlink r:id="rId1525" ref="DA52"/>
    <hyperlink r:id="rId1526" ref="DC52"/>
    <hyperlink r:id="rId1527" ref="DE52"/>
    <hyperlink r:id="rId1528" ref="DG52"/>
    <hyperlink r:id="rId1529" ref="DI52"/>
    <hyperlink r:id="rId1530" ref="DK52"/>
    <hyperlink r:id="rId1531" ref="DM52"/>
    <hyperlink r:id="rId1532" ref="DO52"/>
    <hyperlink r:id="rId1533" ref="DQ52"/>
    <hyperlink r:id="rId1534" ref="DS52"/>
    <hyperlink r:id="rId1535" ref="DU52"/>
    <hyperlink r:id="rId1536" ref="DW52"/>
    <hyperlink r:id="rId1537" ref="DY52"/>
    <hyperlink r:id="rId1538" ref="EA52"/>
    <hyperlink r:id="rId1539" ref="EC52"/>
    <hyperlink r:id="rId1540" ref="EE52"/>
    <hyperlink r:id="rId1541" ref="EG52"/>
    <hyperlink r:id="rId1542" ref="M53"/>
    <hyperlink r:id="rId1543" ref="O53"/>
    <hyperlink r:id="rId1544" ref="Q53"/>
    <hyperlink r:id="rId1545" ref="S53"/>
    <hyperlink r:id="rId1546" ref="U53"/>
    <hyperlink r:id="rId1547" ref="W53"/>
    <hyperlink r:id="rId1548" ref="Y53"/>
    <hyperlink r:id="rId1549" ref="AA53"/>
    <hyperlink r:id="rId1550" ref="AC53"/>
    <hyperlink r:id="rId1551" ref="AE53"/>
    <hyperlink r:id="rId1552" ref="AG53"/>
    <hyperlink r:id="rId1553" ref="AI53"/>
    <hyperlink r:id="rId1554" ref="AK53"/>
    <hyperlink r:id="rId1555" ref="AM53"/>
    <hyperlink r:id="rId1556" ref="AO53"/>
    <hyperlink r:id="rId1557" ref="AQ53"/>
    <hyperlink r:id="rId1558" ref="AS53"/>
    <hyperlink r:id="rId1559" ref="AU53"/>
    <hyperlink r:id="rId1560" ref="AW53"/>
    <hyperlink r:id="rId1561" ref="AY53"/>
    <hyperlink r:id="rId1562" ref="BA53"/>
    <hyperlink r:id="rId1563" ref="BC53"/>
    <hyperlink r:id="rId1564" ref="BE53"/>
    <hyperlink r:id="rId1565" ref="BG53"/>
    <hyperlink r:id="rId1566" ref="BI53"/>
    <hyperlink r:id="rId1567" ref="BK53"/>
    <hyperlink r:id="rId1568" ref="BM53"/>
    <hyperlink r:id="rId1569" ref="BO53"/>
    <hyperlink r:id="rId1570" ref="BQ53"/>
    <hyperlink r:id="rId1571" ref="BS53"/>
    <hyperlink r:id="rId1572" ref="BU53"/>
    <hyperlink r:id="rId1573" ref="BW53"/>
    <hyperlink r:id="rId1574" ref="BY53"/>
    <hyperlink r:id="rId1575" ref="CA53"/>
    <hyperlink r:id="rId1576" ref="CC53"/>
    <hyperlink r:id="rId1577" ref="CE53"/>
    <hyperlink r:id="rId1578" ref="CG53"/>
    <hyperlink r:id="rId1579" ref="CI53"/>
    <hyperlink r:id="rId1580" ref="CK53"/>
    <hyperlink r:id="rId1581" ref="CM53"/>
    <hyperlink r:id="rId1582" ref="CO53"/>
    <hyperlink r:id="rId1583" ref="CQ53"/>
    <hyperlink r:id="rId1584" ref="CS53"/>
    <hyperlink r:id="rId1585" ref="CU53"/>
    <hyperlink r:id="rId1586" ref="CW53"/>
    <hyperlink r:id="rId1587" ref="CY53"/>
    <hyperlink r:id="rId1588" ref="DA53"/>
    <hyperlink r:id="rId1589" ref="DC53"/>
    <hyperlink r:id="rId1590" ref="DE53"/>
    <hyperlink r:id="rId1591" ref="DG53"/>
    <hyperlink r:id="rId1592" ref="DI53"/>
    <hyperlink r:id="rId1593" ref="DK53"/>
    <hyperlink r:id="rId1594" ref="DM53"/>
    <hyperlink r:id="rId1595" ref="DO53"/>
    <hyperlink r:id="rId1596" ref="DQ53"/>
    <hyperlink r:id="rId1597" ref="DS53"/>
    <hyperlink r:id="rId1598" ref="DU53"/>
    <hyperlink r:id="rId1599" ref="DW53"/>
    <hyperlink r:id="rId1600" ref="DY53"/>
    <hyperlink r:id="rId1601" ref="EA53"/>
    <hyperlink r:id="rId1602" ref="EC53"/>
    <hyperlink r:id="rId1603" ref="EE53"/>
    <hyperlink r:id="rId1604" ref="EG53"/>
    <hyperlink r:id="rId1605" ref="EI53"/>
    <hyperlink r:id="rId1606" ref="EK53"/>
    <hyperlink r:id="rId1607" ref="EM53"/>
    <hyperlink r:id="rId1608" ref="EO53"/>
    <hyperlink r:id="rId1609" ref="EQ53"/>
    <hyperlink r:id="rId1610" ref="ES53"/>
    <hyperlink r:id="rId1611" ref="EU53"/>
    <hyperlink r:id="rId1612" ref="EW53"/>
    <hyperlink r:id="rId1613" ref="EY53"/>
    <hyperlink r:id="rId1614" ref="FA53"/>
    <hyperlink r:id="rId1615" ref="FC53"/>
    <hyperlink r:id="rId1616" ref="FE53"/>
    <hyperlink r:id="rId1617" ref="FG53"/>
    <hyperlink r:id="rId1618" ref="FI53"/>
    <hyperlink r:id="rId1619" ref="FK53"/>
    <hyperlink r:id="rId1620" ref="FM53"/>
    <hyperlink r:id="rId1621" ref="FO53"/>
    <hyperlink r:id="rId1622" ref="FQ53"/>
    <hyperlink r:id="rId1623" ref="FS53"/>
    <hyperlink r:id="rId1624" ref="FU53"/>
    <hyperlink r:id="rId1625" ref="FW53"/>
    <hyperlink r:id="rId1626" ref="FY53"/>
    <hyperlink r:id="rId1627" ref="M54"/>
    <hyperlink r:id="rId1628" ref="O54"/>
    <hyperlink r:id="rId1629" ref="Q54"/>
    <hyperlink r:id="rId1630" ref="S54"/>
    <hyperlink r:id="rId1631" ref="U54"/>
    <hyperlink r:id="rId1632" ref="W54"/>
    <hyperlink r:id="rId1633" ref="Y54"/>
    <hyperlink r:id="rId1634" ref="AA54"/>
    <hyperlink r:id="rId1635" ref="AC54"/>
    <hyperlink r:id="rId1636" ref="AE54"/>
    <hyperlink r:id="rId1637" ref="AG54"/>
    <hyperlink r:id="rId1638" ref="AI54"/>
    <hyperlink r:id="rId1639" ref="AK54"/>
    <hyperlink r:id="rId1640" ref="AM54"/>
    <hyperlink r:id="rId1641" ref="AO54"/>
    <hyperlink r:id="rId1642" ref="AQ54"/>
    <hyperlink r:id="rId1643" ref="AS54"/>
    <hyperlink r:id="rId1644" ref="AU54"/>
    <hyperlink r:id="rId1645" ref="AW54"/>
    <hyperlink r:id="rId1646" ref="M55"/>
    <hyperlink r:id="rId1647" ref="O55"/>
    <hyperlink r:id="rId1648" ref="Q55"/>
    <hyperlink r:id="rId1649" ref="S55"/>
    <hyperlink r:id="rId1650" ref="U55"/>
    <hyperlink r:id="rId1651" ref="W55"/>
    <hyperlink r:id="rId1652" ref="Y55"/>
    <hyperlink r:id="rId1653" ref="AA55"/>
    <hyperlink r:id="rId1654" ref="AC55"/>
    <hyperlink r:id="rId1655" ref="AE55"/>
    <hyperlink r:id="rId1656" ref="AG55"/>
    <hyperlink r:id="rId1657" ref="AI55"/>
    <hyperlink r:id="rId1658" ref="AK55"/>
    <hyperlink r:id="rId1659" ref="AM55"/>
    <hyperlink r:id="rId1660" ref="AO55"/>
    <hyperlink r:id="rId1661" ref="AQ55"/>
    <hyperlink r:id="rId1662" ref="AS55"/>
    <hyperlink r:id="rId1663" ref="AU55"/>
    <hyperlink r:id="rId1664" ref="AW55"/>
    <hyperlink r:id="rId1665" ref="AY55"/>
    <hyperlink r:id="rId1666" ref="BA55"/>
    <hyperlink r:id="rId1667" ref="BC55"/>
    <hyperlink r:id="rId1668" ref="BE55"/>
    <hyperlink r:id="rId1669" ref="BG55"/>
    <hyperlink r:id="rId1670" ref="BI55"/>
    <hyperlink r:id="rId1671" ref="BK55"/>
    <hyperlink r:id="rId1672" ref="M56"/>
    <hyperlink r:id="rId1673" ref="O56"/>
    <hyperlink r:id="rId1674" ref="Q56"/>
    <hyperlink r:id="rId1675" ref="S56"/>
    <hyperlink r:id="rId1676" ref="U56"/>
    <hyperlink r:id="rId1677" ref="W56"/>
    <hyperlink r:id="rId1678" ref="Y56"/>
    <hyperlink r:id="rId1679" ref="AA56"/>
    <hyperlink r:id="rId1680" ref="AC56"/>
    <hyperlink r:id="rId1681" ref="AE56"/>
    <hyperlink r:id="rId1682" ref="AG56"/>
    <hyperlink r:id="rId1683" ref="AI56"/>
    <hyperlink r:id="rId1684" ref="AK56"/>
    <hyperlink r:id="rId1685" ref="AM56"/>
    <hyperlink r:id="rId1686" ref="AO56"/>
    <hyperlink r:id="rId1687" ref="AQ56"/>
    <hyperlink r:id="rId1688" ref="AS56"/>
    <hyperlink r:id="rId1689" ref="AU56"/>
    <hyperlink r:id="rId1690" ref="AW56"/>
    <hyperlink r:id="rId1691" ref="AY56"/>
    <hyperlink r:id="rId1692" ref="BA56"/>
    <hyperlink r:id="rId1693" ref="BC56"/>
    <hyperlink r:id="rId1694" ref="BE56"/>
    <hyperlink r:id="rId1695" ref="BG56"/>
    <hyperlink r:id="rId1696" ref="BI56"/>
    <hyperlink r:id="rId1697" ref="BK56"/>
    <hyperlink r:id="rId1698" ref="BM56"/>
    <hyperlink r:id="rId1699" ref="BO56"/>
    <hyperlink r:id="rId1700" ref="BQ56"/>
    <hyperlink r:id="rId1701" ref="BS56"/>
    <hyperlink r:id="rId1702" ref="BU56"/>
    <hyperlink r:id="rId1703" ref="BW56"/>
    <hyperlink r:id="rId1704" ref="BY56"/>
    <hyperlink r:id="rId1705" ref="CA56"/>
    <hyperlink r:id="rId1706" ref="CC56"/>
    <hyperlink r:id="rId1707" ref="CE56"/>
    <hyperlink r:id="rId1708" ref="CG56"/>
    <hyperlink r:id="rId1709" ref="CI56"/>
    <hyperlink r:id="rId1710" ref="CK56"/>
    <hyperlink r:id="rId1711" ref="CM56"/>
    <hyperlink r:id="rId1712" ref="CO56"/>
    <hyperlink r:id="rId1713" ref="CQ56"/>
    <hyperlink r:id="rId1714" ref="CS56"/>
    <hyperlink r:id="rId1715" ref="CU56"/>
    <hyperlink r:id="rId1716" ref="CW56"/>
    <hyperlink r:id="rId1717" ref="CY56"/>
    <hyperlink r:id="rId1718" ref="DA56"/>
    <hyperlink r:id="rId1719" ref="DC56"/>
    <hyperlink r:id="rId1720" ref="DE56"/>
    <hyperlink r:id="rId1721" ref="DG56"/>
    <hyperlink r:id="rId1722" ref="DI56"/>
    <hyperlink r:id="rId1723" ref="DK56"/>
    <hyperlink r:id="rId1724" ref="M57"/>
    <hyperlink r:id="rId1725" ref="O57"/>
    <hyperlink r:id="rId1726" ref="Q57"/>
    <hyperlink r:id="rId1727" ref="S57"/>
    <hyperlink r:id="rId1728" ref="U57"/>
    <hyperlink r:id="rId1729" ref="W57"/>
    <hyperlink r:id="rId1730" ref="Y57"/>
    <hyperlink r:id="rId1731" ref="AA57"/>
    <hyperlink r:id="rId1732" ref="AC57"/>
    <hyperlink r:id="rId1733" ref="AE57"/>
    <hyperlink r:id="rId1734" ref="AG57"/>
    <hyperlink r:id="rId1735" ref="AI57"/>
    <hyperlink r:id="rId1736" ref="AK57"/>
    <hyperlink r:id="rId1737" ref="AM57"/>
    <hyperlink r:id="rId1738" ref="AO57"/>
    <hyperlink r:id="rId1739" ref="AQ57"/>
    <hyperlink r:id="rId1740" ref="AS57"/>
    <hyperlink r:id="rId1741" ref="AU57"/>
    <hyperlink r:id="rId1742" ref="AW57"/>
    <hyperlink r:id="rId1743" ref="AY57"/>
    <hyperlink r:id="rId1744" ref="BA57"/>
    <hyperlink r:id="rId1745" ref="BC57"/>
    <hyperlink r:id="rId1746" ref="BE57"/>
    <hyperlink r:id="rId1747" ref="BG57"/>
    <hyperlink r:id="rId1748" ref="BI57"/>
    <hyperlink r:id="rId1749" ref="BK57"/>
    <hyperlink r:id="rId1750" ref="BM57"/>
    <hyperlink r:id="rId1751" ref="BO57"/>
    <hyperlink r:id="rId1752" ref="BQ57"/>
    <hyperlink r:id="rId1753" ref="BS57"/>
    <hyperlink r:id="rId1754" ref="BU57"/>
    <hyperlink r:id="rId1755" ref="BW57"/>
    <hyperlink r:id="rId1756" ref="BY57"/>
    <hyperlink r:id="rId1757" ref="CA57"/>
    <hyperlink r:id="rId1758" ref="CC57"/>
    <hyperlink r:id="rId1759" ref="CE57"/>
    <hyperlink r:id="rId1760" ref="CG57"/>
    <hyperlink r:id="rId1761" ref="CI57"/>
    <hyperlink r:id="rId1762" ref="CK57"/>
    <hyperlink r:id="rId1763" ref="CM57"/>
    <hyperlink r:id="rId1764" ref="CO57"/>
    <hyperlink r:id="rId1765" ref="CQ57"/>
    <hyperlink r:id="rId1766" ref="CS57"/>
    <hyperlink r:id="rId1767" ref="CU57"/>
    <hyperlink r:id="rId1768" ref="CW57"/>
    <hyperlink r:id="rId1769" ref="CY57"/>
    <hyperlink r:id="rId1770" ref="DA57"/>
    <hyperlink r:id="rId1771" ref="DC57"/>
    <hyperlink r:id="rId1772" ref="DE57"/>
    <hyperlink r:id="rId1773" ref="DG57"/>
    <hyperlink r:id="rId1774" ref="DI57"/>
    <hyperlink r:id="rId1775" ref="DK57"/>
    <hyperlink r:id="rId1776" ref="DM57"/>
    <hyperlink r:id="rId1777" ref="M58"/>
    <hyperlink r:id="rId1778" ref="O58"/>
    <hyperlink r:id="rId1779" ref="Q58"/>
    <hyperlink r:id="rId1780" ref="S58"/>
    <hyperlink r:id="rId1781" ref="U58"/>
    <hyperlink r:id="rId1782" ref="W58"/>
    <hyperlink r:id="rId1783" ref="Y58"/>
    <hyperlink r:id="rId1784" ref="AA58"/>
    <hyperlink r:id="rId1785" ref="AC58"/>
    <hyperlink r:id="rId1786" ref="AE58"/>
    <hyperlink r:id="rId1787" ref="AG58"/>
    <hyperlink r:id="rId1788" ref="AI58"/>
    <hyperlink r:id="rId1789" ref="AK58"/>
    <hyperlink r:id="rId1790" ref="AM58"/>
    <hyperlink r:id="rId1791" ref="AO58"/>
    <hyperlink r:id="rId1792" ref="AQ58"/>
    <hyperlink r:id="rId1793" ref="AS58"/>
    <hyperlink r:id="rId1794" ref="AU58"/>
    <hyperlink r:id="rId1795" ref="AW58"/>
    <hyperlink r:id="rId1796" ref="AY58"/>
    <hyperlink r:id="rId1797" ref="BA58"/>
    <hyperlink r:id="rId1798" ref="BC58"/>
    <hyperlink r:id="rId1799" ref="BE58"/>
    <hyperlink r:id="rId1800" ref="BG58"/>
    <hyperlink r:id="rId1801" ref="BI58"/>
    <hyperlink r:id="rId1802" ref="BK58"/>
    <hyperlink r:id="rId1803" ref="BM58"/>
    <hyperlink r:id="rId1804" ref="BO58"/>
    <hyperlink r:id="rId1805" ref="BQ58"/>
    <hyperlink r:id="rId1806" ref="BS58"/>
    <hyperlink r:id="rId1807" ref="BU58"/>
    <hyperlink r:id="rId1808" ref="BW58"/>
    <hyperlink r:id="rId1809" ref="BY58"/>
    <hyperlink r:id="rId1810" ref="CA58"/>
    <hyperlink r:id="rId1811" ref="CC58"/>
    <hyperlink r:id="rId1812" ref="CE58"/>
    <hyperlink r:id="rId1813" ref="CG58"/>
    <hyperlink r:id="rId1814" ref="CI58"/>
    <hyperlink r:id="rId1815" ref="CK58"/>
    <hyperlink r:id="rId1816" ref="CM58"/>
    <hyperlink r:id="rId1817" ref="CO58"/>
    <hyperlink r:id="rId1818" ref="CQ58"/>
    <hyperlink r:id="rId1819" ref="CS58"/>
    <hyperlink r:id="rId1820" ref="CU58"/>
    <hyperlink r:id="rId1821" ref="CW58"/>
    <hyperlink r:id="rId1822" ref="CY58"/>
    <hyperlink r:id="rId1823" ref="DA58"/>
    <hyperlink r:id="rId1824" ref="DC58"/>
    <hyperlink r:id="rId1825" ref="DE58"/>
    <hyperlink r:id="rId1826" ref="DG58"/>
    <hyperlink r:id="rId1827" ref="DI58"/>
    <hyperlink r:id="rId1828" ref="DK58"/>
    <hyperlink r:id="rId1829" ref="DM58"/>
    <hyperlink r:id="rId1830" ref="DO58"/>
    <hyperlink r:id="rId1831" ref="DQ58"/>
    <hyperlink r:id="rId1832" ref="DS58"/>
    <hyperlink r:id="rId1833" ref="DU58"/>
    <hyperlink r:id="rId1834" ref="DW58"/>
    <hyperlink r:id="rId1835" ref="DY58"/>
    <hyperlink r:id="rId1836" ref="EA58"/>
    <hyperlink r:id="rId1837" ref="EC58"/>
    <hyperlink r:id="rId1838" ref="EE58"/>
    <hyperlink r:id="rId1839" ref="EG58"/>
    <hyperlink r:id="rId1840" ref="EI58"/>
    <hyperlink r:id="rId1841" ref="EK58"/>
    <hyperlink r:id="rId1842" ref="EM58"/>
    <hyperlink r:id="rId1843" ref="M59"/>
    <hyperlink r:id="rId1844" ref="O59"/>
    <hyperlink r:id="rId1845" ref="Q59"/>
    <hyperlink r:id="rId1846" ref="S59"/>
    <hyperlink r:id="rId1847" ref="U59"/>
    <hyperlink r:id="rId1848" ref="W59"/>
    <hyperlink r:id="rId1849" ref="Y59"/>
    <hyperlink r:id="rId1850" ref="AA59"/>
    <hyperlink r:id="rId1851" ref="AC59"/>
    <hyperlink r:id="rId1852" ref="AE59"/>
    <hyperlink r:id="rId1853" ref="AG59"/>
    <hyperlink r:id="rId1854" ref="AI59"/>
    <hyperlink r:id="rId1855" ref="AK59"/>
    <hyperlink r:id="rId1856" ref="AM59"/>
    <hyperlink r:id="rId1857" ref="AO59"/>
    <hyperlink r:id="rId1858" ref="AQ59"/>
    <hyperlink r:id="rId1859" ref="AS59"/>
    <hyperlink r:id="rId1860" ref="AU59"/>
    <hyperlink r:id="rId1861" ref="AW59"/>
    <hyperlink r:id="rId1862" ref="AY59"/>
    <hyperlink r:id="rId1863" ref="BA59"/>
    <hyperlink r:id="rId1864" ref="BC59"/>
    <hyperlink r:id="rId1865" ref="BE59"/>
    <hyperlink r:id="rId1866" ref="BG59"/>
    <hyperlink r:id="rId1867" ref="BI59"/>
    <hyperlink r:id="rId1868" ref="BK59"/>
    <hyperlink r:id="rId1869" ref="BM59"/>
    <hyperlink r:id="rId1870" ref="BO59"/>
    <hyperlink r:id="rId1871" ref="BQ59"/>
    <hyperlink r:id="rId1872" ref="BS59"/>
    <hyperlink r:id="rId1873" ref="BU59"/>
    <hyperlink r:id="rId1874" ref="BW59"/>
    <hyperlink r:id="rId1875" ref="M60"/>
    <hyperlink r:id="rId1876" ref="O60"/>
    <hyperlink r:id="rId1877" ref="Q60"/>
    <hyperlink r:id="rId1878" ref="S60"/>
    <hyperlink r:id="rId1879" ref="U60"/>
    <hyperlink r:id="rId1880" ref="W60"/>
    <hyperlink r:id="rId1881" ref="Y60"/>
    <hyperlink r:id="rId1882" ref="AA60"/>
    <hyperlink r:id="rId1883" ref="AC60"/>
    <hyperlink r:id="rId1884" ref="AE60"/>
    <hyperlink r:id="rId1885" ref="AG60"/>
    <hyperlink r:id="rId1886" ref="AI60"/>
    <hyperlink r:id="rId1887" ref="AK60"/>
    <hyperlink r:id="rId1888" ref="AM60"/>
    <hyperlink r:id="rId1889" ref="AO60"/>
    <hyperlink r:id="rId1890" ref="AQ60"/>
    <hyperlink r:id="rId1891" ref="AS60"/>
    <hyperlink r:id="rId1892" ref="AU60"/>
    <hyperlink r:id="rId1893" ref="AW60"/>
    <hyperlink r:id="rId1894" ref="AY60"/>
    <hyperlink r:id="rId1895" ref="BA60"/>
    <hyperlink r:id="rId1896" ref="BC60"/>
    <hyperlink r:id="rId1897" ref="BE60"/>
    <hyperlink r:id="rId1898" ref="BG60"/>
    <hyperlink r:id="rId1899" ref="BI60"/>
    <hyperlink r:id="rId1900" ref="BK60"/>
    <hyperlink r:id="rId1901" ref="BM60"/>
    <hyperlink r:id="rId1902" ref="BO60"/>
    <hyperlink r:id="rId1903" ref="BQ60"/>
    <hyperlink r:id="rId1904" ref="BS60"/>
    <hyperlink r:id="rId1905" ref="BU60"/>
    <hyperlink r:id="rId1906" ref="BW60"/>
    <hyperlink r:id="rId1907" ref="BY60"/>
    <hyperlink r:id="rId1908" ref="CA60"/>
    <hyperlink r:id="rId1909" ref="CC60"/>
    <hyperlink r:id="rId1910" ref="CE60"/>
    <hyperlink r:id="rId1911" ref="CG60"/>
    <hyperlink r:id="rId1912" ref="CI60"/>
    <hyperlink r:id="rId1913" ref="M61"/>
    <hyperlink r:id="rId1914" ref="O61"/>
    <hyperlink r:id="rId1915" ref="Q61"/>
    <hyperlink r:id="rId1916" ref="S61"/>
    <hyperlink r:id="rId1917" ref="U61"/>
    <hyperlink r:id="rId1918" ref="W61"/>
    <hyperlink r:id="rId1919" ref="Y61"/>
    <hyperlink r:id="rId1920" ref="AA61"/>
    <hyperlink r:id="rId1921" ref="AC61"/>
    <hyperlink r:id="rId1922" ref="AE61"/>
    <hyperlink r:id="rId1923" ref="AG61"/>
    <hyperlink r:id="rId1924" ref="AI61"/>
    <hyperlink r:id="rId1925" ref="AK61"/>
    <hyperlink r:id="rId1926" ref="AM61"/>
    <hyperlink r:id="rId1927" ref="AO61"/>
    <hyperlink r:id="rId1928" ref="AQ61"/>
    <hyperlink r:id="rId1929" ref="AS61"/>
    <hyperlink r:id="rId1930" ref="AU61"/>
    <hyperlink r:id="rId1931" ref="AW61"/>
    <hyperlink r:id="rId1932" ref="AY61"/>
    <hyperlink r:id="rId1933" ref="BA61"/>
    <hyperlink r:id="rId1934" ref="BC61"/>
    <hyperlink r:id="rId1935" ref="BE61"/>
    <hyperlink r:id="rId1936" ref="BG61"/>
    <hyperlink r:id="rId1937" ref="BI61"/>
    <hyperlink r:id="rId1938" ref="BK61"/>
    <hyperlink r:id="rId1939" ref="BM61"/>
    <hyperlink r:id="rId1940" ref="BO61"/>
    <hyperlink r:id="rId1941" ref="BQ61"/>
    <hyperlink r:id="rId1942" ref="BS61"/>
    <hyperlink r:id="rId1943" ref="BU61"/>
    <hyperlink r:id="rId1944" ref="BW61"/>
    <hyperlink r:id="rId1945" ref="BY61"/>
    <hyperlink r:id="rId1946" ref="CA61"/>
    <hyperlink r:id="rId1947" ref="CC61"/>
    <hyperlink r:id="rId1948" ref="CE61"/>
    <hyperlink r:id="rId1949" ref="CG61"/>
    <hyperlink r:id="rId1950" ref="CI61"/>
    <hyperlink r:id="rId1951" ref="CK61"/>
    <hyperlink r:id="rId1952" ref="CM61"/>
    <hyperlink r:id="rId1953" ref="CO61"/>
    <hyperlink r:id="rId1954" ref="CQ61"/>
    <hyperlink r:id="rId1955" ref="M62"/>
    <hyperlink r:id="rId1956" ref="O62"/>
    <hyperlink r:id="rId1957" ref="Q62"/>
    <hyperlink r:id="rId1958" ref="S62"/>
    <hyperlink r:id="rId1959" ref="U62"/>
    <hyperlink r:id="rId1960" ref="W62"/>
    <hyperlink r:id="rId1961" ref="Y62"/>
    <hyperlink r:id="rId1962" ref="AA62"/>
    <hyperlink r:id="rId1963" ref="AC62"/>
    <hyperlink r:id="rId1964" ref="AE62"/>
    <hyperlink r:id="rId1965" ref="AG62"/>
    <hyperlink r:id="rId1966" ref="AI62"/>
    <hyperlink r:id="rId1967" ref="AK62"/>
    <hyperlink r:id="rId1968" ref="AM62"/>
    <hyperlink r:id="rId1969" ref="AO62"/>
    <hyperlink r:id="rId1970" ref="AQ62"/>
    <hyperlink r:id="rId1971" ref="AS62"/>
    <hyperlink r:id="rId1972" ref="AU62"/>
    <hyperlink r:id="rId1973" ref="AW62"/>
    <hyperlink r:id="rId1974" ref="AY62"/>
    <hyperlink r:id="rId1975" ref="BA62"/>
    <hyperlink r:id="rId1976" ref="BC62"/>
    <hyperlink r:id="rId1977" ref="BE62"/>
    <hyperlink r:id="rId1978" ref="BG62"/>
    <hyperlink r:id="rId1979" ref="BI62"/>
    <hyperlink r:id="rId1980" ref="BK62"/>
    <hyperlink r:id="rId1981" ref="BM62"/>
    <hyperlink r:id="rId1982" ref="BO62"/>
    <hyperlink r:id="rId1983" ref="BQ62"/>
    <hyperlink r:id="rId1984" ref="BS62"/>
    <hyperlink r:id="rId1985" ref="BU62"/>
    <hyperlink r:id="rId1986" ref="BW62"/>
    <hyperlink r:id="rId1987" ref="BY62"/>
    <hyperlink r:id="rId1988" ref="CA62"/>
    <hyperlink r:id="rId1989" ref="CC62"/>
    <hyperlink r:id="rId1990" ref="CE62"/>
    <hyperlink r:id="rId1991" ref="CG62"/>
    <hyperlink r:id="rId1992" ref="CI62"/>
    <hyperlink r:id="rId1993" ref="CK62"/>
    <hyperlink r:id="rId1994" ref="CM62"/>
    <hyperlink r:id="rId1995" ref="CO62"/>
    <hyperlink r:id="rId1996" ref="CQ62"/>
    <hyperlink r:id="rId1997" ref="CS62"/>
    <hyperlink r:id="rId1998" ref="CU62"/>
    <hyperlink r:id="rId1999" ref="CW62"/>
    <hyperlink r:id="rId2000" ref="CY62"/>
    <hyperlink r:id="rId2001" ref="DA62"/>
    <hyperlink r:id="rId2002" ref="DC62"/>
    <hyperlink r:id="rId2003" ref="DE62"/>
    <hyperlink r:id="rId2004" ref="DG62"/>
    <hyperlink r:id="rId2005" ref="DI62"/>
    <hyperlink r:id="rId2006" ref="DK62"/>
    <hyperlink r:id="rId2007" ref="DM62"/>
    <hyperlink r:id="rId2008" ref="M63"/>
    <hyperlink r:id="rId2009" ref="O63"/>
    <hyperlink r:id="rId2010" ref="Q63"/>
    <hyperlink r:id="rId2011" ref="S63"/>
    <hyperlink r:id="rId2012" ref="U63"/>
    <hyperlink r:id="rId2013" ref="W63"/>
    <hyperlink r:id="rId2014" ref="Y63"/>
    <hyperlink r:id="rId2015" ref="AA63"/>
    <hyperlink r:id="rId2016" ref="AC63"/>
    <hyperlink r:id="rId2017" ref="AE63"/>
    <hyperlink r:id="rId2018" ref="AG63"/>
    <hyperlink r:id="rId2019" ref="AI63"/>
    <hyperlink r:id="rId2020" ref="AK63"/>
    <hyperlink r:id="rId2021" ref="AM63"/>
    <hyperlink r:id="rId2022" ref="AO63"/>
    <hyperlink r:id="rId2023" ref="AQ63"/>
    <hyperlink r:id="rId2024" ref="AS63"/>
    <hyperlink r:id="rId2025" ref="AU63"/>
    <hyperlink r:id="rId2026" ref="AW63"/>
    <hyperlink r:id="rId2027" ref="M64"/>
    <hyperlink r:id="rId2028" ref="O64"/>
    <hyperlink r:id="rId2029" ref="Q64"/>
    <hyperlink r:id="rId2030" ref="S64"/>
    <hyperlink r:id="rId2031" ref="U64"/>
    <hyperlink r:id="rId2032" ref="W64"/>
    <hyperlink r:id="rId2033" ref="Y64"/>
    <hyperlink r:id="rId2034" ref="AA64"/>
    <hyperlink r:id="rId2035" ref="AC64"/>
    <hyperlink r:id="rId2036" ref="AE64"/>
    <hyperlink r:id="rId2037" ref="AG64"/>
    <hyperlink r:id="rId2038" ref="AI64"/>
    <hyperlink r:id="rId2039" ref="AK64"/>
    <hyperlink r:id="rId2040" ref="AM64"/>
    <hyperlink r:id="rId2041" ref="AO64"/>
    <hyperlink r:id="rId2042" ref="AQ64"/>
    <hyperlink r:id="rId2043" ref="AS64"/>
    <hyperlink r:id="rId2044" ref="AU64"/>
    <hyperlink r:id="rId2045" ref="AW64"/>
    <hyperlink r:id="rId2046" ref="AY64"/>
    <hyperlink r:id="rId2047" ref="BA64"/>
    <hyperlink r:id="rId2048" ref="BC64"/>
    <hyperlink r:id="rId2049" ref="BE64"/>
    <hyperlink r:id="rId2050" ref="BG64"/>
    <hyperlink r:id="rId2051" ref="BI64"/>
    <hyperlink r:id="rId2052" ref="BK64"/>
    <hyperlink r:id="rId2053" ref="BM64"/>
    <hyperlink r:id="rId2054" ref="BO64"/>
    <hyperlink r:id="rId2055" ref="BQ64"/>
    <hyperlink r:id="rId2056" ref="BS64"/>
    <hyperlink r:id="rId2057" ref="BU64"/>
    <hyperlink r:id="rId2058" ref="BW64"/>
    <hyperlink r:id="rId2059" ref="BY64"/>
    <hyperlink r:id="rId2060" ref="CA64"/>
    <hyperlink r:id="rId2061" ref="CC64"/>
    <hyperlink r:id="rId2062" ref="CE64"/>
    <hyperlink r:id="rId2063" ref="CG64"/>
    <hyperlink r:id="rId2064" ref="CI64"/>
    <hyperlink r:id="rId2065" ref="CK64"/>
    <hyperlink r:id="rId2066" ref="CM64"/>
    <hyperlink r:id="rId2067" ref="CO64"/>
    <hyperlink r:id="rId2068" ref="M65"/>
    <hyperlink r:id="rId2069" ref="O65"/>
    <hyperlink r:id="rId2070" ref="Q65"/>
    <hyperlink r:id="rId2071" ref="S65"/>
    <hyperlink r:id="rId2072" ref="U65"/>
    <hyperlink r:id="rId2073" ref="W65"/>
    <hyperlink r:id="rId2074" ref="Y65"/>
    <hyperlink r:id="rId2075" ref="AA65"/>
    <hyperlink r:id="rId2076" ref="AC65"/>
    <hyperlink r:id="rId2077" ref="AE65"/>
    <hyperlink r:id="rId2078" ref="AG65"/>
    <hyperlink r:id="rId2079" ref="AI65"/>
    <hyperlink r:id="rId2080" ref="AK65"/>
    <hyperlink r:id="rId2081" ref="AM65"/>
    <hyperlink r:id="rId2082" ref="AO65"/>
    <hyperlink r:id="rId2083" ref="AQ65"/>
    <hyperlink r:id="rId2084" ref="AS65"/>
    <hyperlink r:id="rId2085" ref="AU65"/>
    <hyperlink r:id="rId2086" ref="AW65"/>
    <hyperlink r:id="rId2087" ref="AY65"/>
    <hyperlink r:id="rId2088" ref="BA65"/>
    <hyperlink r:id="rId2089" ref="BC65"/>
    <hyperlink r:id="rId2090" ref="BE65"/>
    <hyperlink r:id="rId2091" ref="BG65"/>
    <hyperlink r:id="rId2092" ref="BI65"/>
    <hyperlink r:id="rId2093" ref="BK65"/>
    <hyperlink r:id="rId2094" ref="BM65"/>
    <hyperlink r:id="rId2095" ref="BO65"/>
    <hyperlink r:id="rId2096" ref="BQ65"/>
    <hyperlink r:id="rId2097" ref="BS65"/>
    <hyperlink r:id="rId2098" ref="BU65"/>
    <hyperlink r:id="rId2099" ref="BW65"/>
    <hyperlink r:id="rId2100" ref="BY65"/>
    <hyperlink r:id="rId2101" ref="CA65"/>
    <hyperlink r:id="rId2102" ref="CC65"/>
    <hyperlink r:id="rId2103" ref="CE65"/>
    <hyperlink r:id="rId2104" ref="CG65"/>
    <hyperlink r:id="rId2105" ref="CI65"/>
    <hyperlink r:id="rId2106" ref="CK65"/>
    <hyperlink r:id="rId2107" ref="CM65"/>
    <hyperlink r:id="rId2108" ref="CO65"/>
    <hyperlink r:id="rId2109" ref="CQ65"/>
    <hyperlink r:id="rId2110" ref="CS65"/>
    <hyperlink r:id="rId2111" ref="CU65"/>
    <hyperlink r:id="rId2112" ref="CW65"/>
    <hyperlink r:id="rId2113" ref="CY65"/>
    <hyperlink r:id="rId2114" ref="DA65"/>
    <hyperlink r:id="rId2115" ref="DC65"/>
    <hyperlink r:id="rId2116" ref="DE65"/>
    <hyperlink r:id="rId2117" ref="DG65"/>
    <hyperlink r:id="rId2118" ref="DI65"/>
    <hyperlink r:id="rId2119" ref="DK65"/>
    <hyperlink r:id="rId2120" ref="DM65"/>
    <hyperlink r:id="rId2121" ref="DO65"/>
    <hyperlink r:id="rId2122" ref="DQ65"/>
    <hyperlink r:id="rId2123" ref="DS65"/>
    <hyperlink r:id="rId2124" ref="DU65"/>
    <hyperlink r:id="rId2125" ref="DW65"/>
    <hyperlink r:id="rId2126" ref="DY65"/>
    <hyperlink r:id="rId2127" ref="EA65"/>
    <hyperlink r:id="rId2128" ref="EC65"/>
    <hyperlink r:id="rId2129" ref="EE65"/>
    <hyperlink r:id="rId2130" ref="EG65"/>
    <hyperlink r:id="rId2131" ref="EI65"/>
    <hyperlink r:id="rId2132" ref="EK65"/>
    <hyperlink r:id="rId2133" ref="EM65"/>
    <hyperlink r:id="rId2134" ref="EO65"/>
    <hyperlink r:id="rId2135" ref="EQ65"/>
    <hyperlink r:id="rId2136" ref="ES65"/>
    <hyperlink r:id="rId2137" ref="EU65"/>
    <hyperlink r:id="rId2138" ref="EW65"/>
    <hyperlink r:id="rId2139" ref="EY65"/>
    <hyperlink r:id="rId2140" ref="FA65"/>
    <hyperlink r:id="rId2141" ref="M66"/>
    <hyperlink r:id="rId2142" ref="O66"/>
    <hyperlink r:id="rId2143" ref="Q66"/>
    <hyperlink r:id="rId2144" ref="S66"/>
    <hyperlink r:id="rId2145" ref="U66"/>
    <hyperlink r:id="rId2146" ref="W66"/>
    <hyperlink r:id="rId2147" ref="Y66"/>
    <hyperlink r:id="rId2148" ref="AA66"/>
    <hyperlink r:id="rId2149" ref="AC66"/>
    <hyperlink r:id="rId2150" ref="AE66"/>
    <hyperlink r:id="rId2151" ref="AG66"/>
    <hyperlink r:id="rId2152" ref="AI66"/>
    <hyperlink r:id="rId2153" ref="AK66"/>
    <hyperlink r:id="rId2154" ref="AM66"/>
    <hyperlink r:id="rId2155" ref="AO66"/>
    <hyperlink r:id="rId2156" ref="AQ66"/>
    <hyperlink r:id="rId2157" ref="AS66"/>
    <hyperlink r:id="rId2158" ref="AU66"/>
    <hyperlink r:id="rId2159" ref="AW66"/>
    <hyperlink r:id="rId2160" ref="AY66"/>
    <hyperlink r:id="rId2161" ref="BA66"/>
    <hyperlink r:id="rId2162" ref="BC66"/>
    <hyperlink r:id="rId2163" ref="BE66"/>
    <hyperlink r:id="rId2164" ref="BG66"/>
    <hyperlink r:id="rId2165" ref="BI66"/>
    <hyperlink r:id="rId2166" ref="BK66"/>
    <hyperlink r:id="rId2167" ref="BM66"/>
    <hyperlink r:id="rId2168" ref="BO66"/>
    <hyperlink r:id="rId2169" ref="BQ66"/>
    <hyperlink r:id="rId2170" ref="BS66"/>
    <hyperlink r:id="rId2171" ref="BU66"/>
    <hyperlink r:id="rId2172" ref="BW66"/>
    <hyperlink r:id="rId2173" ref="BY66"/>
    <hyperlink r:id="rId2174" ref="CA66"/>
    <hyperlink r:id="rId2175" ref="CC66"/>
    <hyperlink r:id="rId2176" ref="CE66"/>
    <hyperlink r:id="rId2177" ref="CG66"/>
    <hyperlink r:id="rId2178" ref="CI66"/>
    <hyperlink r:id="rId2179" ref="CK66"/>
    <hyperlink r:id="rId2180" ref="CM66"/>
    <hyperlink r:id="rId2181" ref="CO66"/>
    <hyperlink r:id="rId2182" ref="CQ66"/>
    <hyperlink r:id="rId2183" ref="M67"/>
    <hyperlink r:id="rId2184" ref="O67"/>
    <hyperlink r:id="rId2185" ref="Q67"/>
    <hyperlink r:id="rId2186" ref="S67"/>
    <hyperlink r:id="rId2187" ref="U67"/>
    <hyperlink r:id="rId2188" ref="W67"/>
    <hyperlink r:id="rId2189" ref="Y67"/>
    <hyperlink r:id="rId2190" ref="AA67"/>
    <hyperlink r:id="rId2191" ref="AC67"/>
    <hyperlink r:id="rId2192" ref="AE67"/>
    <hyperlink r:id="rId2193" ref="AG67"/>
    <hyperlink r:id="rId2194" ref="AI67"/>
    <hyperlink r:id="rId2195" ref="AK67"/>
    <hyperlink r:id="rId2196" ref="AM67"/>
    <hyperlink r:id="rId2197" ref="AO67"/>
    <hyperlink r:id="rId2198" ref="AQ67"/>
    <hyperlink r:id="rId2199" ref="AS67"/>
    <hyperlink r:id="rId2200" ref="AU67"/>
    <hyperlink r:id="rId2201" ref="AW67"/>
    <hyperlink r:id="rId2202" ref="AY67"/>
    <hyperlink r:id="rId2203" ref="BA67"/>
    <hyperlink r:id="rId2204" ref="BC67"/>
    <hyperlink r:id="rId2205" ref="BE67"/>
    <hyperlink r:id="rId2206" ref="BG67"/>
    <hyperlink r:id="rId2207" ref="BI67"/>
    <hyperlink r:id="rId2208" ref="BK67"/>
    <hyperlink r:id="rId2209" ref="BM67"/>
    <hyperlink r:id="rId2210" ref="BO67"/>
    <hyperlink r:id="rId2211" ref="BQ67"/>
    <hyperlink r:id="rId2212" ref="BS67"/>
    <hyperlink r:id="rId2213" ref="BU67"/>
    <hyperlink r:id="rId2214" ref="BW67"/>
    <hyperlink r:id="rId2215" ref="BY67"/>
    <hyperlink r:id="rId2216" ref="CA67"/>
    <hyperlink r:id="rId2217" ref="CC67"/>
    <hyperlink r:id="rId2218" ref="CE67"/>
    <hyperlink r:id="rId2219" ref="CG67"/>
    <hyperlink r:id="rId2220" ref="CI67"/>
    <hyperlink r:id="rId2221" ref="CK67"/>
    <hyperlink r:id="rId2222" ref="CM67"/>
    <hyperlink r:id="rId2223" ref="CO67"/>
    <hyperlink r:id="rId2224" ref="CQ67"/>
    <hyperlink r:id="rId2225" ref="CS67"/>
    <hyperlink r:id="rId2226" ref="CU67"/>
    <hyperlink r:id="rId2227" ref="CW67"/>
    <hyperlink r:id="rId2228" ref="CY67"/>
    <hyperlink r:id="rId2229" ref="DA67"/>
    <hyperlink r:id="rId2230" ref="DC67"/>
    <hyperlink r:id="rId2231" ref="DE67"/>
    <hyperlink r:id="rId2232" ref="DG67"/>
    <hyperlink r:id="rId2233" ref="DI67"/>
    <hyperlink r:id="rId2234" ref="DK67"/>
    <hyperlink r:id="rId2235" ref="DM67"/>
    <hyperlink r:id="rId2236" ref="DO67"/>
    <hyperlink r:id="rId2237" ref="DQ67"/>
    <hyperlink r:id="rId2238" ref="DS67"/>
    <hyperlink r:id="rId2239" ref="DU67"/>
    <hyperlink r:id="rId2240" ref="DW67"/>
    <hyperlink r:id="rId2241" ref="DY67"/>
    <hyperlink r:id="rId2242" ref="EA67"/>
    <hyperlink r:id="rId2243" ref="M68"/>
    <hyperlink r:id="rId2244" ref="O68"/>
    <hyperlink r:id="rId2245" ref="Q68"/>
    <hyperlink r:id="rId2246" ref="S68"/>
    <hyperlink r:id="rId2247" ref="U68"/>
    <hyperlink r:id="rId2248" ref="W68"/>
    <hyperlink r:id="rId2249" ref="Y68"/>
    <hyperlink r:id="rId2250" ref="AA68"/>
    <hyperlink r:id="rId2251" ref="AC68"/>
    <hyperlink r:id="rId2252" ref="AE68"/>
    <hyperlink r:id="rId2253" ref="AG68"/>
    <hyperlink r:id="rId2254" ref="AI68"/>
    <hyperlink r:id="rId2255" ref="AK68"/>
    <hyperlink r:id="rId2256" ref="AM68"/>
    <hyperlink r:id="rId2257" ref="AO68"/>
    <hyperlink r:id="rId2258" ref="AQ68"/>
    <hyperlink r:id="rId2259" ref="AS68"/>
    <hyperlink r:id="rId2260" ref="AU68"/>
    <hyperlink r:id="rId2261" ref="AW68"/>
    <hyperlink r:id="rId2262" ref="AY68"/>
    <hyperlink r:id="rId2263" ref="BA68"/>
    <hyperlink r:id="rId2264" ref="BC68"/>
    <hyperlink r:id="rId2265" ref="BE68"/>
    <hyperlink r:id="rId2266" ref="BG68"/>
    <hyperlink r:id="rId2267" ref="BI68"/>
    <hyperlink r:id="rId2268" ref="BK68"/>
    <hyperlink r:id="rId2269" ref="BM68"/>
    <hyperlink r:id="rId2270" ref="BO68"/>
    <hyperlink r:id="rId2271" ref="BQ68"/>
    <hyperlink r:id="rId2272" ref="BS68"/>
    <hyperlink r:id="rId2273" ref="BU68"/>
    <hyperlink r:id="rId2274" ref="BW68"/>
    <hyperlink r:id="rId2275" ref="BY68"/>
    <hyperlink r:id="rId2276" ref="CA68"/>
    <hyperlink r:id="rId2277" ref="CC68"/>
    <hyperlink r:id="rId2278" ref="CE68"/>
    <hyperlink r:id="rId2279" ref="CG68"/>
    <hyperlink r:id="rId2280" ref="CI68"/>
    <hyperlink r:id="rId2281" ref="CK68"/>
    <hyperlink r:id="rId2282" ref="CM68"/>
    <hyperlink r:id="rId2283" ref="CO68"/>
    <hyperlink r:id="rId2284" ref="CQ68"/>
    <hyperlink r:id="rId2285" ref="CS68"/>
    <hyperlink r:id="rId2286" ref="CU68"/>
    <hyperlink r:id="rId2287" ref="CW68"/>
    <hyperlink r:id="rId2288" ref="CY68"/>
    <hyperlink r:id="rId2289" ref="DA68"/>
    <hyperlink r:id="rId2290" ref="DC68"/>
    <hyperlink r:id="rId2291" ref="DE68"/>
    <hyperlink r:id="rId2292" ref="DG68"/>
    <hyperlink r:id="rId2293" ref="DI68"/>
    <hyperlink r:id="rId2294" ref="DK68"/>
    <hyperlink r:id="rId2295" ref="DM68"/>
    <hyperlink r:id="rId2296" ref="DO68"/>
    <hyperlink r:id="rId2297" ref="DQ68"/>
    <hyperlink r:id="rId2298" ref="DS68"/>
    <hyperlink r:id="rId2299" ref="DU68"/>
    <hyperlink r:id="rId2300" ref="DW68"/>
    <hyperlink r:id="rId2301" ref="DY68"/>
    <hyperlink r:id="rId2302" ref="EA68"/>
    <hyperlink r:id="rId2303" ref="EC68"/>
    <hyperlink r:id="rId2304" ref="EE68"/>
    <hyperlink r:id="rId2305" ref="M69"/>
    <hyperlink r:id="rId2306" ref="O69"/>
    <hyperlink r:id="rId2307" ref="Q69"/>
    <hyperlink r:id="rId2308" ref="S69"/>
    <hyperlink r:id="rId2309" ref="U69"/>
    <hyperlink r:id="rId2310" ref="W69"/>
    <hyperlink r:id="rId2311" ref="Y69"/>
    <hyperlink r:id="rId2312" ref="AA69"/>
    <hyperlink r:id="rId2313" ref="AC69"/>
    <hyperlink r:id="rId2314" ref="AE69"/>
    <hyperlink r:id="rId2315" ref="AG69"/>
    <hyperlink r:id="rId2316" ref="AI69"/>
    <hyperlink r:id="rId2317" ref="AK69"/>
    <hyperlink r:id="rId2318" ref="AM69"/>
    <hyperlink r:id="rId2319" ref="AO69"/>
    <hyperlink r:id="rId2320" ref="AQ69"/>
    <hyperlink r:id="rId2321" ref="AS69"/>
    <hyperlink r:id="rId2322" ref="M70"/>
    <hyperlink r:id="rId2323" ref="O70"/>
    <hyperlink r:id="rId2324" ref="Q70"/>
    <hyperlink r:id="rId2325" ref="S70"/>
    <hyperlink r:id="rId2326" ref="U70"/>
    <hyperlink r:id="rId2327" ref="W70"/>
    <hyperlink r:id="rId2328" ref="Y70"/>
    <hyperlink r:id="rId2329" ref="AA70"/>
    <hyperlink r:id="rId2330" ref="AC70"/>
    <hyperlink r:id="rId2331" ref="AE70"/>
    <hyperlink r:id="rId2332" ref="AG70"/>
    <hyperlink r:id="rId2333" ref="AI70"/>
    <hyperlink r:id="rId2334" ref="AK70"/>
    <hyperlink r:id="rId2335" ref="AM70"/>
    <hyperlink r:id="rId2336" ref="AO70"/>
    <hyperlink r:id="rId2337" ref="AQ70"/>
    <hyperlink r:id="rId2338" ref="M71"/>
    <hyperlink r:id="rId2339" ref="O71"/>
    <hyperlink r:id="rId2340" ref="Q71"/>
    <hyperlink r:id="rId2341" ref="S71"/>
    <hyperlink r:id="rId2342" ref="U71"/>
    <hyperlink r:id="rId2343" ref="W71"/>
    <hyperlink r:id="rId2344" ref="Y71"/>
    <hyperlink r:id="rId2345" ref="AA71"/>
    <hyperlink r:id="rId2346" ref="AC71"/>
    <hyperlink r:id="rId2347" ref="M72"/>
    <hyperlink r:id="rId2348" ref="O72"/>
    <hyperlink r:id="rId2349" ref="Q72"/>
    <hyperlink r:id="rId2350" ref="S72"/>
    <hyperlink r:id="rId2351" ref="U72"/>
    <hyperlink r:id="rId2352" ref="W72"/>
    <hyperlink r:id="rId2353" ref="Y72"/>
    <hyperlink r:id="rId2354" ref="AA72"/>
    <hyperlink r:id="rId2355" ref="AC72"/>
    <hyperlink r:id="rId2356" ref="AE72"/>
    <hyperlink r:id="rId2357" ref="AG72"/>
    <hyperlink r:id="rId2358" ref="AI72"/>
    <hyperlink r:id="rId2359" ref="AK72"/>
    <hyperlink r:id="rId2360" ref="AM72"/>
    <hyperlink r:id="rId2361" ref="AO72"/>
    <hyperlink r:id="rId2362" ref="AQ72"/>
    <hyperlink r:id="rId2363" ref="M73"/>
    <hyperlink r:id="rId2364" ref="O73"/>
    <hyperlink r:id="rId2365" ref="Q73"/>
    <hyperlink r:id="rId2366" ref="S73"/>
    <hyperlink r:id="rId2367" ref="U73"/>
    <hyperlink r:id="rId2368" ref="W73"/>
    <hyperlink r:id="rId2369" ref="Y73"/>
    <hyperlink r:id="rId2370" ref="AA73"/>
    <hyperlink r:id="rId2371" ref="AC73"/>
    <hyperlink r:id="rId2372" ref="AE73"/>
    <hyperlink r:id="rId2373" ref="AG73"/>
    <hyperlink r:id="rId2374" ref="AI73"/>
    <hyperlink r:id="rId2375" ref="AK73"/>
    <hyperlink r:id="rId2376" ref="AM73"/>
    <hyperlink r:id="rId2377" ref="AO73"/>
    <hyperlink r:id="rId2378" ref="AQ73"/>
    <hyperlink r:id="rId2379" ref="AS73"/>
    <hyperlink r:id="rId2380" ref="AU73"/>
    <hyperlink r:id="rId2381" ref="AW73"/>
    <hyperlink r:id="rId2382" ref="AY73"/>
    <hyperlink r:id="rId2383" ref="BA73"/>
    <hyperlink r:id="rId2384" ref="BC73"/>
    <hyperlink r:id="rId2385" ref="BE73"/>
    <hyperlink r:id="rId2386" ref="BG73"/>
    <hyperlink r:id="rId2387" ref="BI73"/>
    <hyperlink r:id="rId2388" ref="BK73"/>
    <hyperlink r:id="rId2389" ref="BM73"/>
    <hyperlink r:id="rId2390" ref="BO73"/>
    <hyperlink r:id="rId2391" ref="BQ73"/>
    <hyperlink r:id="rId2392" ref="BS73"/>
    <hyperlink r:id="rId2393" ref="BU73"/>
    <hyperlink r:id="rId2394" ref="M74"/>
    <hyperlink r:id="rId2395" ref="O74"/>
    <hyperlink r:id="rId2396" ref="Q74"/>
    <hyperlink r:id="rId2397" ref="S74"/>
    <hyperlink r:id="rId2398" ref="U74"/>
    <hyperlink r:id="rId2399" ref="W74"/>
    <hyperlink r:id="rId2400" ref="Y74"/>
    <hyperlink r:id="rId2401" ref="AA74"/>
    <hyperlink r:id="rId2402" ref="AC74"/>
    <hyperlink r:id="rId2403" ref="AE74"/>
    <hyperlink r:id="rId2404" ref="AG74"/>
    <hyperlink r:id="rId2405" ref="AI74"/>
    <hyperlink r:id="rId2406" ref="AK74"/>
    <hyperlink r:id="rId2407" ref="AM74"/>
    <hyperlink r:id="rId2408" ref="AO74"/>
    <hyperlink r:id="rId2409" ref="AQ74"/>
    <hyperlink r:id="rId2410" ref="M75"/>
    <hyperlink r:id="rId2411" ref="O75"/>
    <hyperlink r:id="rId2412" ref="Q75"/>
    <hyperlink r:id="rId2413" ref="S75"/>
    <hyperlink r:id="rId2414" ref="U75"/>
    <hyperlink r:id="rId2415" ref="W75"/>
    <hyperlink r:id="rId2416" ref="Y75"/>
    <hyperlink r:id="rId2417" ref="AA75"/>
    <hyperlink r:id="rId2418" ref="AC75"/>
    <hyperlink r:id="rId2419" ref="AE75"/>
    <hyperlink r:id="rId2420" ref="AG75"/>
    <hyperlink r:id="rId2421" ref="AI75"/>
    <hyperlink r:id="rId2422" ref="AK75"/>
    <hyperlink r:id="rId2423" ref="AM75"/>
    <hyperlink r:id="rId2424" ref="AO75"/>
    <hyperlink r:id="rId2425" ref="AQ75"/>
    <hyperlink r:id="rId2426" ref="AS75"/>
    <hyperlink r:id="rId2427" ref="AU75"/>
    <hyperlink r:id="rId2428" ref="AW75"/>
    <hyperlink r:id="rId2429" ref="AY75"/>
    <hyperlink r:id="rId2430" ref="BA75"/>
    <hyperlink r:id="rId2431" ref="BC75"/>
    <hyperlink r:id="rId2432" ref="BE75"/>
    <hyperlink r:id="rId2433" ref="BG75"/>
    <hyperlink r:id="rId2434" ref="BI75"/>
    <hyperlink r:id="rId2435" ref="BK75"/>
    <hyperlink r:id="rId2436" ref="BM75"/>
    <hyperlink r:id="rId2437" ref="BO75"/>
    <hyperlink r:id="rId2438" ref="BQ75"/>
    <hyperlink r:id="rId2439" ref="BS75"/>
    <hyperlink r:id="rId2440" ref="BU75"/>
    <hyperlink r:id="rId2441" ref="BW75"/>
    <hyperlink r:id="rId2442" ref="BY75"/>
    <hyperlink r:id="rId2443" ref="CA75"/>
    <hyperlink r:id="rId2444" ref="M76"/>
    <hyperlink r:id="rId2445" ref="O76"/>
    <hyperlink r:id="rId2446" ref="Q76"/>
    <hyperlink r:id="rId2447" ref="S76"/>
    <hyperlink r:id="rId2448" ref="U76"/>
    <hyperlink r:id="rId2449" ref="W76"/>
    <hyperlink r:id="rId2450" ref="Y76"/>
    <hyperlink r:id="rId2451" ref="AA76"/>
    <hyperlink r:id="rId2452" ref="AC76"/>
    <hyperlink r:id="rId2453" ref="AE76"/>
    <hyperlink r:id="rId2454" ref="AG76"/>
    <hyperlink r:id="rId2455" ref="AI76"/>
    <hyperlink r:id="rId2456" ref="AK76"/>
    <hyperlink r:id="rId2457" ref="AM76"/>
    <hyperlink r:id="rId2458" ref="AO76"/>
    <hyperlink r:id="rId2459" ref="AQ76"/>
    <hyperlink r:id="rId2460" ref="AS76"/>
    <hyperlink r:id="rId2461" ref="AU76"/>
    <hyperlink r:id="rId2462" ref="AW76"/>
    <hyperlink r:id="rId2463" ref="AY76"/>
    <hyperlink r:id="rId2464" ref="BA76"/>
    <hyperlink r:id="rId2465" ref="BC76"/>
    <hyperlink r:id="rId2466" ref="BE76"/>
    <hyperlink r:id="rId2467" ref="BG76"/>
    <hyperlink r:id="rId2468" ref="BI76"/>
    <hyperlink r:id="rId2469" ref="BK76"/>
    <hyperlink r:id="rId2470" ref="BM76"/>
    <hyperlink r:id="rId2471" ref="BO76"/>
    <hyperlink r:id="rId2472" ref="BQ76"/>
    <hyperlink r:id="rId2473" ref="BS76"/>
    <hyperlink r:id="rId2474" ref="BU76"/>
    <hyperlink r:id="rId2475" ref="BW76"/>
    <hyperlink r:id="rId2476" ref="BY76"/>
    <hyperlink r:id="rId2477" ref="CA76"/>
    <hyperlink r:id="rId2478" ref="CC76"/>
    <hyperlink r:id="rId2479" ref="CE76"/>
    <hyperlink r:id="rId2480" ref="CG76"/>
    <hyperlink r:id="rId2481" ref="CI76"/>
    <hyperlink r:id="rId2482" ref="CK76"/>
    <hyperlink r:id="rId2483" ref="CM76"/>
    <hyperlink r:id="rId2484" ref="CO76"/>
    <hyperlink r:id="rId2485" ref="CQ76"/>
    <hyperlink r:id="rId2486" ref="CS76"/>
    <hyperlink r:id="rId2487" ref="CU76"/>
    <hyperlink r:id="rId2488" ref="CW76"/>
    <hyperlink r:id="rId2489" ref="CY76"/>
    <hyperlink r:id="rId2490" ref="DA76"/>
    <hyperlink r:id="rId2491" ref="DC76"/>
    <hyperlink r:id="rId2492" ref="DE76"/>
    <hyperlink r:id="rId2493" ref="DG76"/>
    <hyperlink r:id="rId2494" ref="DI76"/>
    <hyperlink r:id="rId2495" ref="DK76"/>
    <hyperlink r:id="rId2496" ref="DM76"/>
    <hyperlink r:id="rId2497" ref="DO76"/>
    <hyperlink r:id="rId2498" ref="DQ76"/>
    <hyperlink r:id="rId2499" ref="DS76"/>
    <hyperlink r:id="rId2500" ref="DU76"/>
    <hyperlink r:id="rId2501" ref="DW76"/>
    <hyperlink r:id="rId2502" ref="DY76"/>
    <hyperlink r:id="rId2503" ref="EA76"/>
    <hyperlink r:id="rId2504" ref="EC76"/>
  </hyperlinks>
  <drawing r:id="rId2505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7.0"/>
    <col customWidth="1" min="2" max="2" width="55.25"/>
    <col customWidth="1" min="3" max="3" width="13.88"/>
    <col customWidth="1" min="4" max="7" width="12.0"/>
    <col customWidth="1" min="8" max="8" width="37.63"/>
    <col customWidth="1" min="9" max="9" width="72.13"/>
    <col customWidth="1" min="10" max="10" width="27.63"/>
    <col customWidth="1" min="11" max="11" width="19.38"/>
    <col customWidth="1" min="12" max="12" width="41.38"/>
    <col customWidth="1" min="13" max="15" width="21.38"/>
    <col customWidth="1" min="16" max="16" width="41.38"/>
  </cols>
  <sheetData>
    <row r="1">
      <c r="A1" s="1" t="s">
        <v>0</v>
      </c>
      <c r="B1" s="1" t="s">
        <v>52</v>
      </c>
      <c r="C1" s="1" t="s">
        <v>2</v>
      </c>
      <c r="D1" s="1" t="s">
        <v>56</v>
      </c>
      <c r="E1" s="1" t="s">
        <v>7</v>
      </c>
      <c r="F1" s="1" t="s">
        <v>9</v>
      </c>
      <c r="G1" s="1" t="s">
        <v>10</v>
      </c>
      <c r="H1" s="1" t="s">
        <v>61</v>
      </c>
      <c r="I1" s="1" t="s">
        <v>65</v>
      </c>
      <c r="J1" s="1" t="s">
        <v>33</v>
      </c>
      <c r="K1" s="1" t="s">
        <v>68</v>
      </c>
      <c r="L1" s="1" t="s">
        <v>69</v>
      </c>
      <c r="M1" s="1" t="s">
        <v>71</v>
      </c>
      <c r="N1" s="1" t="s">
        <v>73</v>
      </c>
      <c r="O1" s="1" t="s">
        <v>75</v>
      </c>
      <c r="P1" s="1" t="s">
        <v>77</v>
      </c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</row>
    <row r="2">
      <c r="A2" s="12">
        <v>1.0</v>
      </c>
      <c r="B2" s="13" t="s">
        <v>36</v>
      </c>
      <c r="C2" s="13" t="s">
        <v>89</v>
      </c>
      <c r="D2" s="14">
        <f>IF(COUNTIF($B$2:$B2,$B2)&gt;1,"",COUNTIF($B$2:$B$2505,$B2))</f>
        <v>7</v>
      </c>
      <c r="E2" s="14">
        <f>IF(COUNTIF($B$2:$B2,$B2)&gt;1,"",COUNTIFS($B$2:$B$2505,$B2,$K$2:$K$2505,"PHÙ HỢP CAO"))</f>
        <v>4</v>
      </c>
      <c r="F2" s="14">
        <f>IF(COUNTIF($B$2:$B2,$B2)&gt;1,"",COUNTIFS($B$2:$B$2505,$B2,$K$2:$K$2505,"CÓ THỂ ĐI"))</f>
        <v>1</v>
      </c>
      <c r="G2" s="14">
        <f>IF(COUNTIF($B$2:$B2,$B2)&gt;1,"",COUNTIFS($B$2:$B$2505,$B2,$K$2:$K$2505,"CẦN SOÁT"))</f>
        <v>2</v>
      </c>
      <c r="H2" s="18" t="str">
        <f>IFERROR(__xludf.DUMMYFUNCTION("IF(COUNTIF($B$2:$B2,$B2)&gt;1,"""",IFERROR(TEXTJOIN(CHAR(10),TRUE,BYROW(QUERY({$B$2:$B$2505,$J$2:$J$2505},""select Col2, count(Col2) where Col1 = '""&amp;$B2&amp;""' group by Col2 order by count(Col2) desc label count(Col2) ''"",0),LAMBDA(r,INDEX(r,1,1)&amp;"" – ""&amp;INDE"&amp;"X(r,1,2)&amp;"" link""))),""""))"),"lãi suất vay mua xe ô tô – 2 link
lãi suất vay mua ô tô – 2 link
lãi suất vay mua ô tô các ngân hàng – 2 link
mua xe trả góp lãi suất bao nhiêu – 1 link")</f>
        <v>lãi suất vay mua xe ô tô – 2 link
lãi suất vay mua ô tô – 2 link
lãi suất vay mua ô tô các ngân hàng – 2 link
mua xe trả góp lãi suất bao nhiêu – 1 link</v>
      </c>
      <c r="I2" s="10" t="s">
        <v>249</v>
      </c>
      <c r="J2" s="13" t="s">
        <v>247</v>
      </c>
      <c r="K2" s="13" t="s">
        <v>251</v>
      </c>
      <c r="L2" s="13" t="s">
        <v>252</v>
      </c>
      <c r="M2" s="13" t="s">
        <v>253</v>
      </c>
      <c r="N2" s="13" t="s">
        <v>253</v>
      </c>
      <c r="O2" s="13" t="s">
        <v>254</v>
      </c>
      <c r="P2" s="13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</row>
    <row r="3">
      <c r="A3" s="12">
        <v>1.0</v>
      </c>
      <c r="B3" s="13" t="s">
        <v>36</v>
      </c>
      <c r="C3" s="13" t="s">
        <v>89</v>
      </c>
      <c r="I3" s="10" t="s">
        <v>257</v>
      </c>
      <c r="J3" s="13" t="s">
        <v>259</v>
      </c>
      <c r="K3" s="13" t="s">
        <v>251</v>
      </c>
      <c r="L3" s="13" t="s">
        <v>260</v>
      </c>
      <c r="M3" s="13" t="s">
        <v>253</v>
      </c>
      <c r="N3" s="13" t="s">
        <v>253</v>
      </c>
      <c r="O3" s="13" t="s">
        <v>254</v>
      </c>
      <c r="P3" s="13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</row>
    <row r="4">
      <c r="A4" s="12">
        <v>1.0</v>
      </c>
      <c r="B4" s="13" t="s">
        <v>36</v>
      </c>
      <c r="C4" s="13" t="s">
        <v>89</v>
      </c>
      <c r="I4" s="10" t="s">
        <v>261</v>
      </c>
      <c r="J4" s="13" t="s">
        <v>263</v>
      </c>
      <c r="K4" s="13" t="s">
        <v>251</v>
      </c>
      <c r="L4" s="13" t="s">
        <v>264</v>
      </c>
      <c r="M4" s="13" t="s">
        <v>253</v>
      </c>
      <c r="N4" s="13" t="s">
        <v>253</v>
      </c>
      <c r="O4" s="13" t="s">
        <v>254</v>
      </c>
      <c r="P4" s="13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</row>
    <row r="5">
      <c r="A5" s="12">
        <v>1.0</v>
      </c>
      <c r="B5" s="13" t="s">
        <v>36</v>
      </c>
      <c r="C5" s="13" t="s">
        <v>89</v>
      </c>
      <c r="I5" s="10" t="s">
        <v>265</v>
      </c>
      <c r="J5" s="13" t="s">
        <v>268</v>
      </c>
      <c r="K5" s="13" t="s">
        <v>251</v>
      </c>
      <c r="L5" s="13" t="s">
        <v>269</v>
      </c>
      <c r="M5" s="13" t="s">
        <v>253</v>
      </c>
      <c r="N5" s="13" t="s">
        <v>253</v>
      </c>
      <c r="O5" s="13" t="s">
        <v>254</v>
      </c>
      <c r="P5" s="13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8"/>
    </row>
    <row r="6">
      <c r="A6" s="12">
        <v>1.0</v>
      </c>
      <c r="B6" s="13" t="s">
        <v>36</v>
      </c>
      <c r="C6" s="13" t="s">
        <v>89</v>
      </c>
      <c r="I6" s="10" t="s">
        <v>270</v>
      </c>
      <c r="J6" s="13" t="s">
        <v>247</v>
      </c>
      <c r="K6" s="13" t="s">
        <v>272</v>
      </c>
      <c r="L6" s="13" t="s">
        <v>273</v>
      </c>
      <c r="M6" s="13" t="s">
        <v>253</v>
      </c>
      <c r="N6" s="13" t="s">
        <v>253</v>
      </c>
      <c r="O6" s="13" t="s">
        <v>254</v>
      </c>
      <c r="P6" s="13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</row>
    <row r="7">
      <c r="A7" s="12">
        <v>1.0</v>
      </c>
      <c r="B7" s="13" t="s">
        <v>36</v>
      </c>
      <c r="C7" s="13" t="s">
        <v>89</v>
      </c>
      <c r="I7" s="10" t="s">
        <v>274</v>
      </c>
      <c r="J7" s="13" t="s">
        <v>259</v>
      </c>
      <c r="K7" s="13" t="s">
        <v>276</v>
      </c>
      <c r="L7" s="13" t="s">
        <v>277</v>
      </c>
      <c r="M7" s="13" t="s">
        <v>253</v>
      </c>
      <c r="N7" s="13" t="s">
        <v>253</v>
      </c>
      <c r="O7" s="13" t="s">
        <v>254</v>
      </c>
      <c r="P7" s="13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</row>
    <row r="8">
      <c r="A8" s="12">
        <v>1.0</v>
      </c>
      <c r="B8" s="13" t="s">
        <v>36</v>
      </c>
      <c r="C8" s="13" t="s">
        <v>89</v>
      </c>
      <c r="I8" s="10" t="s">
        <v>278</v>
      </c>
      <c r="J8" s="13" t="s">
        <v>263</v>
      </c>
      <c r="K8" s="13" t="s">
        <v>276</v>
      </c>
      <c r="L8" s="13" t="s">
        <v>277</v>
      </c>
      <c r="M8" s="13" t="s">
        <v>253</v>
      </c>
      <c r="N8" s="13" t="s">
        <v>253</v>
      </c>
      <c r="O8" s="13" t="s">
        <v>254</v>
      </c>
      <c r="P8" s="13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</row>
    <row r="9">
      <c r="A9" s="12">
        <v>2.0</v>
      </c>
      <c r="B9" s="13" t="s">
        <v>39</v>
      </c>
      <c r="C9" s="13" t="s">
        <v>280</v>
      </c>
      <c r="D9" s="14">
        <f>IF(COUNTIF($B$2:$B9,$B9)&gt;1,"",COUNTIF($B$2:$B$2505,$B9))</f>
        <v>21</v>
      </c>
      <c r="E9" s="14">
        <f>IF(COUNTIF($B$2:$B9,$B9)&gt;1,"",COUNTIFS($B$2:$B$2505,$B9,$K$2:$K$2505,"PHÙ HỢP CAO"))</f>
        <v>1</v>
      </c>
      <c r="F9" s="14">
        <f>IF(COUNTIF($B$2:$B9,$B9)&gt;1,"",COUNTIFS($B$2:$B$2505,$B9,$K$2:$K$2505,"CÓ THỂ ĐI"))</f>
        <v>2</v>
      </c>
      <c r="G9" s="14">
        <f>IF(COUNTIF($B$2:$B9,$B9)&gt;1,"",COUNTIFS($B$2:$B$2505,$B9,$K$2:$K$2505,"CẦN SOÁT"))</f>
        <v>18</v>
      </c>
      <c r="H9" s="18" t="str">
        <f>IFERROR(__xludf.DUMMYFUNCTION("IF(COUNTIF($B$2:$B9,$B9)&gt;1,"""",IFERROR(TEXTJOIN(CHAR(10),TRUE,BYROW(QUERY({$B$2:$B$2505,$J$2:$J$2505},""select Col2, count(Col2) where Col1 = '""&amp;$B9&amp;""' group by Col2 order by count(Col2) desc label count(Col2) ''"",0),LAMBDA(r,INDEX(r,1,1)&amp;"" – ""&amp;INDE"&amp;"X(r,1,2)&amp;"" link""))),""""))"),"cách nộp thuế đất online – 7 link
nộp thuế đất online – 7 link
đóng thuế đất online – 7 link")</f>
        <v>cách nộp thuế đất online – 7 link
nộp thuế đất online – 7 link
đóng thuế đất online – 7 link</v>
      </c>
      <c r="I9" s="10" t="s">
        <v>285</v>
      </c>
      <c r="J9" s="13" t="s">
        <v>287</v>
      </c>
      <c r="K9" s="13" t="s">
        <v>251</v>
      </c>
      <c r="L9" s="13" t="s">
        <v>288</v>
      </c>
      <c r="M9" s="13" t="s">
        <v>253</v>
      </c>
      <c r="N9" s="13" t="s">
        <v>253</v>
      </c>
      <c r="O9" s="13" t="s">
        <v>254</v>
      </c>
      <c r="P9" s="13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</row>
    <row r="10">
      <c r="A10" s="12">
        <v>2.0</v>
      </c>
      <c r="B10" s="13" t="s">
        <v>39</v>
      </c>
      <c r="C10" s="13" t="s">
        <v>280</v>
      </c>
      <c r="I10" s="10" t="s">
        <v>49</v>
      </c>
      <c r="J10" s="13" t="s">
        <v>292</v>
      </c>
      <c r="K10" s="13" t="s">
        <v>272</v>
      </c>
      <c r="L10" s="13" t="s">
        <v>293</v>
      </c>
      <c r="M10" s="13" t="s">
        <v>253</v>
      </c>
      <c r="N10" s="13" t="s">
        <v>253</v>
      </c>
      <c r="O10" s="13" t="s">
        <v>254</v>
      </c>
      <c r="P10" s="13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</row>
    <row r="11">
      <c r="A11" s="12">
        <v>2.0</v>
      </c>
      <c r="B11" s="13" t="s">
        <v>39</v>
      </c>
      <c r="C11" s="13" t="s">
        <v>280</v>
      </c>
      <c r="I11" s="10" t="s">
        <v>294</v>
      </c>
      <c r="J11" s="13" t="s">
        <v>296</v>
      </c>
      <c r="K11" s="13" t="s">
        <v>272</v>
      </c>
      <c r="L11" s="13" t="s">
        <v>297</v>
      </c>
      <c r="M11" s="13" t="s">
        <v>253</v>
      </c>
      <c r="N11" s="13" t="s">
        <v>253</v>
      </c>
      <c r="O11" s="13" t="s">
        <v>254</v>
      </c>
      <c r="P11" s="13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</row>
    <row r="12">
      <c r="A12" s="12">
        <v>2.0</v>
      </c>
      <c r="B12" s="13" t="s">
        <v>39</v>
      </c>
      <c r="C12" s="13" t="s">
        <v>280</v>
      </c>
      <c r="I12" s="10" t="s">
        <v>298</v>
      </c>
      <c r="J12" s="13" t="s">
        <v>287</v>
      </c>
      <c r="K12" s="13" t="s">
        <v>276</v>
      </c>
      <c r="L12" s="13" t="s">
        <v>299</v>
      </c>
      <c r="M12" s="13" t="s">
        <v>253</v>
      </c>
      <c r="N12" s="13" t="s">
        <v>253</v>
      </c>
      <c r="O12" s="13" t="s">
        <v>254</v>
      </c>
      <c r="P12" s="13" t="s">
        <v>300</v>
      </c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</row>
    <row r="13">
      <c r="A13" s="12">
        <v>2.0</v>
      </c>
      <c r="B13" s="13" t="s">
        <v>39</v>
      </c>
      <c r="C13" s="13" t="s">
        <v>280</v>
      </c>
      <c r="I13" s="10" t="s">
        <v>301</v>
      </c>
      <c r="J13" s="13" t="s">
        <v>292</v>
      </c>
      <c r="K13" s="13" t="s">
        <v>276</v>
      </c>
      <c r="L13" s="13" t="s">
        <v>303</v>
      </c>
      <c r="M13" s="13" t="s">
        <v>253</v>
      </c>
      <c r="N13" s="13" t="s">
        <v>253</v>
      </c>
      <c r="O13" s="13" t="s">
        <v>254</v>
      </c>
      <c r="P13" s="13" t="s">
        <v>300</v>
      </c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</row>
    <row r="14">
      <c r="A14" s="12">
        <v>2.0</v>
      </c>
      <c r="B14" s="13" t="s">
        <v>39</v>
      </c>
      <c r="C14" s="13" t="s">
        <v>280</v>
      </c>
      <c r="I14" s="10" t="s">
        <v>305</v>
      </c>
      <c r="J14" s="13" t="s">
        <v>296</v>
      </c>
      <c r="K14" s="13" t="s">
        <v>276</v>
      </c>
      <c r="L14" s="13" t="s">
        <v>307</v>
      </c>
      <c r="M14" s="13" t="s">
        <v>253</v>
      </c>
      <c r="N14" s="13" t="s">
        <v>253</v>
      </c>
      <c r="O14" s="13" t="s">
        <v>254</v>
      </c>
      <c r="P14" s="13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</row>
    <row r="15">
      <c r="A15" s="12">
        <v>2.0</v>
      </c>
      <c r="B15" s="13" t="s">
        <v>39</v>
      </c>
      <c r="C15" s="13" t="s">
        <v>280</v>
      </c>
      <c r="I15" s="10" t="s">
        <v>308</v>
      </c>
      <c r="J15" s="13" t="s">
        <v>287</v>
      </c>
      <c r="K15" s="13" t="s">
        <v>276</v>
      </c>
      <c r="L15" s="13" t="s">
        <v>303</v>
      </c>
      <c r="M15" s="13" t="s">
        <v>253</v>
      </c>
      <c r="N15" s="13" t="s">
        <v>253</v>
      </c>
      <c r="O15" s="13" t="s">
        <v>254</v>
      </c>
      <c r="P15" s="13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</row>
    <row r="16">
      <c r="A16" s="12">
        <v>2.0</v>
      </c>
      <c r="B16" s="13" t="s">
        <v>39</v>
      </c>
      <c r="C16" s="13" t="s">
        <v>280</v>
      </c>
      <c r="I16" s="10" t="s">
        <v>309</v>
      </c>
      <c r="J16" s="13" t="s">
        <v>292</v>
      </c>
      <c r="K16" s="13" t="s">
        <v>276</v>
      </c>
      <c r="L16" s="13" t="s">
        <v>299</v>
      </c>
      <c r="M16" s="13" t="s">
        <v>253</v>
      </c>
      <c r="N16" s="13" t="s">
        <v>253</v>
      </c>
      <c r="O16" s="13" t="s">
        <v>254</v>
      </c>
      <c r="P16" s="13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</row>
    <row r="17">
      <c r="A17" s="12">
        <v>2.0</v>
      </c>
      <c r="B17" s="13" t="s">
        <v>39</v>
      </c>
      <c r="C17" s="13" t="s">
        <v>280</v>
      </c>
      <c r="I17" s="10" t="s">
        <v>311</v>
      </c>
      <c r="J17" s="13" t="s">
        <v>296</v>
      </c>
      <c r="K17" s="13" t="s">
        <v>276</v>
      </c>
      <c r="L17" s="13" t="s">
        <v>299</v>
      </c>
      <c r="M17" s="13" t="s">
        <v>253</v>
      </c>
      <c r="N17" s="13" t="s">
        <v>253</v>
      </c>
      <c r="O17" s="13" t="s">
        <v>254</v>
      </c>
      <c r="P17" s="13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</row>
    <row r="18">
      <c r="A18" s="12">
        <v>2.0</v>
      </c>
      <c r="B18" s="13" t="s">
        <v>39</v>
      </c>
      <c r="C18" s="13" t="s">
        <v>280</v>
      </c>
      <c r="I18" s="10" t="s">
        <v>314</v>
      </c>
      <c r="J18" s="13" t="s">
        <v>287</v>
      </c>
      <c r="K18" s="13" t="s">
        <v>276</v>
      </c>
      <c r="L18" s="13" t="s">
        <v>307</v>
      </c>
      <c r="M18" s="13" t="s">
        <v>253</v>
      </c>
      <c r="N18" s="13" t="s">
        <v>253</v>
      </c>
      <c r="O18" s="13" t="s">
        <v>254</v>
      </c>
      <c r="P18" s="13" t="s">
        <v>300</v>
      </c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</row>
    <row r="19">
      <c r="A19" s="12">
        <v>2.0</v>
      </c>
      <c r="B19" s="13" t="s">
        <v>39</v>
      </c>
      <c r="C19" s="13" t="s">
        <v>280</v>
      </c>
      <c r="I19" s="10" t="s">
        <v>316</v>
      </c>
      <c r="J19" s="13" t="s">
        <v>292</v>
      </c>
      <c r="K19" s="13" t="s">
        <v>276</v>
      </c>
      <c r="L19" s="13" t="s">
        <v>307</v>
      </c>
      <c r="M19" s="13" t="s">
        <v>253</v>
      </c>
      <c r="N19" s="13" t="s">
        <v>253</v>
      </c>
      <c r="O19" s="13" t="s">
        <v>254</v>
      </c>
      <c r="P19" s="13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</row>
    <row r="20">
      <c r="A20" s="12">
        <v>2.0</v>
      </c>
      <c r="B20" s="13" t="s">
        <v>39</v>
      </c>
      <c r="C20" s="13" t="s">
        <v>280</v>
      </c>
      <c r="I20" s="10" t="s">
        <v>318</v>
      </c>
      <c r="J20" s="13" t="s">
        <v>296</v>
      </c>
      <c r="K20" s="13" t="s">
        <v>276</v>
      </c>
      <c r="L20" s="13" t="s">
        <v>303</v>
      </c>
      <c r="M20" s="13" t="s">
        <v>253</v>
      </c>
      <c r="N20" s="13" t="s">
        <v>253</v>
      </c>
      <c r="O20" s="13" t="s">
        <v>254</v>
      </c>
      <c r="P20" s="13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</row>
    <row r="21">
      <c r="A21" s="12">
        <v>2.0</v>
      </c>
      <c r="B21" s="13" t="s">
        <v>39</v>
      </c>
      <c r="C21" s="13" t="s">
        <v>280</v>
      </c>
      <c r="I21" s="10" t="s">
        <v>64</v>
      </c>
      <c r="J21" s="13" t="s">
        <v>287</v>
      </c>
      <c r="K21" s="13" t="s">
        <v>276</v>
      </c>
      <c r="L21" s="13" t="s">
        <v>303</v>
      </c>
      <c r="M21" s="13" t="s">
        <v>253</v>
      </c>
      <c r="N21" s="13" t="s">
        <v>253</v>
      </c>
      <c r="O21" s="13" t="s">
        <v>254</v>
      </c>
      <c r="P21" s="13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</row>
    <row r="22">
      <c r="A22" s="12">
        <v>2.0</v>
      </c>
      <c r="B22" s="13" t="s">
        <v>39</v>
      </c>
      <c r="C22" s="13" t="s">
        <v>280</v>
      </c>
      <c r="I22" s="10" t="s">
        <v>321</v>
      </c>
      <c r="J22" s="13" t="s">
        <v>292</v>
      </c>
      <c r="K22" s="13" t="s">
        <v>276</v>
      </c>
      <c r="L22" s="13" t="s">
        <v>303</v>
      </c>
      <c r="M22" s="13" t="s">
        <v>253</v>
      </c>
      <c r="N22" s="13" t="s">
        <v>253</v>
      </c>
      <c r="O22" s="13" t="s">
        <v>254</v>
      </c>
      <c r="P22" s="13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</row>
    <row r="23">
      <c r="A23" s="12">
        <v>2.0</v>
      </c>
      <c r="B23" s="13" t="s">
        <v>39</v>
      </c>
      <c r="C23" s="13" t="s">
        <v>280</v>
      </c>
      <c r="I23" s="10" t="s">
        <v>97</v>
      </c>
      <c r="J23" s="13" t="s">
        <v>296</v>
      </c>
      <c r="K23" s="13" t="s">
        <v>276</v>
      </c>
      <c r="L23" s="13" t="s">
        <v>303</v>
      </c>
      <c r="M23" s="13" t="s">
        <v>253</v>
      </c>
      <c r="N23" s="13" t="s">
        <v>253</v>
      </c>
      <c r="O23" s="13" t="s">
        <v>254</v>
      </c>
      <c r="P23" s="13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</row>
    <row r="24">
      <c r="A24" s="12">
        <v>2.0</v>
      </c>
      <c r="B24" s="13" t="s">
        <v>39</v>
      </c>
      <c r="C24" s="13" t="s">
        <v>280</v>
      </c>
      <c r="I24" s="10" t="s">
        <v>325</v>
      </c>
      <c r="J24" s="13" t="s">
        <v>287</v>
      </c>
      <c r="K24" s="13" t="s">
        <v>276</v>
      </c>
      <c r="L24" s="13" t="s">
        <v>303</v>
      </c>
      <c r="M24" s="13" t="s">
        <v>253</v>
      </c>
      <c r="N24" s="13" t="s">
        <v>253</v>
      </c>
      <c r="O24" s="13" t="s">
        <v>254</v>
      </c>
      <c r="P24" s="13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</row>
    <row r="25">
      <c r="A25" s="12">
        <v>2.0</v>
      </c>
      <c r="B25" s="13" t="s">
        <v>39</v>
      </c>
      <c r="C25" s="13" t="s">
        <v>280</v>
      </c>
      <c r="I25" s="10" t="s">
        <v>327</v>
      </c>
      <c r="J25" s="13" t="s">
        <v>292</v>
      </c>
      <c r="K25" s="13" t="s">
        <v>276</v>
      </c>
      <c r="L25" s="13" t="s">
        <v>299</v>
      </c>
      <c r="M25" s="13" t="s">
        <v>253</v>
      </c>
      <c r="N25" s="13" t="s">
        <v>253</v>
      </c>
      <c r="O25" s="13" t="s">
        <v>254</v>
      </c>
      <c r="P25" s="13" t="s">
        <v>300</v>
      </c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</row>
    <row r="26">
      <c r="A26" s="12">
        <v>2.0</v>
      </c>
      <c r="B26" s="13" t="s">
        <v>39</v>
      </c>
      <c r="C26" s="13" t="s">
        <v>280</v>
      </c>
      <c r="I26" s="10" t="s">
        <v>218</v>
      </c>
      <c r="J26" s="13" t="s">
        <v>296</v>
      </c>
      <c r="K26" s="13" t="s">
        <v>276</v>
      </c>
      <c r="L26" s="13" t="s">
        <v>299</v>
      </c>
      <c r="M26" s="13" t="s">
        <v>253</v>
      </c>
      <c r="N26" s="13" t="s">
        <v>253</v>
      </c>
      <c r="O26" s="13" t="s">
        <v>254</v>
      </c>
      <c r="P26" s="13" t="s">
        <v>300</v>
      </c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</row>
    <row r="27">
      <c r="A27" s="12">
        <v>2.0</v>
      </c>
      <c r="B27" s="13" t="s">
        <v>39</v>
      </c>
      <c r="C27" s="13" t="s">
        <v>280</v>
      </c>
      <c r="I27" s="10" t="s">
        <v>281</v>
      </c>
      <c r="J27" s="13" t="s">
        <v>287</v>
      </c>
      <c r="K27" s="13" t="s">
        <v>276</v>
      </c>
      <c r="L27" s="13" t="s">
        <v>307</v>
      </c>
      <c r="M27" s="13" t="s">
        <v>253</v>
      </c>
      <c r="N27" s="13" t="s">
        <v>253</v>
      </c>
      <c r="O27" s="13" t="s">
        <v>254</v>
      </c>
      <c r="P27" s="13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  <c r="AE27" s="8"/>
    </row>
    <row r="28">
      <c r="A28" s="12">
        <v>2.0</v>
      </c>
      <c r="B28" s="13" t="s">
        <v>39</v>
      </c>
      <c r="C28" s="13" t="s">
        <v>280</v>
      </c>
      <c r="I28" s="10" t="s">
        <v>334</v>
      </c>
      <c r="J28" s="13" t="s">
        <v>292</v>
      </c>
      <c r="K28" s="13" t="s">
        <v>276</v>
      </c>
      <c r="L28" s="13" t="s">
        <v>335</v>
      </c>
      <c r="M28" s="13" t="s">
        <v>253</v>
      </c>
      <c r="N28" s="13" t="s">
        <v>253</v>
      </c>
      <c r="O28" s="13" t="s">
        <v>254</v>
      </c>
      <c r="P28" s="13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</row>
    <row r="29">
      <c r="A29" s="12">
        <v>2.0</v>
      </c>
      <c r="B29" s="13" t="s">
        <v>39</v>
      </c>
      <c r="C29" s="13" t="s">
        <v>280</v>
      </c>
      <c r="I29" s="10" t="s">
        <v>337</v>
      </c>
      <c r="J29" s="13" t="s">
        <v>296</v>
      </c>
      <c r="K29" s="13" t="s">
        <v>276</v>
      </c>
      <c r="L29" s="13" t="s">
        <v>335</v>
      </c>
      <c r="M29" s="13" t="s">
        <v>253</v>
      </c>
      <c r="N29" s="13" t="s">
        <v>253</v>
      </c>
      <c r="O29" s="13" t="s">
        <v>254</v>
      </c>
      <c r="P29" s="13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</row>
    <row r="30">
      <c r="A30" s="12">
        <v>3.0</v>
      </c>
      <c r="B30" s="13" t="s">
        <v>49</v>
      </c>
      <c r="C30" s="13" t="s">
        <v>280</v>
      </c>
      <c r="D30" s="14">
        <f>IF(COUNTIF($B$2:$B30,$B30)&gt;1,"",COUNTIF($B$2:$B$2505,$B30))</f>
        <v>22</v>
      </c>
      <c r="E30" s="14">
        <f>IF(COUNTIF($B$2:$B30,$B30)&gt;1,"",COUNTIFS($B$2:$B$2505,$B30,$K$2:$K$2505,"PHÙ HỢP CAO"))</f>
        <v>3</v>
      </c>
      <c r="F30" s="14">
        <f>IF(COUNTIF($B$2:$B30,$B30)&gt;1,"",COUNTIFS($B$2:$B$2505,$B30,$K$2:$K$2505,"CÓ THỂ ĐI"))</f>
        <v>2</v>
      </c>
      <c r="G30" s="14">
        <f>IF(COUNTIF($B$2:$B30,$B30)&gt;1,"",COUNTIFS($B$2:$B$2505,$B30,$K$2:$K$2505,"CẦN SOÁT"))</f>
        <v>17</v>
      </c>
      <c r="H30" s="18" t="str">
        <f>IFERROR(__xludf.DUMMYFUNCTION("IF(COUNTIF($B$2:$B30,$B30)&gt;1,"""",IFERROR(TEXTJOIN(CHAR(10),TRUE,BYROW(QUERY({$B$2:$B$2505,$J$2:$J$2505},""select Col2, count(Col2) where Col1 = '""&amp;$B30&amp;""' group by Col2 order by count(Col2) desc label count(Col2) ''"",0),LAMBDA(r,INDEX(r,1,1)&amp;"" – ""&amp;I"&amp;"NDEX(r,1,2)&amp;"" link""))),""""))"),"nộp thuế hộ trên etax – 11 link
nộp thuế online – 11 link")</f>
        <v>nộp thuế hộ trên etax – 11 link
nộp thuế online – 11 link</v>
      </c>
      <c r="I30" s="10" t="s">
        <v>285</v>
      </c>
      <c r="J30" s="13" t="s">
        <v>346</v>
      </c>
      <c r="K30" s="13" t="s">
        <v>251</v>
      </c>
      <c r="L30" s="13" t="s">
        <v>347</v>
      </c>
      <c r="M30" s="13" t="s">
        <v>253</v>
      </c>
      <c r="N30" s="13" t="s">
        <v>253</v>
      </c>
      <c r="O30" s="13" t="s">
        <v>254</v>
      </c>
      <c r="P30" s="13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</row>
    <row r="31">
      <c r="A31" s="12">
        <v>3.0</v>
      </c>
      <c r="B31" s="13" t="s">
        <v>49</v>
      </c>
      <c r="C31" s="13" t="s">
        <v>280</v>
      </c>
      <c r="I31" s="10" t="s">
        <v>298</v>
      </c>
      <c r="J31" s="13" t="s">
        <v>348</v>
      </c>
      <c r="K31" s="13" t="s">
        <v>251</v>
      </c>
      <c r="L31" s="13" t="s">
        <v>349</v>
      </c>
      <c r="M31" s="13" t="s">
        <v>253</v>
      </c>
      <c r="N31" s="13" t="s">
        <v>253</v>
      </c>
      <c r="O31" s="13" t="s">
        <v>254</v>
      </c>
      <c r="P31" s="13" t="s">
        <v>350</v>
      </c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</row>
    <row r="32">
      <c r="A32" s="12">
        <v>3.0</v>
      </c>
      <c r="B32" s="13" t="s">
        <v>49</v>
      </c>
      <c r="C32" s="13" t="s">
        <v>280</v>
      </c>
      <c r="I32" s="10" t="s">
        <v>316</v>
      </c>
      <c r="J32" s="13" t="s">
        <v>346</v>
      </c>
      <c r="K32" s="13" t="s">
        <v>251</v>
      </c>
      <c r="L32" s="13" t="s">
        <v>351</v>
      </c>
      <c r="M32" s="13" t="s">
        <v>253</v>
      </c>
      <c r="N32" s="13" t="s">
        <v>253</v>
      </c>
      <c r="O32" s="13" t="s">
        <v>254</v>
      </c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</row>
    <row r="33">
      <c r="A33" s="12">
        <v>3.0</v>
      </c>
      <c r="B33" s="13" t="s">
        <v>49</v>
      </c>
      <c r="C33" s="13" t="s">
        <v>280</v>
      </c>
      <c r="I33" s="10" t="s">
        <v>314</v>
      </c>
      <c r="J33" s="13" t="s">
        <v>348</v>
      </c>
      <c r="K33" s="13" t="s">
        <v>272</v>
      </c>
      <c r="L33" s="13" t="s">
        <v>352</v>
      </c>
      <c r="M33" s="13" t="s">
        <v>253</v>
      </c>
      <c r="N33" s="13" t="s">
        <v>253</v>
      </c>
      <c r="O33" s="13" t="s">
        <v>254</v>
      </c>
      <c r="P33" s="13" t="s">
        <v>350</v>
      </c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</row>
    <row r="34">
      <c r="A34" s="12">
        <v>3.0</v>
      </c>
      <c r="B34" s="13" t="s">
        <v>49</v>
      </c>
      <c r="C34" s="13" t="s">
        <v>280</v>
      </c>
      <c r="I34" s="10" t="s">
        <v>325</v>
      </c>
      <c r="J34" s="13" t="s">
        <v>346</v>
      </c>
      <c r="K34" s="13" t="s">
        <v>272</v>
      </c>
      <c r="L34" s="13" t="s">
        <v>353</v>
      </c>
      <c r="M34" s="13" t="s">
        <v>253</v>
      </c>
      <c r="N34" s="13" t="s">
        <v>253</v>
      </c>
      <c r="O34" s="13" t="s">
        <v>254</v>
      </c>
      <c r="P34" s="13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</row>
    <row r="35">
      <c r="A35" s="12">
        <v>3.0</v>
      </c>
      <c r="B35" s="13" t="s">
        <v>49</v>
      </c>
      <c r="C35" s="13" t="s">
        <v>280</v>
      </c>
      <c r="I35" s="10" t="s">
        <v>355</v>
      </c>
      <c r="J35" s="13" t="s">
        <v>348</v>
      </c>
      <c r="K35" s="13" t="s">
        <v>276</v>
      </c>
      <c r="L35" s="13" t="s">
        <v>357</v>
      </c>
      <c r="M35" s="13" t="s">
        <v>253</v>
      </c>
      <c r="N35" s="13" t="s">
        <v>253</v>
      </c>
      <c r="O35" s="13" t="s">
        <v>254</v>
      </c>
      <c r="P35" s="13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  <c r="AE35" s="8"/>
    </row>
    <row r="36">
      <c r="A36" s="12">
        <v>3.0</v>
      </c>
      <c r="B36" s="13" t="s">
        <v>49</v>
      </c>
      <c r="C36" s="13" t="s">
        <v>280</v>
      </c>
      <c r="I36" s="10" t="s">
        <v>301</v>
      </c>
      <c r="J36" s="13" t="s">
        <v>346</v>
      </c>
      <c r="K36" s="13" t="s">
        <v>276</v>
      </c>
      <c r="L36" s="13" t="s">
        <v>303</v>
      </c>
      <c r="M36" s="13" t="s">
        <v>253</v>
      </c>
      <c r="N36" s="13" t="s">
        <v>253</v>
      </c>
      <c r="O36" s="13" t="s">
        <v>254</v>
      </c>
      <c r="P36" s="13" t="s">
        <v>300</v>
      </c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  <c r="AE36" s="8"/>
    </row>
    <row r="37">
      <c r="A37" s="12">
        <v>3.0</v>
      </c>
      <c r="B37" s="13" t="s">
        <v>49</v>
      </c>
      <c r="C37" s="13" t="s">
        <v>280</v>
      </c>
      <c r="I37" s="10" t="s">
        <v>305</v>
      </c>
      <c r="J37" s="13" t="s">
        <v>348</v>
      </c>
      <c r="K37" s="13" t="s">
        <v>276</v>
      </c>
      <c r="L37" s="13" t="s">
        <v>358</v>
      </c>
      <c r="M37" s="13" t="s">
        <v>253</v>
      </c>
      <c r="N37" s="13" t="s">
        <v>253</v>
      </c>
      <c r="O37" s="13" t="s">
        <v>254</v>
      </c>
      <c r="P37" s="13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8"/>
    </row>
    <row r="38">
      <c r="A38" s="12">
        <v>3.0</v>
      </c>
      <c r="B38" s="13" t="s">
        <v>49</v>
      </c>
      <c r="C38" s="13" t="s">
        <v>280</v>
      </c>
      <c r="I38" s="10" t="s">
        <v>308</v>
      </c>
      <c r="J38" s="13" t="s">
        <v>346</v>
      </c>
      <c r="K38" s="13" t="s">
        <v>276</v>
      </c>
      <c r="L38" s="13" t="s">
        <v>303</v>
      </c>
      <c r="M38" s="13" t="s">
        <v>253</v>
      </c>
      <c r="N38" s="13" t="s">
        <v>253</v>
      </c>
      <c r="O38" s="13" t="s">
        <v>254</v>
      </c>
      <c r="P38" s="13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</row>
    <row r="39">
      <c r="A39" s="12">
        <v>3.0</v>
      </c>
      <c r="B39" s="13" t="s">
        <v>49</v>
      </c>
      <c r="C39" s="13" t="s">
        <v>280</v>
      </c>
      <c r="I39" s="10" t="s">
        <v>309</v>
      </c>
      <c r="J39" s="13" t="s">
        <v>348</v>
      </c>
      <c r="K39" s="13" t="s">
        <v>276</v>
      </c>
      <c r="L39" s="13" t="s">
        <v>360</v>
      </c>
      <c r="M39" s="13" t="s">
        <v>253</v>
      </c>
      <c r="N39" s="13" t="s">
        <v>253</v>
      </c>
      <c r="O39" s="13" t="s">
        <v>254</v>
      </c>
      <c r="P39" s="13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  <c r="AE39" s="8"/>
    </row>
    <row r="40">
      <c r="A40" s="12">
        <v>3.0</v>
      </c>
      <c r="B40" s="13" t="s">
        <v>49</v>
      </c>
      <c r="C40" s="13" t="s">
        <v>280</v>
      </c>
      <c r="I40" s="10" t="s">
        <v>311</v>
      </c>
      <c r="J40" s="13" t="s">
        <v>346</v>
      </c>
      <c r="K40" s="13" t="s">
        <v>276</v>
      </c>
      <c r="L40" s="13" t="s">
        <v>360</v>
      </c>
      <c r="M40" s="13" t="s">
        <v>253</v>
      </c>
      <c r="N40" s="13" t="s">
        <v>253</v>
      </c>
      <c r="O40" s="13" t="s">
        <v>254</v>
      </c>
      <c r="P40" s="13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  <c r="AE40" s="8"/>
    </row>
    <row r="41">
      <c r="A41" s="12">
        <v>3.0</v>
      </c>
      <c r="B41" s="13" t="s">
        <v>49</v>
      </c>
      <c r="C41" s="13" t="s">
        <v>280</v>
      </c>
      <c r="I41" s="10" t="s">
        <v>318</v>
      </c>
      <c r="J41" s="13" t="s">
        <v>348</v>
      </c>
      <c r="K41" s="13" t="s">
        <v>276</v>
      </c>
      <c r="L41" s="13" t="s">
        <v>303</v>
      </c>
      <c r="M41" s="13" t="s">
        <v>253</v>
      </c>
      <c r="N41" s="13" t="s">
        <v>253</v>
      </c>
      <c r="O41" s="13" t="s">
        <v>254</v>
      </c>
      <c r="P41" s="13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  <c r="AE41" s="8"/>
    </row>
    <row r="42">
      <c r="A42" s="12">
        <v>3.0</v>
      </c>
      <c r="B42" s="13" t="s">
        <v>49</v>
      </c>
      <c r="C42" s="13" t="s">
        <v>280</v>
      </c>
      <c r="I42" s="10" t="s">
        <v>339</v>
      </c>
      <c r="J42" s="13" t="s">
        <v>346</v>
      </c>
      <c r="K42" s="13" t="s">
        <v>276</v>
      </c>
      <c r="L42" s="13" t="s">
        <v>364</v>
      </c>
      <c r="M42" s="13" t="s">
        <v>253</v>
      </c>
      <c r="N42" s="13" t="s">
        <v>253</v>
      </c>
      <c r="O42" s="13" t="s">
        <v>254</v>
      </c>
      <c r="P42" s="13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</row>
    <row r="43">
      <c r="A43" s="12">
        <v>3.0</v>
      </c>
      <c r="B43" s="13" t="s">
        <v>49</v>
      </c>
      <c r="C43" s="13" t="s">
        <v>280</v>
      </c>
      <c r="I43" s="10" t="s">
        <v>64</v>
      </c>
      <c r="J43" s="13" t="s">
        <v>348</v>
      </c>
      <c r="K43" s="13" t="s">
        <v>276</v>
      </c>
      <c r="L43" s="13" t="s">
        <v>303</v>
      </c>
      <c r="M43" s="13" t="s">
        <v>253</v>
      </c>
      <c r="N43" s="13" t="s">
        <v>253</v>
      </c>
      <c r="O43" s="13" t="s">
        <v>254</v>
      </c>
      <c r="P43" s="13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  <c r="AE43" s="8"/>
    </row>
    <row r="44">
      <c r="A44" s="12">
        <v>3.0</v>
      </c>
      <c r="B44" s="13" t="s">
        <v>49</v>
      </c>
      <c r="C44" s="13" t="s">
        <v>280</v>
      </c>
      <c r="I44" s="10" t="s">
        <v>365</v>
      </c>
      <c r="J44" s="13" t="s">
        <v>346</v>
      </c>
      <c r="K44" s="13" t="s">
        <v>276</v>
      </c>
      <c r="L44" s="13" t="s">
        <v>367</v>
      </c>
      <c r="M44" s="13" t="s">
        <v>253</v>
      </c>
      <c r="N44" s="13" t="s">
        <v>253</v>
      </c>
      <c r="O44" s="13" t="s">
        <v>254</v>
      </c>
      <c r="P44" s="13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  <c r="AE44" s="8"/>
    </row>
    <row r="45">
      <c r="A45" s="12">
        <v>3.0</v>
      </c>
      <c r="B45" s="13" t="s">
        <v>49</v>
      </c>
      <c r="C45" s="13" t="s">
        <v>280</v>
      </c>
      <c r="I45" s="10" t="s">
        <v>321</v>
      </c>
      <c r="J45" s="13" t="s">
        <v>348</v>
      </c>
      <c r="K45" s="13" t="s">
        <v>276</v>
      </c>
      <c r="L45" s="13" t="s">
        <v>369</v>
      </c>
      <c r="M45" s="13" t="s">
        <v>253</v>
      </c>
      <c r="N45" s="13" t="s">
        <v>253</v>
      </c>
      <c r="O45" s="13" t="s">
        <v>254</v>
      </c>
      <c r="P45" s="13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</row>
    <row r="46">
      <c r="A46" s="12">
        <v>3.0</v>
      </c>
      <c r="B46" s="13" t="s">
        <v>49</v>
      </c>
      <c r="C46" s="13" t="s">
        <v>280</v>
      </c>
      <c r="I46" s="10" t="s">
        <v>97</v>
      </c>
      <c r="J46" s="13" t="s">
        <v>346</v>
      </c>
      <c r="K46" s="13" t="s">
        <v>276</v>
      </c>
      <c r="L46" s="13" t="s">
        <v>370</v>
      </c>
      <c r="M46" s="13" t="s">
        <v>253</v>
      </c>
      <c r="N46" s="13" t="s">
        <v>253</v>
      </c>
      <c r="O46" s="13" t="s">
        <v>254</v>
      </c>
      <c r="P46" s="13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</row>
    <row r="47">
      <c r="A47" s="12">
        <v>3.0</v>
      </c>
      <c r="B47" s="13" t="s">
        <v>49</v>
      </c>
      <c r="C47" s="13" t="s">
        <v>280</v>
      </c>
      <c r="I47" s="10" t="s">
        <v>327</v>
      </c>
      <c r="J47" s="13" t="s">
        <v>348</v>
      </c>
      <c r="K47" s="13" t="s">
        <v>276</v>
      </c>
      <c r="L47" s="13" t="s">
        <v>299</v>
      </c>
      <c r="M47" s="13" t="s">
        <v>253</v>
      </c>
      <c r="N47" s="13" t="s">
        <v>253</v>
      </c>
      <c r="O47" s="13" t="s">
        <v>254</v>
      </c>
      <c r="P47" s="13" t="s">
        <v>300</v>
      </c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</row>
    <row r="48">
      <c r="A48" s="12">
        <v>3.0</v>
      </c>
      <c r="B48" s="13" t="s">
        <v>49</v>
      </c>
      <c r="C48" s="13" t="s">
        <v>280</v>
      </c>
      <c r="I48" s="10" t="s">
        <v>218</v>
      </c>
      <c r="J48" s="13" t="s">
        <v>346</v>
      </c>
      <c r="K48" s="13" t="s">
        <v>276</v>
      </c>
      <c r="L48" s="13" t="s">
        <v>299</v>
      </c>
      <c r="M48" s="13" t="s">
        <v>253</v>
      </c>
      <c r="N48" s="13" t="s">
        <v>253</v>
      </c>
      <c r="O48" s="13" t="s">
        <v>254</v>
      </c>
      <c r="P48" s="13" t="s">
        <v>300</v>
      </c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  <c r="AE48" s="8"/>
    </row>
    <row r="49">
      <c r="A49" s="12">
        <v>3.0</v>
      </c>
      <c r="B49" s="13" t="s">
        <v>49</v>
      </c>
      <c r="C49" s="13" t="s">
        <v>280</v>
      </c>
      <c r="I49" s="10" t="s">
        <v>283</v>
      </c>
      <c r="J49" s="13" t="s">
        <v>348</v>
      </c>
      <c r="K49" s="13" t="s">
        <v>276</v>
      </c>
      <c r="L49" s="13" t="s">
        <v>299</v>
      </c>
      <c r="M49" s="13" t="s">
        <v>253</v>
      </c>
      <c r="N49" s="13" t="s">
        <v>253</v>
      </c>
      <c r="O49" s="13" t="s">
        <v>254</v>
      </c>
      <c r="P49" s="13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  <c r="AC49" s="8"/>
      <c r="AD49" s="8"/>
      <c r="AE49" s="8"/>
    </row>
    <row r="50">
      <c r="A50" s="12">
        <v>3.0</v>
      </c>
      <c r="B50" s="13" t="s">
        <v>49</v>
      </c>
      <c r="C50" s="13" t="s">
        <v>280</v>
      </c>
      <c r="I50" s="10" t="s">
        <v>281</v>
      </c>
      <c r="J50" s="13" t="s">
        <v>346</v>
      </c>
      <c r="K50" s="13" t="s">
        <v>276</v>
      </c>
      <c r="L50" s="13" t="s">
        <v>358</v>
      </c>
      <c r="M50" s="13" t="s">
        <v>253</v>
      </c>
      <c r="N50" s="13" t="s">
        <v>253</v>
      </c>
      <c r="O50" s="13" t="s">
        <v>254</v>
      </c>
      <c r="P50" s="13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  <c r="AC50" s="8"/>
      <c r="AD50" s="8"/>
      <c r="AE50" s="8"/>
    </row>
    <row r="51">
      <c r="A51" s="12">
        <v>3.0</v>
      </c>
      <c r="B51" s="13" t="s">
        <v>49</v>
      </c>
      <c r="C51" s="13" t="s">
        <v>280</v>
      </c>
      <c r="I51" s="10" t="s">
        <v>39</v>
      </c>
      <c r="J51" s="13" t="s">
        <v>348</v>
      </c>
      <c r="K51" s="13" t="s">
        <v>276</v>
      </c>
      <c r="L51" s="13" t="s">
        <v>299</v>
      </c>
      <c r="M51" s="13" t="s">
        <v>253</v>
      </c>
      <c r="N51" s="13" t="s">
        <v>253</v>
      </c>
      <c r="O51" s="13" t="s">
        <v>254</v>
      </c>
      <c r="P51" s="13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  <c r="AC51" s="8"/>
      <c r="AD51" s="8"/>
      <c r="AE51" s="8"/>
    </row>
    <row r="52">
      <c r="A52" s="12">
        <v>4.0</v>
      </c>
      <c r="B52" s="13" t="s">
        <v>64</v>
      </c>
      <c r="C52" s="13" t="s">
        <v>280</v>
      </c>
      <c r="D52" s="14">
        <f>IF(COUNTIF($B$2:$B52,$B52)&gt;1,"",COUNTIF($B$2:$B$2505,$B52))</f>
        <v>28</v>
      </c>
      <c r="E52" s="14">
        <f>IF(COUNTIF($B$2:$B52,$B52)&gt;1,"",COUNTIFS($B$2:$B$2505,$B52,$K$2:$K$2505,"PHÙ HỢP CAO"))</f>
        <v>3</v>
      </c>
      <c r="F52" s="14">
        <f>IF(COUNTIF($B$2:$B52,$B52)&gt;1,"",COUNTIFS($B$2:$B$2505,$B52,$K$2:$K$2505,"CÓ THỂ ĐI"))</f>
        <v>2</v>
      </c>
      <c r="G52" s="14">
        <f>IF(COUNTIF($B$2:$B52,$B52)&gt;1,"",COUNTIFS($B$2:$B$2505,$B52,$K$2:$K$2505,"CẦN SOÁT"))</f>
        <v>23</v>
      </c>
      <c r="H52" s="18" t="str">
        <f>IFERROR(__xludf.DUMMYFUNCTION("IF(COUNTIF($B$2:$B52,$B52)&gt;1,"""",IFERROR(TEXTJOIN(CHAR(10),TRUE,BYROW(QUERY({$B$2:$B$2505,$J$2:$J$2505},""select Col2, count(Col2) where Col1 = '""&amp;$B52&amp;""' group by Col2 order by count(Col2) desc label count(Col2) ''"",0),LAMBDA(r,INDEX(r,1,1)&amp;"" – ""&amp;I"&amp;"NDEX(r,1,2)&amp;"" link""))),""""))"),"thuế thu nhập doanh nghiệp – 14 link
thuế thu nhập doanh nghiệp 2026 – 14 link")</f>
        <v>thuế thu nhập doanh nghiệp – 14 link
thuế thu nhập doanh nghiệp 2026 – 14 link</v>
      </c>
      <c r="I52" s="10" t="s">
        <v>383</v>
      </c>
      <c r="J52" s="13" t="s">
        <v>379</v>
      </c>
      <c r="K52" s="13" t="s">
        <v>251</v>
      </c>
      <c r="L52" s="13" t="s">
        <v>384</v>
      </c>
      <c r="M52" s="13" t="s">
        <v>253</v>
      </c>
      <c r="N52" s="13" t="s">
        <v>253</v>
      </c>
      <c r="O52" s="13" t="s">
        <v>254</v>
      </c>
      <c r="P52" s="13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8"/>
      <c r="AC52" s="8"/>
      <c r="AD52" s="8"/>
      <c r="AE52" s="8"/>
    </row>
    <row r="53">
      <c r="A53" s="12">
        <v>4.0</v>
      </c>
      <c r="B53" s="13" t="s">
        <v>64</v>
      </c>
      <c r="C53" s="13" t="s">
        <v>280</v>
      </c>
      <c r="I53" s="10" t="s">
        <v>365</v>
      </c>
      <c r="J53" s="13" t="s">
        <v>385</v>
      </c>
      <c r="K53" s="13" t="s">
        <v>251</v>
      </c>
      <c r="L53" s="13" t="s">
        <v>386</v>
      </c>
      <c r="M53" s="13" t="s">
        <v>253</v>
      </c>
      <c r="N53" s="13" t="s">
        <v>253</v>
      </c>
      <c r="O53" s="13" t="s">
        <v>254</v>
      </c>
      <c r="P53" s="13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  <c r="AB53" s="8"/>
      <c r="AC53" s="8"/>
      <c r="AD53" s="8"/>
      <c r="AE53" s="8"/>
    </row>
    <row r="54">
      <c r="A54" s="12">
        <v>4.0</v>
      </c>
      <c r="B54" s="13" t="s">
        <v>64</v>
      </c>
      <c r="C54" s="13" t="s">
        <v>280</v>
      </c>
      <c r="I54" s="10" t="s">
        <v>387</v>
      </c>
      <c r="J54" s="13" t="s">
        <v>379</v>
      </c>
      <c r="K54" s="13" t="s">
        <v>251</v>
      </c>
      <c r="L54" s="13" t="s">
        <v>388</v>
      </c>
      <c r="M54" s="13" t="s">
        <v>253</v>
      </c>
      <c r="N54" s="13" t="s">
        <v>253</v>
      </c>
      <c r="O54" s="13" t="s">
        <v>254</v>
      </c>
      <c r="P54" s="13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  <c r="AB54" s="8"/>
      <c r="AC54" s="8"/>
      <c r="AD54" s="8"/>
      <c r="AE54" s="8"/>
    </row>
    <row r="55">
      <c r="A55" s="12">
        <v>4.0</v>
      </c>
      <c r="B55" s="13" t="s">
        <v>64</v>
      </c>
      <c r="C55" s="13" t="s">
        <v>280</v>
      </c>
      <c r="I55" s="10" t="s">
        <v>389</v>
      </c>
      <c r="J55" s="13" t="s">
        <v>385</v>
      </c>
      <c r="K55" s="13" t="s">
        <v>272</v>
      </c>
      <c r="L55" s="13" t="s">
        <v>390</v>
      </c>
      <c r="M55" s="13" t="s">
        <v>253</v>
      </c>
      <c r="N55" s="13" t="s">
        <v>253</v>
      </c>
      <c r="O55" s="13" t="s">
        <v>254</v>
      </c>
      <c r="P55" s="13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8"/>
      <c r="AC55" s="8"/>
      <c r="AD55" s="8"/>
      <c r="AE55" s="8"/>
    </row>
    <row r="56">
      <c r="A56" s="12">
        <v>4.0</v>
      </c>
      <c r="B56" s="13" t="s">
        <v>64</v>
      </c>
      <c r="C56" s="13" t="s">
        <v>280</v>
      </c>
      <c r="I56" s="10" t="s">
        <v>355</v>
      </c>
      <c r="J56" s="13" t="s">
        <v>379</v>
      </c>
      <c r="K56" s="13" t="s">
        <v>272</v>
      </c>
      <c r="L56" s="13" t="s">
        <v>391</v>
      </c>
      <c r="M56" s="13" t="s">
        <v>253</v>
      </c>
      <c r="N56" s="13" t="s">
        <v>253</v>
      </c>
      <c r="O56" s="13" t="s">
        <v>254</v>
      </c>
      <c r="P56" s="13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  <c r="AB56" s="8"/>
      <c r="AC56" s="8"/>
      <c r="AD56" s="8"/>
      <c r="AE56" s="8"/>
    </row>
    <row r="57">
      <c r="A57" s="12">
        <v>4.0</v>
      </c>
      <c r="B57" s="13" t="s">
        <v>64</v>
      </c>
      <c r="C57" s="13" t="s">
        <v>280</v>
      </c>
      <c r="I57" s="10" t="s">
        <v>141</v>
      </c>
      <c r="J57" s="13" t="s">
        <v>385</v>
      </c>
      <c r="K57" s="13" t="s">
        <v>276</v>
      </c>
      <c r="L57" s="13" t="s">
        <v>392</v>
      </c>
      <c r="M57" s="13" t="s">
        <v>253</v>
      </c>
      <c r="N57" s="13" t="s">
        <v>253</v>
      </c>
      <c r="O57" s="13" t="s">
        <v>254</v>
      </c>
      <c r="P57" s="13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  <c r="AB57" s="8"/>
      <c r="AC57" s="8"/>
      <c r="AD57" s="8"/>
      <c r="AE57" s="8"/>
    </row>
    <row r="58">
      <c r="A58" s="12">
        <v>4.0</v>
      </c>
      <c r="B58" s="13" t="s">
        <v>64</v>
      </c>
      <c r="C58" s="13" t="s">
        <v>280</v>
      </c>
      <c r="I58" s="10" t="s">
        <v>393</v>
      </c>
      <c r="J58" s="13" t="s">
        <v>379</v>
      </c>
      <c r="K58" s="13" t="s">
        <v>276</v>
      </c>
      <c r="L58" s="13" t="s">
        <v>394</v>
      </c>
      <c r="M58" s="13" t="s">
        <v>253</v>
      </c>
      <c r="N58" s="13" t="s">
        <v>253</v>
      </c>
      <c r="O58" s="13" t="s">
        <v>254</v>
      </c>
      <c r="P58" s="13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  <c r="AB58" s="8"/>
      <c r="AC58" s="8"/>
      <c r="AD58" s="8"/>
      <c r="AE58" s="8"/>
    </row>
    <row r="59">
      <c r="A59" s="12">
        <v>4.0</v>
      </c>
      <c r="B59" s="13" t="s">
        <v>64</v>
      </c>
      <c r="C59" s="13" t="s">
        <v>280</v>
      </c>
      <c r="I59" s="10" t="s">
        <v>395</v>
      </c>
      <c r="J59" s="13" t="s">
        <v>385</v>
      </c>
      <c r="K59" s="13" t="s">
        <v>276</v>
      </c>
      <c r="L59" s="13" t="s">
        <v>396</v>
      </c>
      <c r="M59" s="13" t="s">
        <v>253</v>
      </c>
      <c r="N59" s="13" t="s">
        <v>253</v>
      </c>
      <c r="O59" s="13" t="s">
        <v>254</v>
      </c>
      <c r="P59" s="13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  <c r="AB59" s="8"/>
      <c r="AC59" s="8"/>
      <c r="AD59" s="8"/>
      <c r="AE59" s="8"/>
    </row>
    <row r="60">
      <c r="A60" s="12">
        <v>4.0</v>
      </c>
      <c r="B60" s="13" t="s">
        <v>64</v>
      </c>
      <c r="C60" s="13" t="s">
        <v>280</v>
      </c>
      <c r="I60" s="10" t="s">
        <v>397</v>
      </c>
      <c r="J60" s="13" t="s">
        <v>379</v>
      </c>
      <c r="K60" s="13" t="s">
        <v>276</v>
      </c>
      <c r="L60" s="13" t="s">
        <v>394</v>
      </c>
      <c r="M60" s="13" t="s">
        <v>253</v>
      </c>
      <c r="N60" s="13" t="s">
        <v>253</v>
      </c>
      <c r="O60" s="13" t="s">
        <v>254</v>
      </c>
      <c r="P60" s="13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  <c r="AB60" s="8"/>
      <c r="AC60" s="8"/>
      <c r="AD60" s="8"/>
      <c r="AE60" s="8"/>
    </row>
    <row r="61">
      <c r="A61" s="12">
        <v>4.0</v>
      </c>
      <c r="B61" s="13" t="s">
        <v>64</v>
      </c>
      <c r="C61" s="13" t="s">
        <v>280</v>
      </c>
      <c r="I61" s="10" t="s">
        <v>110</v>
      </c>
      <c r="J61" s="13" t="s">
        <v>385</v>
      </c>
      <c r="K61" s="13" t="s">
        <v>276</v>
      </c>
      <c r="L61" s="13" t="s">
        <v>398</v>
      </c>
      <c r="M61" s="13" t="s">
        <v>253</v>
      </c>
      <c r="N61" s="13" t="s">
        <v>253</v>
      </c>
      <c r="O61" s="13" t="s">
        <v>254</v>
      </c>
      <c r="P61" s="13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  <c r="AB61" s="8"/>
      <c r="AC61" s="8"/>
      <c r="AD61" s="8"/>
      <c r="AE61" s="8"/>
    </row>
    <row r="62">
      <c r="A62" s="12">
        <v>4.0</v>
      </c>
      <c r="B62" s="13" t="s">
        <v>64</v>
      </c>
      <c r="C62" s="13" t="s">
        <v>280</v>
      </c>
      <c r="I62" s="10" t="s">
        <v>399</v>
      </c>
      <c r="J62" s="13" t="s">
        <v>379</v>
      </c>
      <c r="K62" s="13" t="s">
        <v>276</v>
      </c>
      <c r="L62" s="13" t="s">
        <v>400</v>
      </c>
      <c r="M62" s="13" t="s">
        <v>253</v>
      </c>
      <c r="N62" s="13" t="s">
        <v>253</v>
      </c>
      <c r="O62" s="13" t="s">
        <v>254</v>
      </c>
      <c r="P62" s="13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  <c r="AB62" s="8"/>
      <c r="AC62" s="8"/>
      <c r="AD62" s="8"/>
      <c r="AE62" s="8"/>
    </row>
    <row r="63">
      <c r="A63" s="12">
        <v>4.0</v>
      </c>
      <c r="B63" s="13" t="s">
        <v>64</v>
      </c>
      <c r="C63" s="13" t="s">
        <v>280</v>
      </c>
      <c r="I63" s="10" t="s">
        <v>401</v>
      </c>
      <c r="J63" s="13" t="s">
        <v>385</v>
      </c>
      <c r="K63" s="13" t="s">
        <v>276</v>
      </c>
      <c r="L63" s="13" t="s">
        <v>396</v>
      </c>
      <c r="M63" s="13" t="s">
        <v>253</v>
      </c>
      <c r="N63" s="13" t="s">
        <v>253</v>
      </c>
      <c r="O63" s="13" t="s">
        <v>254</v>
      </c>
      <c r="P63" s="13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  <c r="AB63" s="8"/>
      <c r="AC63" s="8"/>
      <c r="AD63" s="8"/>
      <c r="AE63" s="8"/>
    </row>
    <row r="64">
      <c r="A64" s="12">
        <v>4.0</v>
      </c>
      <c r="B64" s="13" t="s">
        <v>64</v>
      </c>
      <c r="C64" s="13" t="s">
        <v>280</v>
      </c>
      <c r="I64" s="10" t="s">
        <v>321</v>
      </c>
      <c r="J64" s="13" t="s">
        <v>379</v>
      </c>
      <c r="K64" s="13" t="s">
        <v>276</v>
      </c>
      <c r="L64" s="13" t="s">
        <v>394</v>
      </c>
      <c r="M64" s="13" t="s">
        <v>253</v>
      </c>
      <c r="N64" s="13" t="s">
        <v>253</v>
      </c>
      <c r="O64" s="13" t="s">
        <v>254</v>
      </c>
      <c r="P64" s="13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</row>
    <row r="65">
      <c r="A65" s="12">
        <v>4.0</v>
      </c>
      <c r="B65" s="13" t="s">
        <v>64</v>
      </c>
      <c r="C65" s="13" t="s">
        <v>280</v>
      </c>
      <c r="I65" s="10" t="s">
        <v>97</v>
      </c>
      <c r="J65" s="13" t="s">
        <v>385</v>
      </c>
      <c r="K65" s="13" t="s">
        <v>276</v>
      </c>
      <c r="L65" s="13" t="s">
        <v>394</v>
      </c>
      <c r="M65" s="13" t="s">
        <v>253</v>
      </c>
      <c r="N65" s="13" t="s">
        <v>253</v>
      </c>
      <c r="O65" s="13" t="s">
        <v>254</v>
      </c>
      <c r="P65" s="13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  <c r="AC65" s="8"/>
      <c r="AD65" s="8"/>
      <c r="AE65" s="8"/>
    </row>
    <row r="66">
      <c r="A66" s="12">
        <v>4.0</v>
      </c>
      <c r="B66" s="13" t="s">
        <v>64</v>
      </c>
      <c r="C66" s="13" t="s">
        <v>280</v>
      </c>
      <c r="I66" s="10" t="s">
        <v>402</v>
      </c>
      <c r="J66" s="13" t="s">
        <v>379</v>
      </c>
      <c r="K66" s="13" t="s">
        <v>276</v>
      </c>
      <c r="L66" s="13" t="s">
        <v>396</v>
      </c>
      <c r="M66" s="13" t="s">
        <v>253</v>
      </c>
      <c r="N66" s="13" t="s">
        <v>253</v>
      </c>
      <c r="O66" s="13" t="s">
        <v>254</v>
      </c>
      <c r="P66" s="13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8"/>
      <c r="AC66" s="8"/>
      <c r="AD66" s="8"/>
      <c r="AE66" s="8"/>
    </row>
    <row r="67">
      <c r="A67" s="12">
        <v>4.0</v>
      </c>
      <c r="B67" s="13" t="s">
        <v>64</v>
      </c>
      <c r="C67" s="13" t="s">
        <v>280</v>
      </c>
      <c r="I67" s="10" t="s">
        <v>403</v>
      </c>
      <c r="J67" s="13" t="s">
        <v>385</v>
      </c>
      <c r="K67" s="13" t="s">
        <v>276</v>
      </c>
      <c r="L67" s="13" t="s">
        <v>396</v>
      </c>
      <c r="M67" s="13" t="s">
        <v>253</v>
      </c>
      <c r="N67" s="13" t="s">
        <v>253</v>
      </c>
      <c r="O67" s="13" t="s">
        <v>254</v>
      </c>
      <c r="P67" s="13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8"/>
      <c r="AC67" s="8"/>
      <c r="AD67" s="8"/>
      <c r="AE67" s="8"/>
    </row>
    <row r="68">
      <c r="A68" s="12">
        <v>4.0</v>
      </c>
      <c r="B68" s="13" t="s">
        <v>64</v>
      </c>
      <c r="C68" s="13" t="s">
        <v>280</v>
      </c>
      <c r="I68" s="10" t="s">
        <v>404</v>
      </c>
      <c r="J68" s="13" t="s">
        <v>379</v>
      </c>
      <c r="K68" s="13" t="s">
        <v>276</v>
      </c>
      <c r="L68" s="13" t="s">
        <v>396</v>
      </c>
      <c r="M68" s="13" t="s">
        <v>253</v>
      </c>
      <c r="N68" s="13" t="s">
        <v>253</v>
      </c>
      <c r="O68" s="13" t="s">
        <v>254</v>
      </c>
      <c r="P68" s="13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8"/>
      <c r="AC68" s="8"/>
      <c r="AD68" s="8"/>
      <c r="AE68" s="8"/>
    </row>
    <row r="69">
      <c r="A69" s="12">
        <v>4.0</v>
      </c>
      <c r="B69" s="13" t="s">
        <v>64</v>
      </c>
      <c r="C69" s="13" t="s">
        <v>280</v>
      </c>
      <c r="I69" s="10" t="s">
        <v>405</v>
      </c>
      <c r="J69" s="13" t="s">
        <v>385</v>
      </c>
      <c r="K69" s="13" t="s">
        <v>276</v>
      </c>
      <c r="L69" s="13" t="s">
        <v>396</v>
      </c>
      <c r="M69" s="13" t="s">
        <v>253</v>
      </c>
      <c r="N69" s="13" t="s">
        <v>253</v>
      </c>
      <c r="O69" s="13" t="s">
        <v>254</v>
      </c>
      <c r="P69" s="13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  <c r="AC69" s="8"/>
      <c r="AD69" s="8"/>
      <c r="AE69" s="8"/>
    </row>
    <row r="70">
      <c r="A70" s="12">
        <v>4.0</v>
      </c>
      <c r="B70" s="13" t="s">
        <v>64</v>
      </c>
      <c r="C70" s="13" t="s">
        <v>280</v>
      </c>
      <c r="I70" s="10" t="s">
        <v>354</v>
      </c>
      <c r="J70" s="13" t="s">
        <v>379</v>
      </c>
      <c r="K70" s="13" t="s">
        <v>276</v>
      </c>
      <c r="L70" s="13" t="s">
        <v>396</v>
      </c>
      <c r="M70" s="13" t="s">
        <v>253</v>
      </c>
      <c r="N70" s="13" t="s">
        <v>253</v>
      </c>
      <c r="O70" s="13" t="s">
        <v>254</v>
      </c>
      <c r="P70" s="13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  <c r="AD70" s="8"/>
      <c r="AE70" s="8"/>
    </row>
    <row r="71">
      <c r="A71" s="12">
        <v>4.0</v>
      </c>
      <c r="B71" s="13" t="s">
        <v>64</v>
      </c>
      <c r="C71" s="13" t="s">
        <v>280</v>
      </c>
      <c r="I71" s="10" t="s">
        <v>406</v>
      </c>
      <c r="J71" s="13" t="s">
        <v>385</v>
      </c>
      <c r="K71" s="13" t="s">
        <v>276</v>
      </c>
      <c r="L71" s="13" t="s">
        <v>396</v>
      </c>
      <c r="M71" s="13" t="s">
        <v>253</v>
      </c>
      <c r="N71" s="13" t="s">
        <v>253</v>
      </c>
      <c r="O71" s="13" t="s">
        <v>254</v>
      </c>
      <c r="P71" s="13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  <c r="AC71" s="8"/>
      <c r="AD71" s="8"/>
      <c r="AE71" s="8"/>
    </row>
    <row r="72">
      <c r="A72" s="12">
        <v>4.0</v>
      </c>
      <c r="B72" s="13" t="s">
        <v>64</v>
      </c>
      <c r="C72" s="13" t="s">
        <v>280</v>
      </c>
      <c r="I72" s="10" t="s">
        <v>407</v>
      </c>
      <c r="J72" s="13" t="s">
        <v>379</v>
      </c>
      <c r="K72" s="13" t="s">
        <v>276</v>
      </c>
      <c r="L72" s="13" t="s">
        <v>396</v>
      </c>
      <c r="M72" s="13" t="s">
        <v>253</v>
      </c>
      <c r="N72" s="13" t="s">
        <v>253</v>
      </c>
      <c r="O72" s="13" t="s">
        <v>254</v>
      </c>
      <c r="P72" s="13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8"/>
      <c r="AC72" s="8"/>
      <c r="AD72" s="8"/>
      <c r="AE72" s="8"/>
    </row>
    <row r="73">
      <c r="A73" s="12">
        <v>4.0</v>
      </c>
      <c r="B73" s="13" t="s">
        <v>64</v>
      </c>
      <c r="C73" s="13" t="s">
        <v>280</v>
      </c>
      <c r="I73" s="10" t="s">
        <v>408</v>
      </c>
      <c r="J73" s="13" t="s">
        <v>385</v>
      </c>
      <c r="K73" s="13" t="s">
        <v>276</v>
      </c>
      <c r="L73" s="13" t="s">
        <v>396</v>
      </c>
      <c r="M73" s="13" t="s">
        <v>253</v>
      </c>
      <c r="N73" s="13" t="s">
        <v>253</v>
      </c>
      <c r="O73" s="13" t="s">
        <v>254</v>
      </c>
      <c r="P73" s="13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  <c r="AC73" s="8"/>
      <c r="AD73" s="8"/>
      <c r="AE73" s="8"/>
    </row>
    <row r="74">
      <c r="A74" s="12">
        <v>4.0</v>
      </c>
      <c r="B74" s="13" t="s">
        <v>64</v>
      </c>
      <c r="C74" s="13" t="s">
        <v>280</v>
      </c>
      <c r="I74" s="10" t="s">
        <v>409</v>
      </c>
      <c r="J74" s="13" t="s">
        <v>379</v>
      </c>
      <c r="K74" s="13" t="s">
        <v>276</v>
      </c>
      <c r="L74" s="13" t="s">
        <v>396</v>
      </c>
      <c r="M74" s="13" t="s">
        <v>253</v>
      </c>
      <c r="N74" s="13" t="s">
        <v>253</v>
      </c>
      <c r="O74" s="13" t="s">
        <v>254</v>
      </c>
      <c r="P74" s="13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  <c r="AC74" s="8"/>
      <c r="AD74" s="8"/>
      <c r="AE74" s="8"/>
    </row>
    <row r="75">
      <c r="A75" s="12">
        <v>4.0</v>
      </c>
      <c r="B75" s="13" t="s">
        <v>64</v>
      </c>
      <c r="C75" s="13" t="s">
        <v>280</v>
      </c>
      <c r="I75" s="10" t="s">
        <v>410</v>
      </c>
      <c r="J75" s="13" t="s">
        <v>385</v>
      </c>
      <c r="K75" s="13" t="s">
        <v>276</v>
      </c>
      <c r="L75" s="13" t="s">
        <v>396</v>
      </c>
      <c r="M75" s="13" t="s">
        <v>253</v>
      </c>
      <c r="N75" s="13" t="s">
        <v>253</v>
      </c>
      <c r="O75" s="13" t="s">
        <v>254</v>
      </c>
      <c r="P75" s="13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  <c r="AC75" s="8"/>
      <c r="AD75" s="8"/>
      <c r="AE75" s="8"/>
    </row>
    <row r="76">
      <c r="A76" s="12">
        <v>4.0</v>
      </c>
      <c r="B76" s="13" t="s">
        <v>64</v>
      </c>
      <c r="C76" s="13" t="s">
        <v>280</v>
      </c>
      <c r="I76" s="10" t="s">
        <v>411</v>
      </c>
      <c r="J76" s="13" t="s">
        <v>379</v>
      </c>
      <c r="K76" s="13" t="s">
        <v>276</v>
      </c>
      <c r="L76" s="13" t="s">
        <v>396</v>
      </c>
      <c r="M76" s="13" t="s">
        <v>253</v>
      </c>
      <c r="N76" s="13" t="s">
        <v>253</v>
      </c>
      <c r="O76" s="13" t="s">
        <v>254</v>
      </c>
      <c r="P76" s="13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  <c r="AD76" s="8"/>
      <c r="AE76" s="8"/>
    </row>
    <row r="77">
      <c r="A77" s="12">
        <v>4.0</v>
      </c>
      <c r="B77" s="13" t="s">
        <v>64</v>
      </c>
      <c r="C77" s="13" t="s">
        <v>280</v>
      </c>
      <c r="I77" s="10" t="s">
        <v>412</v>
      </c>
      <c r="J77" s="13" t="s">
        <v>385</v>
      </c>
      <c r="K77" s="13" t="s">
        <v>276</v>
      </c>
      <c r="L77" s="13" t="s">
        <v>396</v>
      </c>
      <c r="M77" s="13" t="s">
        <v>253</v>
      </c>
      <c r="N77" s="13" t="s">
        <v>253</v>
      </c>
      <c r="O77" s="13" t="s">
        <v>254</v>
      </c>
      <c r="P77" s="13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  <c r="AD77" s="8"/>
      <c r="AE77" s="8"/>
    </row>
    <row r="78">
      <c r="A78" s="12">
        <v>4.0</v>
      </c>
      <c r="B78" s="13" t="s">
        <v>64</v>
      </c>
      <c r="C78" s="13" t="s">
        <v>280</v>
      </c>
      <c r="I78" s="10" t="s">
        <v>413</v>
      </c>
      <c r="J78" s="13" t="s">
        <v>379</v>
      </c>
      <c r="K78" s="13" t="s">
        <v>276</v>
      </c>
      <c r="L78" s="13" t="s">
        <v>396</v>
      </c>
      <c r="M78" s="13" t="s">
        <v>253</v>
      </c>
      <c r="N78" s="13" t="s">
        <v>253</v>
      </c>
      <c r="O78" s="13" t="s">
        <v>254</v>
      </c>
      <c r="P78" s="13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  <c r="AC78" s="8"/>
      <c r="AD78" s="8"/>
      <c r="AE78" s="8"/>
    </row>
    <row r="79">
      <c r="A79" s="12">
        <v>4.0</v>
      </c>
      <c r="B79" s="13" t="s">
        <v>64</v>
      </c>
      <c r="C79" s="13" t="s">
        <v>280</v>
      </c>
      <c r="I79" s="10" t="s">
        <v>414</v>
      </c>
      <c r="J79" s="13" t="s">
        <v>385</v>
      </c>
      <c r="K79" s="13" t="s">
        <v>276</v>
      </c>
      <c r="L79" s="13" t="s">
        <v>396</v>
      </c>
      <c r="M79" s="13" t="s">
        <v>253</v>
      </c>
      <c r="N79" s="13" t="s">
        <v>253</v>
      </c>
      <c r="O79" s="13" t="s">
        <v>254</v>
      </c>
      <c r="P79" s="13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  <c r="AC79" s="8"/>
      <c r="AD79" s="8"/>
      <c r="AE79" s="8"/>
    </row>
    <row r="80">
      <c r="A80" s="12">
        <v>5.0</v>
      </c>
      <c r="B80" s="13" t="s">
        <v>84</v>
      </c>
      <c r="C80" s="13" t="s">
        <v>280</v>
      </c>
      <c r="D80" s="14">
        <f>IF(COUNTIF($B$2:$B80,$B80)&gt;1,"",COUNTIF($B$2:$B$2505,$B80))</f>
        <v>23</v>
      </c>
      <c r="E80" s="14">
        <f>IF(COUNTIF($B$2:$B80,$B80)&gt;1,"",COUNTIFS($B$2:$B$2505,$B80,$K$2:$K$2505,"PHÙ HỢP CAO"))</f>
        <v>2</v>
      </c>
      <c r="F80" s="14">
        <f>IF(COUNTIF($B$2:$B80,$B80)&gt;1,"",COUNTIFS($B$2:$B$2505,$B80,$K$2:$K$2505,"CÓ THỂ ĐI"))</f>
        <v>3</v>
      </c>
      <c r="G80" s="14">
        <f>IF(COUNTIF($B$2:$B80,$B80)&gt;1,"",COUNTIFS($B$2:$B$2505,$B80,$K$2:$K$2505,"CẦN SOÁT"))</f>
        <v>18</v>
      </c>
      <c r="H80" s="18" t="str">
        <f>IFERROR(__xludf.DUMMYFUNCTION("IF(COUNTIF($B$2:$B80,$B80)&gt;1,"""",IFERROR(TEXTJOIN(CHAR(10),TRUE,BYROW(QUERY({$B$2:$B$2505,$J$2:$J$2505},""select Col2, count(Col2) where Col1 = '""&amp;$B80&amp;""' group by Col2 order by count(Col2) desc label count(Col2) ''"",0),LAMBDA(r,INDEX(r,1,1)&amp;"" – ""&amp;I"&amp;"NDEX(r,1,2)&amp;"" link""))),""""))"),"thuế VAT – 8 link
thuế giá trị gia tăng – 8 link
thuế GTGT là gì – 7 link")</f>
        <v>thuế VAT – 8 link
thuế giá trị gia tăng – 8 link
thuế GTGT là gì – 7 link</v>
      </c>
      <c r="I80" s="10" t="s">
        <v>321</v>
      </c>
      <c r="J80" s="13" t="s">
        <v>415</v>
      </c>
      <c r="K80" s="13" t="s">
        <v>251</v>
      </c>
      <c r="L80" s="13" t="s">
        <v>416</v>
      </c>
      <c r="M80" s="13" t="s">
        <v>253</v>
      </c>
      <c r="N80" s="13" t="s">
        <v>253</v>
      </c>
      <c r="O80" s="13" t="s">
        <v>254</v>
      </c>
      <c r="P80" s="13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  <c r="AD80" s="8"/>
      <c r="AE80" s="8"/>
    </row>
    <row r="81">
      <c r="A81" s="12">
        <v>5.0</v>
      </c>
      <c r="B81" s="13" t="s">
        <v>84</v>
      </c>
      <c r="C81" s="13" t="s">
        <v>280</v>
      </c>
      <c r="I81" s="10" t="s">
        <v>355</v>
      </c>
      <c r="J81" s="13" t="s">
        <v>417</v>
      </c>
      <c r="K81" s="13" t="s">
        <v>251</v>
      </c>
      <c r="L81" s="13" t="s">
        <v>418</v>
      </c>
      <c r="M81" s="13" t="s">
        <v>253</v>
      </c>
      <c r="N81" s="13" t="s">
        <v>253</v>
      </c>
      <c r="O81" s="13" t="s">
        <v>254</v>
      </c>
      <c r="P81" s="13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  <c r="AC81" s="8"/>
      <c r="AD81" s="8"/>
      <c r="AE81" s="8"/>
    </row>
    <row r="82">
      <c r="A82" s="12">
        <v>5.0</v>
      </c>
      <c r="B82" s="13" t="s">
        <v>84</v>
      </c>
      <c r="C82" s="13" t="s">
        <v>280</v>
      </c>
      <c r="I82" s="10" t="s">
        <v>419</v>
      </c>
      <c r="J82" s="13" t="s">
        <v>420</v>
      </c>
      <c r="K82" s="13" t="s">
        <v>272</v>
      </c>
      <c r="L82" s="13" t="s">
        <v>421</v>
      </c>
      <c r="M82" s="13" t="s">
        <v>253</v>
      </c>
      <c r="N82" s="13" t="s">
        <v>253</v>
      </c>
      <c r="O82" s="13" t="s">
        <v>254</v>
      </c>
      <c r="P82" s="13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  <c r="AC82" s="8"/>
      <c r="AD82" s="8"/>
      <c r="AE82" s="8"/>
    </row>
    <row r="83">
      <c r="A83" s="12">
        <v>5.0</v>
      </c>
      <c r="B83" s="13" t="s">
        <v>84</v>
      </c>
      <c r="C83" s="13" t="s">
        <v>280</v>
      </c>
      <c r="I83" s="10" t="s">
        <v>318</v>
      </c>
      <c r="J83" s="13" t="s">
        <v>415</v>
      </c>
      <c r="K83" s="13" t="s">
        <v>272</v>
      </c>
      <c r="L83" s="13" t="s">
        <v>422</v>
      </c>
      <c r="M83" s="13" t="s">
        <v>253</v>
      </c>
      <c r="N83" s="13" t="s">
        <v>253</v>
      </c>
      <c r="O83" s="13" t="s">
        <v>254</v>
      </c>
      <c r="P83" s="13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  <c r="AD83" s="8"/>
      <c r="AE83" s="8"/>
    </row>
    <row r="84">
      <c r="A84" s="12">
        <v>5.0</v>
      </c>
      <c r="B84" s="13" t="s">
        <v>84</v>
      </c>
      <c r="C84" s="13" t="s">
        <v>280</v>
      </c>
      <c r="I84" s="10" t="s">
        <v>423</v>
      </c>
      <c r="J84" s="13" t="s">
        <v>417</v>
      </c>
      <c r="K84" s="13" t="s">
        <v>272</v>
      </c>
      <c r="L84" s="13" t="s">
        <v>424</v>
      </c>
      <c r="M84" s="13" t="s">
        <v>253</v>
      </c>
      <c r="N84" s="13" t="s">
        <v>253</v>
      </c>
      <c r="O84" s="13" t="s">
        <v>254</v>
      </c>
      <c r="P84" s="13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  <c r="AD84" s="8"/>
      <c r="AE84" s="8"/>
    </row>
    <row r="85">
      <c r="A85" s="12">
        <v>5.0</v>
      </c>
      <c r="B85" s="13" t="s">
        <v>84</v>
      </c>
      <c r="C85" s="13" t="s">
        <v>280</v>
      </c>
      <c r="I85" s="10" t="s">
        <v>343</v>
      </c>
      <c r="J85" s="13" t="s">
        <v>420</v>
      </c>
      <c r="K85" s="13" t="s">
        <v>276</v>
      </c>
      <c r="L85" s="13" t="s">
        <v>425</v>
      </c>
      <c r="M85" s="13" t="s">
        <v>253</v>
      </c>
      <c r="N85" s="13" t="s">
        <v>253</v>
      </c>
      <c r="O85" s="13" t="s">
        <v>254</v>
      </c>
      <c r="P85" s="13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  <c r="AD85" s="8"/>
      <c r="AE85" s="8"/>
    </row>
    <row r="86">
      <c r="A86" s="12">
        <v>5.0</v>
      </c>
      <c r="B86" s="13" t="s">
        <v>84</v>
      </c>
      <c r="C86" s="13" t="s">
        <v>280</v>
      </c>
      <c r="I86" s="10" t="s">
        <v>426</v>
      </c>
      <c r="J86" s="13" t="s">
        <v>415</v>
      </c>
      <c r="K86" s="13" t="s">
        <v>276</v>
      </c>
      <c r="L86" s="13" t="s">
        <v>425</v>
      </c>
      <c r="M86" s="13" t="s">
        <v>253</v>
      </c>
      <c r="N86" s="13" t="s">
        <v>253</v>
      </c>
      <c r="O86" s="13" t="s">
        <v>254</v>
      </c>
      <c r="P86" s="13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  <c r="AD86" s="8"/>
      <c r="AE86" s="8"/>
    </row>
    <row r="87">
      <c r="A87" s="12">
        <v>5.0</v>
      </c>
      <c r="B87" s="13" t="s">
        <v>84</v>
      </c>
      <c r="C87" s="13" t="s">
        <v>280</v>
      </c>
      <c r="I87" s="10" t="s">
        <v>427</v>
      </c>
      <c r="J87" s="13" t="s">
        <v>417</v>
      </c>
      <c r="K87" s="13" t="s">
        <v>276</v>
      </c>
      <c r="L87" s="13" t="s">
        <v>428</v>
      </c>
      <c r="M87" s="13" t="s">
        <v>253</v>
      </c>
      <c r="N87" s="13" t="s">
        <v>253</v>
      </c>
      <c r="O87" s="13" t="s">
        <v>254</v>
      </c>
      <c r="P87" s="13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  <c r="AC87" s="8"/>
      <c r="AD87" s="8"/>
      <c r="AE87" s="8"/>
    </row>
    <row r="88">
      <c r="A88" s="12">
        <v>5.0</v>
      </c>
      <c r="B88" s="13" t="s">
        <v>84</v>
      </c>
      <c r="C88" s="13" t="s">
        <v>280</v>
      </c>
      <c r="I88" s="10" t="s">
        <v>429</v>
      </c>
      <c r="J88" s="13" t="s">
        <v>420</v>
      </c>
      <c r="K88" s="13" t="s">
        <v>276</v>
      </c>
      <c r="L88" s="13" t="s">
        <v>430</v>
      </c>
      <c r="M88" s="13" t="s">
        <v>253</v>
      </c>
      <c r="N88" s="13" t="s">
        <v>253</v>
      </c>
      <c r="O88" s="13" t="s">
        <v>254</v>
      </c>
      <c r="P88" s="13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  <c r="AC88" s="8"/>
      <c r="AD88" s="8"/>
      <c r="AE88" s="8"/>
    </row>
    <row r="89">
      <c r="A89" s="12">
        <v>5.0</v>
      </c>
      <c r="B89" s="13" t="s">
        <v>84</v>
      </c>
      <c r="C89" s="13" t="s">
        <v>280</v>
      </c>
      <c r="I89" s="10" t="s">
        <v>431</v>
      </c>
      <c r="J89" s="13" t="s">
        <v>415</v>
      </c>
      <c r="K89" s="13" t="s">
        <v>276</v>
      </c>
      <c r="L89" s="13" t="s">
        <v>432</v>
      </c>
      <c r="M89" s="13" t="s">
        <v>253</v>
      </c>
      <c r="N89" s="13" t="s">
        <v>253</v>
      </c>
      <c r="O89" s="13" t="s">
        <v>254</v>
      </c>
      <c r="P89" s="13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  <c r="AD89" s="8"/>
      <c r="AE89" s="8"/>
    </row>
    <row r="90">
      <c r="A90" s="12">
        <v>5.0</v>
      </c>
      <c r="B90" s="13" t="s">
        <v>84</v>
      </c>
      <c r="C90" s="13" t="s">
        <v>280</v>
      </c>
      <c r="I90" s="10" t="s">
        <v>339</v>
      </c>
      <c r="J90" s="13" t="s">
        <v>417</v>
      </c>
      <c r="K90" s="13" t="s">
        <v>276</v>
      </c>
      <c r="L90" s="13" t="s">
        <v>425</v>
      </c>
      <c r="M90" s="13" t="s">
        <v>253</v>
      </c>
      <c r="N90" s="13" t="s">
        <v>253</v>
      </c>
      <c r="O90" s="13" t="s">
        <v>254</v>
      </c>
      <c r="P90" s="13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  <c r="AC90" s="8"/>
      <c r="AD90" s="8"/>
      <c r="AE90" s="8"/>
    </row>
    <row r="91">
      <c r="A91" s="12">
        <v>5.0</v>
      </c>
      <c r="B91" s="13" t="s">
        <v>84</v>
      </c>
      <c r="C91" s="13" t="s">
        <v>280</v>
      </c>
      <c r="I91" s="10" t="s">
        <v>110</v>
      </c>
      <c r="J91" s="13" t="s">
        <v>420</v>
      </c>
      <c r="K91" s="13" t="s">
        <v>276</v>
      </c>
      <c r="L91" s="13" t="s">
        <v>425</v>
      </c>
      <c r="M91" s="13" t="s">
        <v>253</v>
      </c>
      <c r="N91" s="13" t="s">
        <v>253</v>
      </c>
      <c r="O91" s="13" t="s">
        <v>254</v>
      </c>
      <c r="P91" s="13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  <c r="AE91" s="8"/>
    </row>
    <row r="92">
      <c r="A92" s="12">
        <v>5.0</v>
      </c>
      <c r="B92" s="13" t="s">
        <v>84</v>
      </c>
      <c r="C92" s="13" t="s">
        <v>280</v>
      </c>
      <c r="I92" s="10" t="s">
        <v>433</v>
      </c>
      <c r="J92" s="13" t="s">
        <v>415</v>
      </c>
      <c r="K92" s="13" t="s">
        <v>276</v>
      </c>
      <c r="L92" s="13" t="s">
        <v>428</v>
      </c>
      <c r="M92" s="13" t="s">
        <v>253</v>
      </c>
      <c r="N92" s="13" t="s">
        <v>253</v>
      </c>
      <c r="O92" s="13" t="s">
        <v>254</v>
      </c>
      <c r="P92" s="13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  <c r="AE92" s="8"/>
    </row>
    <row r="93">
      <c r="A93" s="12">
        <v>5.0</v>
      </c>
      <c r="B93" s="13" t="s">
        <v>84</v>
      </c>
      <c r="C93" s="13" t="s">
        <v>280</v>
      </c>
      <c r="I93" s="10" t="s">
        <v>399</v>
      </c>
      <c r="J93" s="13" t="s">
        <v>417</v>
      </c>
      <c r="K93" s="13" t="s">
        <v>276</v>
      </c>
      <c r="L93" s="13" t="s">
        <v>428</v>
      </c>
      <c r="M93" s="13" t="s">
        <v>253</v>
      </c>
      <c r="N93" s="13" t="s">
        <v>253</v>
      </c>
      <c r="O93" s="13" t="s">
        <v>254</v>
      </c>
      <c r="P93" s="13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  <c r="AE93" s="8"/>
    </row>
    <row r="94">
      <c r="A94" s="12">
        <v>5.0</v>
      </c>
      <c r="B94" s="13" t="s">
        <v>84</v>
      </c>
      <c r="C94" s="13" t="s">
        <v>280</v>
      </c>
      <c r="I94" s="10" t="s">
        <v>434</v>
      </c>
      <c r="J94" s="13" t="s">
        <v>420</v>
      </c>
      <c r="K94" s="13" t="s">
        <v>276</v>
      </c>
      <c r="L94" s="13" t="s">
        <v>432</v>
      </c>
      <c r="M94" s="13" t="s">
        <v>253</v>
      </c>
      <c r="N94" s="13" t="s">
        <v>253</v>
      </c>
      <c r="O94" s="13" t="s">
        <v>254</v>
      </c>
      <c r="P94" s="13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  <c r="AE94" s="8"/>
    </row>
    <row r="95">
      <c r="A95" s="12">
        <v>5.0</v>
      </c>
      <c r="B95" s="13" t="s">
        <v>84</v>
      </c>
      <c r="C95" s="13" t="s">
        <v>280</v>
      </c>
      <c r="I95" s="10" t="s">
        <v>435</v>
      </c>
      <c r="J95" s="13" t="s">
        <v>415</v>
      </c>
      <c r="K95" s="13" t="s">
        <v>276</v>
      </c>
      <c r="L95" s="13" t="s">
        <v>428</v>
      </c>
      <c r="M95" s="13" t="s">
        <v>253</v>
      </c>
      <c r="N95" s="13" t="s">
        <v>253</v>
      </c>
      <c r="O95" s="13" t="s">
        <v>254</v>
      </c>
      <c r="P95" s="13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  <c r="AE95" s="8"/>
    </row>
    <row r="96">
      <c r="A96" s="12">
        <v>5.0</v>
      </c>
      <c r="B96" s="13" t="s">
        <v>84</v>
      </c>
      <c r="C96" s="13" t="s">
        <v>280</v>
      </c>
      <c r="I96" s="10" t="s">
        <v>436</v>
      </c>
      <c r="J96" s="13" t="s">
        <v>417</v>
      </c>
      <c r="K96" s="13" t="s">
        <v>276</v>
      </c>
      <c r="L96" s="13" t="s">
        <v>428</v>
      </c>
      <c r="M96" s="13" t="s">
        <v>253</v>
      </c>
      <c r="N96" s="13" t="s">
        <v>253</v>
      </c>
      <c r="O96" s="13" t="s">
        <v>254</v>
      </c>
      <c r="P96" s="13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  <c r="AE96" s="8"/>
    </row>
    <row r="97">
      <c r="A97" s="12">
        <v>5.0</v>
      </c>
      <c r="B97" s="13" t="s">
        <v>84</v>
      </c>
      <c r="C97" s="13" t="s">
        <v>280</v>
      </c>
      <c r="I97" s="10" t="s">
        <v>437</v>
      </c>
      <c r="J97" s="13" t="s">
        <v>420</v>
      </c>
      <c r="K97" s="13" t="s">
        <v>276</v>
      </c>
      <c r="L97" s="13" t="s">
        <v>428</v>
      </c>
      <c r="M97" s="13" t="s">
        <v>253</v>
      </c>
      <c r="N97" s="13" t="s">
        <v>253</v>
      </c>
      <c r="O97" s="13" t="s">
        <v>254</v>
      </c>
      <c r="P97" s="13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  <c r="AE97" s="8"/>
    </row>
    <row r="98">
      <c r="A98" s="12">
        <v>5.0</v>
      </c>
      <c r="B98" s="13" t="s">
        <v>84</v>
      </c>
      <c r="C98" s="13" t="s">
        <v>280</v>
      </c>
      <c r="I98" s="10" t="s">
        <v>438</v>
      </c>
      <c r="J98" s="13" t="s">
        <v>415</v>
      </c>
      <c r="K98" s="13" t="s">
        <v>276</v>
      </c>
      <c r="L98" s="13" t="s">
        <v>430</v>
      </c>
      <c r="M98" s="13" t="s">
        <v>253</v>
      </c>
      <c r="N98" s="13" t="s">
        <v>253</v>
      </c>
      <c r="O98" s="13" t="s">
        <v>254</v>
      </c>
      <c r="P98" s="13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  <c r="AE98" s="8"/>
    </row>
    <row r="99">
      <c r="A99" s="12">
        <v>5.0</v>
      </c>
      <c r="B99" s="13" t="s">
        <v>84</v>
      </c>
      <c r="C99" s="13" t="s">
        <v>280</v>
      </c>
      <c r="I99" s="10" t="s">
        <v>439</v>
      </c>
      <c r="J99" s="13" t="s">
        <v>417</v>
      </c>
      <c r="K99" s="13" t="s">
        <v>276</v>
      </c>
      <c r="L99" s="13" t="s">
        <v>430</v>
      </c>
      <c r="M99" s="13" t="s">
        <v>253</v>
      </c>
      <c r="N99" s="13" t="s">
        <v>253</v>
      </c>
      <c r="O99" s="13" t="s">
        <v>254</v>
      </c>
      <c r="P99" s="13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  <c r="AE99" s="8"/>
    </row>
    <row r="100">
      <c r="A100" s="12">
        <v>5.0</v>
      </c>
      <c r="B100" s="13" t="s">
        <v>84</v>
      </c>
      <c r="C100" s="13" t="s">
        <v>280</v>
      </c>
      <c r="I100" s="10" t="s">
        <v>440</v>
      </c>
      <c r="J100" s="13" t="s">
        <v>420</v>
      </c>
      <c r="K100" s="13" t="s">
        <v>276</v>
      </c>
      <c r="L100" s="13" t="s">
        <v>432</v>
      </c>
      <c r="M100" s="13" t="s">
        <v>253</v>
      </c>
      <c r="N100" s="13" t="s">
        <v>253</v>
      </c>
      <c r="O100" s="13" t="s">
        <v>254</v>
      </c>
      <c r="P100" s="13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  <c r="AE100" s="8"/>
    </row>
    <row r="101">
      <c r="A101" s="12">
        <v>5.0</v>
      </c>
      <c r="B101" s="13" t="s">
        <v>84</v>
      </c>
      <c r="C101" s="13" t="s">
        <v>280</v>
      </c>
      <c r="I101" s="10" t="s">
        <v>441</v>
      </c>
      <c r="J101" s="13" t="s">
        <v>415</v>
      </c>
      <c r="K101" s="13" t="s">
        <v>276</v>
      </c>
      <c r="L101" s="13" t="s">
        <v>428</v>
      </c>
      <c r="M101" s="13" t="s">
        <v>253</v>
      </c>
      <c r="N101" s="13" t="s">
        <v>253</v>
      </c>
      <c r="O101" s="13" t="s">
        <v>254</v>
      </c>
      <c r="P101" s="13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  <c r="AE101" s="8"/>
    </row>
    <row r="102">
      <c r="A102" s="12">
        <v>5.0</v>
      </c>
      <c r="B102" s="13" t="s">
        <v>84</v>
      </c>
      <c r="C102" s="13" t="s">
        <v>280</v>
      </c>
      <c r="I102" s="10" t="s">
        <v>442</v>
      </c>
      <c r="J102" s="13" t="s">
        <v>417</v>
      </c>
      <c r="K102" s="13" t="s">
        <v>276</v>
      </c>
      <c r="L102" s="13" t="s">
        <v>428</v>
      </c>
      <c r="M102" s="13" t="s">
        <v>253</v>
      </c>
      <c r="N102" s="13" t="s">
        <v>253</v>
      </c>
      <c r="O102" s="13" t="s">
        <v>254</v>
      </c>
      <c r="P102" s="13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  <c r="AE102" s="8"/>
    </row>
    <row r="103">
      <c r="A103" s="12">
        <v>6.0</v>
      </c>
      <c r="B103" s="13" t="s">
        <v>97</v>
      </c>
      <c r="C103" s="13" t="s">
        <v>280</v>
      </c>
      <c r="D103" s="14">
        <f>IF(COUNTIF($B$2:$B103,$B103)&gt;1,"",COUNTIF($B$2:$B$2505,$B103))</f>
        <v>10</v>
      </c>
      <c r="E103" s="14">
        <f>IF(COUNTIF($B$2:$B103,$B103)&gt;1,"",COUNTIFS($B$2:$B$2505,$B103,$K$2:$K$2505,"PHÙ HỢP CAO"))</f>
        <v>2</v>
      </c>
      <c r="F103" s="14">
        <f>IF(COUNTIF($B$2:$B103,$B103)&gt;1,"",COUNTIFS($B$2:$B$2505,$B103,$K$2:$K$2505,"CÓ THỂ ĐI"))</f>
        <v>3</v>
      </c>
      <c r="G103" s="14">
        <f>IF(COUNTIF($B$2:$B103,$B103)&gt;1,"",COUNTIFS($B$2:$B$2505,$B103,$K$2:$K$2505,"CẦN SOÁT"))</f>
        <v>5</v>
      </c>
      <c r="H103" s="18" t="str">
        <f>IFERROR(__xludf.DUMMYFUNCTION("IF(COUNTIF($B$2:$B103,$B103)&gt;1,"""",IFERROR(TEXTJOIN(CHAR(10),TRUE,BYROW(QUERY({$B$2:$B$2505,$J$2:$J$2505},""select Col2, count(Col2) where Col1 = '""&amp;$B103&amp;""' group by Col2 order by count(Col2) desc label count(Col2) ''"",0),LAMBDA(r,INDEX(r,1,1)&amp;"" – "&amp;"""&amp;INDEX(r,1,2)&amp;"" link""))),""""))"),"tra cứu nợ thuế doanh nghiệp – 4 link
kiểm tra nợ thuế doanh nghiệp – 3 link
tra cứu nợ thuế theo mã số thuế – 3 link")</f>
        <v>tra cứu nợ thuế doanh nghiệp – 4 link
kiểm tra nợ thuế doanh nghiệp – 3 link
tra cứu nợ thuế theo mã số thuế – 3 link</v>
      </c>
      <c r="I103" s="10" t="s">
        <v>397</v>
      </c>
      <c r="J103" s="13" t="s">
        <v>443</v>
      </c>
      <c r="K103" s="13" t="s">
        <v>251</v>
      </c>
      <c r="L103" s="13" t="s">
        <v>444</v>
      </c>
      <c r="M103" s="13" t="s">
        <v>253</v>
      </c>
      <c r="N103" s="13" t="s">
        <v>253</v>
      </c>
      <c r="O103" s="13" t="s">
        <v>254</v>
      </c>
      <c r="P103" s="13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  <c r="AE103" s="8"/>
    </row>
    <row r="104">
      <c r="A104" s="12">
        <v>6.0</v>
      </c>
      <c r="B104" s="13" t="s">
        <v>97</v>
      </c>
      <c r="C104" s="13" t="s">
        <v>280</v>
      </c>
      <c r="I104" s="10" t="s">
        <v>301</v>
      </c>
      <c r="J104" s="13" t="s">
        <v>445</v>
      </c>
      <c r="K104" s="13" t="s">
        <v>251</v>
      </c>
      <c r="L104" s="13" t="s">
        <v>446</v>
      </c>
      <c r="M104" s="13" t="s">
        <v>253</v>
      </c>
      <c r="N104" s="13" t="s">
        <v>253</v>
      </c>
      <c r="O104" s="13" t="s">
        <v>254</v>
      </c>
      <c r="P104" s="13" t="s">
        <v>350</v>
      </c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  <c r="AE104" s="8"/>
    </row>
    <row r="105">
      <c r="A105" s="12">
        <v>6.0</v>
      </c>
      <c r="B105" s="13" t="s">
        <v>97</v>
      </c>
      <c r="C105" s="13" t="s">
        <v>280</v>
      </c>
      <c r="I105" s="10" t="s">
        <v>365</v>
      </c>
      <c r="J105" s="13" t="s">
        <v>447</v>
      </c>
      <c r="K105" s="13" t="s">
        <v>272</v>
      </c>
      <c r="L105" s="13" t="s">
        <v>448</v>
      </c>
      <c r="M105" s="13" t="s">
        <v>253</v>
      </c>
      <c r="N105" s="13" t="s">
        <v>253</v>
      </c>
      <c r="O105" s="13" t="s">
        <v>254</v>
      </c>
      <c r="P105" s="13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  <c r="AE105" s="8"/>
    </row>
    <row r="106">
      <c r="A106" s="12">
        <v>6.0</v>
      </c>
      <c r="B106" s="13" t="s">
        <v>97</v>
      </c>
      <c r="C106" s="13" t="s">
        <v>280</v>
      </c>
      <c r="I106" s="10" t="s">
        <v>321</v>
      </c>
      <c r="J106" s="13" t="s">
        <v>443</v>
      </c>
      <c r="K106" s="13" t="s">
        <v>272</v>
      </c>
      <c r="L106" s="13" t="s">
        <v>449</v>
      </c>
      <c r="M106" s="13" t="s">
        <v>253</v>
      </c>
      <c r="N106" s="13" t="s">
        <v>253</v>
      </c>
      <c r="O106" s="13" t="s">
        <v>254</v>
      </c>
      <c r="P106" s="13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  <c r="AE106" s="8"/>
    </row>
    <row r="107">
      <c r="A107" s="12">
        <v>6.0</v>
      </c>
      <c r="B107" s="13" t="s">
        <v>97</v>
      </c>
      <c r="C107" s="13" t="s">
        <v>280</v>
      </c>
      <c r="I107" s="10" t="s">
        <v>305</v>
      </c>
      <c r="J107" s="13" t="s">
        <v>445</v>
      </c>
      <c r="K107" s="13" t="s">
        <v>272</v>
      </c>
      <c r="L107" s="13" t="s">
        <v>450</v>
      </c>
      <c r="M107" s="13" t="s">
        <v>253</v>
      </c>
      <c r="N107" s="13" t="s">
        <v>253</v>
      </c>
      <c r="O107" s="13" t="s">
        <v>254</v>
      </c>
      <c r="P107" s="13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  <c r="AE107" s="8"/>
    </row>
    <row r="108">
      <c r="A108" s="12">
        <v>6.0</v>
      </c>
      <c r="B108" s="13" t="s">
        <v>97</v>
      </c>
      <c r="C108" s="13" t="s">
        <v>280</v>
      </c>
      <c r="I108" s="10" t="s">
        <v>355</v>
      </c>
      <c r="J108" s="13" t="s">
        <v>447</v>
      </c>
      <c r="K108" s="13" t="s">
        <v>276</v>
      </c>
      <c r="L108" s="13" t="s">
        <v>394</v>
      </c>
      <c r="M108" s="13" t="s">
        <v>253</v>
      </c>
      <c r="N108" s="13" t="s">
        <v>253</v>
      </c>
      <c r="O108" s="13" t="s">
        <v>254</v>
      </c>
      <c r="P108" s="13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  <c r="AE108" s="8"/>
    </row>
    <row r="109">
      <c r="A109" s="12">
        <v>6.0</v>
      </c>
      <c r="B109" s="13" t="s">
        <v>97</v>
      </c>
      <c r="C109" s="13" t="s">
        <v>280</v>
      </c>
      <c r="I109" s="10" t="s">
        <v>141</v>
      </c>
      <c r="J109" s="13" t="s">
        <v>443</v>
      </c>
      <c r="K109" s="13" t="s">
        <v>276</v>
      </c>
      <c r="L109" s="13" t="s">
        <v>394</v>
      </c>
      <c r="M109" s="13" t="s">
        <v>253</v>
      </c>
      <c r="N109" s="13" t="s">
        <v>253</v>
      </c>
      <c r="O109" s="13" t="s">
        <v>254</v>
      </c>
      <c r="P109" s="13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  <c r="AE109" s="8"/>
    </row>
    <row r="110">
      <c r="A110" s="12">
        <v>6.0</v>
      </c>
      <c r="B110" s="13" t="s">
        <v>97</v>
      </c>
      <c r="C110" s="13" t="s">
        <v>280</v>
      </c>
      <c r="I110" s="10" t="s">
        <v>393</v>
      </c>
      <c r="J110" s="13" t="s">
        <v>445</v>
      </c>
      <c r="K110" s="13" t="s">
        <v>276</v>
      </c>
      <c r="L110" s="13" t="s">
        <v>394</v>
      </c>
      <c r="M110" s="13" t="s">
        <v>253</v>
      </c>
      <c r="N110" s="13" t="s">
        <v>253</v>
      </c>
      <c r="O110" s="13" t="s">
        <v>254</v>
      </c>
      <c r="P110" s="13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  <c r="AE110" s="8"/>
    </row>
    <row r="111">
      <c r="A111" s="12">
        <v>6.0</v>
      </c>
      <c r="B111" s="13" t="s">
        <v>97</v>
      </c>
      <c r="C111" s="13" t="s">
        <v>280</v>
      </c>
      <c r="I111" s="10" t="s">
        <v>311</v>
      </c>
      <c r="J111" s="13" t="s">
        <v>447</v>
      </c>
      <c r="K111" s="13" t="s">
        <v>276</v>
      </c>
      <c r="L111" s="13" t="s">
        <v>453</v>
      </c>
      <c r="M111" s="13" t="s">
        <v>253</v>
      </c>
      <c r="N111" s="13" t="s">
        <v>253</v>
      </c>
      <c r="O111" s="13" t="s">
        <v>254</v>
      </c>
      <c r="P111" s="13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  <c r="AE111" s="8"/>
    </row>
    <row r="112">
      <c r="A112" s="12">
        <v>6.0</v>
      </c>
      <c r="B112" s="13" t="s">
        <v>97</v>
      </c>
      <c r="C112" s="13" t="s">
        <v>280</v>
      </c>
      <c r="I112" s="10" t="s">
        <v>110</v>
      </c>
      <c r="J112" s="13" t="s">
        <v>443</v>
      </c>
      <c r="K112" s="13" t="s">
        <v>276</v>
      </c>
      <c r="L112" s="13" t="s">
        <v>394</v>
      </c>
      <c r="M112" s="13" t="s">
        <v>253</v>
      </c>
      <c r="N112" s="13" t="s">
        <v>253</v>
      </c>
      <c r="O112" s="13" t="s">
        <v>254</v>
      </c>
      <c r="P112" s="13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  <c r="AE112" s="8"/>
    </row>
    <row r="113">
      <c r="A113" s="12">
        <v>7.0</v>
      </c>
      <c r="B113" s="13" t="s">
        <v>110</v>
      </c>
      <c r="C113" s="13" t="s">
        <v>280</v>
      </c>
      <c r="D113" s="14">
        <f>IF(COUNTIF($B$2:$B113,$B113)&gt;1,"",COUNTIF($B$2:$B$2505,$B113))</f>
        <v>19</v>
      </c>
      <c r="E113" s="14">
        <f>IF(COUNTIF($B$2:$B113,$B113)&gt;1,"",COUNTIFS($B$2:$B$2505,$B113,$K$2:$K$2505,"PHÙ HỢP CAO"))</f>
        <v>3</v>
      </c>
      <c r="F113" s="14">
        <f>IF(COUNTIF($B$2:$B113,$B113)&gt;1,"",COUNTIFS($B$2:$B$2505,$B113,$K$2:$K$2505,"CÓ THỂ ĐI"))</f>
        <v>2</v>
      </c>
      <c r="G113" s="14">
        <f>IF(COUNTIF($B$2:$B113,$B113)&gt;1,"",COUNTIFS($B$2:$B$2505,$B113,$K$2:$K$2505,"CẦN SOÁT"))</f>
        <v>14</v>
      </c>
      <c r="H113" s="18" t="str">
        <f>IFERROR(__xludf.DUMMYFUNCTION("IF(COUNTIF($B$2:$B113,$B113)&gt;1,"""",IFERROR(TEXTJOIN(CHAR(10),TRUE,BYROW(QUERY({$B$2:$B$2505,$J$2:$J$2505},""select Col2, count(Col2) where Col1 = '""&amp;$B113&amp;""' group by Col2 order by count(Col2) desc label count(Col2) ''"",0),LAMBDA(r,INDEX(r,1,1)&amp;"" – "&amp;"""&amp;INDEX(r,1,2)&amp;"" link""))),""""))"),"các loại thuế doanh nghiệp phải nộp – 7 link
doanh nghiệp phải nộp những loại thuế nào – 6 link
thuế doanh nghiệp – 6 link")</f>
        <v>các loại thuế doanh nghiệp phải nộp – 7 link
doanh nghiệp phải nộp những loại thuế nào – 6 link
thuế doanh nghiệp – 6 link</v>
      </c>
      <c r="I113" s="10" t="s">
        <v>393</v>
      </c>
      <c r="J113" s="13" t="s">
        <v>457</v>
      </c>
      <c r="K113" s="13" t="s">
        <v>251</v>
      </c>
      <c r="L113" s="13" t="s">
        <v>458</v>
      </c>
      <c r="M113" s="13" t="s">
        <v>253</v>
      </c>
      <c r="N113" s="13" t="s">
        <v>253</v>
      </c>
      <c r="O113" s="13" t="s">
        <v>254</v>
      </c>
      <c r="P113" s="13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  <c r="AE113" s="8"/>
    </row>
    <row r="114">
      <c r="A114" s="12">
        <v>7.0</v>
      </c>
      <c r="B114" s="13" t="s">
        <v>110</v>
      </c>
      <c r="C114" s="13" t="s">
        <v>280</v>
      </c>
      <c r="I114" s="10" t="s">
        <v>460</v>
      </c>
      <c r="J114" s="13" t="s">
        <v>461</v>
      </c>
      <c r="K114" s="13" t="s">
        <v>251</v>
      </c>
      <c r="L114" s="13" t="s">
        <v>462</v>
      </c>
      <c r="M114" s="13" t="s">
        <v>253</v>
      </c>
      <c r="N114" s="13" t="s">
        <v>253</v>
      </c>
      <c r="O114" s="13" t="s">
        <v>254</v>
      </c>
      <c r="P114" s="13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  <c r="AE114" s="8"/>
    </row>
    <row r="115">
      <c r="A115" s="12">
        <v>7.0</v>
      </c>
      <c r="B115" s="13" t="s">
        <v>110</v>
      </c>
      <c r="C115" s="13" t="s">
        <v>280</v>
      </c>
      <c r="I115" s="10" t="s">
        <v>463</v>
      </c>
      <c r="J115" s="13" t="s">
        <v>464</v>
      </c>
      <c r="K115" s="13" t="s">
        <v>251</v>
      </c>
      <c r="L115" s="13" t="s">
        <v>465</v>
      </c>
      <c r="M115" s="13" t="s">
        <v>253</v>
      </c>
      <c r="N115" s="13" t="s">
        <v>253</v>
      </c>
      <c r="O115" s="13" t="s">
        <v>254</v>
      </c>
      <c r="P115" s="13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  <c r="AE115" s="8"/>
    </row>
    <row r="116">
      <c r="A116" s="12">
        <v>7.0</v>
      </c>
      <c r="B116" s="13" t="s">
        <v>110</v>
      </c>
      <c r="C116" s="13" t="s">
        <v>280</v>
      </c>
      <c r="I116" s="10" t="s">
        <v>467</v>
      </c>
      <c r="J116" s="13" t="s">
        <v>457</v>
      </c>
      <c r="K116" s="13" t="s">
        <v>272</v>
      </c>
      <c r="L116" s="13" t="s">
        <v>468</v>
      </c>
      <c r="M116" s="13" t="s">
        <v>253</v>
      </c>
      <c r="N116" s="13" t="s">
        <v>253</v>
      </c>
      <c r="O116" s="13" t="s">
        <v>254</v>
      </c>
      <c r="P116" s="13" t="s">
        <v>350</v>
      </c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  <c r="AE116" s="8"/>
    </row>
    <row r="117">
      <c r="A117" s="12">
        <v>7.0</v>
      </c>
      <c r="B117" s="13" t="s">
        <v>110</v>
      </c>
      <c r="C117" s="13" t="s">
        <v>280</v>
      </c>
      <c r="I117" s="10" t="s">
        <v>470</v>
      </c>
      <c r="J117" s="13" t="s">
        <v>461</v>
      </c>
      <c r="K117" s="13" t="s">
        <v>272</v>
      </c>
      <c r="L117" s="13" t="s">
        <v>471</v>
      </c>
      <c r="M117" s="13" t="s">
        <v>253</v>
      </c>
      <c r="N117" s="13" t="s">
        <v>253</v>
      </c>
      <c r="O117" s="13" t="s">
        <v>254</v>
      </c>
      <c r="P117" s="13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  <c r="AE117" s="8"/>
    </row>
    <row r="118">
      <c r="A118" s="12">
        <v>7.0</v>
      </c>
      <c r="B118" s="13" t="s">
        <v>110</v>
      </c>
      <c r="C118" s="13" t="s">
        <v>280</v>
      </c>
      <c r="I118" s="10" t="s">
        <v>473</v>
      </c>
      <c r="J118" s="13" t="s">
        <v>464</v>
      </c>
      <c r="K118" s="13" t="s">
        <v>276</v>
      </c>
      <c r="L118" s="13" t="s">
        <v>474</v>
      </c>
      <c r="M118" s="13" t="s">
        <v>253</v>
      </c>
      <c r="N118" s="13" t="s">
        <v>253</v>
      </c>
      <c r="O118" s="13" t="s">
        <v>254</v>
      </c>
      <c r="P118" s="13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  <c r="AE118" s="8"/>
    </row>
    <row r="119">
      <c r="A119" s="12">
        <v>7.0</v>
      </c>
      <c r="B119" s="13" t="s">
        <v>110</v>
      </c>
      <c r="C119" s="13" t="s">
        <v>280</v>
      </c>
      <c r="I119" s="10" t="s">
        <v>355</v>
      </c>
      <c r="J119" s="13" t="s">
        <v>457</v>
      </c>
      <c r="K119" s="13" t="s">
        <v>276</v>
      </c>
      <c r="L119" s="13" t="s">
        <v>394</v>
      </c>
      <c r="M119" s="13" t="s">
        <v>253</v>
      </c>
      <c r="N119" s="13" t="s">
        <v>253</v>
      </c>
      <c r="O119" s="13" t="s">
        <v>254</v>
      </c>
      <c r="P119" s="13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  <c r="AE119" s="8"/>
    </row>
    <row r="120">
      <c r="A120" s="12">
        <v>7.0</v>
      </c>
      <c r="B120" s="13" t="s">
        <v>110</v>
      </c>
      <c r="C120" s="13" t="s">
        <v>280</v>
      </c>
      <c r="I120" s="10" t="s">
        <v>475</v>
      </c>
      <c r="J120" s="13" t="s">
        <v>461</v>
      </c>
      <c r="K120" s="13" t="s">
        <v>276</v>
      </c>
      <c r="L120" s="13" t="s">
        <v>474</v>
      </c>
      <c r="M120" s="13" t="s">
        <v>253</v>
      </c>
      <c r="N120" s="13" t="s">
        <v>253</v>
      </c>
      <c r="O120" s="13" t="s">
        <v>254</v>
      </c>
      <c r="P120" s="13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  <c r="AE120" s="8"/>
    </row>
    <row r="121">
      <c r="A121" s="12">
        <v>7.0</v>
      </c>
      <c r="B121" s="13" t="s">
        <v>110</v>
      </c>
      <c r="C121" s="13" t="s">
        <v>280</v>
      </c>
      <c r="I121" s="10" t="s">
        <v>141</v>
      </c>
      <c r="J121" s="13" t="s">
        <v>464</v>
      </c>
      <c r="K121" s="13" t="s">
        <v>276</v>
      </c>
      <c r="L121" s="13" t="s">
        <v>394</v>
      </c>
      <c r="M121" s="13" t="s">
        <v>253</v>
      </c>
      <c r="N121" s="13" t="s">
        <v>253</v>
      </c>
      <c r="O121" s="13" t="s">
        <v>254</v>
      </c>
      <c r="P121" s="13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  <c r="AE121" s="8"/>
    </row>
    <row r="122">
      <c r="A122" s="12">
        <v>7.0</v>
      </c>
      <c r="B122" s="13" t="s">
        <v>110</v>
      </c>
      <c r="C122" s="13" t="s">
        <v>280</v>
      </c>
      <c r="I122" s="10" t="s">
        <v>397</v>
      </c>
      <c r="J122" s="13" t="s">
        <v>457</v>
      </c>
      <c r="K122" s="13" t="s">
        <v>276</v>
      </c>
      <c r="L122" s="13" t="s">
        <v>394</v>
      </c>
      <c r="M122" s="13" t="s">
        <v>253</v>
      </c>
      <c r="N122" s="13" t="s">
        <v>253</v>
      </c>
      <c r="O122" s="13" t="s">
        <v>254</v>
      </c>
      <c r="P122" s="13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  <c r="AE122" s="8"/>
    </row>
    <row r="123">
      <c r="A123" s="12">
        <v>7.0</v>
      </c>
      <c r="B123" s="13" t="s">
        <v>110</v>
      </c>
      <c r="C123" s="13" t="s">
        <v>280</v>
      </c>
      <c r="I123" s="10" t="s">
        <v>477</v>
      </c>
      <c r="J123" s="13" t="s">
        <v>461</v>
      </c>
      <c r="K123" s="13" t="s">
        <v>276</v>
      </c>
      <c r="L123" s="13" t="s">
        <v>479</v>
      </c>
      <c r="M123" s="13" t="s">
        <v>253</v>
      </c>
      <c r="N123" s="13" t="s">
        <v>253</v>
      </c>
      <c r="O123" s="13" t="s">
        <v>254</v>
      </c>
      <c r="P123" s="13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  <c r="AE123" s="8"/>
    </row>
    <row r="124">
      <c r="A124" s="12">
        <v>7.0</v>
      </c>
      <c r="B124" s="13" t="s">
        <v>110</v>
      </c>
      <c r="C124" s="13" t="s">
        <v>280</v>
      </c>
      <c r="I124" s="10" t="s">
        <v>480</v>
      </c>
      <c r="J124" s="13" t="s">
        <v>464</v>
      </c>
      <c r="K124" s="13" t="s">
        <v>276</v>
      </c>
      <c r="L124" s="13" t="s">
        <v>474</v>
      </c>
      <c r="M124" s="13" t="s">
        <v>253</v>
      </c>
      <c r="N124" s="13" t="s">
        <v>253</v>
      </c>
      <c r="O124" s="13" t="s">
        <v>254</v>
      </c>
      <c r="P124" s="13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  <c r="AE124" s="8"/>
    </row>
    <row r="125">
      <c r="A125" s="12">
        <v>7.0</v>
      </c>
      <c r="B125" s="13" t="s">
        <v>110</v>
      </c>
      <c r="C125" s="13" t="s">
        <v>280</v>
      </c>
      <c r="I125" s="10" t="s">
        <v>483</v>
      </c>
      <c r="J125" s="13" t="s">
        <v>457</v>
      </c>
      <c r="K125" s="13" t="s">
        <v>276</v>
      </c>
      <c r="L125" s="13" t="s">
        <v>485</v>
      </c>
      <c r="M125" s="13" t="s">
        <v>253</v>
      </c>
      <c r="N125" s="13" t="s">
        <v>253</v>
      </c>
      <c r="O125" s="13" t="s">
        <v>254</v>
      </c>
      <c r="P125" s="13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  <c r="AE125" s="8"/>
    </row>
    <row r="126">
      <c r="A126" s="12">
        <v>7.0</v>
      </c>
      <c r="B126" s="13" t="s">
        <v>110</v>
      </c>
      <c r="C126" s="13" t="s">
        <v>280</v>
      </c>
      <c r="I126" s="10" t="s">
        <v>399</v>
      </c>
      <c r="J126" s="13" t="s">
        <v>461</v>
      </c>
      <c r="K126" s="13" t="s">
        <v>276</v>
      </c>
      <c r="L126" s="13" t="s">
        <v>479</v>
      </c>
      <c r="M126" s="13" t="s">
        <v>253</v>
      </c>
      <c r="N126" s="13" t="s">
        <v>253</v>
      </c>
      <c r="O126" s="13" t="s">
        <v>254</v>
      </c>
      <c r="P126" s="13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  <c r="AE126" s="8"/>
    </row>
    <row r="127">
      <c r="A127" s="12">
        <v>7.0</v>
      </c>
      <c r="B127" s="13" t="s">
        <v>110</v>
      </c>
      <c r="C127" s="13" t="s">
        <v>280</v>
      </c>
      <c r="I127" s="10" t="s">
        <v>365</v>
      </c>
      <c r="J127" s="13" t="s">
        <v>464</v>
      </c>
      <c r="K127" s="13" t="s">
        <v>276</v>
      </c>
      <c r="L127" s="13" t="s">
        <v>394</v>
      </c>
      <c r="M127" s="13" t="s">
        <v>253</v>
      </c>
      <c r="N127" s="13" t="s">
        <v>253</v>
      </c>
      <c r="O127" s="13" t="s">
        <v>254</v>
      </c>
      <c r="P127" s="13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  <c r="AE127" s="8"/>
    </row>
    <row r="128">
      <c r="A128" s="12">
        <v>7.0</v>
      </c>
      <c r="B128" s="13" t="s">
        <v>110</v>
      </c>
      <c r="C128" s="13" t="s">
        <v>280</v>
      </c>
      <c r="I128" s="10" t="s">
        <v>321</v>
      </c>
      <c r="J128" s="13" t="s">
        <v>457</v>
      </c>
      <c r="K128" s="13" t="s">
        <v>276</v>
      </c>
      <c r="L128" s="13" t="s">
        <v>394</v>
      </c>
      <c r="M128" s="13" t="s">
        <v>253</v>
      </c>
      <c r="N128" s="13" t="s">
        <v>253</v>
      </c>
      <c r="O128" s="13" t="s">
        <v>254</v>
      </c>
      <c r="P128" s="13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  <c r="AE128" s="8"/>
    </row>
    <row r="129">
      <c r="A129" s="12">
        <v>7.0</v>
      </c>
      <c r="B129" s="13" t="s">
        <v>110</v>
      </c>
      <c r="C129" s="13" t="s">
        <v>280</v>
      </c>
      <c r="I129" s="10" t="s">
        <v>489</v>
      </c>
      <c r="J129" s="13" t="s">
        <v>461</v>
      </c>
      <c r="K129" s="13" t="s">
        <v>276</v>
      </c>
      <c r="L129" s="13" t="s">
        <v>474</v>
      </c>
      <c r="M129" s="13" t="s">
        <v>253</v>
      </c>
      <c r="N129" s="13" t="s">
        <v>253</v>
      </c>
      <c r="O129" s="13" t="s">
        <v>254</v>
      </c>
      <c r="P129" s="13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  <c r="AE129" s="8"/>
    </row>
    <row r="130">
      <c r="A130" s="12">
        <v>7.0</v>
      </c>
      <c r="B130" s="13" t="s">
        <v>110</v>
      </c>
      <c r="C130" s="13" t="s">
        <v>280</v>
      </c>
      <c r="I130" s="10" t="s">
        <v>97</v>
      </c>
      <c r="J130" s="13" t="s">
        <v>464</v>
      </c>
      <c r="K130" s="13" t="s">
        <v>276</v>
      </c>
      <c r="L130" s="13" t="s">
        <v>394</v>
      </c>
      <c r="M130" s="13" t="s">
        <v>253</v>
      </c>
      <c r="N130" s="13" t="s">
        <v>253</v>
      </c>
      <c r="O130" s="13" t="s">
        <v>254</v>
      </c>
      <c r="P130" s="13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  <c r="AE130" s="8"/>
    </row>
    <row r="131">
      <c r="A131" s="12">
        <v>7.0</v>
      </c>
      <c r="B131" s="13" t="s">
        <v>110</v>
      </c>
      <c r="C131" s="13" t="s">
        <v>280</v>
      </c>
      <c r="I131" s="10" t="s">
        <v>493</v>
      </c>
      <c r="J131" s="13" t="s">
        <v>457</v>
      </c>
      <c r="K131" s="13" t="s">
        <v>276</v>
      </c>
      <c r="L131" s="13" t="s">
        <v>474</v>
      </c>
      <c r="M131" s="13" t="s">
        <v>253</v>
      </c>
      <c r="N131" s="13" t="s">
        <v>253</v>
      </c>
      <c r="O131" s="13" t="s">
        <v>254</v>
      </c>
      <c r="P131" s="13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  <c r="AE131" s="8"/>
    </row>
    <row r="132">
      <c r="A132" s="12">
        <v>8.0</v>
      </c>
      <c r="B132" s="13" t="s">
        <v>126</v>
      </c>
      <c r="C132" s="13" t="s">
        <v>280</v>
      </c>
      <c r="D132" s="14">
        <f>IF(COUNTIF($B$2:$B132,$B132)&gt;1,"",COUNTIF($B$2:$B$2505,$B132))</f>
        <v>13</v>
      </c>
      <c r="E132" s="14">
        <f>IF(COUNTIF($B$2:$B132,$B132)&gt;1,"",COUNTIFS($B$2:$B$2505,$B132,$K$2:$K$2505,"PHÙ HỢP CAO"))</f>
        <v>3</v>
      </c>
      <c r="F132" s="14">
        <f>IF(COUNTIF($B$2:$B132,$B132)&gt;1,"",COUNTIFS($B$2:$B$2505,$B132,$K$2:$K$2505,"CÓ THỂ ĐI"))</f>
        <v>2</v>
      </c>
      <c r="G132" s="14">
        <f>IF(COUNTIF($B$2:$B132,$B132)&gt;1,"",COUNTIFS($B$2:$B$2505,$B132,$K$2:$K$2505,"CẦN SOÁT"))</f>
        <v>8</v>
      </c>
      <c r="H132" s="18" t="str">
        <f>IFERROR(__xludf.DUMMYFUNCTION("IF(COUNTIF($B$2:$B132,$B132)&gt;1,"""",IFERROR(TEXTJOIN(CHAR(10),TRUE,BYROW(QUERY({$B$2:$B$2505,$J$2:$J$2505},""select Col2, count(Col2) where Col1 = '""&amp;$B132&amp;""' group by Col2 order by count(Col2) desc label count(Col2) ''"",0),LAMBDA(r,INDEX(r,1,1)&amp;"" – "&amp;"""&amp;INDEX(r,1,2)&amp;"" link""))),""""))"),"công ty sử dụng tài khoản cá nhân – 7 link
công ty dùng tài khoản cá nhân có được không – 6 link")</f>
        <v>công ty sử dụng tài khoản cá nhân – 7 link
công ty dùng tài khoản cá nhân có được không – 6 link</v>
      </c>
      <c r="I132" s="10" t="s">
        <v>498</v>
      </c>
      <c r="J132" s="13" t="s">
        <v>499</v>
      </c>
      <c r="K132" s="13" t="s">
        <v>251</v>
      </c>
      <c r="L132" s="13" t="s">
        <v>500</v>
      </c>
      <c r="M132" s="13" t="s">
        <v>253</v>
      </c>
      <c r="N132" s="13" t="s">
        <v>253</v>
      </c>
      <c r="O132" s="13" t="s">
        <v>254</v>
      </c>
      <c r="P132" s="13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  <c r="AE132" s="8"/>
    </row>
    <row r="133">
      <c r="A133" s="12">
        <v>8.0</v>
      </c>
      <c r="B133" s="13" t="s">
        <v>126</v>
      </c>
      <c r="C133" s="13" t="s">
        <v>280</v>
      </c>
      <c r="I133" s="10" t="s">
        <v>503</v>
      </c>
      <c r="J133" s="13" t="s">
        <v>505</v>
      </c>
      <c r="K133" s="13" t="s">
        <v>251</v>
      </c>
      <c r="L133" s="13" t="s">
        <v>506</v>
      </c>
      <c r="M133" s="13" t="s">
        <v>253</v>
      </c>
      <c r="N133" s="13" t="s">
        <v>253</v>
      </c>
      <c r="O133" s="13" t="s">
        <v>254</v>
      </c>
      <c r="P133" s="13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  <c r="AE133" s="8"/>
    </row>
    <row r="134">
      <c r="A134" s="12">
        <v>8.0</v>
      </c>
      <c r="B134" s="13" t="s">
        <v>126</v>
      </c>
      <c r="C134" s="13" t="s">
        <v>280</v>
      </c>
      <c r="I134" s="10" t="s">
        <v>507</v>
      </c>
      <c r="J134" s="13" t="s">
        <v>499</v>
      </c>
      <c r="K134" s="13" t="s">
        <v>251</v>
      </c>
      <c r="L134" s="13" t="s">
        <v>509</v>
      </c>
      <c r="M134" s="13" t="s">
        <v>253</v>
      </c>
      <c r="N134" s="13" t="s">
        <v>253</v>
      </c>
      <c r="O134" s="13" t="s">
        <v>254</v>
      </c>
      <c r="P134" s="13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  <c r="AE134" s="8"/>
    </row>
    <row r="135">
      <c r="A135" s="12">
        <v>8.0</v>
      </c>
      <c r="B135" s="13" t="s">
        <v>126</v>
      </c>
      <c r="C135" s="13" t="s">
        <v>280</v>
      </c>
      <c r="I135" s="10" t="s">
        <v>327</v>
      </c>
      <c r="J135" s="13" t="s">
        <v>505</v>
      </c>
      <c r="K135" s="13" t="s">
        <v>272</v>
      </c>
      <c r="L135" s="13" t="s">
        <v>510</v>
      </c>
      <c r="M135" s="13" t="s">
        <v>253</v>
      </c>
      <c r="N135" s="13" t="s">
        <v>253</v>
      </c>
      <c r="O135" s="13" t="s">
        <v>254</v>
      </c>
      <c r="P135" s="13" t="s">
        <v>350</v>
      </c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  <c r="AE135" s="8"/>
    </row>
    <row r="136">
      <c r="A136" s="12">
        <v>8.0</v>
      </c>
      <c r="B136" s="13" t="s">
        <v>126</v>
      </c>
      <c r="C136" s="13" t="s">
        <v>280</v>
      </c>
      <c r="I136" s="10" t="s">
        <v>511</v>
      </c>
      <c r="J136" s="13" t="s">
        <v>499</v>
      </c>
      <c r="K136" s="13" t="s">
        <v>272</v>
      </c>
      <c r="L136" s="13" t="s">
        <v>513</v>
      </c>
      <c r="M136" s="13" t="s">
        <v>253</v>
      </c>
      <c r="N136" s="13" t="s">
        <v>253</v>
      </c>
      <c r="O136" s="13" t="s">
        <v>254</v>
      </c>
      <c r="P136" s="13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  <c r="AE136" s="8"/>
    </row>
    <row r="137">
      <c r="A137" s="12">
        <v>8.0</v>
      </c>
      <c r="B137" s="13" t="s">
        <v>126</v>
      </c>
      <c r="C137" s="13" t="s">
        <v>280</v>
      </c>
      <c r="I137" s="10" t="s">
        <v>515</v>
      </c>
      <c r="J137" s="13" t="s">
        <v>505</v>
      </c>
      <c r="K137" s="13" t="s">
        <v>276</v>
      </c>
      <c r="L137" s="13" t="s">
        <v>516</v>
      </c>
      <c r="M137" s="13" t="s">
        <v>253</v>
      </c>
      <c r="N137" s="13" t="s">
        <v>253</v>
      </c>
      <c r="O137" s="13" t="s">
        <v>254</v>
      </c>
      <c r="P137" s="13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  <c r="AB137" s="8"/>
      <c r="AC137" s="8"/>
      <c r="AD137" s="8"/>
      <c r="AE137" s="8"/>
    </row>
    <row r="138">
      <c r="A138" s="12">
        <v>8.0</v>
      </c>
      <c r="B138" s="13" t="s">
        <v>126</v>
      </c>
      <c r="C138" s="13" t="s">
        <v>280</v>
      </c>
      <c r="I138" s="10" t="s">
        <v>518</v>
      </c>
      <c r="J138" s="13" t="s">
        <v>499</v>
      </c>
      <c r="K138" s="13" t="s">
        <v>276</v>
      </c>
      <c r="L138" s="13" t="s">
        <v>519</v>
      </c>
      <c r="M138" s="13" t="s">
        <v>253</v>
      </c>
      <c r="N138" s="13" t="s">
        <v>253</v>
      </c>
      <c r="O138" s="13" t="s">
        <v>254</v>
      </c>
      <c r="P138" s="13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  <c r="AB138" s="8"/>
      <c r="AC138" s="8"/>
      <c r="AD138" s="8"/>
      <c r="AE138" s="8"/>
    </row>
    <row r="139">
      <c r="A139" s="12">
        <v>8.0</v>
      </c>
      <c r="B139" s="13" t="s">
        <v>126</v>
      </c>
      <c r="C139" s="13" t="s">
        <v>280</v>
      </c>
      <c r="I139" s="10" t="s">
        <v>521</v>
      </c>
      <c r="J139" s="13" t="s">
        <v>505</v>
      </c>
      <c r="K139" s="13" t="s">
        <v>276</v>
      </c>
      <c r="L139" s="13" t="s">
        <v>522</v>
      </c>
      <c r="M139" s="13" t="s">
        <v>253</v>
      </c>
      <c r="N139" s="13" t="s">
        <v>253</v>
      </c>
      <c r="O139" s="13" t="s">
        <v>254</v>
      </c>
      <c r="P139" s="13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  <c r="AB139" s="8"/>
      <c r="AC139" s="8"/>
      <c r="AD139" s="8"/>
      <c r="AE139" s="8"/>
    </row>
    <row r="140">
      <c r="A140" s="12">
        <v>8.0</v>
      </c>
      <c r="B140" s="13" t="s">
        <v>126</v>
      </c>
      <c r="C140" s="13" t="s">
        <v>280</v>
      </c>
      <c r="I140" s="10" t="s">
        <v>523</v>
      </c>
      <c r="J140" s="13" t="s">
        <v>499</v>
      </c>
      <c r="K140" s="13" t="s">
        <v>276</v>
      </c>
      <c r="L140" s="13" t="s">
        <v>522</v>
      </c>
      <c r="M140" s="13" t="s">
        <v>253</v>
      </c>
      <c r="N140" s="13" t="s">
        <v>253</v>
      </c>
      <c r="O140" s="13" t="s">
        <v>254</v>
      </c>
      <c r="P140" s="13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  <c r="AB140" s="8"/>
      <c r="AC140" s="8"/>
      <c r="AD140" s="8"/>
      <c r="AE140" s="8"/>
    </row>
    <row r="141">
      <c r="A141" s="12">
        <v>8.0</v>
      </c>
      <c r="B141" s="13" t="s">
        <v>126</v>
      </c>
      <c r="C141" s="13" t="s">
        <v>280</v>
      </c>
      <c r="I141" s="10" t="s">
        <v>525</v>
      </c>
      <c r="J141" s="13" t="s">
        <v>505</v>
      </c>
      <c r="K141" s="13" t="s">
        <v>276</v>
      </c>
      <c r="L141" s="13" t="s">
        <v>522</v>
      </c>
      <c r="M141" s="13" t="s">
        <v>253</v>
      </c>
      <c r="N141" s="13" t="s">
        <v>253</v>
      </c>
      <c r="O141" s="13" t="s">
        <v>254</v>
      </c>
      <c r="P141" s="13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  <c r="AB141" s="8"/>
      <c r="AC141" s="8"/>
      <c r="AD141" s="8"/>
      <c r="AE141" s="8"/>
    </row>
    <row r="142">
      <c r="A142" s="12">
        <v>8.0</v>
      </c>
      <c r="B142" s="13" t="s">
        <v>126</v>
      </c>
      <c r="C142" s="13" t="s">
        <v>280</v>
      </c>
      <c r="I142" s="10" t="s">
        <v>529</v>
      </c>
      <c r="J142" s="13" t="s">
        <v>499</v>
      </c>
      <c r="K142" s="13" t="s">
        <v>276</v>
      </c>
      <c r="L142" s="13" t="s">
        <v>522</v>
      </c>
      <c r="M142" s="13" t="s">
        <v>253</v>
      </c>
      <c r="N142" s="13" t="s">
        <v>253</v>
      </c>
      <c r="O142" s="13" t="s">
        <v>254</v>
      </c>
      <c r="P142" s="13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  <c r="AB142" s="8"/>
      <c r="AC142" s="8"/>
      <c r="AD142" s="8"/>
      <c r="AE142" s="8"/>
    </row>
    <row r="143">
      <c r="A143" s="12">
        <v>8.0</v>
      </c>
      <c r="B143" s="13" t="s">
        <v>126</v>
      </c>
      <c r="C143" s="13" t="s">
        <v>280</v>
      </c>
      <c r="I143" s="10" t="s">
        <v>531</v>
      </c>
      <c r="J143" s="13" t="s">
        <v>505</v>
      </c>
      <c r="K143" s="13" t="s">
        <v>276</v>
      </c>
      <c r="L143" s="13" t="s">
        <v>533</v>
      </c>
      <c r="M143" s="13" t="s">
        <v>253</v>
      </c>
      <c r="N143" s="13" t="s">
        <v>253</v>
      </c>
      <c r="O143" s="13" t="s">
        <v>254</v>
      </c>
      <c r="P143" s="13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  <c r="AB143" s="8"/>
      <c r="AC143" s="8"/>
      <c r="AD143" s="8"/>
      <c r="AE143" s="8"/>
    </row>
    <row r="144">
      <c r="A144" s="12">
        <v>8.0</v>
      </c>
      <c r="B144" s="13" t="s">
        <v>126</v>
      </c>
      <c r="C144" s="13" t="s">
        <v>280</v>
      </c>
      <c r="I144" s="10" t="s">
        <v>534</v>
      </c>
      <c r="J144" s="13" t="s">
        <v>499</v>
      </c>
      <c r="K144" s="13" t="s">
        <v>276</v>
      </c>
      <c r="L144" s="13" t="s">
        <v>516</v>
      </c>
      <c r="M144" s="13" t="s">
        <v>253</v>
      </c>
      <c r="N144" s="13" t="s">
        <v>253</v>
      </c>
      <c r="O144" s="13" t="s">
        <v>254</v>
      </c>
      <c r="P144" s="13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  <c r="AC144" s="8"/>
      <c r="AD144" s="8"/>
      <c r="AE144" s="8"/>
    </row>
    <row r="145">
      <c r="A145" s="12">
        <v>9.0</v>
      </c>
      <c r="B145" s="13" t="s">
        <v>141</v>
      </c>
      <c r="C145" s="13" t="s">
        <v>280</v>
      </c>
      <c r="D145" s="14">
        <f>IF(COUNTIF($B$2:$B145,$B145)&gt;1,"",COUNTIF($B$2:$B$2505,$B145))</f>
        <v>25</v>
      </c>
      <c r="E145" s="14">
        <f>IF(COUNTIF($B$2:$B145,$B145)&gt;1,"",COUNTIFS($B$2:$B$2505,$B145,$K$2:$K$2505,"PHÙ HỢP CAO"))</f>
        <v>2</v>
      </c>
      <c r="F145" s="14">
        <f>IF(COUNTIF($B$2:$B145,$B145)&gt;1,"",COUNTIFS($B$2:$B$2505,$B145,$K$2:$K$2505,"CÓ THỂ ĐI"))</f>
        <v>3</v>
      </c>
      <c r="G145" s="14">
        <f>IF(COUNTIF($B$2:$B145,$B145)&gt;1,"",COUNTIFS($B$2:$B$2505,$B145,$K$2:$K$2505,"CẦN SOÁT"))</f>
        <v>20</v>
      </c>
      <c r="H145" s="18" t="str">
        <f>IFERROR(__xludf.DUMMYFUNCTION("IF(COUNTIF($B$2:$B145,$B145)&gt;1,"""",IFERROR(TEXTJOIN(CHAR(10),TRUE,BYROW(QUERY({$B$2:$B$2505,$J$2:$J$2505},""select Col2, count(Col2) where Col1 = '""&amp;$B145&amp;""' group by Col2 order by count(Col2) desc label count(Col2) ''"",0),LAMBDA(r,INDEX(r,1,1)&amp;"" – "&amp;"""&amp;INDEX(r,1,2)&amp;"" link""))),""""))"),"cách tính thuế thu nhập doanh nghiệp – 9 link
cách tính thuế TNDN – 8 link
công thức tính thuế TNDN – 8 link")</f>
        <v>cách tính thuế thu nhập doanh nghiệp – 9 link
cách tính thuế TNDN – 8 link
công thức tính thuế TNDN – 8 link</v>
      </c>
      <c r="I145" s="10" t="s">
        <v>383</v>
      </c>
      <c r="J145" s="13" t="s">
        <v>537</v>
      </c>
      <c r="K145" s="13" t="s">
        <v>251</v>
      </c>
      <c r="L145" s="13" t="s">
        <v>538</v>
      </c>
      <c r="M145" s="13" t="s">
        <v>253</v>
      </c>
      <c r="N145" s="13" t="s">
        <v>253</v>
      </c>
      <c r="O145" s="13" t="s">
        <v>254</v>
      </c>
      <c r="P145" s="13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  <c r="AB145" s="8"/>
      <c r="AC145" s="8"/>
      <c r="AD145" s="8"/>
      <c r="AE145" s="8"/>
    </row>
    <row r="146">
      <c r="A146" s="12">
        <v>9.0</v>
      </c>
      <c r="B146" s="13" t="s">
        <v>141</v>
      </c>
      <c r="C146" s="13" t="s">
        <v>280</v>
      </c>
      <c r="I146" s="10" t="s">
        <v>540</v>
      </c>
      <c r="J146" s="13" t="s">
        <v>541</v>
      </c>
      <c r="K146" s="13" t="s">
        <v>251</v>
      </c>
      <c r="L146" s="13" t="s">
        <v>542</v>
      </c>
      <c r="M146" s="13" t="s">
        <v>253</v>
      </c>
      <c r="N146" s="13" t="s">
        <v>253</v>
      </c>
      <c r="O146" s="13" t="s">
        <v>254</v>
      </c>
      <c r="P146" s="13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  <c r="AB146" s="8"/>
      <c r="AC146" s="8"/>
      <c r="AD146" s="8"/>
      <c r="AE146" s="8"/>
    </row>
    <row r="147">
      <c r="A147" s="12">
        <v>9.0</v>
      </c>
      <c r="B147" s="13" t="s">
        <v>141</v>
      </c>
      <c r="C147" s="13" t="s">
        <v>280</v>
      </c>
      <c r="I147" s="10" t="s">
        <v>395</v>
      </c>
      <c r="J147" s="13" t="s">
        <v>543</v>
      </c>
      <c r="K147" s="13" t="s">
        <v>272</v>
      </c>
      <c r="L147" s="13" t="s">
        <v>544</v>
      </c>
      <c r="M147" s="13" t="s">
        <v>253</v>
      </c>
      <c r="N147" s="13" t="s">
        <v>253</v>
      </c>
      <c r="O147" s="13" t="s">
        <v>254</v>
      </c>
      <c r="P147" s="13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  <c r="AC147" s="8"/>
      <c r="AD147" s="8"/>
      <c r="AE147" s="8"/>
    </row>
    <row r="148">
      <c r="A148" s="12">
        <v>9.0</v>
      </c>
      <c r="B148" s="13" t="s">
        <v>141</v>
      </c>
      <c r="C148" s="13" t="s">
        <v>280</v>
      </c>
      <c r="I148" s="10" t="s">
        <v>545</v>
      </c>
      <c r="J148" s="13" t="s">
        <v>537</v>
      </c>
      <c r="K148" s="13" t="s">
        <v>272</v>
      </c>
      <c r="L148" s="13" t="s">
        <v>547</v>
      </c>
      <c r="M148" s="13" t="s">
        <v>253</v>
      </c>
      <c r="N148" s="13" t="s">
        <v>253</v>
      </c>
      <c r="O148" s="13" t="s">
        <v>254</v>
      </c>
      <c r="P148" s="13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  <c r="AB148" s="8"/>
      <c r="AC148" s="8"/>
      <c r="AD148" s="8"/>
      <c r="AE148" s="8"/>
    </row>
    <row r="149">
      <c r="A149" s="12">
        <v>9.0</v>
      </c>
      <c r="B149" s="13" t="s">
        <v>141</v>
      </c>
      <c r="C149" s="13" t="s">
        <v>280</v>
      </c>
      <c r="I149" s="10" t="s">
        <v>483</v>
      </c>
      <c r="J149" s="13" t="s">
        <v>541</v>
      </c>
      <c r="K149" s="13" t="s">
        <v>272</v>
      </c>
      <c r="L149" s="13" t="s">
        <v>548</v>
      </c>
      <c r="M149" s="13" t="s">
        <v>253</v>
      </c>
      <c r="N149" s="13" t="s">
        <v>253</v>
      </c>
      <c r="O149" s="13" t="s">
        <v>254</v>
      </c>
      <c r="P149" s="13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8"/>
      <c r="AC149" s="8"/>
      <c r="AD149" s="8"/>
      <c r="AE149" s="8"/>
    </row>
    <row r="150">
      <c r="A150" s="12">
        <v>9.0</v>
      </c>
      <c r="B150" s="13" t="s">
        <v>141</v>
      </c>
      <c r="C150" s="13" t="s">
        <v>280</v>
      </c>
      <c r="I150" s="10" t="s">
        <v>549</v>
      </c>
      <c r="J150" s="13" t="s">
        <v>543</v>
      </c>
      <c r="K150" s="13" t="s">
        <v>276</v>
      </c>
      <c r="L150" s="13" t="s">
        <v>550</v>
      </c>
      <c r="M150" s="13" t="s">
        <v>253</v>
      </c>
      <c r="N150" s="13" t="s">
        <v>253</v>
      </c>
      <c r="O150" s="13" t="s">
        <v>254</v>
      </c>
      <c r="P150" s="13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  <c r="AB150" s="8"/>
      <c r="AC150" s="8"/>
      <c r="AD150" s="8"/>
      <c r="AE150" s="8"/>
    </row>
    <row r="151">
      <c r="A151" s="12">
        <v>9.0</v>
      </c>
      <c r="B151" s="13" t="s">
        <v>141</v>
      </c>
      <c r="C151" s="13" t="s">
        <v>280</v>
      </c>
      <c r="I151" s="10" t="s">
        <v>389</v>
      </c>
      <c r="J151" s="13" t="s">
        <v>537</v>
      </c>
      <c r="K151" s="13" t="s">
        <v>276</v>
      </c>
      <c r="L151" s="13" t="s">
        <v>396</v>
      </c>
      <c r="M151" s="13" t="s">
        <v>253</v>
      </c>
      <c r="N151" s="13" t="s">
        <v>253</v>
      </c>
      <c r="O151" s="13" t="s">
        <v>254</v>
      </c>
      <c r="P151" s="13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  <c r="AB151" s="8"/>
      <c r="AC151" s="8"/>
      <c r="AD151" s="8"/>
      <c r="AE151" s="8"/>
    </row>
    <row r="152">
      <c r="A152" s="12">
        <v>9.0</v>
      </c>
      <c r="B152" s="13" t="s">
        <v>141</v>
      </c>
      <c r="C152" s="13" t="s">
        <v>280</v>
      </c>
      <c r="I152" s="10" t="s">
        <v>110</v>
      </c>
      <c r="J152" s="13" t="s">
        <v>541</v>
      </c>
      <c r="K152" s="13" t="s">
        <v>276</v>
      </c>
      <c r="L152" s="13" t="s">
        <v>400</v>
      </c>
      <c r="M152" s="13" t="s">
        <v>253</v>
      </c>
      <c r="N152" s="13" t="s">
        <v>253</v>
      </c>
      <c r="O152" s="13" t="s">
        <v>254</v>
      </c>
      <c r="P152" s="13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  <c r="AB152" s="8"/>
      <c r="AC152" s="8"/>
      <c r="AD152" s="8"/>
      <c r="AE152" s="8"/>
    </row>
    <row r="153">
      <c r="A153" s="12">
        <v>9.0</v>
      </c>
      <c r="B153" s="13" t="s">
        <v>141</v>
      </c>
      <c r="C153" s="13" t="s">
        <v>280</v>
      </c>
      <c r="I153" s="10" t="s">
        <v>399</v>
      </c>
      <c r="J153" s="13" t="s">
        <v>543</v>
      </c>
      <c r="K153" s="13" t="s">
        <v>276</v>
      </c>
      <c r="L153" s="13" t="s">
        <v>400</v>
      </c>
      <c r="M153" s="13" t="s">
        <v>253</v>
      </c>
      <c r="N153" s="13" t="s">
        <v>253</v>
      </c>
      <c r="O153" s="13" t="s">
        <v>254</v>
      </c>
      <c r="P153" s="13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  <c r="AB153" s="8"/>
      <c r="AC153" s="8"/>
      <c r="AD153" s="8"/>
      <c r="AE153" s="8"/>
    </row>
    <row r="154">
      <c r="A154" s="12">
        <v>9.0</v>
      </c>
      <c r="B154" s="13" t="s">
        <v>141</v>
      </c>
      <c r="C154" s="13" t="s">
        <v>280</v>
      </c>
      <c r="I154" s="10" t="s">
        <v>64</v>
      </c>
      <c r="J154" s="13" t="s">
        <v>537</v>
      </c>
      <c r="K154" s="13" t="s">
        <v>276</v>
      </c>
      <c r="L154" s="13" t="s">
        <v>552</v>
      </c>
      <c r="M154" s="13" t="s">
        <v>253</v>
      </c>
      <c r="N154" s="13" t="s">
        <v>253</v>
      </c>
      <c r="O154" s="13" t="s">
        <v>254</v>
      </c>
      <c r="P154" s="13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  <c r="AB154" s="8"/>
      <c r="AC154" s="8"/>
      <c r="AD154" s="8"/>
      <c r="AE154" s="8"/>
    </row>
    <row r="155">
      <c r="A155" s="12">
        <v>9.0</v>
      </c>
      <c r="B155" s="13" t="s">
        <v>141</v>
      </c>
      <c r="C155" s="13" t="s">
        <v>280</v>
      </c>
      <c r="I155" s="10" t="s">
        <v>401</v>
      </c>
      <c r="J155" s="13" t="s">
        <v>541</v>
      </c>
      <c r="K155" s="13" t="s">
        <v>276</v>
      </c>
      <c r="L155" s="13" t="s">
        <v>396</v>
      </c>
      <c r="M155" s="13" t="s">
        <v>253</v>
      </c>
      <c r="N155" s="13" t="s">
        <v>253</v>
      </c>
      <c r="O155" s="13" t="s">
        <v>254</v>
      </c>
      <c r="P155" s="13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  <c r="AB155" s="8"/>
      <c r="AC155" s="8"/>
      <c r="AD155" s="8"/>
      <c r="AE155" s="8"/>
    </row>
    <row r="156">
      <c r="A156" s="12">
        <v>9.0</v>
      </c>
      <c r="B156" s="13" t="s">
        <v>141</v>
      </c>
      <c r="C156" s="13" t="s">
        <v>280</v>
      </c>
      <c r="I156" s="10" t="s">
        <v>402</v>
      </c>
      <c r="J156" s="13" t="s">
        <v>543</v>
      </c>
      <c r="K156" s="13" t="s">
        <v>276</v>
      </c>
      <c r="L156" s="13" t="s">
        <v>396</v>
      </c>
      <c r="M156" s="13" t="s">
        <v>253</v>
      </c>
      <c r="N156" s="13" t="s">
        <v>253</v>
      </c>
      <c r="O156" s="13" t="s">
        <v>254</v>
      </c>
      <c r="P156" s="13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  <c r="AB156" s="8"/>
      <c r="AC156" s="8"/>
      <c r="AD156" s="8"/>
      <c r="AE156" s="8"/>
    </row>
    <row r="157">
      <c r="A157" s="12">
        <v>9.0</v>
      </c>
      <c r="B157" s="13" t="s">
        <v>141</v>
      </c>
      <c r="C157" s="13" t="s">
        <v>280</v>
      </c>
      <c r="I157" s="10" t="s">
        <v>403</v>
      </c>
      <c r="J157" s="13" t="s">
        <v>537</v>
      </c>
      <c r="K157" s="13" t="s">
        <v>276</v>
      </c>
      <c r="L157" s="13" t="s">
        <v>396</v>
      </c>
      <c r="M157" s="13" t="s">
        <v>253</v>
      </c>
      <c r="N157" s="13" t="s">
        <v>253</v>
      </c>
      <c r="O157" s="13" t="s">
        <v>254</v>
      </c>
      <c r="P157" s="13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  <c r="AC157" s="8"/>
      <c r="AD157" s="8"/>
      <c r="AE157" s="8"/>
    </row>
    <row r="158">
      <c r="A158" s="12">
        <v>9.0</v>
      </c>
      <c r="B158" s="13" t="s">
        <v>141</v>
      </c>
      <c r="C158" s="13" t="s">
        <v>280</v>
      </c>
      <c r="I158" s="10" t="s">
        <v>404</v>
      </c>
      <c r="J158" s="13" t="s">
        <v>541</v>
      </c>
      <c r="K158" s="13" t="s">
        <v>276</v>
      </c>
      <c r="L158" s="13" t="s">
        <v>396</v>
      </c>
      <c r="M158" s="13" t="s">
        <v>253</v>
      </c>
      <c r="N158" s="13" t="s">
        <v>253</v>
      </c>
      <c r="O158" s="13" t="s">
        <v>254</v>
      </c>
      <c r="P158" s="13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  <c r="AB158" s="8"/>
      <c r="AC158" s="8"/>
      <c r="AD158" s="8"/>
      <c r="AE158" s="8"/>
    </row>
    <row r="159">
      <c r="A159" s="12">
        <v>9.0</v>
      </c>
      <c r="B159" s="13" t="s">
        <v>141</v>
      </c>
      <c r="C159" s="13" t="s">
        <v>280</v>
      </c>
      <c r="I159" s="10" t="s">
        <v>405</v>
      </c>
      <c r="J159" s="13" t="s">
        <v>543</v>
      </c>
      <c r="K159" s="13" t="s">
        <v>276</v>
      </c>
      <c r="L159" s="13" t="s">
        <v>396</v>
      </c>
      <c r="M159" s="13" t="s">
        <v>253</v>
      </c>
      <c r="N159" s="13" t="s">
        <v>253</v>
      </c>
      <c r="O159" s="13" t="s">
        <v>254</v>
      </c>
      <c r="P159" s="13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  <c r="AB159" s="8"/>
      <c r="AC159" s="8"/>
      <c r="AD159" s="8"/>
      <c r="AE159" s="8"/>
    </row>
    <row r="160">
      <c r="A160" s="12">
        <v>9.0</v>
      </c>
      <c r="B160" s="13" t="s">
        <v>141</v>
      </c>
      <c r="C160" s="13" t="s">
        <v>280</v>
      </c>
      <c r="I160" s="10" t="s">
        <v>354</v>
      </c>
      <c r="J160" s="13" t="s">
        <v>537</v>
      </c>
      <c r="K160" s="13" t="s">
        <v>276</v>
      </c>
      <c r="L160" s="13" t="s">
        <v>396</v>
      </c>
      <c r="M160" s="13" t="s">
        <v>253</v>
      </c>
      <c r="N160" s="13" t="s">
        <v>253</v>
      </c>
      <c r="O160" s="13" t="s">
        <v>254</v>
      </c>
      <c r="P160" s="13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  <c r="AB160" s="8"/>
      <c r="AC160" s="8"/>
      <c r="AD160" s="8"/>
      <c r="AE160" s="8"/>
    </row>
    <row r="161">
      <c r="A161" s="12">
        <v>9.0</v>
      </c>
      <c r="B161" s="13" t="s">
        <v>141</v>
      </c>
      <c r="C161" s="13" t="s">
        <v>280</v>
      </c>
      <c r="I161" s="10" t="s">
        <v>406</v>
      </c>
      <c r="J161" s="13" t="s">
        <v>541</v>
      </c>
      <c r="K161" s="13" t="s">
        <v>276</v>
      </c>
      <c r="L161" s="13" t="s">
        <v>396</v>
      </c>
      <c r="M161" s="13" t="s">
        <v>253</v>
      </c>
      <c r="N161" s="13" t="s">
        <v>253</v>
      </c>
      <c r="O161" s="13" t="s">
        <v>254</v>
      </c>
      <c r="P161" s="13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  <c r="AB161" s="8"/>
      <c r="AC161" s="8"/>
      <c r="AD161" s="8"/>
      <c r="AE161" s="8"/>
    </row>
    <row r="162">
      <c r="A162" s="12">
        <v>9.0</v>
      </c>
      <c r="B162" s="13" t="s">
        <v>141</v>
      </c>
      <c r="C162" s="13" t="s">
        <v>280</v>
      </c>
      <c r="I162" s="10" t="s">
        <v>407</v>
      </c>
      <c r="J162" s="13" t="s">
        <v>543</v>
      </c>
      <c r="K162" s="13" t="s">
        <v>276</v>
      </c>
      <c r="L162" s="13" t="s">
        <v>396</v>
      </c>
      <c r="M162" s="13" t="s">
        <v>253</v>
      </c>
      <c r="N162" s="13" t="s">
        <v>253</v>
      </c>
      <c r="O162" s="13" t="s">
        <v>254</v>
      </c>
      <c r="P162" s="13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  <c r="AB162" s="8"/>
      <c r="AC162" s="8"/>
      <c r="AD162" s="8"/>
      <c r="AE162" s="8"/>
    </row>
    <row r="163">
      <c r="A163" s="12">
        <v>9.0</v>
      </c>
      <c r="B163" s="13" t="s">
        <v>141</v>
      </c>
      <c r="C163" s="13" t="s">
        <v>280</v>
      </c>
      <c r="I163" s="10" t="s">
        <v>408</v>
      </c>
      <c r="J163" s="13" t="s">
        <v>537</v>
      </c>
      <c r="K163" s="13" t="s">
        <v>276</v>
      </c>
      <c r="L163" s="13" t="s">
        <v>396</v>
      </c>
      <c r="M163" s="13" t="s">
        <v>253</v>
      </c>
      <c r="N163" s="13" t="s">
        <v>253</v>
      </c>
      <c r="O163" s="13" t="s">
        <v>254</v>
      </c>
      <c r="P163" s="13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  <c r="AB163" s="8"/>
      <c r="AC163" s="8"/>
      <c r="AD163" s="8"/>
      <c r="AE163" s="8"/>
    </row>
    <row r="164">
      <c r="A164" s="12">
        <v>9.0</v>
      </c>
      <c r="B164" s="13" t="s">
        <v>141</v>
      </c>
      <c r="C164" s="13" t="s">
        <v>280</v>
      </c>
      <c r="I164" s="10" t="s">
        <v>409</v>
      </c>
      <c r="J164" s="13" t="s">
        <v>541</v>
      </c>
      <c r="K164" s="13" t="s">
        <v>276</v>
      </c>
      <c r="L164" s="13" t="s">
        <v>396</v>
      </c>
      <c r="M164" s="13" t="s">
        <v>253</v>
      </c>
      <c r="N164" s="13" t="s">
        <v>253</v>
      </c>
      <c r="O164" s="13" t="s">
        <v>254</v>
      </c>
      <c r="P164" s="13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  <c r="AB164" s="8"/>
      <c r="AC164" s="8"/>
      <c r="AD164" s="8"/>
      <c r="AE164" s="8"/>
    </row>
    <row r="165">
      <c r="A165" s="12">
        <v>9.0</v>
      </c>
      <c r="B165" s="13" t="s">
        <v>141</v>
      </c>
      <c r="C165" s="13" t="s">
        <v>280</v>
      </c>
      <c r="I165" s="10" t="s">
        <v>410</v>
      </c>
      <c r="J165" s="13" t="s">
        <v>543</v>
      </c>
      <c r="K165" s="13" t="s">
        <v>276</v>
      </c>
      <c r="L165" s="13" t="s">
        <v>396</v>
      </c>
      <c r="M165" s="13" t="s">
        <v>253</v>
      </c>
      <c r="N165" s="13" t="s">
        <v>253</v>
      </c>
      <c r="O165" s="13" t="s">
        <v>254</v>
      </c>
      <c r="P165" s="13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  <c r="AB165" s="8"/>
      <c r="AC165" s="8"/>
      <c r="AD165" s="8"/>
      <c r="AE165" s="8"/>
    </row>
    <row r="166">
      <c r="A166" s="12">
        <v>9.0</v>
      </c>
      <c r="B166" s="13" t="s">
        <v>141</v>
      </c>
      <c r="C166" s="13" t="s">
        <v>280</v>
      </c>
      <c r="I166" s="10" t="s">
        <v>411</v>
      </c>
      <c r="J166" s="13" t="s">
        <v>537</v>
      </c>
      <c r="K166" s="13" t="s">
        <v>276</v>
      </c>
      <c r="L166" s="13" t="s">
        <v>396</v>
      </c>
      <c r="M166" s="13" t="s">
        <v>253</v>
      </c>
      <c r="N166" s="13" t="s">
        <v>253</v>
      </c>
      <c r="O166" s="13" t="s">
        <v>254</v>
      </c>
      <c r="P166" s="13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  <c r="AB166" s="8"/>
      <c r="AC166" s="8"/>
      <c r="AD166" s="8"/>
      <c r="AE166" s="8"/>
    </row>
    <row r="167">
      <c r="A167" s="12">
        <v>9.0</v>
      </c>
      <c r="B167" s="13" t="s">
        <v>141</v>
      </c>
      <c r="C167" s="13" t="s">
        <v>280</v>
      </c>
      <c r="I167" s="10" t="s">
        <v>412</v>
      </c>
      <c r="J167" s="13" t="s">
        <v>541</v>
      </c>
      <c r="K167" s="13" t="s">
        <v>276</v>
      </c>
      <c r="L167" s="13" t="s">
        <v>396</v>
      </c>
      <c r="M167" s="13" t="s">
        <v>253</v>
      </c>
      <c r="N167" s="13" t="s">
        <v>253</v>
      </c>
      <c r="O167" s="13" t="s">
        <v>254</v>
      </c>
      <c r="P167" s="13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  <c r="AB167" s="8"/>
      <c r="AC167" s="8"/>
      <c r="AD167" s="8"/>
      <c r="AE167" s="8"/>
    </row>
    <row r="168">
      <c r="A168" s="12">
        <v>9.0</v>
      </c>
      <c r="B168" s="13" t="s">
        <v>141</v>
      </c>
      <c r="C168" s="13" t="s">
        <v>280</v>
      </c>
      <c r="I168" s="10" t="s">
        <v>413</v>
      </c>
      <c r="J168" s="13" t="s">
        <v>543</v>
      </c>
      <c r="K168" s="13" t="s">
        <v>276</v>
      </c>
      <c r="L168" s="13" t="s">
        <v>396</v>
      </c>
      <c r="M168" s="13" t="s">
        <v>253</v>
      </c>
      <c r="N168" s="13" t="s">
        <v>253</v>
      </c>
      <c r="O168" s="13" t="s">
        <v>254</v>
      </c>
      <c r="P168" s="13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  <c r="AB168" s="8"/>
      <c r="AC168" s="8"/>
      <c r="AD168" s="8"/>
      <c r="AE168" s="8"/>
    </row>
    <row r="169">
      <c r="A169" s="12">
        <v>9.0</v>
      </c>
      <c r="B169" s="13" t="s">
        <v>141</v>
      </c>
      <c r="C169" s="13" t="s">
        <v>280</v>
      </c>
      <c r="I169" s="10" t="s">
        <v>414</v>
      </c>
      <c r="J169" s="13" t="s">
        <v>537</v>
      </c>
      <c r="K169" s="13" t="s">
        <v>276</v>
      </c>
      <c r="L169" s="13" t="s">
        <v>396</v>
      </c>
      <c r="M169" s="13" t="s">
        <v>253</v>
      </c>
      <c r="N169" s="13" t="s">
        <v>253</v>
      </c>
      <c r="O169" s="13" t="s">
        <v>254</v>
      </c>
      <c r="P169" s="13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  <c r="AB169" s="8"/>
      <c r="AC169" s="8"/>
      <c r="AD169" s="8"/>
      <c r="AE169" s="8"/>
    </row>
    <row r="170">
      <c r="A170" s="12">
        <v>10.0</v>
      </c>
      <c r="B170" s="13" t="s">
        <v>169</v>
      </c>
      <c r="C170" s="13" t="s">
        <v>557</v>
      </c>
      <c r="D170" s="14">
        <f>IF(COUNTIF($B$2:$B170,$B170)&gt;1,"",COUNTIF($B$2:$B$2505,$B170))</f>
        <v>8</v>
      </c>
      <c r="E170" s="14">
        <f>IF(COUNTIF($B$2:$B170,$B170)&gt;1,"",COUNTIFS($B$2:$B$2505,$B170,$K$2:$K$2505,"PHÙ HỢP CAO"))</f>
        <v>3</v>
      </c>
      <c r="F170" s="14">
        <f>IF(COUNTIF($B$2:$B170,$B170)&gt;1,"",COUNTIFS($B$2:$B$2505,$B170,$K$2:$K$2505,"CÓ THỂ ĐI"))</f>
        <v>2</v>
      </c>
      <c r="G170" s="14">
        <f>IF(COUNTIF($B$2:$B170,$B170)&gt;1,"",COUNTIFS($B$2:$B$2505,$B170,$K$2:$K$2505,"CẦN SOÁT"))</f>
        <v>3</v>
      </c>
      <c r="H170" s="18" t="str">
        <f>IFERROR(__xludf.DUMMYFUNCTION("IF(COUNTIF($B$2:$B170,$B170)&gt;1,"""",IFERROR(TEXTJOIN(CHAR(10),TRUE,BYROW(QUERY({$B$2:$B$2505,$J$2:$J$2505},""select Col2, count(Col2) where Col1 = '""&amp;$B170&amp;""' group by Col2 order by count(Col2) desc label count(Col2) ''"",0),LAMBDA(r,INDEX(r,1,1)&amp;"" – "&amp;"""&amp;INDEX(r,1,2)&amp;"" link""))),""""))"),"cách nạp thẻ viettel – 2 link
cách nạp tiền viettel – 2 link
cách nạp tiền điện thoại viettel – 2 link
nạp thẻ viettel – 2 link")</f>
        <v>cách nạp thẻ viettel – 2 link
cách nạp tiền viettel – 2 link
cách nạp tiền điện thoại viettel – 2 link
nạp thẻ viettel – 2 link</v>
      </c>
      <c r="I170" s="10" t="s">
        <v>560</v>
      </c>
      <c r="J170" s="13" t="s">
        <v>562</v>
      </c>
      <c r="K170" s="13" t="s">
        <v>251</v>
      </c>
      <c r="L170" s="13" t="s">
        <v>563</v>
      </c>
      <c r="M170" s="13" t="s">
        <v>253</v>
      </c>
      <c r="N170" s="13" t="s">
        <v>253</v>
      </c>
      <c r="O170" s="13" t="s">
        <v>254</v>
      </c>
      <c r="P170" s="13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  <c r="AB170" s="8"/>
      <c r="AC170" s="8"/>
      <c r="AD170" s="8"/>
      <c r="AE170" s="8"/>
    </row>
    <row r="171">
      <c r="A171" s="12">
        <v>10.0</v>
      </c>
      <c r="B171" s="13" t="s">
        <v>169</v>
      </c>
      <c r="C171" s="13" t="s">
        <v>557</v>
      </c>
      <c r="I171" s="10" t="s">
        <v>564</v>
      </c>
      <c r="J171" s="13" t="s">
        <v>565</v>
      </c>
      <c r="K171" s="13" t="s">
        <v>251</v>
      </c>
      <c r="L171" s="13" t="s">
        <v>567</v>
      </c>
      <c r="M171" s="13" t="s">
        <v>253</v>
      </c>
      <c r="N171" s="13" t="s">
        <v>253</v>
      </c>
      <c r="O171" s="13" t="s">
        <v>254</v>
      </c>
      <c r="P171" s="13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  <c r="AB171" s="8"/>
      <c r="AC171" s="8"/>
      <c r="AD171" s="8"/>
      <c r="AE171" s="8"/>
    </row>
    <row r="172">
      <c r="A172" s="12">
        <v>10.0</v>
      </c>
      <c r="B172" s="13" t="s">
        <v>169</v>
      </c>
      <c r="C172" s="13" t="s">
        <v>557</v>
      </c>
      <c r="I172" s="10" t="s">
        <v>569</v>
      </c>
      <c r="J172" s="13" t="s">
        <v>570</v>
      </c>
      <c r="K172" s="13" t="s">
        <v>251</v>
      </c>
      <c r="L172" s="13" t="s">
        <v>571</v>
      </c>
      <c r="M172" s="13" t="s">
        <v>253</v>
      </c>
      <c r="N172" s="13" t="s">
        <v>253</v>
      </c>
      <c r="O172" s="13" t="s">
        <v>254</v>
      </c>
      <c r="P172" s="13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  <c r="AB172" s="8"/>
      <c r="AC172" s="8"/>
      <c r="AD172" s="8"/>
      <c r="AE172" s="8"/>
    </row>
    <row r="173">
      <c r="A173" s="12">
        <v>10.0</v>
      </c>
      <c r="B173" s="13" t="s">
        <v>169</v>
      </c>
      <c r="C173" s="13" t="s">
        <v>557</v>
      </c>
      <c r="I173" s="10" t="s">
        <v>572</v>
      </c>
      <c r="J173" s="13" t="s">
        <v>573</v>
      </c>
      <c r="K173" s="13" t="s">
        <v>272</v>
      </c>
      <c r="L173" s="13" t="s">
        <v>574</v>
      </c>
      <c r="M173" s="13" t="s">
        <v>253</v>
      </c>
      <c r="N173" s="13" t="s">
        <v>253</v>
      </c>
      <c r="O173" s="13" t="s">
        <v>254</v>
      </c>
      <c r="P173" s="13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  <c r="AB173" s="8"/>
      <c r="AC173" s="8"/>
      <c r="AD173" s="8"/>
      <c r="AE173" s="8"/>
    </row>
    <row r="174">
      <c r="A174" s="12">
        <v>10.0</v>
      </c>
      <c r="B174" s="13" t="s">
        <v>169</v>
      </c>
      <c r="C174" s="13" t="s">
        <v>557</v>
      </c>
      <c r="I174" s="10" t="s">
        <v>575</v>
      </c>
      <c r="J174" s="13" t="s">
        <v>562</v>
      </c>
      <c r="K174" s="13" t="s">
        <v>272</v>
      </c>
      <c r="L174" s="13" t="s">
        <v>577</v>
      </c>
      <c r="M174" s="13" t="s">
        <v>253</v>
      </c>
      <c r="N174" s="13" t="s">
        <v>253</v>
      </c>
      <c r="O174" s="13" t="s">
        <v>254</v>
      </c>
      <c r="P174" s="13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  <c r="AB174" s="8"/>
      <c r="AC174" s="8"/>
      <c r="AD174" s="8"/>
      <c r="AE174" s="8"/>
    </row>
    <row r="175">
      <c r="A175" s="12">
        <v>10.0</v>
      </c>
      <c r="B175" s="13" t="s">
        <v>169</v>
      </c>
      <c r="C175" s="13" t="s">
        <v>557</v>
      </c>
      <c r="I175" s="10" t="s">
        <v>578</v>
      </c>
      <c r="J175" s="13" t="s">
        <v>565</v>
      </c>
      <c r="K175" s="13" t="s">
        <v>276</v>
      </c>
      <c r="L175" s="13" t="s">
        <v>579</v>
      </c>
      <c r="M175" s="13" t="s">
        <v>253</v>
      </c>
      <c r="N175" s="13" t="s">
        <v>253</v>
      </c>
      <c r="O175" s="13" t="s">
        <v>254</v>
      </c>
      <c r="P175" s="13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  <c r="AB175" s="8"/>
      <c r="AC175" s="8"/>
      <c r="AD175" s="8"/>
      <c r="AE175" s="8"/>
    </row>
    <row r="176">
      <c r="A176" s="12">
        <v>10.0</v>
      </c>
      <c r="B176" s="13" t="s">
        <v>169</v>
      </c>
      <c r="C176" s="13" t="s">
        <v>557</v>
      </c>
      <c r="I176" s="10" t="s">
        <v>582</v>
      </c>
      <c r="J176" s="13" t="s">
        <v>570</v>
      </c>
      <c r="K176" s="13" t="s">
        <v>276</v>
      </c>
      <c r="L176" s="13" t="s">
        <v>579</v>
      </c>
      <c r="M176" s="13" t="s">
        <v>253</v>
      </c>
      <c r="N176" s="13" t="s">
        <v>253</v>
      </c>
      <c r="O176" s="13" t="s">
        <v>254</v>
      </c>
      <c r="P176" s="13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  <c r="AB176" s="8"/>
      <c r="AC176" s="8"/>
      <c r="AD176" s="8"/>
      <c r="AE176" s="8"/>
    </row>
    <row r="177">
      <c r="A177" s="12">
        <v>10.0</v>
      </c>
      <c r="B177" s="13" t="s">
        <v>169</v>
      </c>
      <c r="C177" s="13" t="s">
        <v>557</v>
      </c>
      <c r="I177" s="10" t="s">
        <v>437</v>
      </c>
      <c r="J177" s="13" t="s">
        <v>573</v>
      </c>
      <c r="K177" s="13" t="s">
        <v>276</v>
      </c>
      <c r="L177" s="13" t="s">
        <v>583</v>
      </c>
      <c r="M177" s="13" t="s">
        <v>253</v>
      </c>
      <c r="N177" s="13" t="s">
        <v>253</v>
      </c>
      <c r="O177" s="13" t="s">
        <v>254</v>
      </c>
      <c r="P177" s="13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  <c r="AB177" s="8"/>
      <c r="AC177" s="8"/>
      <c r="AD177" s="8"/>
      <c r="AE177" s="8"/>
    </row>
    <row r="178">
      <c r="A178" s="12">
        <v>11.0</v>
      </c>
      <c r="B178" s="13" t="s">
        <v>193</v>
      </c>
      <c r="C178" s="13" t="s">
        <v>557</v>
      </c>
      <c r="D178" s="14">
        <f>IF(COUNTIF($B$2:$B178,$B178)&gt;1,"",COUNTIF($B$2:$B$2505,$B178))</f>
        <v>17</v>
      </c>
      <c r="E178" s="14">
        <f>IF(COUNTIF($B$2:$B178,$B178)&gt;1,"",COUNTIFS($B$2:$B$2505,$B178,$K$2:$K$2505,"PHÙ HỢP CAO"))</f>
        <v>3</v>
      </c>
      <c r="F178" s="14">
        <f>IF(COUNTIF($B$2:$B178,$B178)&gt;1,"",COUNTIFS($B$2:$B$2505,$B178,$K$2:$K$2505,"CÓ THỂ ĐI"))</f>
        <v>2</v>
      </c>
      <c r="G178" s="14">
        <f>IF(COUNTIF($B$2:$B178,$B178)&gt;1,"",COUNTIFS($B$2:$B$2505,$B178,$K$2:$K$2505,"CẦN SOÁT"))</f>
        <v>12</v>
      </c>
      <c r="H178" s="18" t="str">
        <f>IFERROR(__xludf.DUMMYFUNCTION("IF(COUNTIF($B$2:$B178,$B178)&gt;1,"""",IFERROR(TEXTJOIN(CHAR(10),TRUE,BYROW(QUERY({$B$2:$B$2505,$J$2:$J$2505},""select Col2, count(Col2) where Col1 = '""&amp;$B178&amp;""' group by Col2 order by count(Col2) desc label count(Col2) ''"",0),LAMBDA(r,INDEX(r,1,1)&amp;"" – "&amp;"""&amp;INDEX(r,1,2)&amp;"" link""))),""""))"),"giá điện sinh hoạt – 9 link
giá điện sinh hoạt mới nhất – 8 link")</f>
        <v>giá điện sinh hoạt – 9 link
giá điện sinh hoạt mới nhất – 8 link</v>
      </c>
      <c r="I178" s="10" t="s">
        <v>587</v>
      </c>
      <c r="J178" s="13" t="s">
        <v>589</v>
      </c>
      <c r="K178" s="13" t="s">
        <v>251</v>
      </c>
      <c r="L178" s="13" t="s">
        <v>590</v>
      </c>
      <c r="M178" s="13" t="s">
        <v>253</v>
      </c>
      <c r="N178" s="13" t="s">
        <v>253</v>
      </c>
      <c r="O178" s="13" t="s">
        <v>254</v>
      </c>
      <c r="P178" s="13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  <c r="AB178" s="8"/>
      <c r="AC178" s="8"/>
      <c r="AD178" s="8"/>
      <c r="AE178" s="8"/>
    </row>
    <row r="179">
      <c r="A179" s="12">
        <v>11.0</v>
      </c>
      <c r="B179" s="13" t="s">
        <v>193</v>
      </c>
      <c r="C179" s="13" t="s">
        <v>557</v>
      </c>
      <c r="I179" s="10" t="s">
        <v>439</v>
      </c>
      <c r="J179" s="13" t="s">
        <v>591</v>
      </c>
      <c r="K179" s="13" t="s">
        <v>251</v>
      </c>
      <c r="L179" s="13" t="s">
        <v>592</v>
      </c>
      <c r="M179" s="13" t="s">
        <v>253</v>
      </c>
      <c r="N179" s="13" t="s">
        <v>253</v>
      </c>
      <c r="O179" s="13" t="s">
        <v>254</v>
      </c>
      <c r="P179" s="13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  <c r="AB179" s="8"/>
      <c r="AC179" s="8"/>
      <c r="AD179" s="8"/>
      <c r="AE179" s="8"/>
    </row>
    <row r="180">
      <c r="A180" s="12">
        <v>11.0</v>
      </c>
      <c r="B180" s="13" t="s">
        <v>193</v>
      </c>
      <c r="C180" s="13" t="s">
        <v>557</v>
      </c>
      <c r="I180" s="10" t="s">
        <v>593</v>
      </c>
      <c r="J180" s="13" t="s">
        <v>589</v>
      </c>
      <c r="K180" s="13" t="s">
        <v>251</v>
      </c>
      <c r="L180" s="13" t="s">
        <v>594</v>
      </c>
      <c r="M180" s="13" t="s">
        <v>253</v>
      </c>
      <c r="N180" s="13" t="s">
        <v>253</v>
      </c>
      <c r="O180" s="13" t="s">
        <v>254</v>
      </c>
      <c r="P180" s="13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  <c r="AB180" s="8"/>
      <c r="AC180" s="8"/>
      <c r="AD180" s="8"/>
      <c r="AE180" s="8"/>
    </row>
    <row r="181">
      <c r="A181" s="12">
        <v>11.0</v>
      </c>
      <c r="B181" s="13" t="s">
        <v>193</v>
      </c>
      <c r="C181" s="13" t="s">
        <v>557</v>
      </c>
      <c r="I181" s="10" t="s">
        <v>437</v>
      </c>
      <c r="J181" s="13" t="s">
        <v>591</v>
      </c>
      <c r="K181" s="13" t="s">
        <v>272</v>
      </c>
      <c r="L181" s="13" t="s">
        <v>595</v>
      </c>
      <c r="M181" s="13" t="s">
        <v>253</v>
      </c>
      <c r="N181" s="13" t="s">
        <v>253</v>
      </c>
      <c r="O181" s="13" t="s">
        <v>254</v>
      </c>
      <c r="P181" s="13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  <c r="AB181" s="8"/>
      <c r="AC181" s="8"/>
      <c r="AD181" s="8"/>
      <c r="AE181" s="8"/>
    </row>
    <row r="182">
      <c r="A182" s="12">
        <v>11.0</v>
      </c>
      <c r="B182" s="13" t="s">
        <v>193</v>
      </c>
      <c r="C182" s="13" t="s">
        <v>557</v>
      </c>
      <c r="I182" s="10" t="s">
        <v>597</v>
      </c>
      <c r="J182" s="13" t="s">
        <v>589</v>
      </c>
      <c r="K182" s="13" t="s">
        <v>272</v>
      </c>
      <c r="L182" s="13" t="s">
        <v>599</v>
      </c>
      <c r="M182" s="13" t="s">
        <v>253</v>
      </c>
      <c r="N182" s="13" t="s">
        <v>253</v>
      </c>
      <c r="O182" s="13" t="s">
        <v>254</v>
      </c>
      <c r="P182" s="13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  <c r="AB182" s="8"/>
      <c r="AC182" s="8"/>
      <c r="AD182" s="8"/>
      <c r="AE182" s="8"/>
    </row>
    <row r="183">
      <c r="A183" s="12">
        <v>11.0</v>
      </c>
      <c r="B183" s="13" t="s">
        <v>193</v>
      </c>
      <c r="C183" s="13" t="s">
        <v>557</v>
      </c>
      <c r="I183" s="10" t="s">
        <v>423</v>
      </c>
      <c r="J183" s="13" t="s">
        <v>591</v>
      </c>
      <c r="K183" s="13" t="s">
        <v>276</v>
      </c>
      <c r="L183" s="13" t="s">
        <v>600</v>
      </c>
      <c r="M183" s="13" t="s">
        <v>253</v>
      </c>
      <c r="N183" s="13" t="s">
        <v>253</v>
      </c>
      <c r="O183" s="13" t="s">
        <v>254</v>
      </c>
      <c r="P183" s="13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  <c r="AB183" s="8"/>
      <c r="AC183" s="8"/>
      <c r="AD183" s="8"/>
      <c r="AE183" s="8"/>
    </row>
    <row r="184">
      <c r="A184" s="12">
        <v>11.0</v>
      </c>
      <c r="B184" s="13" t="s">
        <v>193</v>
      </c>
      <c r="C184" s="13" t="s">
        <v>557</v>
      </c>
      <c r="I184" s="10" t="s">
        <v>419</v>
      </c>
      <c r="J184" s="13" t="s">
        <v>589</v>
      </c>
      <c r="K184" s="13" t="s">
        <v>276</v>
      </c>
      <c r="L184" s="13" t="s">
        <v>603</v>
      </c>
      <c r="M184" s="13" t="s">
        <v>253</v>
      </c>
      <c r="N184" s="13" t="s">
        <v>253</v>
      </c>
      <c r="O184" s="13" t="s">
        <v>254</v>
      </c>
      <c r="P184" s="13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  <c r="AB184" s="8"/>
      <c r="AC184" s="8"/>
      <c r="AD184" s="8"/>
      <c r="AE184" s="8"/>
    </row>
    <row r="185">
      <c r="A185" s="12">
        <v>11.0</v>
      </c>
      <c r="B185" s="13" t="s">
        <v>193</v>
      </c>
      <c r="C185" s="13" t="s">
        <v>557</v>
      </c>
      <c r="I185" s="10" t="s">
        <v>427</v>
      </c>
      <c r="J185" s="13" t="s">
        <v>591</v>
      </c>
      <c r="K185" s="13" t="s">
        <v>276</v>
      </c>
      <c r="L185" s="13" t="s">
        <v>600</v>
      </c>
      <c r="M185" s="13" t="s">
        <v>253</v>
      </c>
      <c r="N185" s="13" t="s">
        <v>253</v>
      </c>
      <c r="O185" s="13" t="s">
        <v>254</v>
      </c>
      <c r="P185" s="13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  <c r="AB185" s="8"/>
      <c r="AC185" s="8"/>
      <c r="AD185" s="8"/>
      <c r="AE185" s="8"/>
    </row>
    <row r="186">
      <c r="A186" s="12">
        <v>11.0</v>
      </c>
      <c r="B186" s="13" t="s">
        <v>193</v>
      </c>
      <c r="C186" s="13" t="s">
        <v>557</v>
      </c>
      <c r="I186" s="10" t="s">
        <v>431</v>
      </c>
      <c r="J186" s="13" t="s">
        <v>589</v>
      </c>
      <c r="K186" s="13" t="s">
        <v>276</v>
      </c>
      <c r="L186" s="13" t="s">
        <v>603</v>
      </c>
      <c r="M186" s="13" t="s">
        <v>253</v>
      </c>
      <c r="N186" s="13" t="s">
        <v>253</v>
      </c>
      <c r="O186" s="13" t="s">
        <v>254</v>
      </c>
      <c r="P186" s="13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  <c r="AB186" s="8"/>
      <c r="AC186" s="8"/>
      <c r="AD186" s="8"/>
      <c r="AE186" s="8"/>
    </row>
    <row r="187">
      <c r="A187" s="12">
        <v>11.0</v>
      </c>
      <c r="B187" s="13" t="s">
        <v>193</v>
      </c>
      <c r="C187" s="13" t="s">
        <v>557</v>
      </c>
      <c r="I187" s="10" t="s">
        <v>433</v>
      </c>
      <c r="J187" s="13" t="s">
        <v>591</v>
      </c>
      <c r="K187" s="13" t="s">
        <v>276</v>
      </c>
      <c r="L187" s="13" t="s">
        <v>600</v>
      </c>
      <c r="M187" s="13" t="s">
        <v>253</v>
      </c>
      <c r="N187" s="13" t="s">
        <v>253</v>
      </c>
      <c r="O187" s="13" t="s">
        <v>254</v>
      </c>
      <c r="P187" s="13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  <c r="AB187" s="8"/>
      <c r="AC187" s="8"/>
      <c r="AD187" s="8"/>
      <c r="AE187" s="8"/>
    </row>
    <row r="188">
      <c r="A188" s="12">
        <v>11.0</v>
      </c>
      <c r="B188" s="13" t="s">
        <v>193</v>
      </c>
      <c r="C188" s="13" t="s">
        <v>557</v>
      </c>
      <c r="I188" s="10" t="s">
        <v>399</v>
      </c>
      <c r="J188" s="13" t="s">
        <v>589</v>
      </c>
      <c r="K188" s="13" t="s">
        <v>276</v>
      </c>
      <c r="L188" s="13" t="s">
        <v>600</v>
      </c>
      <c r="M188" s="13" t="s">
        <v>253</v>
      </c>
      <c r="N188" s="13" t="s">
        <v>253</v>
      </c>
      <c r="O188" s="13" t="s">
        <v>254</v>
      </c>
      <c r="P188" s="13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  <c r="AB188" s="8"/>
      <c r="AC188" s="8"/>
      <c r="AD188" s="8"/>
      <c r="AE188" s="8"/>
    </row>
    <row r="189">
      <c r="A189" s="12">
        <v>11.0</v>
      </c>
      <c r="B189" s="13" t="s">
        <v>193</v>
      </c>
      <c r="C189" s="13" t="s">
        <v>557</v>
      </c>
      <c r="I189" s="10" t="s">
        <v>434</v>
      </c>
      <c r="J189" s="13" t="s">
        <v>591</v>
      </c>
      <c r="K189" s="13" t="s">
        <v>276</v>
      </c>
      <c r="L189" s="13" t="s">
        <v>603</v>
      </c>
      <c r="M189" s="13" t="s">
        <v>253</v>
      </c>
      <c r="N189" s="13" t="s">
        <v>253</v>
      </c>
      <c r="O189" s="13" t="s">
        <v>254</v>
      </c>
      <c r="P189" s="13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  <c r="AB189" s="8"/>
      <c r="AC189" s="8"/>
      <c r="AD189" s="8"/>
      <c r="AE189" s="8"/>
    </row>
    <row r="190">
      <c r="A190" s="12">
        <v>11.0</v>
      </c>
      <c r="B190" s="13" t="s">
        <v>193</v>
      </c>
      <c r="C190" s="13" t="s">
        <v>557</v>
      </c>
      <c r="I190" s="10" t="s">
        <v>435</v>
      </c>
      <c r="J190" s="13" t="s">
        <v>589</v>
      </c>
      <c r="K190" s="13" t="s">
        <v>276</v>
      </c>
      <c r="L190" s="13" t="s">
        <v>600</v>
      </c>
      <c r="M190" s="13" t="s">
        <v>253</v>
      </c>
      <c r="N190" s="13" t="s">
        <v>253</v>
      </c>
      <c r="O190" s="13" t="s">
        <v>254</v>
      </c>
      <c r="P190" s="13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  <c r="AB190" s="8"/>
      <c r="AC190" s="8"/>
      <c r="AD190" s="8"/>
      <c r="AE190" s="8"/>
    </row>
    <row r="191">
      <c r="A191" s="12">
        <v>11.0</v>
      </c>
      <c r="B191" s="13" t="s">
        <v>193</v>
      </c>
      <c r="C191" s="13" t="s">
        <v>557</v>
      </c>
      <c r="I191" s="10" t="s">
        <v>336</v>
      </c>
      <c r="J191" s="13" t="s">
        <v>591</v>
      </c>
      <c r="K191" s="13" t="s">
        <v>276</v>
      </c>
      <c r="L191" s="13" t="s">
        <v>607</v>
      </c>
      <c r="M191" s="13" t="s">
        <v>253</v>
      </c>
      <c r="N191" s="13" t="s">
        <v>253</v>
      </c>
      <c r="O191" s="13" t="s">
        <v>254</v>
      </c>
      <c r="P191" s="13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  <c r="AB191" s="8"/>
      <c r="AC191" s="8"/>
      <c r="AD191" s="8"/>
      <c r="AE191" s="8"/>
    </row>
    <row r="192">
      <c r="A192" s="12">
        <v>11.0</v>
      </c>
      <c r="B192" s="13" t="s">
        <v>193</v>
      </c>
      <c r="C192" s="13" t="s">
        <v>557</v>
      </c>
      <c r="I192" s="10" t="s">
        <v>564</v>
      </c>
      <c r="J192" s="13" t="s">
        <v>589</v>
      </c>
      <c r="K192" s="13" t="s">
        <v>276</v>
      </c>
      <c r="L192" s="13" t="s">
        <v>608</v>
      </c>
      <c r="M192" s="13" t="s">
        <v>253</v>
      </c>
      <c r="N192" s="13" t="s">
        <v>253</v>
      </c>
      <c r="O192" s="13" t="s">
        <v>254</v>
      </c>
      <c r="P192" s="13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  <c r="AB192" s="8"/>
      <c r="AC192" s="8"/>
      <c r="AD192" s="8"/>
      <c r="AE192" s="8"/>
    </row>
    <row r="193">
      <c r="A193" s="12">
        <v>11.0</v>
      </c>
      <c r="B193" s="13" t="s">
        <v>193</v>
      </c>
      <c r="C193" s="13" t="s">
        <v>557</v>
      </c>
      <c r="I193" s="10" t="s">
        <v>440</v>
      </c>
      <c r="J193" s="13" t="s">
        <v>591</v>
      </c>
      <c r="K193" s="13" t="s">
        <v>276</v>
      </c>
      <c r="L193" s="13" t="s">
        <v>608</v>
      </c>
      <c r="M193" s="13" t="s">
        <v>253</v>
      </c>
      <c r="N193" s="13" t="s">
        <v>253</v>
      </c>
      <c r="O193" s="13" t="s">
        <v>254</v>
      </c>
      <c r="P193" s="13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  <c r="AB193" s="8"/>
      <c r="AC193" s="8"/>
      <c r="AD193" s="8"/>
      <c r="AE193" s="8"/>
    </row>
    <row r="194">
      <c r="A194" s="12">
        <v>11.0</v>
      </c>
      <c r="B194" s="13" t="s">
        <v>193</v>
      </c>
      <c r="C194" s="13" t="s">
        <v>557</v>
      </c>
      <c r="I194" s="10" t="s">
        <v>441</v>
      </c>
      <c r="J194" s="13" t="s">
        <v>589</v>
      </c>
      <c r="K194" s="13" t="s">
        <v>276</v>
      </c>
      <c r="L194" s="13" t="s">
        <v>608</v>
      </c>
      <c r="M194" s="13" t="s">
        <v>253</v>
      </c>
      <c r="N194" s="13" t="s">
        <v>253</v>
      </c>
      <c r="O194" s="13" t="s">
        <v>254</v>
      </c>
      <c r="P194" s="13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  <c r="AB194" s="8"/>
      <c r="AC194" s="8"/>
      <c r="AD194" s="8"/>
      <c r="AE194" s="8"/>
    </row>
    <row r="195">
      <c r="A195" s="12">
        <v>12.0</v>
      </c>
      <c r="B195" s="13" t="s">
        <v>218</v>
      </c>
      <c r="C195" s="13" t="s">
        <v>557</v>
      </c>
      <c r="D195" s="14">
        <f>IF(COUNTIF($B$2:$B195,$B195)&gt;1,"",COUNTIF($B$2:$B$2505,$B195))</f>
        <v>16</v>
      </c>
      <c r="E195" s="14">
        <f>IF(COUNTIF($B$2:$B195,$B195)&gt;1,"",COUNTIFS($B$2:$B$2505,$B195,$K$2:$K$2505,"PHÙ HỢP CAO"))</f>
        <v>2</v>
      </c>
      <c r="F195" s="14">
        <f>IF(COUNTIF($B$2:$B195,$B195)&gt;1,"",COUNTIFS($B$2:$B$2505,$B195,$K$2:$K$2505,"CÓ THỂ ĐI"))</f>
        <v>3</v>
      </c>
      <c r="G195" s="14">
        <f>IF(COUNTIF($B$2:$B195,$B195)&gt;1,"",COUNTIFS($B$2:$B$2505,$B195,$K$2:$K$2505,"CẦN SOÁT"))</f>
        <v>11</v>
      </c>
      <c r="H195" s="18" t="str">
        <f>IFERROR(__xludf.DUMMYFUNCTION("IF(COUNTIF($B$2:$B195,$B195)&gt;1,"""",IFERROR(TEXTJOIN(CHAR(10),TRUE,BYROW(QUERY({$B$2:$B$2505,$J$2:$J$2505},""select Col2, count(Col2) where Col1 = '""&amp;$B195&amp;""' group by Col2 order by count(Col2) desc label count(Col2) ''"",0),LAMBDA(r,INDEX(r,1,1)&amp;"" – "&amp;"""&amp;INDEX(r,1,2)&amp;"" link""))),""""))"),"thuế thu nhập cá nhân – 8 link
thuế thu nhập cá nhân năm 2026 – 8 link")</f>
        <v>thuế thu nhập cá nhân – 8 link
thuế thu nhập cá nhân năm 2026 – 8 link</v>
      </c>
      <c r="I195" s="10" t="s">
        <v>298</v>
      </c>
      <c r="J195" s="13" t="s">
        <v>616</v>
      </c>
      <c r="K195" s="13" t="s">
        <v>251</v>
      </c>
      <c r="L195" s="13" t="s">
        <v>618</v>
      </c>
      <c r="M195" s="13" t="s">
        <v>253</v>
      </c>
      <c r="N195" s="13" t="s">
        <v>253</v>
      </c>
      <c r="O195" s="13" t="s">
        <v>254</v>
      </c>
      <c r="P195" s="13" t="s">
        <v>350</v>
      </c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  <c r="AB195" s="8"/>
      <c r="AC195" s="8"/>
      <c r="AD195" s="8"/>
      <c r="AE195" s="8"/>
    </row>
    <row r="196">
      <c r="A196" s="12">
        <v>12.0</v>
      </c>
      <c r="B196" s="13" t="s">
        <v>218</v>
      </c>
      <c r="C196" s="13" t="s">
        <v>557</v>
      </c>
      <c r="I196" s="10" t="s">
        <v>314</v>
      </c>
      <c r="J196" s="13" t="s">
        <v>619</v>
      </c>
      <c r="K196" s="13" t="s">
        <v>251</v>
      </c>
      <c r="L196" s="13" t="s">
        <v>620</v>
      </c>
      <c r="M196" s="13" t="s">
        <v>253</v>
      </c>
      <c r="N196" s="13" t="s">
        <v>253</v>
      </c>
      <c r="O196" s="13" t="s">
        <v>254</v>
      </c>
      <c r="P196" s="13" t="s">
        <v>350</v>
      </c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  <c r="AB196" s="8"/>
      <c r="AC196" s="8"/>
      <c r="AD196" s="8"/>
      <c r="AE196" s="8"/>
    </row>
    <row r="197">
      <c r="A197" s="12">
        <v>12.0</v>
      </c>
      <c r="B197" s="13" t="s">
        <v>218</v>
      </c>
      <c r="C197" s="13" t="s">
        <v>557</v>
      </c>
      <c r="I197" s="10" t="s">
        <v>614</v>
      </c>
      <c r="J197" s="13" t="s">
        <v>616</v>
      </c>
      <c r="K197" s="13" t="s">
        <v>272</v>
      </c>
      <c r="L197" s="13" t="s">
        <v>622</v>
      </c>
      <c r="M197" s="13" t="s">
        <v>253</v>
      </c>
      <c r="N197" s="13" t="s">
        <v>253</v>
      </c>
      <c r="O197" s="13" t="s">
        <v>254</v>
      </c>
      <c r="P197" s="13" t="s">
        <v>350</v>
      </c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  <c r="AB197" s="8"/>
      <c r="AC197" s="8"/>
      <c r="AD197" s="8"/>
      <c r="AE197" s="8"/>
    </row>
    <row r="198">
      <c r="A198" s="12">
        <v>12.0</v>
      </c>
      <c r="B198" s="13" t="s">
        <v>218</v>
      </c>
      <c r="C198" s="13" t="s">
        <v>557</v>
      </c>
      <c r="I198" s="10" t="s">
        <v>623</v>
      </c>
      <c r="J198" s="13" t="s">
        <v>619</v>
      </c>
      <c r="K198" s="13" t="s">
        <v>272</v>
      </c>
      <c r="L198" s="13" t="s">
        <v>626</v>
      </c>
      <c r="M198" s="13" t="s">
        <v>253</v>
      </c>
      <c r="N198" s="13" t="s">
        <v>253</v>
      </c>
      <c r="O198" s="13" t="s">
        <v>254</v>
      </c>
      <c r="P198" s="13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  <c r="AB198" s="8"/>
      <c r="AC198" s="8"/>
      <c r="AD198" s="8"/>
      <c r="AE198" s="8"/>
    </row>
    <row r="199">
      <c r="A199" s="12">
        <v>12.0</v>
      </c>
      <c r="B199" s="13" t="s">
        <v>218</v>
      </c>
      <c r="C199" s="13" t="s">
        <v>557</v>
      </c>
      <c r="I199" s="10" t="s">
        <v>627</v>
      </c>
      <c r="J199" s="13" t="s">
        <v>616</v>
      </c>
      <c r="K199" s="13" t="s">
        <v>272</v>
      </c>
      <c r="L199" s="13" t="s">
        <v>629</v>
      </c>
      <c r="M199" s="13" t="s">
        <v>253</v>
      </c>
      <c r="N199" s="13" t="s">
        <v>253</v>
      </c>
      <c r="O199" s="13" t="s">
        <v>254</v>
      </c>
      <c r="P199" s="13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  <c r="AB199" s="8"/>
      <c r="AC199" s="8"/>
      <c r="AD199" s="8"/>
      <c r="AE199" s="8"/>
    </row>
    <row r="200">
      <c r="A200" s="12">
        <v>12.0</v>
      </c>
      <c r="B200" s="13" t="s">
        <v>218</v>
      </c>
      <c r="C200" s="13" t="s">
        <v>557</v>
      </c>
      <c r="I200" s="10" t="s">
        <v>343</v>
      </c>
      <c r="J200" s="13" t="s">
        <v>619</v>
      </c>
      <c r="K200" s="13" t="s">
        <v>276</v>
      </c>
      <c r="L200" s="13" t="s">
        <v>630</v>
      </c>
      <c r="M200" s="13" t="s">
        <v>253</v>
      </c>
      <c r="N200" s="13" t="s">
        <v>253</v>
      </c>
      <c r="O200" s="13" t="s">
        <v>254</v>
      </c>
      <c r="P200" s="13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  <c r="AB200" s="8"/>
      <c r="AC200" s="8"/>
      <c r="AD200" s="8"/>
      <c r="AE200" s="8"/>
    </row>
    <row r="201">
      <c r="A201" s="12">
        <v>12.0</v>
      </c>
      <c r="B201" s="13" t="s">
        <v>218</v>
      </c>
      <c r="C201" s="13" t="s">
        <v>557</v>
      </c>
      <c r="I201" s="10" t="s">
        <v>511</v>
      </c>
      <c r="J201" s="13" t="s">
        <v>616</v>
      </c>
      <c r="K201" s="13" t="s">
        <v>276</v>
      </c>
      <c r="L201" s="13" t="s">
        <v>633</v>
      </c>
      <c r="M201" s="13" t="s">
        <v>253</v>
      </c>
      <c r="N201" s="13" t="s">
        <v>253</v>
      </c>
      <c r="O201" s="13" t="s">
        <v>254</v>
      </c>
      <c r="P201" s="13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  <c r="AB201" s="8"/>
      <c r="AC201" s="8"/>
      <c r="AD201" s="8"/>
      <c r="AE201" s="8"/>
    </row>
    <row r="202">
      <c r="A202" s="12">
        <v>12.0</v>
      </c>
      <c r="B202" s="13" t="s">
        <v>218</v>
      </c>
      <c r="C202" s="13" t="s">
        <v>557</v>
      </c>
      <c r="I202" s="10" t="s">
        <v>311</v>
      </c>
      <c r="J202" s="13" t="s">
        <v>619</v>
      </c>
      <c r="K202" s="13" t="s">
        <v>276</v>
      </c>
      <c r="L202" s="13" t="s">
        <v>635</v>
      </c>
      <c r="M202" s="13" t="s">
        <v>253</v>
      </c>
      <c r="N202" s="13" t="s">
        <v>253</v>
      </c>
      <c r="O202" s="13" t="s">
        <v>254</v>
      </c>
      <c r="P202" s="13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  <c r="AB202" s="8"/>
      <c r="AC202" s="8"/>
      <c r="AD202" s="8"/>
      <c r="AE202" s="8"/>
    </row>
    <row r="203">
      <c r="A203" s="12">
        <v>12.0</v>
      </c>
      <c r="B203" s="13" t="s">
        <v>218</v>
      </c>
      <c r="C203" s="13" t="s">
        <v>557</v>
      </c>
      <c r="I203" s="10" t="s">
        <v>426</v>
      </c>
      <c r="J203" s="13" t="s">
        <v>616</v>
      </c>
      <c r="K203" s="13" t="s">
        <v>276</v>
      </c>
      <c r="L203" s="13" t="s">
        <v>630</v>
      </c>
      <c r="M203" s="13" t="s">
        <v>253</v>
      </c>
      <c r="N203" s="13" t="s">
        <v>253</v>
      </c>
      <c r="O203" s="13" t="s">
        <v>254</v>
      </c>
      <c r="P203" s="13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  <c r="AB203" s="8"/>
      <c r="AC203" s="8"/>
      <c r="AD203" s="8"/>
      <c r="AE203" s="8"/>
    </row>
    <row r="204">
      <c r="A204" s="12">
        <v>12.0</v>
      </c>
      <c r="B204" s="13" t="s">
        <v>218</v>
      </c>
      <c r="C204" s="13" t="s">
        <v>557</v>
      </c>
      <c r="I204" s="10" t="s">
        <v>636</v>
      </c>
      <c r="J204" s="13" t="s">
        <v>619</v>
      </c>
      <c r="K204" s="13" t="s">
        <v>276</v>
      </c>
      <c r="L204" s="13" t="s">
        <v>633</v>
      </c>
      <c r="M204" s="13" t="s">
        <v>253</v>
      </c>
      <c r="N204" s="13" t="s">
        <v>253</v>
      </c>
      <c r="O204" s="13" t="s">
        <v>254</v>
      </c>
      <c r="P204" s="13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  <c r="AB204" s="8"/>
      <c r="AC204" s="8"/>
      <c r="AD204" s="8"/>
      <c r="AE204" s="8"/>
    </row>
    <row r="205">
      <c r="A205" s="12">
        <v>12.0</v>
      </c>
      <c r="B205" s="13" t="s">
        <v>218</v>
      </c>
      <c r="C205" s="13" t="s">
        <v>557</v>
      </c>
      <c r="I205" s="10" t="s">
        <v>339</v>
      </c>
      <c r="J205" s="13" t="s">
        <v>616</v>
      </c>
      <c r="K205" s="13" t="s">
        <v>276</v>
      </c>
      <c r="L205" s="13" t="s">
        <v>630</v>
      </c>
      <c r="M205" s="13" t="s">
        <v>253</v>
      </c>
      <c r="N205" s="13" t="s">
        <v>253</v>
      </c>
      <c r="O205" s="13" t="s">
        <v>254</v>
      </c>
      <c r="P205" s="13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  <c r="AB205" s="8"/>
      <c r="AC205" s="8"/>
      <c r="AD205" s="8"/>
      <c r="AE205" s="8"/>
    </row>
    <row r="206">
      <c r="A206" s="12">
        <v>12.0</v>
      </c>
      <c r="B206" s="13" t="s">
        <v>218</v>
      </c>
      <c r="C206" s="13" t="s">
        <v>557</v>
      </c>
      <c r="I206" s="10" t="s">
        <v>640</v>
      </c>
      <c r="J206" s="13" t="s">
        <v>619</v>
      </c>
      <c r="K206" s="13" t="s">
        <v>276</v>
      </c>
      <c r="L206" s="13" t="s">
        <v>633</v>
      </c>
      <c r="M206" s="13" t="s">
        <v>253</v>
      </c>
      <c r="N206" s="13" t="s">
        <v>253</v>
      </c>
      <c r="O206" s="13" t="s">
        <v>254</v>
      </c>
      <c r="P206" s="13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  <c r="AB206" s="8"/>
      <c r="AC206" s="8"/>
      <c r="AD206" s="8"/>
      <c r="AE206" s="8"/>
    </row>
    <row r="207">
      <c r="A207" s="12">
        <v>12.0</v>
      </c>
      <c r="B207" s="13" t="s">
        <v>218</v>
      </c>
      <c r="C207" s="13" t="s">
        <v>557</v>
      </c>
      <c r="I207" s="10" t="s">
        <v>643</v>
      </c>
      <c r="J207" s="13" t="s">
        <v>616</v>
      </c>
      <c r="K207" s="13" t="s">
        <v>276</v>
      </c>
      <c r="L207" s="13" t="s">
        <v>633</v>
      </c>
      <c r="M207" s="13" t="s">
        <v>253</v>
      </c>
      <c r="N207" s="13" t="s">
        <v>253</v>
      </c>
      <c r="O207" s="13" t="s">
        <v>254</v>
      </c>
      <c r="P207" s="13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  <c r="AB207" s="8"/>
      <c r="AC207" s="8"/>
      <c r="AD207" s="8"/>
      <c r="AE207" s="8"/>
    </row>
    <row r="208">
      <c r="A208" s="12">
        <v>12.0</v>
      </c>
      <c r="B208" s="13" t="s">
        <v>218</v>
      </c>
      <c r="C208" s="13" t="s">
        <v>557</v>
      </c>
      <c r="I208" s="10" t="s">
        <v>281</v>
      </c>
      <c r="J208" s="13" t="s">
        <v>619</v>
      </c>
      <c r="K208" s="13" t="s">
        <v>276</v>
      </c>
      <c r="L208" s="13" t="s">
        <v>645</v>
      </c>
      <c r="M208" s="13" t="s">
        <v>253</v>
      </c>
      <c r="N208" s="13" t="s">
        <v>253</v>
      </c>
      <c r="O208" s="13" t="s">
        <v>254</v>
      </c>
      <c r="P208" s="13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  <c r="AB208" s="8"/>
      <c r="AC208" s="8"/>
      <c r="AD208" s="8"/>
      <c r="AE208" s="8"/>
    </row>
    <row r="209">
      <c r="A209" s="12">
        <v>12.0</v>
      </c>
      <c r="B209" s="13" t="s">
        <v>218</v>
      </c>
      <c r="C209" s="13" t="s">
        <v>557</v>
      </c>
      <c r="I209" s="10" t="s">
        <v>646</v>
      </c>
      <c r="J209" s="13" t="s">
        <v>616</v>
      </c>
      <c r="K209" s="13" t="s">
        <v>276</v>
      </c>
      <c r="L209" s="13" t="s">
        <v>633</v>
      </c>
      <c r="M209" s="13" t="s">
        <v>253</v>
      </c>
      <c r="N209" s="13" t="s">
        <v>253</v>
      </c>
      <c r="O209" s="13" t="s">
        <v>254</v>
      </c>
      <c r="P209" s="13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  <c r="AB209" s="8"/>
      <c r="AC209" s="8"/>
      <c r="AD209" s="8"/>
      <c r="AE209" s="8"/>
    </row>
    <row r="210">
      <c r="A210" s="12">
        <v>12.0</v>
      </c>
      <c r="B210" s="13" t="s">
        <v>218</v>
      </c>
      <c r="C210" s="13" t="s">
        <v>557</v>
      </c>
      <c r="I210" s="10" t="s">
        <v>649</v>
      </c>
      <c r="J210" s="13" t="s">
        <v>619</v>
      </c>
      <c r="K210" s="13" t="s">
        <v>276</v>
      </c>
      <c r="L210" s="13" t="s">
        <v>633</v>
      </c>
      <c r="M210" s="13" t="s">
        <v>253</v>
      </c>
      <c r="N210" s="13" t="s">
        <v>253</v>
      </c>
      <c r="O210" s="13" t="s">
        <v>254</v>
      </c>
      <c r="P210" s="13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  <c r="AB210" s="8"/>
      <c r="AC210" s="8"/>
      <c r="AD210" s="8"/>
      <c r="AE210" s="8"/>
    </row>
    <row r="211">
      <c r="A211" s="12">
        <v>13.0</v>
      </c>
      <c r="B211" s="13" t="s">
        <v>246</v>
      </c>
      <c r="C211" s="13" t="s">
        <v>557</v>
      </c>
      <c r="D211" s="14">
        <f>IF(COUNTIF($B$2:$B211,$B211)&gt;1,"",COUNTIF($B$2:$B$2505,$B211))</f>
        <v>22</v>
      </c>
      <c r="E211" s="14">
        <f>IF(COUNTIF($B$2:$B211,$B211)&gt;1,"",COUNTIFS($B$2:$B$2505,$B211,$K$2:$K$2505,"PHÙ HỢP CAO"))</f>
        <v>2</v>
      </c>
      <c r="F211" s="14">
        <f>IF(COUNTIF($B$2:$B211,$B211)&gt;1,"",COUNTIFS($B$2:$B$2505,$B211,$K$2:$K$2505,"CÓ THỂ ĐI"))</f>
        <v>3</v>
      </c>
      <c r="G211" s="14">
        <f>IF(COUNTIF($B$2:$B211,$B211)&gt;1,"",COUNTIFS($B$2:$B$2505,$B211,$K$2:$K$2505,"CẦN SOÁT"))</f>
        <v>17</v>
      </c>
      <c r="H211" s="18" t="str">
        <f>IFERROR(__xludf.DUMMYFUNCTION("IF(COUNTIF($B$2:$B211,$B211)&gt;1,"""",IFERROR(TEXTJOIN(CHAR(10),TRUE,BYROW(QUERY({$B$2:$B$2505,$J$2:$J$2505},""select Col2, count(Col2) where Col1 = '""&amp;$B211&amp;""' group by Col2 order by count(Col2) desc label count(Col2) ''"",0),LAMBDA(r,INDEX(r,1,1)&amp;"" – "&amp;"""&amp;INDEX(r,1,2)&amp;"" link""))),""""))"),"tra số tài khoản ngân hàng – 11 link
tra tài khoản ngân hàng – 11 link")</f>
        <v>tra số tài khoản ngân hàng – 11 link
tra tài khoản ngân hàng – 11 link</v>
      </c>
      <c r="I211" s="10" t="s">
        <v>621</v>
      </c>
      <c r="J211" s="13" t="s">
        <v>660</v>
      </c>
      <c r="K211" s="13" t="s">
        <v>251</v>
      </c>
      <c r="L211" s="13" t="s">
        <v>661</v>
      </c>
      <c r="M211" s="13" t="s">
        <v>253</v>
      </c>
      <c r="N211" s="13" t="s">
        <v>253</v>
      </c>
      <c r="O211" s="13" t="s">
        <v>254</v>
      </c>
      <c r="P211" s="13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  <c r="AB211" s="8"/>
      <c r="AC211" s="8"/>
      <c r="AD211" s="8"/>
      <c r="AE211" s="8"/>
    </row>
    <row r="212">
      <c r="A212" s="12">
        <v>13.0</v>
      </c>
      <c r="B212" s="13" t="s">
        <v>246</v>
      </c>
      <c r="C212" s="13" t="s">
        <v>557</v>
      </c>
      <c r="I212" s="10" t="s">
        <v>628</v>
      </c>
      <c r="J212" s="13" t="s">
        <v>663</v>
      </c>
      <c r="K212" s="13" t="s">
        <v>251</v>
      </c>
      <c r="L212" s="13" t="s">
        <v>664</v>
      </c>
      <c r="M212" s="13" t="s">
        <v>253</v>
      </c>
      <c r="N212" s="13" t="s">
        <v>253</v>
      </c>
      <c r="O212" s="13" t="s">
        <v>254</v>
      </c>
      <c r="P212" s="13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  <c r="AB212" s="8"/>
      <c r="AC212" s="8"/>
      <c r="AD212" s="8"/>
      <c r="AE212" s="8"/>
    </row>
    <row r="213">
      <c r="A213" s="12">
        <v>13.0</v>
      </c>
      <c r="B213" s="13" t="s">
        <v>246</v>
      </c>
      <c r="C213" s="13" t="s">
        <v>557</v>
      </c>
      <c r="I213" s="10" t="s">
        <v>634</v>
      </c>
      <c r="J213" s="13" t="s">
        <v>660</v>
      </c>
      <c r="K213" s="13" t="s">
        <v>272</v>
      </c>
      <c r="L213" s="13" t="s">
        <v>666</v>
      </c>
      <c r="M213" s="13" t="s">
        <v>253</v>
      </c>
      <c r="N213" s="13" t="s">
        <v>253</v>
      </c>
      <c r="O213" s="13" t="s">
        <v>254</v>
      </c>
      <c r="P213" s="13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  <c r="AB213" s="8"/>
      <c r="AC213" s="8"/>
      <c r="AD213" s="8"/>
      <c r="AE213" s="8"/>
    </row>
    <row r="214">
      <c r="A214" s="12">
        <v>13.0</v>
      </c>
      <c r="B214" s="13" t="s">
        <v>246</v>
      </c>
      <c r="C214" s="13" t="s">
        <v>557</v>
      </c>
      <c r="I214" s="10" t="s">
        <v>639</v>
      </c>
      <c r="J214" s="13" t="s">
        <v>663</v>
      </c>
      <c r="K214" s="13" t="s">
        <v>272</v>
      </c>
      <c r="L214" s="13" t="s">
        <v>668</v>
      </c>
      <c r="M214" s="13" t="s">
        <v>253</v>
      </c>
      <c r="N214" s="13" t="s">
        <v>253</v>
      </c>
      <c r="O214" s="13" t="s">
        <v>254</v>
      </c>
      <c r="P214" s="13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  <c r="AB214" s="8"/>
      <c r="AC214" s="8"/>
      <c r="AD214" s="8"/>
      <c r="AE214" s="8"/>
    </row>
    <row r="215">
      <c r="A215" s="12">
        <v>13.0</v>
      </c>
      <c r="B215" s="13" t="s">
        <v>246</v>
      </c>
      <c r="C215" s="13" t="s">
        <v>557</v>
      </c>
      <c r="I215" s="10" t="s">
        <v>642</v>
      </c>
      <c r="J215" s="13" t="s">
        <v>660</v>
      </c>
      <c r="K215" s="13" t="s">
        <v>272</v>
      </c>
      <c r="L215" s="13" t="s">
        <v>670</v>
      </c>
      <c r="M215" s="13" t="s">
        <v>253</v>
      </c>
      <c r="N215" s="13" t="s">
        <v>253</v>
      </c>
      <c r="O215" s="13" t="s">
        <v>254</v>
      </c>
      <c r="P215" s="13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  <c r="AB215" s="8"/>
      <c r="AC215" s="8"/>
      <c r="AD215" s="8"/>
      <c r="AE215" s="8"/>
    </row>
    <row r="216">
      <c r="A216" s="12">
        <v>13.0</v>
      </c>
      <c r="B216" s="13" t="s">
        <v>246</v>
      </c>
      <c r="C216" s="13" t="s">
        <v>557</v>
      </c>
      <c r="I216" s="10" t="s">
        <v>671</v>
      </c>
      <c r="J216" s="13" t="s">
        <v>663</v>
      </c>
      <c r="K216" s="13" t="s">
        <v>276</v>
      </c>
      <c r="L216" s="13" t="s">
        <v>673</v>
      </c>
      <c r="M216" s="13" t="s">
        <v>253</v>
      </c>
      <c r="N216" s="13" t="s">
        <v>253</v>
      </c>
      <c r="O216" s="13" t="s">
        <v>254</v>
      </c>
      <c r="P216" s="13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  <c r="AB216" s="8"/>
      <c r="AC216" s="8"/>
      <c r="AD216" s="8"/>
      <c r="AE216" s="8"/>
    </row>
    <row r="217">
      <c r="A217" s="12">
        <v>13.0</v>
      </c>
      <c r="B217" s="13" t="s">
        <v>246</v>
      </c>
      <c r="C217" s="13" t="s">
        <v>557</v>
      </c>
      <c r="I217" s="10" t="s">
        <v>674</v>
      </c>
      <c r="J217" s="13" t="s">
        <v>660</v>
      </c>
      <c r="K217" s="13" t="s">
        <v>276</v>
      </c>
      <c r="L217" s="13" t="s">
        <v>675</v>
      </c>
      <c r="M217" s="13" t="s">
        <v>253</v>
      </c>
      <c r="N217" s="13" t="s">
        <v>253</v>
      </c>
      <c r="O217" s="13" t="s">
        <v>254</v>
      </c>
      <c r="P217" s="13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  <c r="AB217" s="8"/>
      <c r="AC217" s="8"/>
      <c r="AD217" s="8"/>
      <c r="AE217" s="8"/>
    </row>
    <row r="218">
      <c r="A218" s="12">
        <v>13.0</v>
      </c>
      <c r="B218" s="13" t="s">
        <v>246</v>
      </c>
      <c r="C218" s="13" t="s">
        <v>557</v>
      </c>
      <c r="I218" s="10" t="s">
        <v>677</v>
      </c>
      <c r="J218" s="13" t="s">
        <v>663</v>
      </c>
      <c r="K218" s="13" t="s">
        <v>276</v>
      </c>
      <c r="L218" s="13" t="s">
        <v>673</v>
      </c>
      <c r="M218" s="13" t="s">
        <v>253</v>
      </c>
      <c r="N218" s="13" t="s">
        <v>253</v>
      </c>
      <c r="O218" s="13" t="s">
        <v>254</v>
      </c>
      <c r="P218" s="13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  <c r="AE218" s="8"/>
    </row>
    <row r="219">
      <c r="A219" s="12">
        <v>13.0</v>
      </c>
      <c r="B219" s="13" t="s">
        <v>246</v>
      </c>
      <c r="C219" s="13" t="s">
        <v>557</v>
      </c>
      <c r="I219" s="10" t="s">
        <v>680</v>
      </c>
      <c r="J219" s="13" t="s">
        <v>660</v>
      </c>
      <c r="K219" s="13" t="s">
        <v>276</v>
      </c>
      <c r="L219" s="13" t="s">
        <v>673</v>
      </c>
      <c r="M219" s="13" t="s">
        <v>253</v>
      </c>
      <c r="N219" s="13" t="s">
        <v>253</v>
      </c>
      <c r="O219" s="13" t="s">
        <v>254</v>
      </c>
      <c r="P219" s="13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  <c r="AE219" s="8"/>
    </row>
    <row r="220">
      <c r="A220" s="12">
        <v>13.0</v>
      </c>
      <c r="B220" s="13" t="s">
        <v>246</v>
      </c>
      <c r="C220" s="13" t="s">
        <v>557</v>
      </c>
      <c r="I220" s="10" t="s">
        <v>682</v>
      </c>
      <c r="J220" s="13" t="s">
        <v>663</v>
      </c>
      <c r="K220" s="13" t="s">
        <v>276</v>
      </c>
      <c r="L220" s="13" t="s">
        <v>673</v>
      </c>
      <c r="M220" s="13" t="s">
        <v>253</v>
      </c>
      <c r="N220" s="13" t="s">
        <v>253</v>
      </c>
      <c r="O220" s="13" t="s">
        <v>254</v>
      </c>
      <c r="P220" s="13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  <c r="AE220" s="8"/>
    </row>
    <row r="221">
      <c r="A221" s="12">
        <v>13.0</v>
      </c>
      <c r="B221" s="13" t="s">
        <v>246</v>
      </c>
      <c r="C221" s="13" t="s">
        <v>557</v>
      </c>
      <c r="I221" s="10" t="s">
        <v>279</v>
      </c>
      <c r="J221" s="13" t="s">
        <v>660</v>
      </c>
      <c r="K221" s="13" t="s">
        <v>276</v>
      </c>
      <c r="L221" s="13" t="s">
        <v>673</v>
      </c>
      <c r="M221" s="13" t="s">
        <v>253</v>
      </c>
      <c r="N221" s="13" t="s">
        <v>253</v>
      </c>
      <c r="O221" s="13" t="s">
        <v>254</v>
      </c>
      <c r="P221" s="13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  <c r="AE221" s="8"/>
    </row>
    <row r="222">
      <c r="A222" s="12">
        <v>13.0</v>
      </c>
      <c r="B222" s="13" t="s">
        <v>246</v>
      </c>
      <c r="C222" s="13" t="s">
        <v>557</v>
      </c>
      <c r="I222" s="10" t="s">
        <v>684</v>
      </c>
      <c r="J222" s="13" t="s">
        <v>663</v>
      </c>
      <c r="K222" s="13" t="s">
        <v>276</v>
      </c>
      <c r="L222" s="13" t="s">
        <v>673</v>
      </c>
      <c r="M222" s="13" t="s">
        <v>253</v>
      </c>
      <c r="N222" s="13" t="s">
        <v>253</v>
      </c>
      <c r="O222" s="13" t="s">
        <v>254</v>
      </c>
      <c r="P222" s="13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  <c r="AE222" s="8"/>
    </row>
    <row r="223">
      <c r="A223" s="12">
        <v>13.0</v>
      </c>
      <c r="B223" s="13" t="s">
        <v>246</v>
      </c>
      <c r="C223" s="13" t="s">
        <v>557</v>
      </c>
      <c r="I223" s="10" t="s">
        <v>687</v>
      </c>
      <c r="J223" s="13" t="s">
        <v>660</v>
      </c>
      <c r="K223" s="13" t="s">
        <v>276</v>
      </c>
      <c r="L223" s="13" t="s">
        <v>673</v>
      </c>
      <c r="M223" s="13" t="s">
        <v>253</v>
      </c>
      <c r="N223" s="13" t="s">
        <v>253</v>
      </c>
      <c r="O223" s="13" t="s">
        <v>254</v>
      </c>
      <c r="P223" s="13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  <c r="AE223" s="8"/>
    </row>
    <row r="224">
      <c r="A224" s="12">
        <v>13.0</v>
      </c>
      <c r="B224" s="13" t="s">
        <v>246</v>
      </c>
      <c r="C224" s="13" t="s">
        <v>557</v>
      </c>
      <c r="I224" s="10" t="s">
        <v>689</v>
      </c>
      <c r="J224" s="13" t="s">
        <v>663</v>
      </c>
      <c r="K224" s="13" t="s">
        <v>276</v>
      </c>
      <c r="L224" s="13" t="s">
        <v>673</v>
      </c>
      <c r="M224" s="13" t="s">
        <v>253</v>
      </c>
      <c r="N224" s="13" t="s">
        <v>253</v>
      </c>
      <c r="O224" s="13" t="s">
        <v>254</v>
      </c>
      <c r="P224" s="13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  <c r="AE224" s="8"/>
    </row>
    <row r="225">
      <c r="A225" s="12">
        <v>13.0</v>
      </c>
      <c r="B225" s="13" t="s">
        <v>246</v>
      </c>
      <c r="C225" s="13" t="s">
        <v>557</v>
      </c>
      <c r="I225" s="10" t="s">
        <v>692</v>
      </c>
      <c r="J225" s="13" t="s">
        <v>660</v>
      </c>
      <c r="K225" s="13" t="s">
        <v>276</v>
      </c>
      <c r="L225" s="13" t="s">
        <v>673</v>
      </c>
      <c r="M225" s="13" t="s">
        <v>253</v>
      </c>
      <c r="N225" s="13" t="s">
        <v>253</v>
      </c>
      <c r="O225" s="13" t="s">
        <v>254</v>
      </c>
      <c r="P225" s="13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  <c r="AE225" s="8"/>
    </row>
    <row r="226">
      <c r="A226" s="12">
        <v>13.0</v>
      </c>
      <c r="B226" s="13" t="s">
        <v>246</v>
      </c>
      <c r="C226" s="13" t="s">
        <v>557</v>
      </c>
      <c r="I226" s="10" t="s">
        <v>696</v>
      </c>
      <c r="J226" s="13" t="s">
        <v>663</v>
      </c>
      <c r="K226" s="13" t="s">
        <v>276</v>
      </c>
      <c r="L226" s="13" t="s">
        <v>673</v>
      </c>
      <c r="M226" s="13" t="s">
        <v>253</v>
      </c>
      <c r="N226" s="13" t="s">
        <v>253</v>
      </c>
      <c r="O226" s="13" t="s">
        <v>254</v>
      </c>
      <c r="P226" s="13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  <c r="AE226" s="8"/>
    </row>
    <row r="227">
      <c r="A227" s="12">
        <v>13.0</v>
      </c>
      <c r="B227" s="13" t="s">
        <v>246</v>
      </c>
      <c r="C227" s="13" t="s">
        <v>557</v>
      </c>
      <c r="I227" s="10" t="s">
        <v>697</v>
      </c>
      <c r="J227" s="13" t="s">
        <v>660</v>
      </c>
      <c r="K227" s="13" t="s">
        <v>276</v>
      </c>
      <c r="L227" s="13" t="s">
        <v>675</v>
      </c>
      <c r="M227" s="13" t="s">
        <v>253</v>
      </c>
      <c r="N227" s="13" t="s">
        <v>253</v>
      </c>
      <c r="O227" s="13" t="s">
        <v>254</v>
      </c>
      <c r="P227" s="13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  <c r="AE227" s="8"/>
    </row>
    <row r="228">
      <c r="A228" s="12">
        <v>13.0</v>
      </c>
      <c r="B228" s="13" t="s">
        <v>246</v>
      </c>
      <c r="C228" s="13" t="s">
        <v>557</v>
      </c>
      <c r="I228" s="10" t="s">
        <v>699</v>
      </c>
      <c r="J228" s="13" t="s">
        <v>663</v>
      </c>
      <c r="K228" s="13" t="s">
        <v>276</v>
      </c>
      <c r="L228" s="13" t="s">
        <v>675</v>
      </c>
      <c r="M228" s="13" t="s">
        <v>253</v>
      </c>
      <c r="N228" s="13" t="s">
        <v>253</v>
      </c>
      <c r="O228" s="13" t="s">
        <v>254</v>
      </c>
      <c r="P228" s="13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  <c r="AE228" s="8"/>
    </row>
    <row r="229">
      <c r="A229" s="12">
        <v>13.0</v>
      </c>
      <c r="B229" s="13" t="s">
        <v>246</v>
      </c>
      <c r="C229" s="13" t="s">
        <v>557</v>
      </c>
      <c r="I229" s="10" t="s">
        <v>701</v>
      </c>
      <c r="J229" s="13" t="s">
        <v>660</v>
      </c>
      <c r="K229" s="13" t="s">
        <v>276</v>
      </c>
      <c r="L229" s="13" t="s">
        <v>673</v>
      </c>
      <c r="M229" s="13" t="s">
        <v>253</v>
      </c>
      <c r="N229" s="13" t="s">
        <v>253</v>
      </c>
      <c r="O229" s="13" t="s">
        <v>254</v>
      </c>
      <c r="P229" s="13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  <c r="AE229" s="8"/>
    </row>
    <row r="230">
      <c r="A230" s="12">
        <v>13.0</v>
      </c>
      <c r="B230" s="13" t="s">
        <v>246</v>
      </c>
      <c r="C230" s="13" t="s">
        <v>557</v>
      </c>
      <c r="I230" s="10" t="s">
        <v>703</v>
      </c>
      <c r="J230" s="13" t="s">
        <v>663</v>
      </c>
      <c r="K230" s="13" t="s">
        <v>276</v>
      </c>
      <c r="L230" s="13" t="s">
        <v>673</v>
      </c>
      <c r="M230" s="13" t="s">
        <v>253</v>
      </c>
      <c r="N230" s="13" t="s">
        <v>253</v>
      </c>
      <c r="O230" s="13" t="s">
        <v>254</v>
      </c>
      <c r="P230" s="13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  <c r="AE230" s="8"/>
    </row>
    <row r="231">
      <c r="A231" s="12">
        <v>13.0</v>
      </c>
      <c r="B231" s="13" t="s">
        <v>246</v>
      </c>
      <c r="C231" s="13" t="s">
        <v>557</v>
      </c>
      <c r="I231" s="10" t="s">
        <v>683</v>
      </c>
      <c r="J231" s="13" t="s">
        <v>660</v>
      </c>
      <c r="K231" s="13" t="s">
        <v>276</v>
      </c>
      <c r="L231" s="13" t="s">
        <v>673</v>
      </c>
      <c r="M231" s="13" t="s">
        <v>253</v>
      </c>
      <c r="N231" s="13" t="s">
        <v>253</v>
      </c>
      <c r="O231" s="13" t="s">
        <v>254</v>
      </c>
      <c r="P231" s="13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  <c r="AE231" s="8"/>
    </row>
    <row r="232">
      <c r="A232" s="12">
        <v>13.0</v>
      </c>
      <c r="B232" s="13" t="s">
        <v>246</v>
      </c>
      <c r="C232" s="13" t="s">
        <v>557</v>
      </c>
      <c r="I232" s="10" t="s">
        <v>705</v>
      </c>
      <c r="J232" s="13" t="s">
        <v>663</v>
      </c>
      <c r="K232" s="13" t="s">
        <v>276</v>
      </c>
      <c r="L232" s="13" t="s">
        <v>675</v>
      </c>
      <c r="M232" s="13" t="s">
        <v>253</v>
      </c>
      <c r="N232" s="13" t="s">
        <v>253</v>
      </c>
      <c r="O232" s="13" t="s">
        <v>254</v>
      </c>
      <c r="P232" s="13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  <c r="AE232" s="8"/>
    </row>
    <row r="233">
      <c r="A233" s="12">
        <v>14.0</v>
      </c>
      <c r="B233" s="13" t="s">
        <v>248</v>
      </c>
      <c r="C233" s="13" t="s">
        <v>557</v>
      </c>
      <c r="D233" s="14">
        <f>IF(COUNTIF($B$2:$B233,$B233)&gt;1,"",COUNTIF($B$2:$B$2505,$B233))</f>
        <v>53</v>
      </c>
      <c r="E233" s="14">
        <f>IF(COUNTIF($B$2:$B233,$B233)&gt;1,"",COUNTIFS($B$2:$B$2505,$B233,$K$2:$K$2505,"PHÙ HỢP CAO"))</f>
        <v>4</v>
      </c>
      <c r="F233" s="14">
        <f>IF(COUNTIF($B$2:$B233,$B233)&gt;1,"",COUNTIFS($B$2:$B$2505,$B233,$K$2:$K$2505,"CÓ THỂ ĐI"))</f>
        <v>1</v>
      </c>
      <c r="G233" s="14">
        <f>IF(COUNTIF($B$2:$B233,$B233)&gt;1,"",COUNTIFS($B$2:$B$2505,$B233,$K$2:$K$2505,"CẦN SOÁT"))</f>
        <v>48</v>
      </c>
      <c r="H233" s="18" t="str">
        <f>IFERROR(__xludf.DUMMYFUNCTION("IF(COUNTIF($B$2:$B233,$B233)&gt;1,"""",IFERROR(TEXTJOIN(CHAR(10),TRUE,BYROW(QUERY({$B$2:$B$2505,$J$2:$J$2505},""select Col2, count(Col2) where Col1 = '""&amp;$B233&amp;""' group by Col2 order by count(Col2) desc label count(Col2) ''"",0),LAMBDA(r,INDEX(r,1,1)&amp;"" – "&amp;"""&amp;INDEX(r,1,2)&amp;"" link""))),""""))"),"cách tạo tài khoản ngân hàng – 27 link
mở tài khoản ngân hàng online – 26 link")</f>
        <v>cách tạo tài khoản ngân hàng – 27 link
mở tài khoản ngân hàng online – 26 link</v>
      </c>
      <c r="I233" s="10" t="s">
        <v>647</v>
      </c>
      <c r="J233" s="13" t="s">
        <v>713</v>
      </c>
      <c r="K233" s="13" t="s">
        <v>251</v>
      </c>
      <c r="L233" s="13" t="s">
        <v>714</v>
      </c>
      <c r="M233" s="13" t="s">
        <v>253</v>
      </c>
      <c r="N233" s="13" t="s">
        <v>253</v>
      </c>
      <c r="O233" s="13" t="s">
        <v>254</v>
      </c>
      <c r="P233" s="13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  <c r="AE233" s="8"/>
    </row>
    <row r="234">
      <c r="A234" s="12">
        <v>14.0</v>
      </c>
      <c r="B234" s="13" t="s">
        <v>248</v>
      </c>
      <c r="C234" s="13" t="s">
        <v>557</v>
      </c>
      <c r="I234" s="10" t="s">
        <v>651</v>
      </c>
      <c r="J234" s="13" t="s">
        <v>653</v>
      </c>
      <c r="K234" s="13" t="s">
        <v>251</v>
      </c>
      <c r="L234" s="13" t="s">
        <v>715</v>
      </c>
      <c r="M234" s="13" t="s">
        <v>253</v>
      </c>
      <c r="N234" s="13" t="s">
        <v>253</v>
      </c>
      <c r="O234" s="13" t="s">
        <v>254</v>
      </c>
      <c r="P234" s="13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  <c r="AE234" s="8"/>
    </row>
    <row r="235">
      <c r="A235" s="12">
        <v>14.0</v>
      </c>
      <c r="B235" s="13" t="s">
        <v>248</v>
      </c>
      <c r="C235" s="13" t="s">
        <v>557</v>
      </c>
      <c r="I235" s="10" t="s">
        <v>654</v>
      </c>
      <c r="J235" s="13" t="s">
        <v>713</v>
      </c>
      <c r="K235" s="13" t="s">
        <v>251</v>
      </c>
      <c r="L235" s="13" t="s">
        <v>717</v>
      </c>
      <c r="M235" s="13" t="s">
        <v>253</v>
      </c>
      <c r="N235" s="13" t="s">
        <v>253</v>
      </c>
      <c r="O235" s="13" t="s">
        <v>254</v>
      </c>
      <c r="P235" s="13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  <c r="AE235" s="8"/>
    </row>
    <row r="236">
      <c r="A236" s="12">
        <v>14.0</v>
      </c>
      <c r="B236" s="13" t="s">
        <v>248</v>
      </c>
      <c r="C236" s="13" t="s">
        <v>557</v>
      </c>
      <c r="I236" s="10" t="s">
        <v>657</v>
      </c>
      <c r="J236" s="13" t="s">
        <v>653</v>
      </c>
      <c r="K236" s="13" t="s">
        <v>251</v>
      </c>
      <c r="L236" s="13" t="s">
        <v>720</v>
      </c>
      <c r="M236" s="13" t="s">
        <v>253</v>
      </c>
      <c r="N236" s="13" t="s">
        <v>253</v>
      </c>
      <c r="O236" s="13" t="s">
        <v>254</v>
      </c>
      <c r="P236" s="13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  <c r="AE236" s="8"/>
    </row>
    <row r="237">
      <c r="A237" s="12">
        <v>14.0</v>
      </c>
      <c r="B237" s="13" t="s">
        <v>248</v>
      </c>
      <c r="C237" s="13" t="s">
        <v>557</v>
      </c>
      <c r="I237" s="10" t="s">
        <v>659</v>
      </c>
      <c r="J237" s="13" t="s">
        <v>713</v>
      </c>
      <c r="K237" s="13" t="s">
        <v>272</v>
      </c>
      <c r="L237" s="13" t="s">
        <v>722</v>
      </c>
      <c r="M237" s="13" t="s">
        <v>253</v>
      </c>
      <c r="N237" s="13" t="s">
        <v>253</v>
      </c>
      <c r="O237" s="13" t="s">
        <v>254</v>
      </c>
      <c r="P237" s="13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  <c r="AE237" s="8"/>
    </row>
    <row r="238">
      <c r="A238" s="12">
        <v>14.0</v>
      </c>
      <c r="B238" s="13" t="s">
        <v>248</v>
      </c>
      <c r="C238" s="13" t="s">
        <v>557</v>
      </c>
      <c r="I238" s="10" t="s">
        <v>498</v>
      </c>
      <c r="J238" s="13" t="s">
        <v>653</v>
      </c>
      <c r="K238" s="13" t="s">
        <v>276</v>
      </c>
      <c r="L238" s="13" t="s">
        <v>723</v>
      </c>
      <c r="M238" s="13" t="s">
        <v>253</v>
      </c>
      <c r="N238" s="13" t="s">
        <v>253</v>
      </c>
      <c r="O238" s="13" t="s">
        <v>254</v>
      </c>
      <c r="P238" s="13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  <c r="AE238" s="8"/>
    </row>
    <row r="239">
      <c r="A239" s="12">
        <v>14.0</v>
      </c>
      <c r="B239" s="13" t="s">
        <v>248</v>
      </c>
      <c r="C239" s="13" t="s">
        <v>557</v>
      </c>
      <c r="I239" s="10" t="s">
        <v>518</v>
      </c>
      <c r="J239" s="13" t="s">
        <v>713</v>
      </c>
      <c r="K239" s="13" t="s">
        <v>276</v>
      </c>
      <c r="L239" s="13" t="s">
        <v>726</v>
      </c>
      <c r="M239" s="13" t="s">
        <v>253</v>
      </c>
      <c r="N239" s="13" t="s">
        <v>253</v>
      </c>
      <c r="O239" s="13" t="s">
        <v>254</v>
      </c>
      <c r="P239" s="13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  <c r="AE239" s="8"/>
    </row>
    <row r="240">
      <c r="A240" s="12">
        <v>14.0</v>
      </c>
      <c r="B240" s="13" t="s">
        <v>248</v>
      </c>
      <c r="C240" s="13" t="s">
        <v>557</v>
      </c>
      <c r="I240" s="10" t="s">
        <v>342</v>
      </c>
      <c r="J240" s="13" t="s">
        <v>653</v>
      </c>
      <c r="K240" s="13" t="s">
        <v>276</v>
      </c>
      <c r="L240" s="13" t="s">
        <v>723</v>
      </c>
      <c r="M240" s="13" t="s">
        <v>253</v>
      </c>
      <c r="N240" s="13" t="s">
        <v>253</v>
      </c>
      <c r="O240" s="13" t="s">
        <v>254</v>
      </c>
      <c r="P240" s="13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  <c r="AE240" s="8"/>
    </row>
    <row r="241">
      <c r="A241" s="12">
        <v>14.0</v>
      </c>
      <c r="B241" s="13" t="s">
        <v>248</v>
      </c>
      <c r="C241" s="13" t="s">
        <v>557</v>
      </c>
      <c r="I241" s="10" t="s">
        <v>285</v>
      </c>
      <c r="J241" s="13" t="s">
        <v>713</v>
      </c>
      <c r="K241" s="13" t="s">
        <v>276</v>
      </c>
      <c r="L241" s="13" t="s">
        <v>726</v>
      </c>
      <c r="M241" s="13" t="s">
        <v>253</v>
      </c>
      <c r="N241" s="13" t="s">
        <v>253</v>
      </c>
      <c r="O241" s="13" t="s">
        <v>254</v>
      </c>
      <c r="P241" s="13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  <c r="AE241" s="8"/>
    </row>
    <row r="242">
      <c r="A242" s="12">
        <v>14.0</v>
      </c>
      <c r="B242" s="13" t="s">
        <v>248</v>
      </c>
      <c r="C242" s="13" t="s">
        <v>557</v>
      </c>
      <c r="I242" s="10" t="s">
        <v>642</v>
      </c>
      <c r="J242" s="13" t="s">
        <v>653</v>
      </c>
      <c r="K242" s="13" t="s">
        <v>276</v>
      </c>
      <c r="L242" s="13" t="s">
        <v>726</v>
      </c>
      <c r="M242" s="13" t="s">
        <v>253</v>
      </c>
      <c r="N242" s="13" t="s">
        <v>253</v>
      </c>
      <c r="O242" s="13" t="s">
        <v>254</v>
      </c>
      <c r="P242" s="13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  <c r="AE242" s="8"/>
    </row>
    <row r="243">
      <c r="A243" s="12">
        <v>14.0</v>
      </c>
      <c r="B243" s="13" t="s">
        <v>248</v>
      </c>
      <c r="C243" s="13" t="s">
        <v>557</v>
      </c>
      <c r="I243" s="10" t="s">
        <v>728</v>
      </c>
      <c r="J243" s="13" t="s">
        <v>713</v>
      </c>
      <c r="K243" s="13" t="s">
        <v>276</v>
      </c>
      <c r="L243" s="13" t="s">
        <v>726</v>
      </c>
      <c r="M243" s="13" t="s">
        <v>253</v>
      </c>
      <c r="N243" s="13" t="s">
        <v>253</v>
      </c>
      <c r="O243" s="13" t="s">
        <v>254</v>
      </c>
      <c r="P243" s="13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  <c r="AE243" s="8"/>
    </row>
    <row r="244">
      <c r="A244" s="12">
        <v>14.0</v>
      </c>
      <c r="B244" s="13" t="s">
        <v>248</v>
      </c>
      <c r="C244" s="13" t="s">
        <v>557</v>
      </c>
      <c r="I244" s="10" t="s">
        <v>671</v>
      </c>
      <c r="J244" s="13" t="s">
        <v>653</v>
      </c>
      <c r="K244" s="13" t="s">
        <v>276</v>
      </c>
      <c r="L244" s="13" t="s">
        <v>726</v>
      </c>
      <c r="M244" s="13" t="s">
        <v>253</v>
      </c>
      <c r="N244" s="13" t="s">
        <v>253</v>
      </c>
      <c r="O244" s="13" t="s">
        <v>254</v>
      </c>
      <c r="P244" s="13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  <c r="AE244" s="8"/>
    </row>
    <row r="245">
      <c r="A245" s="12">
        <v>14.0</v>
      </c>
      <c r="B245" s="13" t="s">
        <v>248</v>
      </c>
      <c r="C245" s="13" t="s">
        <v>557</v>
      </c>
      <c r="I245" s="10" t="s">
        <v>730</v>
      </c>
      <c r="J245" s="13" t="s">
        <v>713</v>
      </c>
      <c r="K245" s="13" t="s">
        <v>276</v>
      </c>
      <c r="L245" s="13" t="s">
        <v>726</v>
      </c>
      <c r="M245" s="13" t="s">
        <v>253</v>
      </c>
      <c r="N245" s="13" t="s">
        <v>253</v>
      </c>
      <c r="O245" s="13" t="s">
        <v>254</v>
      </c>
      <c r="P245" s="13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  <c r="AE245" s="8"/>
    </row>
    <row r="246">
      <c r="A246" s="12">
        <v>14.0</v>
      </c>
      <c r="B246" s="13" t="s">
        <v>248</v>
      </c>
      <c r="C246" s="13" t="s">
        <v>557</v>
      </c>
      <c r="I246" s="10" t="s">
        <v>679</v>
      </c>
      <c r="J246" s="13" t="s">
        <v>653</v>
      </c>
      <c r="K246" s="13" t="s">
        <v>276</v>
      </c>
      <c r="L246" s="13" t="s">
        <v>733</v>
      </c>
      <c r="M246" s="13" t="s">
        <v>253</v>
      </c>
      <c r="N246" s="13" t="s">
        <v>253</v>
      </c>
      <c r="O246" s="13" t="s">
        <v>254</v>
      </c>
      <c r="P246" s="13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  <c r="AE246" s="8"/>
    </row>
    <row r="247">
      <c r="A247" s="12">
        <v>14.0</v>
      </c>
      <c r="B247" s="13" t="s">
        <v>248</v>
      </c>
      <c r="C247" s="13" t="s">
        <v>557</v>
      </c>
      <c r="I247" s="10" t="s">
        <v>734</v>
      </c>
      <c r="J247" s="13" t="s">
        <v>713</v>
      </c>
      <c r="K247" s="13" t="s">
        <v>276</v>
      </c>
      <c r="L247" s="13" t="s">
        <v>726</v>
      </c>
      <c r="M247" s="13" t="s">
        <v>253</v>
      </c>
      <c r="N247" s="13" t="s">
        <v>253</v>
      </c>
      <c r="O247" s="13" t="s">
        <v>254</v>
      </c>
      <c r="P247" s="13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  <c r="AE247" s="8"/>
    </row>
    <row r="248">
      <c r="A248" s="12">
        <v>14.0</v>
      </c>
      <c r="B248" s="13" t="s">
        <v>248</v>
      </c>
      <c r="C248" s="13" t="s">
        <v>557</v>
      </c>
      <c r="I248" s="10" t="s">
        <v>736</v>
      </c>
      <c r="J248" s="13" t="s">
        <v>653</v>
      </c>
      <c r="K248" s="13" t="s">
        <v>276</v>
      </c>
      <c r="L248" s="13" t="s">
        <v>739</v>
      </c>
      <c r="M248" s="13" t="s">
        <v>253</v>
      </c>
      <c r="N248" s="13" t="s">
        <v>253</v>
      </c>
      <c r="O248" s="13" t="s">
        <v>254</v>
      </c>
      <c r="P248" s="13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  <c r="AE248" s="8"/>
    </row>
    <row r="249">
      <c r="A249" s="12">
        <v>14.0</v>
      </c>
      <c r="B249" s="13" t="s">
        <v>248</v>
      </c>
      <c r="C249" s="13" t="s">
        <v>557</v>
      </c>
      <c r="I249" s="10" t="s">
        <v>271</v>
      </c>
      <c r="J249" s="13" t="s">
        <v>713</v>
      </c>
      <c r="K249" s="13" t="s">
        <v>276</v>
      </c>
      <c r="L249" s="13" t="s">
        <v>726</v>
      </c>
      <c r="M249" s="13" t="s">
        <v>253</v>
      </c>
      <c r="N249" s="13" t="s">
        <v>253</v>
      </c>
      <c r="O249" s="13" t="s">
        <v>254</v>
      </c>
      <c r="P249" s="13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  <c r="AE249" s="8"/>
    </row>
    <row r="250">
      <c r="A250" s="12">
        <v>14.0</v>
      </c>
      <c r="B250" s="13" t="s">
        <v>248</v>
      </c>
      <c r="C250" s="13" t="s">
        <v>557</v>
      </c>
      <c r="I250" s="10" t="s">
        <v>741</v>
      </c>
      <c r="J250" s="13" t="s">
        <v>653</v>
      </c>
      <c r="K250" s="13" t="s">
        <v>276</v>
      </c>
      <c r="L250" s="13" t="s">
        <v>726</v>
      </c>
      <c r="M250" s="13" t="s">
        <v>253</v>
      </c>
      <c r="N250" s="13" t="s">
        <v>253</v>
      </c>
      <c r="O250" s="13" t="s">
        <v>254</v>
      </c>
      <c r="P250" s="13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  <c r="AE250" s="8"/>
    </row>
    <row r="251">
      <c r="A251" s="12">
        <v>14.0</v>
      </c>
      <c r="B251" s="13" t="s">
        <v>248</v>
      </c>
      <c r="C251" s="13" t="s">
        <v>557</v>
      </c>
      <c r="I251" s="10" t="s">
        <v>743</v>
      </c>
      <c r="J251" s="13" t="s">
        <v>713</v>
      </c>
      <c r="K251" s="13" t="s">
        <v>276</v>
      </c>
      <c r="L251" s="13" t="s">
        <v>745</v>
      </c>
      <c r="M251" s="13" t="s">
        <v>253</v>
      </c>
      <c r="N251" s="13" t="s">
        <v>253</v>
      </c>
      <c r="O251" s="13" t="s">
        <v>254</v>
      </c>
      <c r="P251" s="13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  <c r="AE251" s="8"/>
    </row>
    <row r="252">
      <c r="A252" s="12">
        <v>14.0</v>
      </c>
      <c r="B252" s="13" t="s">
        <v>248</v>
      </c>
      <c r="C252" s="13" t="s">
        <v>557</v>
      </c>
      <c r="I252" s="10" t="s">
        <v>677</v>
      </c>
      <c r="J252" s="13" t="s">
        <v>653</v>
      </c>
      <c r="K252" s="13" t="s">
        <v>276</v>
      </c>
      <c r="L252" s="13" t="s">
        <v>726</v>
      </c>
      <c r="M252" s="13" t="s">
        <v>253</v>
      </c>
      <c r="N252" s="13" t="s">
        <v>253</v>
      </c>
      <c r="O252" s="13" t="s">
        <v>254</v>
      </c>
      <c r="P252" s="13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  <c r="AE252" s="8"/>
    </row>
    <row r="253">
      <c r="A253" s="12">
        <v>14.0</v>
      </c>
      <c r="B253" s="13" t="s">
        <v>248</v>
      </c>
      <c r="C253" s="13" t="s">
        <v>557</v>
      </c>
      <c r="I253" s="10" t="s">
        <v>747</v>
      </c>
      <c r="J253" s="13" t="s">
        <v>713</v>
      </c>
      <c r="K253" s="13" t="s">
        <v>276</v>
      </c>
      <c r="L253" s="13" t="s">
        <v>726</v>
      </c>
      <c r="M253" s="13" t="s">
        <v>253</v>
      </c>
      <c r="N253" s="13" t="s">
        <v>253</v>
      </c>
      <c r="O253" s="13" t="s">
        <v>254</v>
      </c>
      <c r="P253" s="13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  <c r="AE253" s="8"/>
    </row>
    <row r="254">
      <c r="A254" s="12">
        <v>14.0</v>
      </c>
      <c r="B254" s="13" t="s">
        <v>248</v>
      </c>
      <c r="C254" s="13" t="s">
        <v>557</v>
      </c>
      <c r="I254" s="10" t="s">
        <v>748</v>
      </c>
      <c r="J254" s="13" t="s">
        <v>653</v>
      </c>
      <c r="K254" s="13" t="s">
        <v>276</v>
      </c>
      <c r="L254" s="13" t="s">
        <v>723</v>
      </c>
      <c r="M254" s="13" t="s">
        <v>253</v>
      </c>
      <c r="N254" s="13" t="s">
        <v>253</v>
      </c>
      <c r="O254" s="13" t="s">
        <v>254</v>
      </c>
      <c r="P254" s="13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  <c r="AE254" s="8"/>
    </row>
    <row r="255">
      <c r="A255" s="12">
        <v>14.0</v>
      </c>
      <c r="B255" s="13" t="s">
        <v>248</v>
      </c>
      <c r="C255" s="13" t="s">
        <v>557</v>
      </c>
      <c r="I255" s="10" t="s">
        <v>751</v>
      </c>
      <c r="J255" s="13" t="s">
        <v>713</v>
      </c>
      <c r="K255" s="13" t="s">
        <v>276</v>
      </c>
      <c r="L255" s="13" t="s">
        <v>726</v>
      </c>
      <c r="M255" s="13" t="s">
        <v>253</v>
      </c>
      <c r="N255" s="13" t="s">
        <v>253</v>
      </c>
      <c r="O255" s="13" t="s">
        <v>254</v>
      </c>
      <c r="P255" s="13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  <c r="AE255" s="8"/>
    </row>
    <row r="256">
      <c r="A256" s="12">
        <v>14.0</v>
      </c>
      <c r="B256" s="13" t="s">
        <v>248</v>
      </c>
      <c r="C256" s="13" t="s">
        <v>557</v>
      </c>
      <c r="I256" s="10" t="s">
        <v>283</v>
      </c>
      <c r="J256" s="13" t="s">
        <v>653</v>
      </c>
      <c r="K256" s="13" t="s">
        <v>276</v>
      </c>
      <c r="L256" s="13" t="s">
        <v>726</v>
      </c>
      <c r="M256" s="13" t="s">
        <v>253</v>
      </c>
      <c r="N256" s="13" t="s">
        <v>253</v>
      </c>
      <c r="O256" s="13" t="s">
        <v>254</v>
      </c>
      <c r="P256" s="13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  <c r="AE256" s="8"/>
    </row>
    <row r="257">
      <c r="A257" s="12">
        <v>14.0</v>
      </c>
      <c r="B257" s="13" t="s">
        <v>248</v>
      </c>
      <c r="C257" s="13" t="s">
        <v>557</v>
      </c>
      <c r="I257" s="10" t="s">
        <v>680</v>
      </c>
      <c r="J257" s="13" t="s">
        <v>713</v>
      </c>
      <c r="K257" s="13" t="s">
        <v>276</v>
      </c>
      <c r="L257" s="13" t="s">
        <v>726</v>
      </c>
      <c r="M257" s="13" t="s">
        <v>253</v>
      </c>
      <c r="N257" s="13" t="s">
        <v>253</v>
      </c>
      <c r="O257" s="13" t="s">
        <v>254</v>
      </c>
      <c r="P257" s="13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  <c r="AE257" s="8"/>
    </row>
    <row r="258">
      <c r="A258" s="12">
        <v>14.0</v>
      </c>
      <c r="B258" s="13" t="s">
        <v>248</v>
      </c>
      <c r="C258" s="13" t="s">
        <v>557</v>
      </c>
      <c r="I258" s="10" t="s">
        <v>593</v>
      </c>
      <c r="J258" s="13" t="s">
        <v>653</v>
      </c>
      <c r="K258" s="13" t="s">
        <v>276</v>
      </c>
      <c r="L258" s="13" t="s">
        <v>726</v>
      </c>
      <c r="M258" s="13" t="s">
        <v>253</v>
      </c>
      <c r="N258" s="13" t="s">
        <v>253</v>
      </c>
      <c r="O258" s="13" t="s">
        <v>254</v>
      </c>
      <c r="P258" s="13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  <c r="AE258" s="8"/>
    </row>
    <row r="259">
      <c r="A259" s="12">
        <v>14.0</v>
      </c>
      <c r="B259" s="13" t="s">
        <v>248</v>
      </c>
      <c r="C259" s="13" t="s">
        <v>557</v>
      </c>
      <c r="I259" s="10" t="s">
        <v>529</v>
      </c>
      <c r="J259" s="13" t="s">
        <v>713</v>
      </c>
      <c r="K259" s="13" t="s">
        <v>276</v>
      </c>
      <c r="L259" s="13" t="s">
        <v>723</v>
      </c>
      <c r="M259" s="13" t="s">
        <v>253</v>
      </c>
      <c r="N259" s="13" t="s">
        <v>253</v>
      </c>
      <c r="O259" s="13" t="s">
        <v>254</v>
      </c>
      <c r="P259" s="13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  <c r="AE259" s="8"/>
    </row>
    <row r="260">
      <c r="A260" s="12">
        <v>14.0</v>
      </c>
      <c r="B260" s="13" t="s">
        <v>248</v>
      </c>
      <c r="C260" s="13" t="s">
        <v>557</v>
      </c>
      <c r="I260" s="10" t="s">
        <v>267</v>
      </c>
      <c r="J260" s="13" t="s">
        <v>653</v>
      </c>
      <c r="K260" s="13" t="s">
        <v>276</v>
      </c>
      <c r="L260" s="13" t="s">
        <v>733</v>
      </c>
      <c r="M260" s="13" t="s">
        <v>253</v>
      </c>
      <c r="N260" s="13" t="s">
        <v>253</v>
      </c>
      <c r="O260" s="13" t="s">
        <v>254</v>
      </c>
      <c r="P260" s="13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  <c r="AE260" s="8"/>
    </row>
    <row r="261">
      <c r="A261" s="12">
        <v>14.0</v>
      </c>
      <c r="B261" s="13" t="s">
        <v>248</v>
      </c>
      <c r="C261" s="13" t="s">
        <v>557</v>
      </c>
      <c r="I261" s="10" t="s">
        <v>578</v>
      </c>
      <c r="J261" s="13" t="s">
        <v>713</v>
      </c>
      <c r="K261" s="13" t="s">
        <v>276</v>
      </c>
      <c r="L261" s="13" t="s">
        <v>726</v>
      </c>
      <c r="M261" s="13" t="s">
        <v>253</v>
      </c>
      <c r="N261" s="13" t="s">
        <v>253</v>
      </c>
      <c r="O261" s="13" t="s">
        <v>254</v>
      </c>
      <c r="P261" s="13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  <c r="AE261" s="8"/>
    </row>
    <row r="262">
      <c r="A262" s="12">
        <v>14.0</v>
      </c>
      <c r="B262" s="13" t="s">
        <v>248</v>
      </c>
      <c r="C262" s="13" t="s">
        <v>557</v>
      </c>
      <c r="I262" s="10" t="s">
        <v>721</v>
      </c>
      <c r="J262" s="13" t="s">
        <v>653</v>
      </c>
      <c r="K262" s="13" t="s">
        <v>276</v>
      </c>
      <c r="L262" s="13" t="s">
        <v>723</v>
      </c>
      <c r="M262" s="13" t="s">
        <v>253</v>
      </c>
      <c r="N262" s="13" t="s">
        <v>253</v>
      </c>
      <c r="O262" s="13" t="s">
        <v>254</v>
      </c>
      <c r="P262" s="13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  <c r="AE262" s="8"/>
    </row>
    <row r="263">
      <c r="A263" s="12">
        <v>14.0</v>
      </c>
      <c r="B263" s="13" t="s">
        <v>248</v>
      </c>
      <c r="C263" s="13" t="s">
        <v>557</v>
      </c>
      <c r="I263" s="10" t="s">
        <v>407</v>
      </c>
      <c r="J263" s="13" t="s">
        <v>713</v>
      </c>
      <c r="K263" s="13" t="s">
        <v>276</v>
      </c>
      <c r="L263" s="13" t="s">
        <v>726</v>
      </c>
      <c r="M263" s="13" t="s">
        <v>253</v>
      </c>
      <c r="N263" s="13" t="s">
        <v>253</v>
      </c>
      <c r="O263" s="13" t="s">
        <v>254</v>
      </c>
      <c r="P263" s="13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  <c r="AE263" s="8"/>
    </row>
    <row r="264">
      <c r="A264" s="12">
        <v>14.0</v>
      </c>
      <c r="B264" s="13" t="s">
        <v>248</v>
      </c>
      <c r="C264" s="13" t="s">
        <v>557</v>
      </c>
      <c r="I264" s="10" t="s">
        <v>740</v>
      </c>
      <c r="J264" s="13" t="s">
        <v>653</v>
      </c>
      <c r="K264" s="13" t="s">
        <v>276</v>
      </c>
      <c r="L264" s="13" t="s">
        <v>726</v>
      </c>
      <c r="M264" s="13" t="s">
        <v>253</v>
      </c>
      <c r="N264" s="13" t="s">
        <v>253</v>
      </c>
      <c r="O264" s="13" t="s">
        <v>254</v>
      </c>
      <c r="P264" s="13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  <c r="AE264" s="8"/>
    </row>
    <row r="265">
      <c r="A265" s="12">
        <v>14.0</v>
      </c>
      <c r="B265" s="13" t="s">
        <v>248</v>
      </c>
      <c r="C265" s="13" t="s">
        <v>557</v>
      </c>
      <c r="I265" s="10" t="s">
        <v>758</v>
      </c>
      <c r="J265" s="13" t="s">
        <v>713</v>
      </c>
      <c r="K265" s="13" t="s">
        <v>276</v>
      </c>
      <c r="L265" s="13" t="s">
        <v>733</v>
      </c>
      <c r="M265" s="13" t="s">
        <v>253</v>
      </c>
      <c r="N265" s="13" t="s">
        <v>253</v>
      </c>
      <c r="O265" s="13" t="s">
        <v>254</v>
      </c>
      <c r="P265" s="13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  <c r="AE265" s="8"/>
    </row>
    <row r="266">
      <c r="A266" s="12">
        <v>14.0</v>
      </c>
      <c r="B266" s="13" t="s">
        <v>248</v>
      </c>
      <c r="C266" s="13" t="s">
        <v>557</v>
      </c>
      <c r="I266" s="10" t="s">
        <v>761</v>
      </c>
      <c r="J266" s="13" t="s">
        <v>653</v>
      </c>
      <c r="K266" s="13" t="s">
        <v>276</v>
      </c>
      <c r="L266" s="13" t="s">
        <v>726</v>
      </c>
      <c r="M266" s="13" t="s">
        <v>253</v>
      </c>
      <c r="N266" s="13" t="s">
        <v>253</v>
      </c>
      <c r="O266" s="13" t="s">
        <v>254</v>
      </c>
      <c r="P266" s="13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  <c r="AE266" s="8"/>
    </row>
    <row r="267">
      <c r="A267" s="12">
        <v>14.0</v>
      </c>
      <c r="B267" s="13" t="s">
        <v>248</v>
      </c>
      <c r="C267" s="13" t="s">
        <v>557</v>
      </c>
      <c r="I267" s="10" t="s">
        <v>689</v>
      </c>
      <c r="J267" s="13" t="s">
        <v>713</v>
      </c>
      <c r="K267" s="13" t="s">
        <v>276</v>
      </c>
      <c r="L267" s="13" t="s">
        <v>726</v>
      </c>
      <c r="M267" s="13" t="s">
        <v>253</v>
      </c>
      <c r="N267" s="13" t="s">
        <v>253</v>
      </c>
      <c r="O267" s="13" t="s">
        <v>254</v>
      </c>
      <c r="P267" s="13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  <c r="AE267" s="8"/>
    </row>
    <row r="268">
      <c r="A268" s="12">
        <v>14.0</v>
      </c>
      <c r="B268" s="13" t="s">
        <v>248</v>
      </c>
      <c r="C268" s="13" t="s">
        <v>557</v>
      </c>
      <c r="I268" s="10" t="s">
        <v>764</v>
      </c>
      <c r="J268" s="13" t="s">
        <v>653</v>
      </c>
      <c r="K268" s="13" t="s">
        <v>276</v>
      </c>
      <c r="L268" s="13" t="s">
        <v>733</v>
      </c>
      <c r="M268" s="13" t="s">
        <v>253</v>
      </c>
      <c r="N268" s="13" t="s">
        <v>253</v>
      </c>
      <c r="O268" s="13" t="s">
        <v>254</v>
      </c>
      <c r="P268" s="13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  <c r="AE268" s="8"/>
    </row>
    <row r="269">
      <c r="A269" s="12">
        <v>14.0</v>
      </c>
      <c r="B269" s="13" t="s">
        <v>248</v>
      </c>
      <c r="C269" s="13" t="s">
        <v>557</v>
      </c>
      <c r="I269" s="10" t="s">
        <v>696</v>
      </c>
      <c r="J269" s="13" t="s">
        <v>713</v>
      </c>
      <c r="K269" s="13" t="s">
        <v>276</v>
      </c>
      <c r="L269" s="13" t="s">
        <v>733</v>
      </c>
      <c r="M269" s="13" t="s">
        <v>253</v>
      </c>
      <c r="N269" s="13" t="s">
        <v>253</v>
      </c>
      <c r="O269" s="13" t="s">
        <v>254</v>
      </c>
      <c r="P269" s="13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  <c r="AE269" s="8"/>
    </row>
    <row r="270">
      <c r="A270" s="12">
        <v>14.0</v>
      </c>
      <c r="B270" s="13" t="s">
        <v>248</v>
      </c>
      <c r="C270" s="13" t="s">
        <v>557</v>
      </c>
      <c r="I270" s="10" t="s">
        <v>766</v>
      </c>
      <c r="J270" s="13" t="s">
        <v>653</v>
      </c>
      <c r="K270" s="13" t="s">
        <v>276</v>
      </c>
      <c r="L270" s="13" t="s">
        <v>723</v>
      </c>
      <c r="M270" s="13" t="s">
        <v>253</v>
      </c>
      <c r="N270" s="13" t="s">
        <v>253</v>
      </c>
      <c r="O270" s="13" t="s">
        <v>254</v>
      </c>
      <c r="P270" s="13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  <c r="AE270" s="8"/>
    </row>
    <row r="271">
      <c r="A271" s="12">
        <v>14.0</v>
      </c>
      <c r="B271" s="13" t="s">
        <v>248</v>
      </c>
      <c r="C271" s="13" t="s">
        <v>557</v>
      </c>
      <c r="I271" s="10" t="s">
        <v>771</v>
      </c>
      <c r="J271" s="13" t="s">
        <v>713</v>
      </c>
      <c r="K271" s="13" t="s">
        <v>276</v>
      </c>
      <c r="L271" s="13" t="s">
        <v>726</v>
      </c>
      <c r="M271" s="13" t="s">
        <v>253</v>
      </c>
      <c r="N271" s="13" t="s">
        <v>253</v>
      </c>
      <c r="O271" s="13" t="s">
        <v>254</v>
      </c>
      <c r="P271" s="13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  <c r="AE271" s="8"/>
    </row>
    <row r="272">
      <c r="A272" s="12">
        <v>14.0</v>
      </c>
      <c r="B272" s="13" t="s">
        <v>248</v>
      </c>
      <c r="C272" s="13" t="s">
        <v>557</v>
      </c>
      <c r="I272" s="10" t="s">
        <v>697</v>
      </c>
      <c r="J272" s="13" t="s">
        <v>653</v>
      </c>
      <c r="K272" s="13" t="s">
        <v>276</v>
      </c>
      <c r="L272" s="13" t="s">
        <v>739</v>
      </c>
      <c r="M272" s="13" t="s">
        <v>253</v>
      </c>
      <c r="N272" s="13" t="s">
        <v>253</v>
      </c>
      <c r="O272" s="13" t="s">
        <v>254</v>
      </c>
      <c r="P272" s="13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  <c r="AE272" s="8"/>
    </row>
    <row r="273">
      <c r="A273" s="12">
        <v>14.0</v>
      </c>
      <c r="B273" s="13" t="s">
        <v>248</v>
      </c>
      <c r="C273" s="13" t="s">
        <v>557</v>
      </c>
      <c r="I273" s="10" t="s">
        <v>727</v>
      </c>
      <c r="J273" s="13" t="s">
        <v>713</v>
      </c>
      <c r="K273" s="13" t="s">
        <v>276</v>
      </c>
      <c r="L273" s="13" t="s">
        <v>733</v>
      </c>
      <c r="M273" s="13" t="s">
        <v>253</v>
      </c>
      <c r="N273" s="13" t="s">
        <v>253</v>
      </c>
      <c r="O273" s="13" t="s">
        <v>254</v>
      </c>
      <c r="P273" s="13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  <c r="AE273" s="8"/>
    </row>
    <row r="274">
      <c r="A274" s="12">
        <v>14.0</v>
      </c>
      <c r="B274" s="13" t="s">
        <v>248</v>
      </c>
      <c r="C274" s="13" t="s">
        <v>557</v>
      </c>
      <c r="I274" s="10" t="s">
        <v>646</v>
      </c>
      <c r="J274" s="13" t="s">
        <v>653</v>
      </c>
      <c r="K274" s="13" t="s">
        <v>276</v>
      </c>
      <c r="L274" s="13" t="s">
        <v>726</v>
      </c>
      <c r="M274" s="13" t="s">
        <v>253</v>
      </c>
      <c r="N274" s="13" t="s">
        <v>253</v>
      </c>
      <c r="O274" s="13" t="s">
        <v>254</v>
      </c>
      <c r="P274" s="13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  <c r="AE274" s="8"/>
    </row>
    <row r="275">
      <c r="A275" s="12">
        <v>14.0</v>
      </c>
      <c r="B275" s="13" t="s">
        <v>248</v>
      </c>
      <c r="C275" s="13" t="s">
        <v>557</v>
      </c>
      <c r="I275" s="10" t="s">
        <v>282</v>
      </c>
      <c r="J275" s="13" t="s">
        <v>713</v>
      </c>
      <c r="K275" s="13" t="s">
        <v>276</v>
      </c>
      <c r="L275" s="13" t="s">
        <v>726</v>
      </c>
      <c r="M275" s="13" t="s">
        <v>253</v>
      </c>
      <c r="N275" s="13" t="s">
        <v>253</v>
      </c>
      <c r="O275" s="13" t="s">
        <v>254</v>
      </c>
      <c r="P275" s="13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  <c r="AE275" s="8"/>
    </row>
    <row r="276">
      <c r="A276" s="12">
        <v>14.0</v>
      </c>
      <c r="B276" s="13" t="s">
        <v>248</v>
      </c>
      <c r="C276" s="13" t="s">
        <v>557</v>
      </c>
      <c r="I276" s="10" t="s">
        <v>781</v>
      </c>
      <c r="J276" s="13" t="s">
        <v>653</v>
      </c>
      <c r="K276" s="13" t="s">
        <v>276</v>
      </c>
      <c r="L276" s="13" t="s">
        <v>726</v>
      </c>
      <c r="M276" s="13" t="s">
        <v>253</v>
      </c>
      <c r="N276" s="13" t="s">
        <v>253</v>
      </c>
      <c r="O276" s="13" t="s">
        <v>254</v>
      </c>
      <c r="P276" s="13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  <c r="AE276" s="8"/>
    </row>
    <row r="277">
      <c r="A277" s="12">
        <v>14.0</v>
      </c>
      <c r="B277" s="13" t="s">
        <v>248</v>
      </c>
      <c r="C277" s="13" t="s">
        <v>557</v>
      </c>
      <c r="I277" s="10" t="s">
        <v>275</v>
      </c>
      <c r="J277" s="13" t="s">
        <v>713</v>
      </c>
      <c r="K277" s="13" t="s">
        <v>276</v>
      </c>
      <c r="L277" s="13" t="s">
        <v>726</v>
      </c>
      <c r="M277" s="13" t="s">
        <v>253</v>
      </c>
      <c r="N277" s="13" t="s">
        <v>253</v>
      </c>
      <c r="O277" s="13" t="s">
        <v>254</v>
      </c>
      <c r="P277" s="13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  <c r="AE277" s="8"/>
    </row>
    <row r="278">
      <c r="A278" s="12">
        <v>14.0</v>
      </c>
      <c r="B278" s="13" t="s">
        <v>248</v>
      </c>
      <c r="C278" s="13" t="s">
        <v>557</v>
      </c>
      <c r="I278" s="10" t="s">
        <v>246</v>
      </c>
      <c r="J278" s="13" t="s">
        <v>653</v>
      </c>
      <c r="K278" s="13" t="s">
        <v>276</v>
      </c>
      <c r="L278" s="13" t="s">
        <v>726</v>
      </c>
      <c r="M278" s="13" t="s">
        <v>253</v>
      </c>
      <c r="N278" s="13" t="s">
        <v>253</v>
      </c>
      <c r="O278" s="13" t="s">
        <v>254</v>
      </c>
      <c r="P278" s="13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  <c r="AE278" s="8"/>
    </row>
    <row r="279">
      <c r="A279" s="12">
        <v>14.0</v>
      </c>
      <c r="B279" s="13" t="s">
        <v>248</v>
      </c>
      <c r="C279" s="13" t="s">
        <v>557</v>
      </c>
      <c r="I279" s="10" t="s">
        <v>569</v>
      </c>
      <c r="J279" s="13" t="s">
        <v>713</v>
      </c>
      <c r="K279" s="13" t="s">
        <v>276</v>
      </c>
      <c r="L279" s="13" t="s">
        <v>726</v>
      </c>
      <c r="M279" s="13" t="s">
        <v>253</v>
      </c>
      <c r="N279" s="13" t="s">
        <v>253</v>
      </c>
      <c r="O279" s="13" t="s">
        <v>254</v>
      </c>
      <c r="P279" s="13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  <c r="AE279" s="8"/>
    </row>
    <row r="280">
      <c r="A280" s="12">
        <v>14.0</v>
      </c>
      <c r="B280" s="13" t="s">
        <v>248</v>
      </c>
      <c r="C280" s="13" t="s">
        <v>557</v>
      </c>
      <c r="I280" s="10" t="s">
        <v>262</v>
      </c>
      <c r="J280" s="13" t="s">
        <v>653</v>
      </c>
      <c r="K280" s="13" t="s">
        <v>276</v>
      </c>
      <c r="L280" s="13" t="s">
        <v>733</v>
      </c>
      <c r="M280" s="13" t="s">
        <v>253</v>
      </c>
      <c r="N280" s="13" t="s">
        <v>253</v>
      </c>
      <c r="O280" s="13" t="s">
        <v>254</v>
      </c>
      <c r="P280" s="13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  <c r="AE280" s="8"/>
    </row>
    <row r="281">
      <c r="A281" s="12">
        <v>14.0</v>
      </c>
      <c r="B281" s="13" t="s">
        <v>248</v>
      </c>
      <c r="C281" s="13" t="s">
        <v>557</v>
      </c>
      <c r="I281" s="10" t="s">
        <v>799</v>
      </c>
      <c r="J281" s="13" t="s">
        <v>713</v>
      </c>
      <c r="K281" s="13" t="s">
        <v>276</v>
      </c>
      <c r="L281" s="13" t="s">
        <v>802</v>
      </c>
      <c r="M281" s="13" t="s">
        <v>253</v>
      </c>
      <c r="N281" s="13" t="s">
        <v>253</v>
      </c>
      <c r="O281" s="13" t="s">
        <v>254</v>
      </c>
      <c r="P281" s="13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  <c r="AE281" s="8"/>
    </row>
    <row r="282">
      <c r="A282" s="12">
        <v>14.0</v>
      </c>
      <c r="B282" s="13" t="s">
        <v>248</v>
      </c>
      <c r="C282" s="13" t="s">
        <v>557</v>
      </c>
      <c r="I282" s="10" t="s">
        <v>621</v>
      </c>
      <c r="J282" s="13" t="s">
        <v>653</v>
      </c>
      <c r="K282" s="13" t="s">
        <v>276</v>
      </c>
      <c r="L282" s="13" t="s">
        <v>726</v>
      </c>
      <c r="M282" s="13" t="s">
        <v>253</v>
      </c>
      <c r="N282" s="13" t="s">
        <v>253</v>
      </c>
      <c r="O282" s="13" t="s">
        <v>254</v>
      </c>
      <c r="P282" s="13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  <c r="AE282" s="8"/>
    </row>
    <row r="283">
      <c r="A283" s="12">
        <v>14.0</v>
      </c>
      <c r="B283" s="13" t="s">
        <v>248</v>
      </c>
      <c r="C283" s="13" t="s">
        <v>557</v>
      </c>
      <c r="I283" s="10" t="s">
        <v>705</v>
      </c>
      <c r="J283" s="13" t="s">
        <v>713</v>
      </c>
      <c r="K283" s="13" t="s">
        <v>276</v>
      </c>
      <c r="L283" s="13" t="s">
        <v>739</v>
      </c>
      <c r="M283" s="13" t="s">
        <v>253</v>
      </c>
      <c r="N283" s="13" t="s">
        <v>253</v>
      </c>
      <c r="O283" s="13" t="s">
        <v>254</v>
      </c>
      <c r="P283" s="13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  <c r="AE283" s="8"/>
    </row>
    <row r="284">
      <c r="A284" s="12">
        <v>14.0</v>
      </c>
      <c r="B284" s="13" t="s">
        <v>248</v>
      </c>
      <c r="C284" s="13" t="s">
        <v>557</v>
      </c>
      <c r="I284" s="10" t="s">
        <v>534</v>
      </c>
      <c r="J284" s="13" t="s">
        <v>653</v>
      </c>
      <c r="K284" s="13" t="s">
        <v>276</v>
      </c>
      <c r="L284" s="13" t="s">
        <v>733</v>
      </c>
      <c r="M284" s="13" t="s">
        <v>253</v>
      </c>
      <c r="N284" s="13" t="s">
        <v>253</v>
      </c>
      <c r="O284" s="13" t="s">
        <v>254</v>
      </c>
      <c r="P284" s="13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  <c r="AE284" s="8"/>
    </row>
    <row r="285">
      <c r="A285" s="12">
        <v>14.0</v>
      </c>
      <c r="B285" s="13" t="s">
        <v>248</v>
      </c>
      <c r="C285" s="13" t="s">
        <v>557</v>
      </c>
      <c r="I285" s="10" t="s">
        <v>804</v>
      </c>
      <c r="J285" s="13" t="s">
        <v>713</v>
      </c>
      <c r="K285" s="13" t="s">
        <v>276</v>
      </c>
      <c r="L285" s="13" t="s">
        <v>726</v>
      </c>
      <c r="M285" s="13" t="s">
        <v>253</v>
      </c>
      <c r="N285" s="13" t="s">
        <v>253</v>
      </c>
      <c r="O285" s="13" t="s">
        <v>254</v>
      </c>
      <c r="P285" s="13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  <c r="AE285" s="8"/>
    </row>
    <row r="286">
      <c r="A286" s="12">
        <v>15.0</v>
      </c>
      <c r="B286" s="13" t="s">
        <v>250</v>
      </c>
      <c r="C286" s="13" t="s">
        <v>557</v>
      </c>
      <c r="D286" s="14">
        <f>IF(COUNTIF($B$2:$B286,$B286)&gt;1,"",COUNTIF($B$2:$B$2505,$B286))</f>
        <v>30</v>
      </c>
      <c r="E286" s="14">
        <f>IF(COUNTIF($B$2:$B286,$B286)&gt;1,"",COUNTIFS($B$2:$B$2505,$B286,$K$2:$K$2505,"PHÙ HỢP CAO"))</f>
        <v>2</v>
      </c>
      <c r="F286" s="14">
        <f>IF(COUNTIF($B$2:$B286,$B286)&gt;1,"",COUNTIFS($B$2:$B$2505,$B286,$K$2:$K$2505,"CÓ THỂ ĐI"))</f>
        <v>3</v>
      </c>
      <c r="G286" s="14">
        <f>IF(COUNTIF($B$2:$B286,$B286)&gt;1,"",COUNTIFS($B$2:$B$2505,$B286,$K$2:$K$2505,"CẦN SOÁT"))</f>
        <v>25</v>
      </c>
      <c r="H286" s="18" t="str">
        <f>IFERROR(__xludf.DUMMYFUNCTION("IF(COUNTIF($B$2:$B286,$B286)&gt;1,"""",IFERROR(TEXTJOIN(CHAR(10),TRUE,BYROW(QUERY({$B$2:$B$2505,$J$2:$J$2505},""select Col2, count(Col2) where Col1 = '""&amp;$B286&amp;""' group by Col2 order by count(Col2) desc label count(Col2) ''"",0),LAMBDA(r,INDEX(r,1,1)&amp;"" – "&amp;"""&amp;INDEX(r,1,2)&amp;"" link""))),""""))"),"chọn ngân hàng uy tín – 15 link
ngân hàng uy tín – 15 link")</f>
        <v>chọn ngân hàng uy tín – 15 link
ngân hàng uy tín – 15 link</v>
      </c>
      <c r="I286" s="10" t="s">
        <v>665</v>
      </c>
      <c r="J286" s="13" t="s">
        <v>669</v>
      </c>
      <c r="K286" s="13" t="s">
        <v>251</v>
      </c>
      <c r="L286" s="13" t="s">
        <v>825</v>
      </c>
      <c r="M286" s="13" t="s">
        <v>253</v>
      </c>
      <c r="N286" s="13" t="s">
        <v>253</v>
      </c>
      <c r="O286" s="13" t="s">
        <v>254</v>
      </c>
      <c r="P286" s="13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  <c r="AE286" s="8"/>
    </row>
    <row r="287">
      <c r="A287" s="12">
        <v>15.0</v>
      </c>
      <c r="B287" s="13" t="s">
        <v>250</v>
      </c>
      <c r="C287" s="13" t="s">
        <v>557</v>
      </c>
      <c r="I287" s="10" t="s">
        <v>672</v>
      </c>
      <c r="J287" s="13" t="s">
        <v>678</v>
      </c>
      <c r="K287" s="13" t="s">
        <v>251</v>
      </c>
      <c r="L287" s="13" t="s">
        <v>830</v>
      </c>
      <c r="M287" s="13" t="s">
        <v>253</v>
      </c>
      <c r="N287" s="13" t="s">
        <v>253</v>
      </c>
      <c r="O287" s="13" t="s">
        <v>254</v>
      </c>
      <c r="P287" s="13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  <c r="AE287" s="8"/>
    </row>
    <row r="288">
      <c r="A288" s="12">
        <v>15.0</v>
      </c>
      <c r="B288" s="13" t="s">
        <v>250</v>
      </c>
      <c r="C288" s="13" t="s">
        <v>557</v>
      </c>
      <c r="I288" s="10" t="s">
        <v>679</v>
      </c>
      <c r="J288" s="13" t="s">
        <v>669</v>
      </c>
      <c r="K288" s="13" t="s">
        <v>272</v>
      </c>
      <c r="L288" s="13" t="s">
        <v>833</v>
      </c>
      <c r="M288" s="13" t="s">
        <v>253</v>
      </c>
      <c r="N288" s="13" t="s">
        <v>253</v>
      </c>
      <c r="O288" s="13" t="s">
        <v>254</v>
      </c>
      <c r="P288" s="13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  <c r="AE288" s="8"/>
    </row>
    <row r="289">
      <c r="A289" s="12">
        <v>15.0</v>
      </c>
      <c r="B289" s="13" t="s">
        <v>250</v>
      </c>
      <c r="C289" s="13" t="s">
        <v>557</v>
      </c>
      <c r="I289" s="10" t="s">
        <v>834</v>
      </c>
      <c r="J289" s="13" t="s">
        <v>678</v>
      </c>
      <c r="K289" s="13" t="s">
        <v>272</v>
      </c>
      <c r="L289" s="13" t="s">
        <v>840</v>
      </c>
      <c r="M289" s="13" t="s">
        <v>253</v>
      </c>
      <c r="N289" s="13" t="s">
        <v>253</v>
      </c>
      <c r="O289" s="13" t="s">
        <v>254</v>
      </c>
      <c r="P289" s="13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  <c r="AE289" s="8"/>
    </row>
    <row r="290">
      <c r="A290" s="12">
        <v>15.0</v>
      </c>
      <c r="B290" s="13" t="s">
        <v>250</v>
      </c>
      <c r="C290" s="13" t="s">
        <v>557</v>
      </c>
      <c r="I290" s="10" t="s">
        <v>842</v>
      </c>
      <c r="J290" s="13" t="s">
        <v>669</v>
      </c>
      <c r="K290" s="13" t="s">
        <v>272</v>
      </c>
      <c r="L290" s="13" t="s">
        <v>846</v>
      </c>
      <c r="M290" s="13" t="s">
        <v>253</v>
      </c>
      <c r="N290" s="13" t="s">
        <v>253</v>
      </c>
      <c r="O290" s="13" t="s">
        <v>254</v>
      </c>
      <c r="P290" s="13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  <c r="AE290" s="8"/>
    </row>
    <row r="291">
      <c r="A291" s="12">
        <v>15.0</v>
      </c>
      <c r="B291" s="13" t="s">
        <v>250</v>
      </c>
      <c r="C291" s="13" t="s">
        <v>557</v>
      </c>
      <c r="I291" s="10" t="s">
        <v>849</v>
      </c>
      <c r="J291" s="13" t="s">
        <v>678</v>
      </c>
      <c r="K291" s="13" t="s">
        <v>276</v>
      </c>
      <c r="L291" s="13" t="s">
        <v>851</v>
      </c>
      <c r="M291" s="13" t="s">
        <v>253</v>
      </c>
      <c r="N291" s="13" t="s">
        <v>253</v>
      </c>
      <c r="O291" s="13" t="s">
        <v>254</v>
      </c>
      <c r="P291" s="13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  <c r="AE291" s="8"/>
    </row>
    <row r="292">
      <c r="A292" s="12">
        <v>15.0</v>
      </c>
      <c r="B292" s="13" t="s">
        <v>250</v>
      </c>
      <c r="C292" s="13" t="s">
        <v>557</v>
      </c>
      <c r="I292" s="10" t="s">
        <v>375</v>
      </c>
      <c r="J292" s="13" t="s">
        <v>669</v>
      </c>
      <c r="K292" s="13" t="s">
        <v>276</v>
      </c>
      <c r="L292" s="13" t="s">
        <v>851</v>
      </c>
      <c r="M292" s="13" t="s">
        <v>253</v>
      </c>
      <c r="N292" s="13" t="s">
        <v>253</v>
      </c>
      <c r="O292" s="13" t="s">
        <v>254</v>
      </c>
      <c r="P292" s="13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  <c r="AE292" s="8"/>
    </row>
    <row r="293">
      <c r="A293" s="12">
        <v>15.0</v>
      </c>
      <c r="B293" s="13" t="s">
        <v>250</v>
      </c>
      <c r="C293" s="13" t="s">
        <v>557</v>
      </c>
      <c r="I293" s="10" t="s">
        <v>855</v>
      </c>
      <c r="J293" s="13" t="s">
        <v>678</v>
      </c>
      <c r="K293" s="13" t="s">
        <v>276</v>
      </c>
      <c r="L293" s="13" t="s">
        <v>858</v>
      </c>
      <c r="M293" s="13" t="s">
        <v>253</v>
      </c>
      <c r="N293" s="13" t="s">
        <v>253</v>
      </c>
      <c r="O293" s="13" t="s">
        <v>254</v>
      </c>
      <c r="P293" s="13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  <c r="AE293" s="8"/>
    </row>
    <row r="294">
      <c r="A294" s="12">
        <v>15.0</v>
      </c>
      <c r="B294" s="13" t="s">
        <v>250</v>
      </c>
      <c r="C294" s="13" t="s">
        <v>557</v>
      </c>
      <c r="I294" s="10" t="s">
        <v>860</v>
      </c>
      <c r="J294" s="13" t="s">
        <v>669</v>
      </c>
      <c r="K294" s="13" t="s">
        <v>276</v>
      </c>
      <c r="L294" s="13" t="s">
        <v>851</v>
      </c>
      <c r="M294" s="13" t="s">
        <v>253</v>
      </c>
      <c r="N294" s="13" t="s">
        <v>253</v>
      </c>
      <c r="O294" s="13" t="s">
        <v>254</v>
      </c>
      <c r="P294" s="13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  <c r="AE294" s="8"/>
    </row>
    <row r="295">
      <c r="A295" s="12">
        <v>15.0</v>
      </c>
      <c r="B295" s="13" t="s">
        <v>250</v>
      </c>
      <c r="C295" s="13" t="s">
        <v>557</v>
      </c>
      <c r="I295" s="10" t="s">
        <v>249</v>
      </c>
      <c r="J295" s="13" t="s">
        <v>678</v>
      </c>
      <c r="K295" s="13" t="s">
        <v>276</v>
      </c>
      <c r="L295" s="13" t="s">
        <v>865</v>
      </c>
      <c r="M295" s="13" t="s">
        <v>253</v>
      </c>
      <c r="N295" s="13" t="s">
        <v>253</v>
      </c>
      <c r="O295" s="13" t="s">
        <v>254</v>
      </c>
      <c r="P295" s="13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  <c r="AE295" s="8"/>
    </row>
    <row r="296">
      <c r="A296" s="12">
        <v>15.0</v>
      </c>
      <c r="B296" s="13" t="s">
        <v>250</v>
      </c>
      <c r="C296" s="13" t="s">
        <v>557</v>
      </c>
      <c r="I296" s="10" t="s">
        <v>866</v>
      </c>
      <c r="J296" s="13" t="s">
        <v>669</v>
      </c>
      <c r="K296" s="13" t="s">
        <v>276</v>
      </c>
      <c r="L296" s="13" t="s">
        <v>868</v>
      </c>
      <c r="M296" s="13" t="s">
        <v>253</v>
      </c>
      <c r="N296" s="13" t="s">
        <v>253</v>
      </c>
      <c r="O296" s="13" t="s">
        <v>254</v>
      </c>
      <c r="P296" s="13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  <c r="AE296" s="8"/>
    </row>
    <row r="297">
      <c r="A297" s="12">
        <v>15.0</v>
      </c>
      <c r="B297" s="13" t="s">
        <v>250</v>
      </c>
      <c r="C297" s="13" t="s">
        <v>557</v>
      </c>
      <c r="I297" s="10" t="s">
        <v>354</v>
      </c>
      <c r="J297" s="13" t="s">
        <v>678</v>
      </c>
      <c r="K297" s="13" t="s">
        <v>276</v>
      </c>
      <c r="L297" s="13" t="s">
        <v>865</v>
      </c>
      <c r="M297" s="13" t="s">
        <v>253</v>
      </c>
      <c r="N297" s="13" t="s">
        <v>253</v>
      </c>
      <c r="O297" s="13" t="s">
        <v>254</v>
      </c>
      <c r="P297" s="13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  <c r="AE297" s="8"/>
    </row>
    <row r="298">
      <c r="A298" s="12">
        <v>15.0</v>
      </c>
      <c r="B298" s="13" t="s">
        <v>250</v>
      </c>
      <c r="C298" s="13" t="s">
        <v>557</v>
      </c>
      <c r="I298" s="10" t="s">
        <v>872</v>
      </c>
      <c r="J298" s="13" t="s">
        <v>669</v>
      </c>
      <c r="K298" s="13" t="s">
        <v>276</v>
      </c>
      <c r="L298" s="13" t="s">
        <v>876</v>
      </c>
      <c r="M298" s="13" t="s">
        <v>253</v>
      </c>
      <c r="N298" s="13" t="s">
        <v>253</v>
      </c>
      <c r="O298" s="13" t="s">
        <v>254</v>
      </c>
      <c r="P298" s="13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  <c r="AE298" s="8"/>
    </row>
    <row r="299">
      <c r="A299" s="12">
        <v>15.0</v>
      </c>
      <c r="B299" s="13" t="s">
        <v>250</v>
      </c>
      <c r="C299" s="13" t="s">
        <v>557</v>
      </c>
      <c r="I299" s="10" t="s">
        <v>878</v>
      </c>
      <c r="J299" s="13" t="s">
        <v>678</v>
      </c>
      <c r="K299" s="13" t="s">
        <v>276</v>
      </c>
      <c r="L299" s="13" t="s">
        <v>879</v>
      </c>
      <c r="M299" s="13" t="s">
        <v>253</v>
      </c>
      <c r="N299" s="13" t="s">
        <v>253</v>
      </c>
      <c r="O299" s="13" t="s">
        <v>254</v>
      </c>
      <c r="P299" s="13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  <c r="AE299" s="8"/>
    </row>
    <row r="300">
      <c r="A300" s="12">
        <v>15.0</v>
      </c>
      <c r="B300" s="13" t="s">
        <v>250</v>
      </c>
      <c r="C300" s="13" t="s">
        <v>557</v>
      </c>
      <c r="I300" s="10" t="s">
        <v>356</v>
      </c>
      <c r="J300" s="13" t="s">
        <v>669</v>
      </c>
      <c r="K300" s="13" t="s">
        <v>276</v>
      </c>
      <c r="L300" s="13" t="s">
        <v>851</v>
      </c>
      <c r="M300" s="13" t="s">
        <v>253</v>
      </c>
      <c r="N300" s="13" t="s">
        <v>253</v>
      </c>
      <c r="O300" s="13" t="s">
        <v>254</v>
      </c>
      <c r="P300" s="13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  <c r="AE300" s="8"/>
    </row>
    <row r="301">
      <c r="A301" s="12">
        <v>15.0</v>
      </c>
      <c r="B301" s="13" t="s">
        <v>250</v>
      </c>
      <c r="C301" s="13" t="s">
        <v>557</v>
      </c>
      <c r="I301" s="10" t="s">
        <v>882</v>
      </c>
      <c r="J301" s="13" t="s">
        <v>678</v>
      </c>
      <c r="K301" s="13" t="s">
        <v>276</v>
      </c>
      <c r="L301" s="13" t="s">
        <v>865</v>
      </c>
      <c r="M301" s="13" t="s">
        <v>253</v>
      </c>
      <c r="N301" s="13" t="s">
        <v>253</v>
      </c>
      <c r="O301" s="13" t="s">
        <v>254</v>
      </c>
      <c r="P301" s="13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  <c r="AE301" s="8"/>
    </row>
    <row r="302">
      <c r="A302" s="12">
        <v>15.0</v>
      </c>
      <c r="B302" s="13" t="s">
        <v>250</v>
      </c>
      <c r="C302" s="13" t="s">
        <v>557</v>
      </c>
      <c r="I302" s="10" t="s">
        <v>885</v>
      </c>
      <c r="J302" s="13" t="s">
        <v>669</v>
      </c>
      <c r="K302" s="13" t="s">
        <v>276</v>
      </c>
      <c r="L302" s="13" t="s">
        <v>851</v>
      </c>
      <c r="M302" s="13" t="s">
        <v>253</v>
      </c>
      <c r="N302" s="13" t="s">
        <v>253</v>
      </c>
      <c r="O302" s="13" t="s">
        <v>254</v>
      </c>
      <c r="P302" s="13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  <c r="AE302" s="8"/>
    </row>
    <row r="303">
      <c r="A303" s="12">
        <v>15.0</v>
      </c>
      <c r="B303" s="13" t="s">
        <v>250</v>
      </c>
      <c r="C303" s="13" t="s">
        <v>557</v>
      </c>
      <c r="I303" s="10" t="s">
        <v>708</v>
      </c>
      <c r="J303" s="13" t="s">
        <v>678</v>
      </c>
      <c r="K303" s="13" t="s">
        <v>276</v>
      </c>
      <c r="L303" s="13" t="s">
        <v>865</v>
      </c>
      <c r="M303" s="13" t="s">
        <v>253</v>
      </c>
      <c r="N303" s="13" t="s">
        <v>253</v>
      </c>
      <c r="O303" s="13" t="s">
        <v>254</v>
      </c>
      <c r="P303" s="13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  <c r="AE303" s="8"/>
    </row>
    <row r="304">
      <c r="A304" s="12">
        <v>15.0</v>
      </c>
      <c r="B304" s="13" t="s">
        <v>250</v>
      </c>
      <c r="C304" s="13" t="s">
        <v>557</v>
      </c>
      <c r="I304" s="10" t="s">
        <v>890</v>
      </c>
      <c r="J304" s="13" t="s">
        <v>669</v>
      </c>
      <c r="K304" s="13" t="s">
        <v>276</v>
      </c>
      <c r="L304" s="13" t="s">
        <v>851</v>
      </c>
      <c r="M304" s="13" t="s">
        <v>253</v>
      </c>
      <c r="N304" s="13" t="s">
        <v>253</v>
      </c>
      <c r="O304" s="13" t="s">
        <v>254</v>
      </c>
      <c r="P304" s="13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  <c r="AE304" s="8"/>
    </row>
    <row r="305">
      <c r="A305" s="12">
        <v>15.0</v>
      </c>
      <c r="B305" s="13" t="s">
        <v>250</v>
      </c>
      <c r="C305" s="13" t="s">
        <v>557</v>
      </c>
      <c r="I305" s="10" t="s">
        <v>896</v>
      </c>
      <c r="J305" s="13" t="s">
        <v>678</v>
      </c>
      <c r="K305" s="13" t="s">
        <v>276</v>
      </c>
      <c r="L305" s="13" t="s">
        <v>851</v>
      </c>
      <c r="M305" s="13" t="s">
        <v>253</v>
      </c>
      <c r="N305" s="13" t="s">
        <v>253</v>
      </c>
      <c r="O305" s="13" t="s">
        <v>254</v>
      </c>
      <c r="P305" s="13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  <c r="AE305" s="8"/>
    </row>
    <row r="306">
      <c r="A306" s="12">
        <v>15.0</v>
      </c>
      <c r="B306" s="13" t="s">
        <v>250</v>
      </c>
      <c r="C306" s="13" t="s">
        <v>557</v>
      </c>
      <c r="I306" s="10" t="s">
        <v>372</v>
      </c>
      <c r="J306" s="13" t="s">
        <v>669</v>
      </c>
      <c r="K306" s="13" t="s">
        <v>276</v>
      </c>
      <c r="L306" s="13" t="s">
        <v>851</v>
      </c>
      <c r="M306" s="13" t="s">
        <v>253</v>
      </c>
      <c r="N306" s="13" t="s">
        <v>253</v>
      </c>
      <c r="O306" s="13" t="s">
        <v>254</v>
      </c>
      <c r="P306" s="13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  <c r="AE306" s="8"/>
    </row>
    <row r="307">
      <c r="A307" s="12">
        <v>15.0</v>
      </c>
      <c r="B307" s="13" t="s">
        <v>250</v>
      </c>
      <c r="C307" s="13" t="s">
        <v>557</v>
      </c>
      <c r="I307" s="10" t="s">
        <v>906</v>
      </c>
      <c r="J307" s="13" t="s">
        <v>678</v>
      </c>
      <c r="K307" s="13" t="s">
        <v>276</v>
      </c>
      <c r="L307" s="13" t="s">
        <v>851</v>
      </c>
      <c r="M307" s="13" t="s">
        <v>253</v>
      </c>
      <c r="N307" s="13" t="s">
        <v>253</v>
      </c>
      <c r="O307" s="13" t="s">
        <v>254</v>
      </c>
      <c r="P307" s="13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  <c r="AE307" s="8"/>
    </row>
    <row r="308">
      <c r="A308" s="12">
        <v>15.0</v>
      </c>
      <c r="B308" s="13" t="s">
        <v>250</v>
      </c>
      <c r="C308" s="13" t="s">
        <v>557</v>
      </c>
      <c r="I308" s="10" t="s">
        <v>317</v>
      </c>
      <c r="J308" s="13" t="s">
        <v>669</v>
      </c>
      <c r="K308" s="13" t="s">
        <v>276</v>
      </c>
      <c r="L308" s="13" t="s">
        <v>851</v>
      </c>
      <c r="M308" s="13" t="s">
        <v>253</v>
      </c>
      <c r="N308" s="13" t="s">
        <v>253</v>
      </c>
      <c r="O308" s="13" t="s">
        <v>254</v>
      </c>
      <c r="P308" s="13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  <c r="AE308" s="8"/>
    </row>
    <row r="309">
      <c r="A309" s="12">
        <v>15.0</v>
      </c>
      <c r="B309" s="13" t="s">
        <v>250</v>
      </c>
      <c r="C309" s="13" t="s">
        <v>557</v>
      </c>
      <c r="I309" s="10" t="s">
        <v>36</v>
      </c>
      <c r="J309" s="13" t="s">
        <v>678</v>
      </c>
      <c r="K309" s="13" t="s">
        <v>276</v>
      </c>
      <c r="L309" s="13" t="s">
        <v>851</v>
      </c>
      <c r="M309" s="13" t="s">
        <v>253</v>
      </c>
      <c r="N309" s="13" t="s">
        <v>253</v>
      </c>
      <c r="O309" s="13" t="s">
        <v>254</v>
      </c>
      <c r="P309" s="13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  <c r="AE309" s="8"/>
    </row>
    <row r="310">
      <c r="A310" s="12">
        <v>15.0</v>
      </c>
      <c r="B310" s="13" t="s">
        <v>250</v>
      </c>
      <c r="C310" s="13" t="s">
        <v>557</v>
      </c>
      <c r="I310" s="10" t="s">
        <v>913</v>
      </c>
      <c r="J310" s="13" t="s">
        <v>669</v>
      </c>
      <c r="K310" s="13" t="s">
        <v>276</v>
      </c>
      <c r="L310" s="13" t="s">
        <v>851</v>
      </c>
      <c r="M310" s="13" t="s">
        <v>253</v>
      </c>
      <c r="N310" s="13" t="s">
        <v>253</v>
      </c>
      <c r="O310" s="13" t="s">
        <v>254</v>
      </c>
      <c r="P310" s="13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  <c r="AE310" s="8"/>
    </row>
    <row r="311">
      <c r="A311" s="12">
        <v>15.0</v>
      </c>
      <c r="B311" s="13" t="s">
        <v>250</v>
      </c>
      <c r="C311" s="13" t="s">
        <v>557</v>
      </c>
      <c r="I311" s="10" t="s">
        <v>917</v>
      </c>
      <c r="J311" s="13" t="s">
        <v>678</v>
      </c>
      <c r="K311" s="13" t="s">
        <v>276</v>
      </c>
      <c r="L311" s="13" t="s">
        <v>865</v>
      </c>
      <c r="M311" s="13" t="s">
        <v>253</v>
      </c>
      <c r="N311" s="13" t="s">
        <v>253</v>
      </c>
      <c r="O311" s="13" t="s">
        <v>254</v>
      </c>
      <c r="P311" s="13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  <c r="AE311" s="8"/>
    </row>
    <row r="312">
      <c r="A312" s="12">
        <v>15.0</v>
      </c>
      <c r="B312" s="13" t="s">
        <v>250</v>
      </c>
      <c r="C312" s="13" t="s">
        <v>557</v>
      </c>
      <c r="I312" s="10" t="s">
        <v>705</v>
      </c>
      <c r="J312" s="13" t="s">
        <v>669</v>
      </c>
      <c r="K312" s="13" t="s">
        <v>276</v>
      </c>
      <c r="L312" s="13" t="s">
        <v>851</v>
      </c>
      <c r="M312" s="13" t="s">
        <v>253</v>
      </c>
      <c r="N312" s="13" t="s">
        <v>253</v>
      </c>
      <c r="O312" s="13" t="s">
        <v>254</v>
      </c>
      <c r="P312" s="13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  <c r="AE312" s="8"/>
    </row>
    <row r="313">
      <c r="A313" s="12">
        <v>15.0</v>
      </c>
      <c r="B313" s="13" t="s">
        <v>250</v>
      </c>
      <c r="C313" s="13" t="s">
        <v>557</v>
      </c>
      <c r="I313" s="10" t="s">
        <v>804</v>
      </c>
      <c r="J313" s="13" t="s">
        <v>678</v>
      </c>
      <c r="K313" s="13" t="s">
        <v>276</v>
      </c>
      <c r="L313" s="13" t="s">
        <v>868</v>
      </c>
      <c r="M313" s="13" t="s">
        <v>253</v>
      </c>
      <c r="N313" s="13" t="s">
        <v>253</v>
      </c>
      <c r="O313" s="13" t="s">
        <v>254</v>
      </c>
      <c r="P313" s="13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  <c r="AE313" s="8"/>
    </row>
    <row r="314">
      <c r="A314" s="12">
        <v>15.0</v>
      </c>
      <c r="B314" s="13" t="s">
        <v>250</v>
      </c>
      <c r="C314" s="13" t="s">
        <v>557</v>
      </c>
      <c r="I314" s="10" t="s">
        <v>923</v>
      </c>
      <c r="J314" s="13" t="s">
        <v>669</v>
      </c>
      <c r="K314" s="13" t="s">
        <v>276</v>
      </c>
      <c r="L314" s="13" t="s">
        <v>925</v>
      </c>
      <c r="M314" s="13" t="s">
        <v>253</v>
      </c>
      <c r="N314" s="13" t="s">
        <v>253</v>
      </c>
      <c r="O314" s="13" t="s">
        <v>254</v>
      </c>
      <c r="P314" s="13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  <c r="AE314" s="8"/>
    </row>
    <row r="315">
      <c r="A315" s="12">
        <v>15.0</v>
      </c>
      <c r="B315" s="13" t="s">
        <v>250</v>
      </c>
      <c r="C315" s="13" t="s">
        <v>557</v>
      </c>
      <c r="I315" s="10" t="s">
        <v>927</v>
      </c>
      <c r="J315" s="13" t="s">
        <v>678</v>
      </c>
      <c r="K315" s="13" t="s">
        <v>276</v>
      </c>
      <c r="L315" s="13" t="s">
        <v>851</v>
      </c>
      <c r="M315" s="13" t="s">
        <v>253</v>
      </c>
      <c r="N315" s="13" t="s">
        <v>253</v>
      </c>
      <c r="O315" s="13" t="s">
        <v>254</v>
      </c>
      <c r="P315" s="13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  <c r="AE315" s="8"/>
    </row>
    <row r="316">
      <c r="A316" s="12">
        <v>16.0</v>
      </c>
      <c r="B316" s="13" t="s">
        <v>255</v>
      </c>
      <c r="C316" s="13" t="s">
        <v>557</v>
      </c>
      <c r="D316" s="14">
        <f>IF(COUNTIF($B$2:$B316,$B316)&gt;1,"",COUNTIF($B$2:$B$2505,$B316))</f>
        <v>46</v>
      </c>
      <c r="E316" s="14">
        <f>IF(COUNTIF($B$2:$B316,$B316)&gt;1,"",COUNTIFS($B$2:$B$2505,$B316,$K$2:$K$2505,"PHÙ HỢP CAO"))</f>
        <v>4</v>
      </c>
      <c r="F316" s="14">
        <f>IF(COUNTIF($B$2:$B316,$B316)&gt;1,"",COUNTIFS($B$2:$B$2505,$B316,$K$2:$K$2505,"CÓ THỂ ĐI"))</f>
        <v>1</v>
      </c>
      <c r="G316" s="14">
        <f>IF(COUNTIF($B$2:$B316,$B316)&gt;1,"",COUNTIFS($B$2:$B$2505,$B316,$K$2:$K$2505,"CẦN SOÁT"))</f>
        <v>41</v>
      </c>
      <c r="H316" s="18" t="str">
        <f>IFERROR(__xludf.DUMMYFUNCTION("IF(COUNTIF($B$2:$B316,$B316)&gt;1,"""",IFERROR(TEXTJOIN(CHAR(10),TRUE,BYROW(QUERY({$B$2:$B$2505,$J$2:$J$2505},""select Col2, count(Col2) where Col1 = '""&amp;$B316&amp;""' group by Col2 order by count(Col2) desc label count(Col2) ''"",0),LAMBDA(r,INDEX(r,1,1)&amp;"" – "&amp;"""&amp;INDEX(r,1,2)&amp;"" link""))),""""))"),"chuyển khoản thành công nhưng không nhận được tiền – 16 link
chuyển tiền thành công nhưng chưa nhận được – 15 link
tiền chuyển khoản bị treo – 15 link")</f>
        <v>chuyển khoản thành công nhưng không nhận được tiền – 16 link
chuyển tiền thành công nhưng chưa nhận được – 15 link
tiền chuyển khoản bị treo – 15 link</v>
      </c>
      <c r="I316" s="10" t="s">
        <v>683</v>
      </c>
      <c r="J316" s="13" t="s">
        <v>686</v>
      </c>
      <c r="K316" s="13" t="s">
        <v>251</v>
      </c>
      <c r="L316" s="13" t="s">
        <v>939</v>
      </c>
      <c r="M316" s="13" t="s">
        <v>253</v>
      </c>
      <c r="N316" s="13" t="s">
        <v>253</v>
      </c>
      <c r="O316" s="13" t="s">
        <v>254</v>
      </c>
      <c r="P316" s="13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  <c r="AE316" s="8"/>
    </row>
    <row r="317">
      <c r="A317" s="12">
        <v>16.0</v>
      </c>
      <c r="B317" s="13" t="s">
        <v>255</v>
      </c>
      <c r="C317" s="13" t="s">
        <v>557</v>
      </c>
      <c r="I317" s="10" t="s">
        <v>688</v>
      </c>
      <c r="J317" s="13" t="s">
        <v>691</v>
      </c>
      <c r="K317" s="13" t="s">
        <v>251</v>
      </c>
      <c r="L317" s="13" t="s">
        <v>943</v>
      </c>
      <c r="M317" s="13" t="s">
        <v>253</v>
      </c>
      <c r="N317" s="13" t="s">
        <v>253</v>
      </c>
      <c r="O317" s="13" t="s">
        <v>254</v>
      </c>
      <c r="P317" s="13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  <c r="AE317" s="8"/>
    </row>
    <row r="318">
      <c r="A318" s="12">
        <v>16.0</v>
      </c>
      <c r="B318" s="13" t="s">
        <v>255</v>
      </c>
      <c r="C318" s="13" t="s">
        <v>557</v>
      </c>
      <c r="I318" s="10" t="s">
        <v>634</v>
      </c>
      <c r="J318" s="13" t="s">
        <v>694</v>
      </c>
      <c r="K318" s="13" t="s">
        <v>251</v>
      </c>
      <c r="L318" s="13" t="s">
        <v>945</v>
      </c>
      <c r="M318" s="13" t="s">
        <v>253</v>
      </c>
      <c r="N318" s="13" t="s">
        <v>253</v>
      </c>
      <c r="O318" s="13" t="s">
        <v>254</v>
      </c>
      <c r="P318" s="13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  <c r="AE318" s="8"/>
    </row>
    <row r="319">
      <c r="A319" s="12">
        <v>16.0</v>
      </c>
      <c r="B319" s="13" t="s">
        <v>255</v>
      </c>
      <c r="C319" s="13" t="s">
        <v>557</v>
      </c>
      <c r="I319" s="10" t="s">
        <v>695</v>
      </c>
      <c r="J319" s="13" t="s">
        <v>686</v>
      </c>
      <c r="K319" s="13" t="s">
        <v>251</v>
      </c>
      <c r="L319" s="13" t="s">
        <v>949</v>
      </c>
      <c r="M319" s="13" t="s">
        <v>253</v>
      </c>
      <c r="N319" s="13" t="s">
        <v>253</v>
      </c>
      <c r="O319" s="13" t="s">
        <v>254</v>
      </c>
      <c r="P319" s="13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  <c r="AE319" s="8"/>
    </row>
    <row r="320">
      <c r="A320" s="12">
        <v>16.0</v>
      </c>
      <c r="B320" s="13" t="s">
        <v>255</v>
      </c>
      <c r="C320" s="13" t="s">
        <v>557</v>
      </c>
      <c r="I320" s="10" t="s">
        <v>700</v>
      </c>
      <c r="J320" s="13" t="s">
        <v>691</v>
      </c>
      <c r="K320" s="13" t="s">
        <v>272</v>
      </c>
      <c r="L320" s="13" t="s">
        <v>951</v>
      </c>
      <c r="M320" s="13" t="s">
        <v>253</v>
      </c>
      <c r="N320" s="13" t="s">
        <v>253</v>
      </c>
      <c r="O320" s="13" t="s">
        <v>254</v>
      </c>
      <c r="P320" s="13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  <c r="AE320" s="8"/>
    </row>
    <row r="321">
      <c r="A321" s="12">
        <v>16.0</v>
      </c>
      <c r="B321" s="13" t="s">
        <v>255</v>
      </c>
      <c r="C321" s="13" t="s">
        <v>557</v>
      </c>
      <c r="I321" s="10" t="s">
        <v>953</v>
      </c>
      <c r="J321" s="13" t="s">
        <v>694</v>
      </c>
      <c r="K321" s="13" t="s">
        <v>276</v>
      </c>
      <c r="L321" s="13" t="s">
        <v>954</v>
      </c>
      <c r="M321" s="13" t="s">
        <v>253</v>
      </c>
      <c r="N321" s="13" t="s">
        <v>253</v>
      </c>
      <c r="O321" s="13" t="s">
        <v>254</v>
      </c>
      <c r="P321" s="13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  <c r="AE321" s="8"/>
    </row>
    <row r="322">
      <c r="A322" s="12">
        <v>16.0</v>
      </c>
      <c r="B322" s="13" t="s">
        <v>255</v>
      </c>
      <c r="C322" s="13" t="s">
        <v>557</v>
      </c>
      <c r="I322" s="10" t="s">
        <v>957</v>
      </c>
      <c r="J322" s="13" t="s">
        <v>686</v>
      </c>
      <c r="K322" s="13" t="s">
        <v>276</v>
      </c>
      <c r="L322" s="13" t="s">
        <v>960</v>
      </c>
      <c r="M322" s="13" t="s">
        <v>253</v>
      </c>
      <c r="N322" s="13" t="s">
        <v>253</v>
      </c>
      <c r="O322" s="13" t="s">
        <v>254</v>
      </c>
      <c r="P322" s="13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  <c r="AE322" s="8"/>
    </row>
    <row r="323">
      <c r="A323" s="12">
        <v>16.0</v>
      </c>
      <c r="B323" s="13" t="s">
        <v>255</v>
      </c>
      <c r="C323" s="13" t="s">
        <v>557</v>
      </c>
      <c r="I323" s="10" t="s">
        <v>503</v>
      </c>
      <c r="J323" s="13" t="s">
        <v>691</v>
      </c>
      <c r="K323" s="13" t="s">
        <v>276</v>
      </c>
      <c r="L323" s="13" t="s">
        <v>962</v>
      </c>
      <c r="M323" s="13" t="s">
        <v>253</v>
      </c>
      <c r="N323" s="13" t="s">
        <v>253</v>
      </c>
      <c r="O323" s="13" t="s">
        <v>254</v>
      </c>
      <c r="P323" s="13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  <c r="AE323" s="8"/>
    </row>
    <row r="324">
      <c r="A324" s="12">
        <v>16.0</v>
      </c>
      <c r="B324" s="13" t="s">
        <v>255</v>
      </c>
      <c r="C324" s="13" t="s">
        <v>557</v>
      </c>
      <c r="I324" s="10" t="s">
        <v>963</v>
      </c>
      <c r="J324" s="13" t="s">
        <v>694</v>
      </c>
      <c r="K324" s="13" t="s">
        <v>276</v>
      </c>
      <c r="L324" s="13" t="s">
        <v>960</v>
      </c>
      <c r="M324" s="13" t="s">
        <v>253</v>
      </c>
      <c r="N324" s="13" t="s">
        <v>253</v>
      </c>
      <c r="O324" s="13" t="s">
        <v>254</v>
      </c>
      <c r="P324" s="13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  <c r="AE324" s="8"/>
    </row>
    <row r="325">
      <c r="A325" s="12">
        <v>16.0</v>
      </c>
      <c r="B325" s="13" t="s">
        <v>255</v>
      </c>
      <c r="C325" s="13" t="s">
        <v>557</v>
      </c>
      <c r="I325" s="10" t="s">
        <v>674</v>
      </c>
      <c r="J325" s="13" t="s">
        <v>686</v>
      </c>
      <c r="K325" s="13" t="s">
        <v>276</v>
      </c>
      <c r="L325" s="13" t="s">
        <v>954</v>
      </c>
      <c r="M325" s="13" t="s">
        <v>253</v>
      </c>
      <c r="N325" s="13" t="s">
        <v>253</v>
      </c>
      <c r="O325" s="13" t="s">
        <v>254</v>
      </c>
      <c r="P325" s="13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  <c r="AE325" s="8"/>
    </row>
    <row r="326">
      <c r="A326" s="12">
        <v>16.0</v>
      </c>
      <c r="B326" s="13" t="s">
        <v>255</v>
      </c>
      <c r="C326" s="13" t="s">
        <v>557</v>
      </c>
      <c r="I326" s="10" t="s">
        <v>507</v>
      </c>
      <c r="J326" s="13" t="s">
        <v>691</v>
      </c>
      <c r="K326" s="13" t="s">
        <v>276</v>
      </c>
      <c r="L326" s="13" t="s">
        <v>954</v>
      </c>
      <c r="M326" s="13" t="s">
        <v>253</v>
      </c>
      <c r="N326" s="13" t="s">
        <v>253</v>
      </c>
      <c r="O326" s="13" t="s">
        <v>254</v>
      </c>
      <c r="P326" s="13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  <c r="AE326" s="8"/>
    </row>
    <row r="327">
      <c r="A327" s="12">
        <v>16.0</v>
      </c>
      <c r="B327" s="13" t="s">
        <v>255</v>
      </c>
      <c r="C327" s="13" t="s">
        <v>557</v>
      </c>
      <c r="I327" s="10" t="s">
        <v>969</v>
      </c>
      <c r="J327" s="13" t="s">
        <v>694</v>
      </c>
      <c r="K327" s="13" t="s">
        <v>276</v>
      </c>
      <c r="L327" s="13" t="s">
        <v>960</v>
      </c>
      <c r="M327" s="13" t="s">
        <v>253</v>
      </c>
      <c r="N327" s="13" t="s">
        <v>253</v>
      </c>
      <c r="O327" s="13" t="s">
        <v>254</v>
      </c>
      <c r="P327" s="13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  <c r="AE327" s="8"/>
    </row>
    <row r="328">
      <c r="A328" s="12">
        <v>16.0</v>
      </c>
      <c r="B328" s="13" t="s">
        <v>255</v>
      </c>
      <c r="C328" s="13" t="s">
        <v>557</v>
      </c>
      <c r="I328" s="10" t="s">
        <v>972</v>
      </c>
      <c r="J328" s="13" t="s">
        <v>686</v>
      </c>
      <c r="K328" s="13" t="s">
        <v>276</v>
      </c>
      <c r="L328" s="13" t="s">
        <v>954</v>
      </c>
      <c r="M328" s="13" t="s">
        <v>253</v>
      </c>
      <c r="N328" s="13" t="s">
        <v>253</v>
      </c>
      <c r="O328" s="13" t="s">
        <v>254</v>
      </c>
      <c r="P328" s="13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  <c r="AE328" s="8"/>
    </row>
    <row r="329">
      <c r="A329" s="12">
        <v>16.0</v>
      </c>
      <c r="B329" s="13" t="s">
        <v>255</v>
      </c>
      <c r="C329" s="13" t="s">
        <v>557</v>
      </c>
      <c r="I329" s="10" t="s">
        <v>974</v>
      </c>
      <c r="J329" s="13" t="s">
        <v>691</v>
      </c>
      <c r="K329" s="13" t="s">
        <v>276</v>
      </c>
      <c r="L329" s="13" t="s">
        <v>975</v>
      </c>
      <c r="M329" s="13" t="s">
        <v>253</v>
      </c>
      <c r="N329" s="13" t="s">
        <v>253</v>
      </c>
      <c r="O329" s="13" t="s">
        <v>254</v>
      </c>
      <c r="P329" s="13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  <c r="AE329" s="8"/>
    </row>
    <row r="330">
      <c r="A330" s="12">
        <v>16.0</v>
      </c>
      <c r="B330" s="13" t="s">
        <v>255</v>
      </c>
      <c r="C330" s="13" t="s">
        <v>557</v>
      </c>
      <c r="I330" s="10" t="s">
        <v>976</v>
      </c>
      <c r="J330" s="13" t="s">
        <v>694</v>
      </c>
      <c r="K330" s="13" t="s">
        <v>276</v>
      </c>
      <c r="L330" s="13" t="s">
        <v>960</v>
      </c>
      <c r="M330" s="13" t="s">
        <v>253</v>
      </c>
      <c r="N330" s="13" t="s">
        <v>253</v>
      </c>
      <c r="O330" s="13" t="s">
        <v>254</v>
      </c>
      <c r="P330" s="13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  <c r="AE330" s="8"/>
    </row>
    <row r="331">
      <c r="A331" s="12">
        <v>16.0</v>
      </c>
      <c r="B331" s="13" t="s">
        <v>255</v>
      </c>
      <c r="C331" s="13" t="s">
        <v>557</v>
      </c>
      <c r="I331" s="10" t="s">
        <v>436</v>
      </c>
      <c r="J331" s="13" t="s">
        <v>686</v>
      </c>
      <c r="K331" s="13" t="s">
        <v>276</v>
      </c>
      <c r="L331" s="13" t="s">
        <v>975</v>
      </c>
      <c r="M331" s="13" t="s">
        <v>253</v>
      </c>
      <c r="N331" s="13" t="s">
        <v>253</v>
      </c>
      <c r="O331" s="13" t="s">
        <v>254</v>
      </c>
      <c r="P331" s="13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  <c r="AE331" s="8"/>
    </row>
    <row r="332">
      <c r="A332" s="12">
        <v>16.0</v>
      </c>
      <c r="B332" s="13" t="s">
        <v>255</v>
      </c>
      <c r="C332" s="13" t="s">
        <v>557</v>
      </c>
      <c r="I332" s="10" t="s">
        <v>982</v>
      </c>
      <c r="J332" s="13" t="s">
        <v>691</v>
      </c>
      <c r="K332" s="13" t="s">
        <v>276</v>
      </c>
      <c r="L332" s="13" t="s">
        <v>960</v>
      </c>
      <c r="M332" s="13" t="s">
        <v>253</v>
      </c>
      <c r="N332" s="13" t="s">
        <v>253</v>
      </c>
      <c r="O332" s="13" t="s">
        <v>254</v>
      </c>
      <c r="P332" s="13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  <c r="AE332" s="8"/>
    </row>
    <row r="333">
      <c r="A333" s="12">
        <v>16.0</v>
      </c>
      <c r="B333" s="13" t="s">
        <v>255</v>
      </c>
      <c r="C333" s="13" t="s">
        <v>557</v>
      </c>
      <c r="I333" s="10" t="s">
        <v>985</v>
      </c>
      <c r="J333" s="13" t="s">
        <v>694</v>
      </c>
      <c r="K333" s="13" t="s">
        <v>276</v>
      </c>
      <c r="L333" s="13" t="s">
        <v>988</v>
      </c>
      <c r="M333" s="13" t="s">
        <v>253</v>
      </c>
      <c r="N333" s="13" t="s">
        <v>253</v>
      </c>
      <c r="O333" s="13" t="s">
        <v>254</v>
      </c>
      <c r="P333" s="13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  <c r="AE333" s="8"/>
    </row>
    <row r="334">
      <c r="A334" s="12">
        <v>16.0</v>
      </c>
      <c r="B334" s="13" t="s">
        <v>255</v>
      </c>
      <c r="C334" s="13" t="s">
        <v>557</v>
      </c>
      <c r="I334" s="10" t="s">
        <v>990</v>
      </c>
      <c r="J334" s="13" t="s">
        <v>686</v>
      </c>
      <c r="K334" s="13" t="s">
        <v>276</v>
      </c>
      <c r="L334" s="13" t="s">
        <v>991</v>
      </c>
      <c r="M334" s="13" t="s">
        <v>253</v>
      </c>
      <c r="N334" s="13" t="s">
        <v>253</v>
      </c>
      <c r="O334" s="13" t="s">
        <v>254</v>
      </c>
      <c r="P334" s="13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  <c r="AE334" s="8"/>
    </row>
    <row r="335">
      <c r="A335" s="12">
        <v>16.0</v>
      </c>
      <c r="B335" s="13" t="s">
        <v>255</v>
      </c>
      <c r="C335" s="13" t="s">
        <v>557</v>
      </c>
      <c r="I335" s="10" t="s">
        <v>994</v>
      </c>
      <c r="J335" s="13" t="s">
        <v>691</v>
      </c>
      <c r="K335" s="13" t="s">
        <v>276</v>
      </c>
      <c r="L335" s="13" t="s">
        <v>954</v>
      </c>
      <c r="M335" s="13" t="s">
        <v>253</v>
      </c>
      <c r="N335" s="13" t="s">
        <v>253</v>
      </c>
      <c r="O335" s="13" t="s">
        <v>254</v>
      </c>
      <c r="P335" s="13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  <c r="AE335" s="8"/>
    </row>
    <row r="336">
      <c r="A336" s="12">
        <v>16.0</v>
      </c>
      <c r="B336" s="13" t="s">
        <v>255</v>
      </c>
      <c r="C336" s="13" t="s">
        <v>557</v>
      </c>
      <c r="I336" s="10" t="s">
        <v>998</v>
      </c>
      <c r="J336" s="13" t="s">
        <v>694</v>
      </c>
      <c r="K336" s="13" t="s">
        <v>276</v>
      </c>
      <c r="L336" s="13" t="s">
        <v>960</v>
      </c>
      <c r="M336" s="13" t="s">
        <v>253</v>
      </c>
      <c r="N336" s="13" t="s">
        <v>253</v>
      </c>
      <c r="O336" s="13" t="s">
        <v>254</v>
      </c>
      <c r="P336" s="13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  <c r="AE336" s="8"/>
    </row>
    <row r="337">
      <c r="A337" s="12">
        <v>16.0</v>
      </c>
      <c r="B337" s="13" t="s">
        <v>255</v>
      </c>
      <c r="C337" s="13" t="s">
        <v>557</v>
      </c>
      <c r="I337" s="10" t="s">
        <v>1002</v>
      </c>
      <c r="J337" s="13" t="s">
        <v>686</v>
      </c>
      <c r="K337" s="13" t="s">
        <v>276</v>
      </c>
      <c r="L337" s="13" t="s">
        <v>960</v>
      </c>
      <c r="M337" s="13" t="s">
        <v>253</v>
      </c>
      <c r="N337" s="13" t="s">
        <v>253</v>
      </c>
      <c r="O337" s="13" t="s">
        <v>254</v>
      </c>
      <c r="P337" s="13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  <c r="AE337" s="8"/>
    </row>
    <row r="338">
      <c r="A338" s="12">
        <v>16.0</v>
      </c>
      <c r="B338" s="13" t="s">
        <v>255</v>
      </c>
      <c r="C338" s="13" t="s">
        <v>557</v>
      </c>
      <c r="I338" s="10" t="s">
        <v>657</v>
      </c>
      <c r="J338" s="13" t="s">
        <v>691</v>
      </c>
      <c r="K338" s="13" t="s">
        <v>276</v>
      </c>
      <c r="L338" s="13" t="s">
        <v>960</v>
      </c>
      <c r="M338" s="13" t="s">
        <v>253</v>
      </c>
      <c r="N338" s="13" t="s">
        <v>253</v>
      </c>
      <c r="O338" s="13" t="s">
        <v>254</v>
      </c>
      <c r="P338" s="13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  <c r="AE338" s="8"/>
    </row>
    <row r="339">
      <c r="A339" s="12">
        <v>16.0</v>
      </c>
      <c r="B339" s="8" t="s">
        <v>255</v>
      </c>
      <c r="C339" s="8" t="s">
        <v>557</v>
      </c>
      <c r="I339" s="10" t="s">
        <v>803</v>
      </c>
      <c r="J339" s="13" t="s">
        <v>694</v>
      </c>
      <c r="K339" s="13" t="s">
        <v>276</v>
      </c>
      <c r="L339" s="13" t="s">
        <v>960</v>
      </c>
      <c r="M339" s="7" t="s">
        <v>253</v>
      </c>
      <c r="N339" s="7" t="s">
        <v>253</v>
      </c>
      <c r="O339" s="7" t="s">
        <v>254</v>
      </c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  <c r="AE339" s="8"/>
    </row>
    <row r="340">
      <c r="A340" s="12">
        <v>16.0</v>
      </c>
      <c r="B340" s="8" t="s">
        <v>255</v>
      </c>
      <c r="C340" s="8" t="s">
        <v>557</v>
      </c>
      <c r="I340" s="10" t="s">
        <v>371</v>
      </c>
      <c r="J340" s="13" t="s">
        <v>686</v>
      </c>
      <c r="K340" s="13" t="s">
        <v>276</v>
      </c>
      <c r="L340" s="13" t="s">
        <v>954</v>
      </c>
      <c r="M340" s="7" t="s">
        <v>253</v>
      </c>
      <c r="N340" s="7" t="s">
        <v>253</v>
      </c>
      <c r="O340" s="7" t="s">
        <v>254</v>
      </c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  <c r="AE340" s="8"/>
    </row>
    <row r="341">
      <c r="A341" s="12">
        <v>16.0</v>
      </c>
      <c r="B341" s="8" t="s">
        <v>255</v>
      </c>
      <c r="C341" s="8" t="s">
        <v>557</v>
      </c>
      <c r="I341" s="10" t="s">
        <v>1009</v>
      </c>
      <c r="J341" s="13" t="s">
        <v>691</v>
      </c>
      <c r="K341" s="13" t="s">
        <v>276</v>
      </c>
      <c r="L341" s="13" t="s">
        <v>960</v>
      </c>
      <c r="M341" s="7" t="s">
        <v>253</v>
      </c>
      <c r="N341" s="7" t="s">
        <v>253</v>
      </c>
      <c r="O341" s="7" t="s">
        <v>254</v>
      </c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  <c r="AE341" s="8"/>
    </row>
    <row r="342">
      <c r="A342" s="12">
        <v>16.0</v>
      </c>
      <c r="B342" s="8" t="s">
        <v>255</v>
      </c>
      <c r="C342" s="8" t="s">
        <v>557</v>
      </c>
      <c r="I342" s="10" t="s">
        <v>1013</v>
      </c>
      <c r="J342" s="13" t="s">
        <v>694</v>
      </c>
      <c r="K342" s="13" t="s">
        <v>276</v>
      </c>
      <c r="L342" s="13" t="s">
        <v>975</v>
      </c>
      <c r="M342" s="7" t="s">
        <v>253</v>
      </c>
      <c r="N342" s="7" t="s">
        <v>253</v>
      </c>
      <c r="O342" s="7" t="s">
        <v>254</v>
      </c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  <c r="AE342" s="8"/>
    </row>
    <row r="343">
      <c r="A343" s="12">
        <v>16.0</v>
      </c>
      <c r="B343" s="8" t="s">
        <v>255</v>
      </c>
      <c r="C343" s="8" t="s">
        <v>557</v>
      </c>
      <c r="I343" s="10" t="s">
        <v>1018</v>
      </c>
      <c r="J343" s="13" t="s">
        <v>686</v>
      </c>
      <c r="K343" s="13" t="s">
        <v>276</v>
      </c>
      <c r="L343" s="13" t="s">
        <v>960</v>
      </c>
      <c r="M343" s="7" t="s">
        <v>253</v>
      </c>
      <c r="N343" s="7" t="s">
        <v>253</v>
      </c>
      <c r="O343" s="7" t="s">
        <v>254</v>
      </c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  <c r="AE343" s="8"/>
    </row>
    <row r="344">
      <c r="A344" s="12">
        <v>16.0</v>
      </c>
      <c r="B344" s="8" t="s">
        <v>255</v>
      </c>
      <c r="C344" s="8" t="s">
        <v>557</v>
      </c>
      <c r="I344" s="10" t="s">
        <v>1021</v>
      </c>
      <c r="J344" s="13" t="s">
        <v>691</v>
      </c>
      <c r="K344" s="13" t="s">
        <v>276</v>
      </c>
      <c r="L344" s="13" t="s">
        <v>960</v>
      </c>
      <c r="M344" s="7" t="s">
        <v>253</v>
      </c>
      <c r="N344" s="7" t="s">
        <v>253</v>
      </c>
      <c r="O344" s="7" t="s">
        <v>254</v>
      </c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  <c r="AE344" s="8"/>
    </row>
    <row r="345">
      <c r="A345" s="12">
        <v>16.0</v>
      </c>
      <c r="B345" s="8" t="s">
        <v>255</v>
      </c>
      <c r="C345" s="8" t="s">
        <v>557</v>
      </c>
      <c r="I345" s="10" t="s">
        <v>1023</v>
      </c>
      <c r="J345" s="13" t="s">
        <v>694</v>
      </c>
      <c r="K345" s="13" t="s">
        <v>276</v>
      </c>
      <c r="L345" s="13" t="s">
        <v>960</v>
      </c>
      <c r="M345" s="7" t="s">
        <v>253</v>
      </c>
      <c r="N345" s="7" t="s">
        <v>253</v>
      </c>
      <c r="O345" s="7" t="s">
        <v>254</v>
      </c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  <c r="AE345" s="8"/>
    </row>
    <row r="346">
      <c r="A346" s="12">
        <v>16.0</v>
      </c>
      <c r="B346" s="8" t="s">
        <v>255</v>
      </c>
      <c r="C346" s="8" t="s">
        <v>557</v>
      </c>
      <c r="I346" s="10" t="s">
        <v>531</v>
      </c>
      <c r="J346" s="13" t="s">
        <v>686</v>
      </c>
      <c r="K346" s="13" t="s">
        <v>276</v>
      </c>
      <c r="L346" s="13" t="s">
        <v>960</v>
      </c>
      <c r="M346" s="7" t="s">
        <v>253</v>
      </c>
      <c r="N346" s="7" t="s">
        <v>253</v>
      </c>
      <c r="O346" s="7" t="s">
        <v>254</v>
      </c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  <c r="AE346" s="8"/>
    </row>
    <row r="347">
      <c r="A347" s="12">
        <v>16.0</v>
      </c>
      <c r="B347" s="8" t="s">
        <v>255</v>
      </c>
      <c r="C347" s="8" t="s">
        <v>557</v>
      </c>
      <c r="I347" s="10" t="s">
        <v>1028</v>
      </c>
      <c r="J347" s="13" t="s">
        <v>691</v>
      </c>
      <c r="K347" s="13" t="s">
        <v>276</v>
      </c>
      <c r="L347" s="13" t="s">
        <v>960</v>
      </c>
      <c r="M347" s="7" t="s">
        <v>253</v>
      </c>
      <c r="N347" s="7" t="s">
        <v>253</v>
      </c>
      <c r="O347" s="7" t="s">
        <v>254</v>
      </c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  <c r="AE347" s="8"/>
    </row>
    <row r="348">
      <c r="A348" s="12">
        <v>16.0</v>
      </c>
      <c r="B348" s="8" t="s">
        <v>255</v>
      </c>
      <c r="C348" s="8" t="s">
        <v>557</v>
      </c>
      <c r="I348" s="10" t="s">
        <v>1031</v>
      </c>
      <c r="J348" s="13" t="s">
        <v>694</v>
      </c>
      <c r="K348" s="13" t="s">
        <v>276</v>
      </c>
      <c r="L348" s="13" t="s">
        <v>960</v>
      </c>
      <c r="M348" s="7" t="s">
        <v>253</v>
      </c>
      <c r="N348" s="7" t="s">
        <v>253</v>
      </c>
      <c r="O348" s="7" t="s">
        <v>254</v>
      </c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  <c r="AE348" s="8"/>
    </row>
    <row r="349">
      <c r="A349" s="12">
        <v>16.0</v>
      </c>
      <c r="B349" s="8" t="s">
        <v>255</v>
      </c>
      <c r="C349" s="8" t="s">
        <v>557</v>
      </c>
      <c r="I349" s="10" t="s">
        <v>1033</v>
      </c>
      <c r="J349" s="13" t="s">
        <v>686</v>
      </c>
      <c r="K349" s="13" t="s">
        <v>276</v>
      </c>
      <c r="L349" s="13" t="s">
        <v>960</v>
      </c>
      <c r="M349" s="7" t="s">
        <v>253</v>
      </c>
      <c r="N349" s="7" t="s">
        <v>253</v>
      </c>
      <c r="O349" s="7" t="s">
        <v>254</v>
      </c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  <c r="AE349" s="8"/>
    </row>
    <row r="350">
      <c r="A350" s="12">
        <v>16.0</v>
      </c>
      <c r="B350" s="8" t="s">
        <v>255</v>
      </c>
      <c r="C350" s="8" t="s">
        <v>557</v>
      </c>
      <c r="I350" s="10" t="s">
        <v>332</v>
      </c>
      <c r="J350" s="13" t="s">
        <v>691</v>
      </c>
      <c r="K350" s="13" t="s">
        <v>276</v>
      </c>
      <c r="L350" s="13" t="s">
        <v>960</v>
      </c>
      <c r="M350" s="7" t="s">
        <v>253</v>
      </c>
      <c r="N350" s="7" t="s">
        <v>253</v>
      </c>
      <c r="O350" s="7" t="s">
        <v>254</v>
      </c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  <c r="AE350" s="8"/>
    </row>
    <row r="351">
      <c r="A351" s="12">
        <v>16.0</v>
      </c>
      <c r="B351" s="8" t="s">
        <v>255</v>
      </c>
      <c r="C351" s="8" t="s">
        <v>557</v>
      </c>
      <c r="I351" s="10" t="s">
        <v>1041</v>
      </c>
      <c r="J351" s="13" t="s">
        <v>694</v>
      </c>
      <c r="K351" s="13" t="s">
        <v>276</v>
      </c>
      <c r="L351" s="13" t="s">
        <v>960</v>
      </c>
      <c r="M351" s="7" t="s">
        <v>253</v>
      </c>
      <c r="N351" s="7" t="s">
        <v>253</v>
      </c>
      <c r="O351" s="7" t="s">
        <v>254</v>
      </c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  <c r="AE351" s="8"/>
    </row>
    <row r="352">
      <c r="A352" s="12">
        <v>16.0</v>
      </c>
      <c r="B352" s="8" t="s">
        <v>255</v>
      </c>
      <c r="C352" s="8" t="s">
        <v>557</v>
      </c>
      <c r="I352" s="10" t="s">
        <v>1043</v>
      </c>
      <c r="J352" s="13" t="s">
        <v>686</v>
      </c>
      <c r="K352" s="13" t="s">
        <v>276</v>
      </c>
      <c r="L352" s="13" t="s">
        <v>960</v>
      </c>
      <c r="M352" s="7" t="s">
        <v>253</v>
      </c>
      <c r="N352" s="7" t="s">
        <v>253</v>
      </c>
      <c r="O352" s="7" t="s">
        <v>254</v>
      </c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  <c r="AE352" s="8"/>
    </row>
    <row r="353">
      <c r="A353" s="12">
        <v>16.0</v>
      </c>
      <c r="B353" s="8" t="s">
        <v>255</v>
      </c>
      <c r="C353" s="8" t="s">
        <v>557</v>
      </c>
      <c r="I353" s="10" t="s">
        <v>1027</v>
      </c>
      <c r="J353" s="13" t="s">
        <v>691</v>
      </c>
      <c r="K353" s="13" t="s">
        <v>276</v>
      </c>
      <c r="L353" s="13" t="s">
        <v>960</v>
      </c>
      <c r="M353" s="7" t="s">
        <v>253</v>
      </c>
      <c r="N353" s="7" t="s">
        <v>253</v>
      </c>
      <c r="O353" s="7" t="s">
        <v>254</v>
      </c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  <c r="AE353" s="8"/>
    </row>
    <row r="354">
      <c r="A354" s="12">
        <v>16.0</v>
      </c>
      <c r="B354" s="8" t="s">
        <v>255</v>
      </c>
      <c r="C354" s="8" t="s">
        <v>557</v>
      </c>
      <c r="I354" s="10" t="s">
        <v>329</v>
      </c>
      <c r="J354" s="13" t="s">
        <v>694</v>
      </c>
      <c r="K354" s="13" t="s">
        <v>276</v>
      </c>
      <c r="L354" s="13" t="s">
        <v>960</v>
      </c>
      <c r="M354" s="7" t="s">
        <v>253</v>
      </c>
      <c r="N354" s="7" t="s">
        <v>253</v>
      </c>
      <c r="O354" s="7" t="s">
        <v>254</v>
      </c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  <c r="AE354" s="8"/>
    </row>
    <row r="355">
      <c r="A355" s="12">
        <v>16.0</v>
      </c>
      <c r="B355" s="8" t="s">
        <v>255</v>
      </c>
      <c r="C355" s="8" t="s">
        <v>557</v>
      </c>
      <c r="I355" s="10" t="s">
        <v>322</v>
      </c>
      <c r="J355" s="13" t="s">
        <v>686</v>
      </c>
      <c r="K355" s="13" t="s">
        <v>276</v>
      </c>
      <c r="L355" s="13" t="s">
        <v>960</v>
      </c>
      <c r="M355" s="7" t="s">
        <v>253</v>
      </c>
      <c r="N355" s="7" t="s">
        <v>253</v>
      </c>
      <c r="O355" s="7" t="s">
        <v>254</v>
      </c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  <c r="AE355" s="8"/>
    </row>
    <row r="356">
      <c r="A356" s="12">
        <v>16.0</v>
      </c>
      <c r="B356" s="8" t="s">
        <v>255</v>
      </c>
      <c r="C356" s="8" t="s">
        <v>557</v>
      </c>
      <c r="I356" s="10" t="s">
        <v>1051</v>
      </c>
      <c r="J356" s="13" t="s">
        <v>691</v>
      </c>
      <c r="K356" s="13" t="s">
        <v>276</v>
      </c>
      <c r="L356" s="13" t="s">
        <v>960</v>
      </c>
      <c r="M356" s="7" t="s">
        <v>253</v>
      </c>
      <c r="N356" s="7" t="s">
        <v>253</v>
      </c>
      <c r="O356" s="7" t="s">
        <v>254</v>
      </c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  <c r="AE356" s="8"/>
    </row>
    <row r="357">
      <c r="A357" s="12">
        <v>16.0</v>
      </c>
      <c r="B357" s="8" t="s">
        <v>255</v>
      </c>
      <c r="C357" s="8" t="s">
        <v>557</v>
      </c>
      <c r="I357" s="10" t="s">
        <v>1053</v>
      </c>
      <c r="J357" s="13" t="s">
        <v>694</v>
      </c>
      <c r="K357" s="13" t="s">
        <v>276</v>
      </c>
      <c r="L357" s="13" t="s">
        <v>960</v>
      </c>
      <c r="M357" s="7" t="s">
        <v>253</v>
      </c>
      <c r="N357" s="7" t="s">
        <v>253</v>
      </c>
      <c r="O357" s="7" t="s">
        <v>254</v>
      </c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  <c r="AE357" s="8"/>
    </row>
    <row r="358">
      <c r="A358" s="12">
        <v>16.0</v>
      </c>
      <c r="B358" s="8" t="s">
        <v>255</v>
      </c>
      <c r="C358" s="8" t="s">
        <v>557</v>
      </c>
      <c r="I358" s="10" t="s">
        <v>1020</v>
      </c>
      <c r="J358" s="13" t="s">
        <v>686</v>
      </c>
      <c r="K358" s="13" t="s">
        <v>276</v>
      </c>
      <c r="L358" s="13" t="s">
        <v>960</v>
      </c>
      <c r="M358" s="7" t="s">
        <v>253</v>
      </c>
      <c r="N358" s="7" t="s">
        <v>253</v>
      </c>
      <c r="O358" s="7" t="s">
        <v>254</v>
      </c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  <c r="AE358" s="8"/>
    </row>
    <row r="359">
      <c r="A359" s="12">
        <v>16.0</v>
      </c>
      <c r="B359" s="8" t="s">
        <v>255</v>
      </c>
      <c r="C359" s="8" t="s">
        <v>557</v>
      </c>
      <c r="I359" s="10" t="s">
        <v>331</v>
      </c>
      <c r="J359" s="13" t="s">
        <v>691</v>
      </c>
      <c r="K359" s="13" t="s">
        <v>276</v>
      </c>
      <c r="L359" s="13" t="s">
        <v>960</v>
      </c>
      <c r="M359" s="7" t="s">
        <v>253</v>
      </c>
      <c r="N359" s="7" t="s">
        <v>253</v>
      </c>
      <c r="O359" s="7" t="s">
        <v>254</v>
      </c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  <c r="AE359" s="8"/>
    </row>
    <row r="360">
      <c r="A360" s="12">
        <v>16.0</v>
      </c>
      <c r="B360" s="8" t="s">
        <v>255</v>
      </c>
      <c r="C360" s="8" t="s">
        <v>557</v>
      </c>
      <c r="I360" s="10" t="s">
        <v>993</v>
      </c>
      <c r="J360" s="13" t="s">
        <v>694</v>
      </c>
      <c r="K360" s="13" t="s">
        <v>276</v>
      </c>
      <c r="L360" s="13" t="s">
        <v>960</v>
      </c>
      <c r="M360" s="7" t="s">
        <v>253</v>
      </c>
      <c r="N360" s="7" t="s">
        <v>253</v>
      </c>
      <c r="O360" s="7" t="s">
        <v>254</v>
      </c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  <c r="AE360" s="8"/>
    </row>
    <row r="361">
      <c r="A361" s="12">
        <v>16.0</v>
      </c>
      <c r="B361" s="8" t="s">
        <v>255</v>
      </c>
      <c r="C361" s="8" t="s">
        <v>557</v>
      </c>
      <c r="I361" s="10" t="s">
        <v>1035</v>
      </c>
      <c r="J361" s="13" t="s">
        <v>686</v>
      </c>
      <c r="K361" s="13" t="s">
        <v>276</v>
      </c>
      <c r="L361" s="13" t="s">
        <v>960</v>
      </c>
      <c r="M361" s="7" t="s">
        <v>253</v>
      </c>
      <c r="N361" s="7" t="s">
        <v>253</v>
      </c>
      <c r="O361" s="7" t="s">
        <v>254</v>
      </c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  <c r="AE361" s="8"/>
    </row>
    <row r="362">
      <c r="A362" s="12">
        <v>17.0</v>
      </c>
      <c r="B362" s="8" t="s">
        <v>262</v>
      </c>
      <c r="C362" s="8" t="s">
        <v>557</v>
      </c>
      <c r="D362" s="25">
        <f>IF(COUNTIF($B$2:$B362,$B362)&gt;1,"",COUNTIF($B$2:$B$2505,$B362))</f>
        <v>28</v>
      </c>
      <c r="E362" s="25">
        <f>IF(COUNTIF($B$2:$B362,$B362)&gt;1,"",COUNTIFS($B$2:$B$2505,$B362,$K$2:$K$2505,"PHÙ HỢP CAO"))</f>
        <v>2</v>
      </c>
      <c r="F362" s="25">
        <f>IF(COUNTIF($B$2:$B362,$B362)&gt;1,"",COUNTIFS($B$2:$B$2505,$B362,$K$2:$K$2505,"CÓ THỂ ĐI"))</f>
        <v>3</v>
      </c>
      <c r="G362" s="25">
        <f>IF(COUNTIF($B$2:$B362,$B362)&gt;1,"",COUNTIFS($B$2:$B$2505,$B362,$K$2:$K$2505,"CẦN SOÁT"))</f>
        <v>23</v>
      </c>
      <c r="H362" s="26" t="str">
        <f>IFERROR(__xludf.DUMMYFUNCTION("IF(COUNTIF($B$2:$B362,$B362)&gt;1,"""",IFERROR(TEXTJOIN(CHAR(10),TRUE,BYROW(QUERY({$B$2:$B$2505,$J$2:$J$2505},""select Col2, count(Col2) where Col1 = '""&amp;$B362&amp;""' group by Col2 order by count(Col2) desc label count(Col2) ''"",0),LAMBDA(r,INDEX(r,1,1)&amp;"" – "&amp;"""&amp;INDEX(r,1,2)&amp;"" link""))),""""))"),"bao nhiêu tuổi được mở tài khoản ngân hàng – 14 link
độ tuổi mở tài khoản ngân hàng – 14 link")</f>
        <v>bao nhiêu tuổi được mở tài khoản ngân hàng – 14 link
độ tuổi mở tài khoản ngân hàng – 14 link</v>
      </c>
      <c r="I362" s="10" t="s">
        <v>704</v>
      </c>
      <c r="J362" s="13" t="s">
        <v>707</v>
      </c>
      <c r="K362" s="13" t="s">
        <v>251</v>
      </c>
      <c r="L362" s="13" t="s">
        <v>1083</v>
      </c>
      <c r="M362" s="7" t="s">
        <v>253</v>
      </c>
      <c r="N362" s="7" t="s">
        <v>253</v>
      </c>
      <c r="O362" s="7" t="s">
        <v>254</v>
      </c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  <c r="AE362" s="8"/>
    </row>
    <row r="363">
      <c r="A363" s="12">
        <v>17.0</v>
      </c>
      <c r="B363" s="8" t="s">
        <v>262</v>
      </c>
      <c r="C363" s="8" t="s">
        <v>557</v>
      </c>
      <c r="I363" s="10" t="s">
        <v>708</v>
      </c>
      <c r="J363" s="13" t="s">
        <v>710</v>
      </c>
      <c r="K363" s="13" t="s">
        <v>251</v>
      </c>
      <c r="L363" s="13" t="s">
        <v>1084</v>
      </c>
      <c r="M363" s="7" t="s">
        <v>253</v>
      </c>
      <c r="N363" s="7" t="s">
        <v>253</v>
      </c>
      <c r="O363" s="7" t="s">
        <v>254</v>
      </c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  <c r="AE363" s="8"/>
    </row>
    <row r="364">
      <c r="A364" s="12">
        <v>17.0</v>
      </c>
      <c r="B364" s="8" t="s">
        <v>262</v>
      </c>
      <c r="C364" s="8" t="s">
        <v>557</v>
      </c>
      <c r="I364" s="10" t="s">
        <v>711</v>
      </c>
      <c r="J364" s="13" t="s">
        <v>707</v>
      </c>
      <c r="K364" s="13" t="s">
        <v>272</v>
      </c>
      <c r="L364" s="13" t="s">
        <v>1085</v>
      </c>
      <c r="M364" s="7" t="s">
        <v>253</v>
      </c>
      <c r="N364" s="7" t="s">
        <v>253</v>
      </c>
      <c r="O364" s="7" t="s">
        <v>254</v>
      </c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  <c r="AE364" s="8"/>
    </row>
    <row r="365">
      <c r="A365" s="12">
        <v>17.0</v>
      </c>
      <c r="B365" s="8" t="s">
        <v>262</v>
      </c>
      <c r="C365" s="8" t="s">
        <v>557</v>
      </c>
      <c r="I365" s="10" t="s">
        <v>1086</v>
      </c>
      <c r="J365" s="13" t="s">
        <v>710</v>
      </c>
      <c r="K365" s="13" t="s">
        <v>272</v>
      </c>
      <c r="L365" s="13" t="s">
        <v>1087</v>
      </c>
      <c r="M365" s="7" t="s">
        <v>253</v>
      </c>
      <c r="N365" s="7" t="s">
        <v>253</v>
      </c>
      <c r="O365" s="7" t="s">
        <v>254</v>
      </c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  <c r="AE365" s="8"/>
    </row>
    <row r="366">
      <c r="A366" s="12">
        <v>17.0</v>
      </c>
      <c r="B366" s="8" t="s">
        <v>262</v>
      </c>
      <c r="C366" s="8" t="s">
        <v>557</v>
      </c>
      <c r="I366" s="10" t="s">
        <v>1088</v>
      </c>
      <c r="J366" s="13" t="s">
        <v>707</v>
      </c>
      <c r="K366" s="13" t="s">
        <v>272</v>
      </c>
      <c r="L366" s="13" t="s">
        <v>1089</v>
      </c>
      <c r="M366" s="7" t="s">
        <v>253</v>
      </c>
      <c r="N366" s="7" t="s">
        <v>253</v>
      </c>
      <c r="O366" s="7" t="s">
        <v>254</v>
      </c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  <c r="AE366" s="8"/>
    </row>
    <row r="367">
      <c r="A367" s="12">
        <v>17.0</v>
      </c>
      <c r="B367" s="8" t="s">
        <v>262</v>
      </c>
      <c r="C367" s="8" t="s">
        <v>557</v>
      </c>
      <c r="I367" s="10" t="s">
        <v>1090</v>
      </c>
      <c r="J367" s="13" t="s">
        <v>710</v>
      </c>
      <c r="K367" s="13" t="s">
        <v>276</v>
      </c>
      <c r="L367" s="13" t="s">
        <v>1092</v>
      </c>
      <c r="M367" s="7" t="s">
        <v>253</v>
      </c>
      <c r="N367" s="7" t="s">
        <v>253</v>
      </c>
      <c r="O367" s="7" t="s">
        <v>254</v>
      </c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  <c r="AE367" s="8"/>
    </row>
    <row r="368">
      <c r="A368" s="12">
        <v>17.0</v>
      </c>
      <c r="B368" s="8" t="s">
        <v>262</v>
      </c>
      <c r="C368" s="8" t="s">
        <v>557</v>
      </c>
      <c r="I368" s="10" t="s">
        <v>1093</v>
      </c>
      <c r="J368" s="13" t="s">
        <v>707</v>
      </c>
      <c r="K368" s="13" t="s">
        <v>276</v>
      </c>
      <c r="L368" s="13" t="s">
        <v>1094</v>
      </c>
      <c r="M368" s="7" t="s">
        <v>253</v>
      </c>
      <c r="N368" s="7" t="s">
        <v>253</v>
      </c>
      <c r="O368" s="7" t="s">
        <v>254</v>
      </c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  <c r="AE368" s="8"/>
    </row>
    <row r="369">
      <c r="A369" s="12">
        <v>17.0</v>
      </c>
      <c r="B369" s="8" t="s">
        <v>262</v>
      </c>
      <c r="C369" s="8" t="s">
        <v>557</v>
      </c>
      <c r="I369" s="10" t="s">
        <v>763</v>
      </c>
      <c r="J369" s="13" t="s">
        <v>710</v>
      </c>
      <c r="K369" s="13" t="s">
        <v>276</v>
      </c>
      <c r="L369" s="13" t="s">
        <v>1098</v>
      </c>
      <c r="M369" s="7" t="s">
        <v>253</v>
      </c>
      <c r="N369" s="7" t="s">
        <v>253</v>
      </c>
      <c r="O369" s="7" t="s">
        <v>254</v>
      </c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  <c r="AE369" s="8"/>
    </row>
    <row r="370">
      <c r="A370" s="12">
        <v>17.0</v>
      </c>
      <c r="B370" s="8" t="s">
        <v>262</v>
      </c>
      <c r="C370" s="8" t="s">
        <v>557</v>
      </c>
      <c r="I370" s="10" t="s">
        <v>1099</v>
      </c>
      <c r="J370" s="13" t="s">
        <v>707</v>
      </c>
      <c r="K370" s="13" t="s">
        <v>276</v>
      </c>
      <c r="L370" s="13" t="s">
        <v>1101</v>
      </c>
      <c r="M370" s="7" t="s">
        <v>253</v>
      </c>
      <c r="N370" s="7" t="s">
        <v>253</v>
      </c>
      <c r="O370" s="7" t="s">
        <v>254</v>
      </c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  <c r="AE370" s="8"/>
    </row>
    <row r="371">
      <c r="A371" s="12">
        <v>17.0</v>
      </c>
      <c r="B371" s="8" t="s">
        <v>262</v>
      </c>
      <c r="C371" s="8" t="s">
        <v>557</v>
      </c>
      <c r="I371" s="10" t="s">
        <v>1102</v>
      </c>
      <c r="J371" s="13" t="s">
        <v>710</v>
      </c>
      <c r="K371" s="13" t="s">
        <v>276</v>
      </c>
      <c r="L371" s="13" t="s">
        <v>1098</v>
      </c>
      <c r="M371" s="7" t="s">
        <v>253</v>
      </c>
      <c r="N371" s="7" t="s">
        <v>253</v>
      </c>
      <c r="O371" s="7" t="s">
        <v>254</v>
      </c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  <c r="AE371" s="8"/>
    </row>
    <row r="372">
      <c r="A372" s="12">
        <v>17.0</v>
      </c>
      <c r="B372" s="8" t="s">
        <v>262</v>
      </c>
      <c r="C372" s="8" t="s">
        <v>557</v>
      </c>
      <c r="I372" s="10" t="s">
        <v>1106</v>
      </c>
      <c r="J372" s="13" t="s">
        <v>707</v>
      </c>
      <c r="K372" s="13" t="s">
        <v>276</v>
      </c>
      <c r="L372" s="13" t="s">
        <v>1101</v>
      </c>
      <c r="M372" s="7" t="s">
        <v>253</v>
      </c>
      <c r="N372" s="7" t="s">
        <v>253</v>
      </c>
      <c r="O372" s="7" t="s">
        <v>254</v>
      </c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  <c r="AE372" s="8"/>
    </row>
    <row r="373">
      <c r="A373" s="12">
        <v>17.0</v>
      </c>
      <c r="B373" s="8" t="s">
        <v>262</v>
      </c>
      <c r="C373" s="8" t="s">
        <v>557</v>
      </c>
      <c r="I373" s="10" t="s">
        <v>680</v>
      </c>
      <c r="J373" s="13" t="s">
        <v>710</v>
      </c>
      <c r="K373" s="13" t="s">
        <v>276</v>
      </c>
      <c r="L373" s="13" t="s">
        <v>1098</v>
      </c>
      <c r="M373" s="7" t="s">
        <v>253</v>
      </c>
      <c r="N373" s="7" t="s">
        <v>253</v>
      </c>
      <c r="O373" s="7" t="s">
        <v>254</v>
      </c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  <c r="AE373" s="8"/>
    </row>
    <row r="374">
      <c r="A374" s="12">
        <v>17.0</v>
      </c>
      <c r="B374" s="8" t="s">
        <v>262</v>
      </c>
      <c r="C374" s="8" t="s">
        <v>557</v>
      </c>
      <c r="I374" s="10" t="s">
        <v>884</v>
      </c>
      <c r="J374" s="13" t="s">
        <v>707</v>
      </c>
      <c r="K374" s="13" t="s">
        <v>276</v>
      </c>
      <c r="L374" s="13" t="s">
        <v>1101</v>
      </c>
      <c r="M374" s="7" t="s">
        <v>253</v>
      </c>
      <c r="N374" s="7" t="s">
        <v>253</v>
      </c>
      <c r="O374" s="7" t="s">
        <v>254</v>
      </c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  <c r="AE374" s="8"/>
    </row>
    <row r="375">
      <c r="A375" s="12">
        <v>17.0</v>
      </c>
      <c r="B375" s="8" t="s">
        <v>262</v>
      </c>
      <c r="C375" s="8" t="s">
        <v>557</v>
      </c>
      <c r="I375" s="10" t="s">
        <v>866</v>
      </c>
      <c r="J375" s="13" t="s">
        <v>710</v>
      </c>
      <c r="K375" s="13" t="s">
        <v>276</v>
      </c>
      <c r="L375" s="13" t="s">
        <v>1101</v>
      </c>
      <c r="M375" s="7" t="s">
        <v>253</v>
      </c>
      <c r="N375" s="7" t="s">
        <v>253</v>
      </c>
      <c r="O375" s="7" t="s">
        <v>254</v>
      </c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  <c r="AE375" s="8"/>
    </row>
    <row r="376">
      <c r="A376" s="12">
        <v>17.0</v>
      </c>
      <c r="B376" s="8" t="s">
        <v>262</v>
      </c>
      <c r="C376" s="8" t="s">
        <v>557</v>
      </c>
      <c r="I376" s="10" t="s">
        <v>267</v>
      </c>
      <c r="J376" s="13" t="s">
        <v>707</v>
      </c>
      <c r="K376" s="13" t="s">
        <v>276</v>
      </c>
      <c r="L376" s="13" t="s">
        <v>1115</v>
      </c>
      <c r="M376" s="7" t="s">
        <v>253</v>
      </c>
      <c r="N376" s="7" t="s">
        <v>253</v>
      </c>
      <c r="O376" s="7" t="s">
        <v>254</v>
      </c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  <c r="AE376" s="8"/>
    </row>
    <row r="377">
      <c r="A377" s="12">
        <v>17.0</v>
      </c>
      <c r="B377" s="8" t="s">
        <v>262</v>
      </c>
      <c r="C377" s="8" t="s">
        <v>557</v>
      </c>
      <c r="I377" s="10" t="s">
        <v>1116</v>
      </c>
      <c r="J377" s="13" t="s">
        <v>710</v>
      </c>
      <c r="K377" s="13" t="s">
        <v>276</v>
      </c>
      <c r="L377" s="13" t="s">
        <v>1101</v>
      </c>
      <c r="M377" s="7" t="s">
        <v>253</v>
      </c>
      <c r="N377" s="7" t="s">
        <v>253</v>
      </c>
      <c r="O377" s="7" t="s">
        <v>254</v>
      </c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  <c r="AE377" s="8"/>
    </row>
    <row r="378">
      <c r="A378" s="12">
        <v>17.0</v>
      </c>
      <c r="B378" s="8" t="s">
        <v>262</v>
      </c>
      <c r="C378" s="8" t="s">
        <v>557</v>
      </c>
      <c r="I378" s="10" t="s">
        <v>721</v>
      </c>
      <c r="J378" s="13" t="s">
        <v>707</v>
      </c>
      <c r="K378" s="13" t="s">
        <v>276</v>
      </c>
      <c r="L378" s="13" t="s">
        <v>1094</v>
      </c>
      <c r="M378" s="7" t="s">
        <v>253</v>
      </c>
      <c r="N378" s="7" t="s">
        <v>253</v>
      </c>
      <c r="O378" s="7" t="s">
        <v>254</v>
      </c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  <c r="AE378" s="8"/>
    </row>
    <row r="379">
      <c r="A379" s="12">
        <v>17.0</v>
      </c>
      <c r="B379" s="8" t="s">
        <v>262</v>
      </c>
      <c r="C379" s="8" t="s">
        <v>557</v>
      </c>
      <c r="I379" s="10" t="s">
        <v>1121</v>
      </c>
      <c r="J379" s="13" t="s">
        <v>710</v>
      </c>
      <c r="K379" s="13" t="s">
        <v>276</v>
      </c>
      <c r="L379" s="13" t="s">
        <v>1101</v>
      </c>
      <c r="M379" s="7" t="s">
        <v>253</v>
      </c>
      <c r="N379" s="7" t="s">
        <v>253</v>
      </c>
      <c r="O379" s="7" t="s">
        <v>254</v>
      </c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  <c r="AE379" s="8"/>
    </row>
    <row r="380">
      <c r="A380" s="12">
        <v>17.0</v>
      </c>
      <c r="B380" s="8" t="s">
        <v>262</v>
      </c>
      <c r="C380" s="8" t="s">
        <v>557</v>
      </c>
      <c r="I380" s="10" t="s">
        <v>302</v>
      </c>
      <c r="J380" s="13" t="s">
        <v>707</v>
      </c>
      <c r="K380" s="13" t="s">
        <v>276</v>
      </c>
      <c r="L380" s="13" t="s">
        <v>1101</v>
      </c>
      <c r="M380" s="7" t="s">
        <v>253</v>
      </c>
      <c r="N380" s="7" t="s">
        <v>253</v>
      </c>
      <c r="O380" s="7" t="s">
        <v>254</v>
      </c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  <c r="AE380" s="8"/>
    </row>
    <row r="381">
      <c r="A381" s="12">
        <v>17.0</v>
      </c>
      <c r="B381" s="8" t="s">
        <v>262</v>
      </c>
      <c r="C381" s="8" t="s">
        <v>557</v>
      </c>
      <c r="I381" s="10" t="s">
        <v>1124</v>
      </c>
      <c r="J381" s="13" t="s">
        <v>710</v>
      </c>
      <c r="K381" s="13" t="s">
        <v>276</v>
      </c>
      <c r="L381" s="13" t="s">
        <v>1098</v>
      </c>
      <c r="M381" s="7" t="s">
        <v>253</v>
      </c>
      <c r="N381" s="7" t="s">
        <v>253</v>
      </c>
      <c r="O381" s="7" t="s">
        <v>254</v>
      </c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  <c r="AE381" s="8"/>
    </row>
    <row r="382">
      <c r="A382" s="12">
        <v>17.0</v>
      </c>
      <c r="B382" s="8" t="s">
        <v>262</v>
      </c>
      <c r="C382" s="8" t="s">
        <v>557</v>
      </c>
      <c r="I382" s="10" t="s">
        <v>882</v>
      </c>
      <c r="J382" s="13" t="s">
        <v>707</v>
      </c>
      <c r="K382" s="13" t="s">
        <v>276</v>
      </c>
      <c r="L382" s="13" t="s">
        <v>1127</v>
      </c>
      <c r="M382" s="7" t="s">
        <v>253</v>
      </c>
      <c r="N382" s="7" t="s">
        <v>253</v>
      </c>
      <c r="O382" s="7" t="s">
        <v>254</v>
      </c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  <c r="AE382" s="8"/>
    </row>
    <row r="383">
      <c r="A383" s="12">
        <v>17.0</v>
      </c>
      <c r="B383" s="8" t="s">
        <v>262</v>
      </c>
      <c r="C383" s="8" t="s">
        <v>557</v>
      </c>
      <c r="I383" s="10" t="s">
        <v>1130</v>
      </c>
      <c r="J383" s="13" t="s">
        <v>710</v>
      </c>
      <c r="K383" s="13" t="s">
        <v>276</v>
      </c>
      <c r="L383" s="13" t="s">
        <v>1101</v>
      </c>
      <c r="M383" s="7" t="s">
        <v>253</v>
      </c>
      <c r="N383" s="7" t="s">
        <v>253</v>
      </c>
      <c r="O383" s="7" t="s">
        <v>254</v>
      </c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  <c r="AE383" s="8"/>
    </row>
    <row r="384">
      <c r="A384" s="12">
        <v>17.0</v>
      </c>
      <c r="B384" s="8" t="s">
        <v>262</v>
      </c>
      <c r="C384" s="8" t="s">
        <v>557</v>
      </c>
      <c r="I384" s="10" t="s">
        <v>1132</v>
      </c>
      <c r="J384" s="13" t="s">
        <v>707</v>
      </c>
      <c r="K384" s="13" t="s">
        <v>276</v>
      </c>
      <c r="L384" s="13" t="s">
        <v>1101</v>
      </c>
      <c r="M384" s="7" t="s">
        <v>253</v>
      </c>
      <c r="N384" s="7" t="s">
        <v>253</v>
      </c>
      <c r="O384" s="7" t="s">
        <v>254</v>
      </c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  <c r="AE384" s="8"/>
    </row>
    <row r="385">
      <c r="A385" s="12">
        <v>17.0</v>
      </c>
      <c r="B385" s="8" t="s">
        <v>262</v>
      </c>
      <c r="C385" s="8" t="s">
        <v>557</v>
      </c>
      <c r="I385" s="10" t="s">
        <v>877</v>
      </c>
      <c r="J385" s="13" t="s">
        <v>710</v>
      </c>
      <c r="K385" s="13" t="s">
        <v>276</v>
      </c>
      <c r="L385" s="13" t="s">
        <v>1101</v>
      </c>
      <c r="M385" s="7" t="s">
        <v>253</v>
      </c>
      <c r="N385" s="7" t="s">
        <v>253</v>
      </c>
      <c r="O385" s="7" t="s">
        <v>254</v>
      </c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  <c r="AE385" s="8"/>
    </row>
    <row r="386">
      <c r="A386" s="12">
        <v>17.0</v>
      </c>
      <c r="B386" s="8" t="s">
        <v>262</v>
      </c>
      <c r="C386" s="8" t="s">
        <v>557</v>
      </c>
      <c r="I386" s="10" t="s">
        <v>716</v>
      </c>
      <c r="J386" s="13" t="s">
        <v>707</v>
      </c>
      <c r="K386" s="13" t="s">
        <v>276</v>
      </c>
      <c r="L386" s="13" t="s">
        <v>1094</v>
      </c>
      <c r="M386" s="7" t="s">
        <v>253</v>
      </c>
      <c r="N386" s="7" t="s">
        <v>253</v>
      </c>
      <c r="O386" s="7" t="s">
        <v>254</v>
      </c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  <c r="AE386" s="8"/>
    </row>
    <row r="387">
      <c r="A387" s="12">
        <v>17.0</v>
      </c>
      <c r="B387" s="8" t="s">
        <v>262</v>
      </c>
      <c r="C387" s="8" t="s">
        <v>557</v>
      </c>
      <c r="I387" s="10" t="s">
        <v>1135</v>
      </c>
      <c r="J387" s="13" t="s">
        <v>710</v>
      </c>
      <c r="K387" s="13" t="s">
        <v>276</v>
      </c>
      <c r="L387" s="13" t="s">
        <v>1101</v>
      </c>
      <c r="M387" s="7" t="s">
        <v>253</v>
      </c>
      <c r="N387" s="7" t="s">
        <v>253</v>
      </c>
      <c r="O387" s="7" t="s">
        <v>254</v>
      </c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  <c r="AE387" s="8"/>
    </row>
    <row r="388">
      <c r="A388" s="12">
        <v>17.0</v>
      </c>
      <c r="B388" s="8" t="s">
        <v>262</v>
      </c>
      <c r="C388" s="8" t="s">
        <v>557</v>
      </c>
      <c r="I388" s="10" t="s">
        <v>1138</v>
      </c>
      <c r="J388" s="13" t="s">
        <v>707</v>
      </c>
      <c r="K388" s="13" t="s">
        <v>276</v>
      </c>
      <c r="L388" s="13" t="s">
        <v>1098</v>
      </c>
      <c r="M388" s="7" t="s">
        <v>253</v>
      </c>
      <c r="N388" s="7" t="s">
        <v>253</v>
      </c>
      <c r="O388" s="7" t="s">
        <v>254</v>
      </c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  <c r="AE388" s="8"/>
    </row>
    <row r="389">
      <c r="A389" s="12">
        <v>17.0</v>
      </c>
      <c r="B389" s="8" t="s">
        <v>262</v>
      </c>
      <c r="C389" s="8" t="s">
        <v>557</v>
      </c>
      <c r="I389" s="10" t="s">
        <v>1141</v>
      </c>
      <c r="J389" s="13" t="s">
        <v>710</v>
      </c>
      <c r="K389" s="13" t="s">
        <v>276</v>
      </c>
      <c r="L389" s="13" t="s">
        <v>1143</v>
      </c>
      <c r="M389" s="7" t="s">
        <v>253</v>
      </c>
      <c r="N389" s="7" t="s">
        <v>253</v>
      </c>
      <c r="O389" s="7" t="s">
        <v>254</v>
      </c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  <c r="AE389" s="8"/>
    </row>
    <row r="390">
      <c r="A390" s="12">
        <v>18.0</v>
      </c>
      <c r="B390" s="8" t="s">
        <v>267</v>
      </c>
      <c r="C390" s="8" t="s">
        <v>557</v>
      </c>
      <c r="D390" s="25">
        <f>IF(COUNTIF($B$2:$B390,$B390)&gt;1,"",COUNTIF($B$2:$B$2505,$B390))</f>
        <v>15</v>
      </c>
      <c r="E390" s="25">
        <f>IF(COUNTIF($B$2:$B390,$B390)&gt;1,"",COUNTIFS($B$2:$B$2505,$B390,$K$2:$K$2505,"PHÙ HỢP CAO"))</f>
        <v>2</v>
      </c>
      <c r="F390" s="25">
        <f>IF(COUNTIF($B$2:$B390,$B390)&gt;1,"",COUNTIFS($B$2:$B$2505,$B390,$K$2:$K$2505,"CÓ THỂ ĐI"))</f>
        <v>3</v>
      </c>
      <c r="G390" s="25">
        <f>IF(COUNTIF($B$2:$B390,$B390)&gt;1,"",COUNTIFS($B$2:$B$2505,$B390,$K$2:$K$2505,"CẦN SOÁT"))</f>
        <v>10</v>
      </c>
      <c r="H390" s="26" t="str">
        <f>IFERROR(__xludf.DUMMYFUNCTION("IF(COUNTIF($B$2:$B390,$B390)&gt;1,"""",IFERROR(TEXTJOIN(CHAR(10),TRUE,BYROW(QUERY({$B$2:$B$2505,$J$2:$J$2505},""select Col2, count(Col2) where Col1 = '""&amp;$B390&amp;""' group by Col2 order by count(Col2) desc label count(Col2) ''"",0),LAMBDA(r,INDEX(r,1,1)&amp;"" – "&amp;"""&amp;INDEX(r,1,2)&amp;"" link""))),""""))"),"mở tài khoản ngân hàng dưới 18 tuổi – 8 link
mở tài khoản ngân hàng cho học sinh – 7 link")</f>
        <v>mở tài khoản ngân hàng dưới 18 tuổi – 8 link
mở tài khoản ngân hàng cho học sinh – 7 link</v>
      </c>
      <c r="I390" s="10" t="s">
        <v>716</v>
      </c>
      <c r="J390" s="13" t="s">
        <v>719</v>
      </c>
      <c r="K390" s="13" t="s">
        <v>251</v>
      </c>
      <c r="L390" s="13" t="s">
        <v>1150</v>
      </c>
      <c r="M390" s="7" t="s">
        <v>253</v>
      </c>
      <c r="N390" s="7" t="s">
        <v>253</v>
      </c>
      <c r="O390" s="7" t="s">
        <v>254</v>
      </c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  <c r="AE390" s="8"/>
    </row>
    <row r="391">
      <c r="A391" s="12">
        <v>18.0</v>
      </c>
      <c r="B391" s="8" t="s">
        <v>267</v>
      </c>
      <c r="C391" s="8" t="s">
        <v>557</v>
      </c>
      <c r="I391" s="10" t="s">
        <v>721</v>
      </c>
      <c r="J391" s="13" t="s">
        <v>725</v>
      </c>
      <c r="K391" s="13" t="s">
        <v>251</v>
      </c>
      <c r="L391" s="13" t="s">
        <v>1152</v>
      </c>
      <c r="M391" s="7" t="s">
        <v>253</v>
      </c>
      <c r="N391" s="7" t="s">
        <v>253</v>
      </c>
      <c r="O391" s="7" t="s">
        <v>254</v>
      </c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  <c r="AE391" s="8"/>
    </row>
    <row r="392">
      <c r="A392" s="12">
        <v>18.0</v>
      </c>
      <c r="B392" s="8" t="s">
        <v>267</v>
      </c>
      <c r="C392" s="8" t="s">
        <v>557</v>
      </c>
      <c r="I392" s="10" t="s">
        <v>727</v>
      </c>
      <c r="J392" s="13" t="s">
        <v>719</v>
      </c>
      <c r="K392" s="13" t="s">
        <v>272</v>
      </c>
      <c r="L392" s="13" t="s">
        <v>1153</v>
      </c>
      <c r="M392" s="7" t="s">
        <v>253</v>
      </c>
      <c r="N392" s="7" t="s">
        <v>253</v>
      </c>
      <c r="O392" s="7" t="s">
        <v>254</v>
      </c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  <c r="AE392" s="8"/>
    </row>
    <row r="393">
      <c r="A393" s="12">
        <v>18.0</v>
      </c>
      <c r="B393" s="8" t="s">
        <v>267</v>
      </c>
      <c r="C393" s="8" t="s">
        <v>557</v>
      </c>
      <c r="I393" s="10" t="s">
        <v>1155</v>
      </c>
      <c r="J393" s="13" t="s">
        <v>725</v>
      </c>
      <c r="K393" s="13" t="s">
        <v>272</v>
      </c>
      <c r="L393" s="13" t="s">
        <v>1156</v>
      </c>
      <c r="M393" s="7" t="s">
        <v>253</v>
      </c>
      <c r="N393" s="7" t="s">
        <v>253</v>
      </c>
      <c r="O393" s="7" t="s">
        <v>254</v>
      </c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  <c r="AE393" s="8"/>
    </row>
    <row r="394">
      <c r="A394" s="12">
        <v>18.0</v>
      </c>
      <c r="B394" s="8" t="s">
        <v>267</v>
      </c>
      <c r="C394" s="8" t="s">
        <v>557</v>
      </c>
      <c r="I394" s="10" t="s">
        <v>1158</v>
      </c>
      <c r="J394" s="13" t="s">
        <v>719</v>
      </c>
      <c r="K394" s="13" t="s">
        <v>272</v>
      </c>
      <c r="L394" s="13" t="s">
        <v>1160</v>
      </c>
      <c r="M394" s="7" t="s">
        <v>253</v>
      </c>
      <c r="N394" s="7" t="s">
        <v>253</v>
      </c>
      <c r="O394" s="7" t="s">
        <v>254</v>
      </c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  <c r="AE394" s="8"/>
    </row>
    <row r="395">
      <c r="A395" s="12">
        <v>18.0</v>
      </c>
      <c r="B395" s="8" t="s">
        <v>267</v>
      </c>
      <c r="C395" s="8" t="s">
        <v>557</v>
      </c>
      <c r="I395" s="10" t="s">
        <v>1090</v>
      </c>
      <c r="J395" s="13" t="s">
        <v>725</v>
      </c>
      <c r="K395" s="13" t="s">
        <v>276</v>
      </c>
      <c r="L395" s="13" t="s">
        <v>1092</v>
      </c>
      <c r="M395" s="7" t="s">
        <v>253</v>
      </c>
      <c r="N395" s="7" t="s">
        <v>253</v>
      </c>
      <c r="O395" s="7" t="s">
        <v>254</v>
      </c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  <c r="AE395" s="8"/>
    </row>
    <row r="396">
      <c r="A396" s="12">
        <v>18.0</v>
      </c>
      <c r="B396" s="8" t="s">
        <v>267</v>
      </c>
      <c r="C396" s="8" t="s">
        <v>557</v>
      </c>
      <c r="I396" s="10" t="s">
        <v>1093</v>
      </c>
      <c r="J396" s="13" t="s">
        <v>719</v>
      </c>
      <c r="K396" s="13" t="s">
        <v>276</v>
      </c>
      <c r="L396" s="13" t="s">
        <v>1161</v>
      </c>
      <c r="M396" s="7" t="s">
        <v>253</v>
      </c>
      <c r="N396" s="7" t="s">
        <v>253</v>
      </c>
      <c r="O396" s="7" t="s">
        <v>254</v>
      </c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  <c r="AE396" s="8"/>
    </row>
    <row r="397">
      <c r="A397" s="12">
        <v>18.0</v>
      </c>
      <c r="B397" s="8" t="s">
        <v>267</v>
      </c>
      <c r="C397" s="8" t="s">
        <v>557</v>
      </c>
      <c r="I397" s="10" t="s">
        <v>1162</v>
      </c>
      <c r="J397" s="13" t="s">
        <v>725</v>
      </c>
      <c r="K397" s="13" t="s">
        <v>276</v>
      </c>
      <c r="L397" s="13" t="s">
        <v>1165</v>
      </c>
      <c r="M397" s="7" t="s">
        <v>253</v>
      </c>
      <c r="N397" s="7" t="s">
        <v>253</v>
      </c>
      <c r="O397" s="7" t="s">
        <v>254</v>
      </c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  <c r="AE397" s="8"/>
    </row>
    <row r="398">
      <c r="A398" s="12">
        <v>18.0</v>
      </c>
      <c r="B398" s="8" t="s">
        <v>267</v>
      </c>
      <c r="C398" s="8" t="s">
        <v>557</v>
      </c>
      <c r="I398" s="10" t="s">
        <v>1166</v>
      </c>
      <c r="J398" s="13" t="s">
        <v>719</v>
      </c>
      <c r="K398" s="13" t="s">
        <v>276</v>
      </c>
      <c r="L398" s="13" t="s">
        <v>1165</v>
      </c>
      <c r="M398" s="7" t="s">
        <v>253</v>
      </c>
      <c r="N398" s="7" t="s">
        <v>253</v>
      </c>
      <c r="O398" s="7" t="s">
        <v>254</v>
      </c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  <c r="AE398" s="8"/>
    </row>
    <row r="399">
      <c r="A399" s="12">
        <v>18.0</v>
      </c>
      <c r="B399" s="8" t="s">
        <v>267</v>
      </c>
      <c r="C399" s="8" t="s">
        <v>557</v>
      </c>
      <c r="I399" s="10" t="s">
        <v>1169</v>
      </c>
      <c r="J399" s="13" t="s">
        <v>725</v>
      </c>
      <c r="K399" s="13" t="s">
        <v>276</v>
      </c>
      <c r="L399" s="13" t="s">
        <v>1165</v>
      </c>
      <c r="M399" s="7" t="s">
        <v>253</v>
      </c>
      <c r="N399" s="7" t="s">
        <v>253</v>
      </c>
      <c r="O399" s="7" t="s">
        <v>254</v>
      </c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  <c r="AE399" s="8"/>
    </row>
    <row r="400">
      <c r="A400" s="12">
        <v>18.0</v>
      </c>
      <c r="B400" s="8" t="s">
        <v>267</v>
      </c>
      <c r="C400" s="8" t="s">
        <v>557</v>
      </c>
      <c r="I400" s="10" t="s">
        <v>704</v>
      </c>
      <c r="J400" s="13" t="s">
        <v>719</v>
      </c>
      <c r="K400" s="13" t="s">
        <v>276</v>
      </c>
      <c r="L400" s="13" t="s">
        <v>1094</v>
      </c>
      <c r="M400" s="7" t="s">
        <v>253</v>
      </c>
      <c r="N400" s="7" t="s">
        <v>253</v>
      </c>
      <c r="O400" s="7" t="s">
        <v>254</v>
      </c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  <c r="AE400" s="8"/>
    </row>
    <row r="401">
      <c r="A401" s="12">
        <v>18.0</v>
      </c>
      <c r="B401" s="8" t="s">
        <v>267</v>
      </c>
      <c r="C401" s="8" t="s">
        <v>557</v>
      </c>
      <c r="I401" s="10" t="s">
        <v>1171</v>
      </c>
      <c r="J401" s="13" t="s">
        <v>725</v>
      </c>
      <c r="K401" s="13" t="s">
        <v>276</v>
      </c>
      <c r="L401" s="13" t="s">
        <v>1165</v>
      </c>
      <c r="M401" s="7" t="s">
        <v>253</v>
      </c>
      <c r="N401" s="7" t="s">
        <v>253</v>
      </c>
      <c r="O401" s="7" t="s">
        <v>254</v>
      </c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  <c r="AE401" s="8"/>
    </row>
    <row r="402">
      <c r="A402" s="12">
        <v>18.0</v>
      </c>
      <c r="B402" s="8" t="s">
        <v>267</v>
      </c>
      <c r="C402" s="8" t="s">
        <v>557</v>
      </c>
      <c r="I402" s="10" t="s">
        <v>708</v>
      </c>
      <c r="J402" s="13" t="s">
        <v>719</v>
      </c>
      <c r="K402" s="13" t="s">
        <v>276</v>
      </c>
      <c r="L402" s="13" t="s">
        <v>1143</v>
      </c>
      <c r="M402" s="7" t="s">
        <v>253</v>
      </c>
      <c r="N402" s="7" t="s">
        <v>253</v>
      </c>
      <c r="O402" s="7" t="s">
        <v>254</v>
      </c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  <c r="AE402" s="8"/>
    </row>
    <row r="403">
      <c r="A403" s="12">
        <v>18.0</v>
      </c>
      <c r="B403" s="8" t="s">
        <v>267</v>
      </c>
      <c r="C403" s="8" t="s">
        <v>557</v>
      </c>
      <c r="I403" s="10" t="s">
        <v>1175</v>
      </c>
      <c r="J403" s="13" t="s">
        <v>725</v>
      </c>
      <c r="K403" s="13" t="s">
        <v>276</v>
      </c>
      <c r="L403" s="13" t="s">
        <v>1165</v>
      </c>
      <c r="M403" s="7" t="s">
        <v>253</v>
      </c>
      <c r="N403" s="7" t="s">
        <v>253</v>
      </c>
      <c r="O403" s="7" t="s">
        <v>254</v>
      </c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  <c r="AE403" s="8"/>
    </row>
    <row r="404">
      <c r="A404" s="12">
        <v>18.0</v>
      </c>
      <c r="B404" s="8" t="s">
        <v>267</v>
      </c>
      <c r="C404" s="8" t="s">
        <v>557</v>
      </c>
      <c r="I404" s="10" t="s">
        <v>1141</v>
      </c>
      <c r="J404" s="13" t="s">
        <v>719</v>
      </c>
      <c r="K404" s="13" t="s">
        <v>276</v>
      </c>
      <c r="L404" s="13" t="s">
        <v>1143</v>
      </c>
      <c r="M404" s="7" t="s">
        <v>253</v>
      </c>
      <c r="N404" s="7" t="s">
        <v>253</v>
      </c>
      <c r="O404" s="7" t="s">
        <v>254</v>
      </c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  <c r="AE404" s="8"/>
    </row>
    <row r="405">
      <c r="A405" s="12">
        <v>19.0</v>
      </c>
      <c r="B405" s="8" t="s">
        <v>271</v>
      </c>
      <c r="C405" s="8" t="s">
        <v>557</v>
      </c>
      <c r="D405" s="25">
        <f>IF(COUNTIF($B$2:$B405,$B405)&gt;1,"",COUNTIF($B$2:$B$2505,$B405))</f>
        <v>32</v>
      </c>
      <c r="E405" s="25">
        <f>IF(COUNTIF($B$2:$B405,$B405)&gt;1,"",COUNTIFS($B$2:$B$2505,$B405,$K$2:$K$2505,"PHÙ HỢP CAO"))</f>
        <v>2</v>
      </c>
      <c r="F405" s="25">
        <f>IF(COUNTIF($B$2:$B405,$B405)&gt;1,"",COUNTIFS($B$2:$B$2505,$B405,$K$2:$K$2505,"CÓ THỂ ĐI"))</f>
        <v>3</v>
      </c>
      <c r="G405" s="25">
        <f>IF(COUNTIF($B$2:$B405,$B405)&gt;1,"",COUNTIFS($B$2:$B$2505,$B405,$K$2:$K$2505,"CẦN SOÁT"))</f>
        <v>27</v>
      </c>
      <c r="H405" s="26" t="str">
        <f>IFERROR(__xludf.DUMMYFUNCTION("IF(COUNTIF($B$2:$B405,$B405)&gt;1,"""",IFERROR(TEXTJOIN(CHAR(10),TRUE,BYROW(QUERY({$B$2:$B$2505,$J$2:$J$2505},""select Col2, count(Col2) where Col1 = '""&amp;$B405&amp;""' group by Col2 order by count(Col2) desc label count(Col2) ''"",0),LAMBDA(r,INDEX(r,1,1)&amp;"" – "&amp;"""&amp;INDEX(r,1,2)&amp;"" link""))),""""))"),"nạp tiền vào tài khoản ngân hàng – 16 link
nộp tiền vào tài khoản – 16 link")</f>
        <v>nạp tiền vào tài khoản ngân hàng – 16 link
nộp tiền vào tài khoản – 16 link</v>
      </c>
      <c r="I405" s="10" t="s">
        <v>674</v>
      </c>
      <c r="J405" s="13" t="s">
        <v>732</v>
      </c>
      <c r="K405" s="13" t="s">
        <v>251</v>
      </c>
      <c r="L405" s="13" t="s">
        <v>1181</v>
      </c>
      <c r="M405" s="7" t="s">
        <v>253</v>
      </c>
      <c r="N405" s="7" t="s">
        <v>253</v>
      </c>
      <c r="O405" s="7" t="s">
        <v>254</v>
      </c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  <c r="AE405" s="8"/>
    </row>
    <row r="406">
      <c r="A406" s="12">
        <v>19.0</v>
      </c>
      <c r="B406" s="8" t="s">
        <v>271</v>
      </c>
      <c r="C406" s="8" t="s">
        <v>557</v>
      </c>
      <c r="I406" s="10" t="s">
        <v>735</v>
      </c>
      <c r="J406" s="13" t="s">
        <v>738</v>
      </c>
      <c r="K406" s="13" t="s">
        <v>251</v>
      </c>
      <c r="L406" s="13" t="s">
        <v>1185</v>
      </c>
      <c r="M406" s="7" t="s">
        <v>253</v>
      </c>
      <c r="N406" s="7" t="s">
        <v>253</v>
      </c>
      <c r="O406" s="7" t="s">
        <v>254</v>
      </c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  <c r="AE406" s="8"/>
    </row>
    <row r="407">
      <c r="A407" s="12">
        <v>19.0</v>
      </c>
      <c r="B407" s="8" t="s">
        <v>271</v>
      </c>
      <c r="C407" s="8" t="s">
        <v>557</v>
      </c>
      <c r="I407" s="10" t="s">
        <v>740</v>
      </c>
      <c r="J407" s="13" t="s">
        <v>732</v>
      </c>
      <c r="K407" s="13" t="s">
        <v>272</v>
      </c>
      <c r="L407" s="13" t="s">
        <v>1186</v>
      </c>
      <c r="M407" s="7" t="s">
        <v>253</v>
      </c>
      <c r="N407" s="7" t="s">
        <v>253</v>
      </c>
      <c r="O407" s="7" t="s">
        <v>254</v>
      </c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  <c r="AE407" s="8"/>
    </row>
    <row r="408">
      <c r="A408" s="12">
        <v>19.0</v>
      </c>
      <c r="B408" s="8" t="s">
        <v>271</v>
      </c>
      <c r="C408" s="8" t="s">
        <v>557</v>
      </c>
      <c r="I408" s="10" t="s">
        <v>515</v>
      </c>
      <c r="J408" s="13" t="s">
        <v>738</v>
      </c>
      <c r="K408" s="13" t="s">
        <v>272</v>
      </c>
      <c r="L408" s="13" t="s">
        <v>670</v>
      </c>
      <c r="M408" s="7" t="s">
        <v>253</v>
      </c>
      <c r="N408" s="7" t="s">
        <v>253</v>
      </c>
      <c r="O408" s="7" t="s">
        <v>254</v>
      </c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  <c r="AE408" s="8"/>
    </row>
    <row r="409">
      <c r="A409" s="12">
        <v>19.0</v>
      </c>
      <c r="B409" s="8" t="s">
        <v>271</v>
      </c>
      <c r="C409" s="8" t="s">
        <v>557</v>
      </c>
      <c r="I409" s="10" t="s">
        <v>744</v>
      </c>
      <c r="J409" s="13" t="s">
        <v>732</v>
      </c>
      <c r="K409" s="13" t="s">
        <v>272</v>
      </c>
      <c r="L409" s="13" t="s">
        <v>1189</v>
      </c>
      <c r="M409" s="7" t="s">
        <v>253</v>
      </c>
      <c r="N409" s="7" t="s">
        <v>253</v>
      </c>
      <c r="O409" s="7" t="s">
        <v>254</v>
      </c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  <c r="AE409" s="8"/>
    </row>
    <row r="410">
      <c r="A410" s="12">
        <v>19.0</v>
      </c>
      <c r="B410" s="8" t="s">
        <v>271</v>
      </c>
      <c r="C410" s="8" t="s">
        <v>557</v>
      </c>
      <c r="I410" s="10" t="s">
        <v>1190</v>
      </c>
      <c r="J410" s="13" t="s">
        <v>738</v>
      </c>
      <c r="K410" s="13" t="s">
        <v>276</v>
      </c>
      <c r="L410" s="13" t="s">
        <v>1191</v>
      </c>
      <c r="M410" s="7" t="s">
        <v>253</v>
      </c>
      <c r="N410" s="7" t="s">
        <v>253</v>
      </c>
      <c r="O410" s="7" t="s">
        <v>254</v>
      </c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  <c r="AE410" s="8"/>
    </row>
    <row r="411">
      <c r="A411" s="12">
        <v>19.0</v>
      </c>
      <c r="B411" s="8" t="s">
        <v>271</v>
      </c>
      <c r="C411" s="8" t="s">
        <v>557</v>
      </c>
      <c r="I411" s="10" t="s">
        <v>507</v>
      </c>
      <c r="J411" s="13" t="s">
        <v>732</v>
      </c>
      <c r="K411" s="13" t="s">
        <v>276</v>
      </c>
      <c r="L411" s="13" t="s">
        <v>1192</v>
      </c>
      <c r="M411" s="7" t="s">
        <v>253</v>
      </c>
      <c r="N411" s="7" t="s">
        <v>253</v>
      </c>
      <c r="O411" s="7" t="s">
        <v>254</v>
      </c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  <c r="AE411" s="8"/>
    </row>
    <row r="412">
      <c r="A412" s="12">
        <v>19.0</v>
      </c>
      <c r="B412" s="8" t="s">
        <v>271</v>
      </c>
      <c r="C412" s="8" t="s">
        <v>557</v>
      </c>
      <c r="I412" s="10" t="s">
        <v>1099</v>
      </c>
      <c r="J412" s="13" t="s">
        <v>738</v>
      </c>
      <c r="K412" s="13" t="s">
        <v>276</v>
      </c>
      <c r="L412" s="13" t="s">
        <v>1191</v>
      </c>
      <c r="M412" s="7" t="s">
        <v>253</v>
      </c>
      <c r="N412" s="7" t="s">
        <v>253</v>
      </c>
      <c r="O412" s="7" t="s">
        <v>254</v>
      </c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  <c r="AE412" s="8"/>
    </row>
    <row r="413">
      <c r="A413" s="12">
        <v>19.0</v>
      </c>
      <c r="B413" s="8" t="s">
        <v>271</v>
      </c>
      <c r="C413" s="8" t="s">
        <v>557</v>
      </c>
      <c r="I413" s="10" t="s">
        <v>789</v>
      </c>
      <c r="J413" s="13" t="s">
        <v>732</v>
      </c>
      <c r="K413" s="13" t="s">
        <v>276</v>
      </c>
      <c r="L413" s="13" t="s">
        <v>1191</v>
      </c>
      <c r="M413" s="7" t="s">
        <v>253</v>
      </c>
      <c r="N413" s="7" t="s">
        <v>253</v>
      </c>
      <c r="O413" s="7" t="s">
        <v>254</v>
      </c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  <c r="AE413" s="8"/>
    </row>
    <row r="414">
      <c r="A414" s="12">
        <v>19.0</v>
      </c>
      <c r="B414" s="8" t="s">
        <v>271</v>
      </c>
      <c r="C414" s="8" t="s">
        <v>557</v>
      </c>
      <c r="I414" s="10" t="s">
        <v>711</v>
      </c>
      <c r="J414" s="13" t="s">
        <v>738</v>
      </c>
      <c r="K414" s="13" t="s">
        <v>276</v>
      </c>
      <c r="L414" s="13" t="s">
        <v>1191</v>
      </c>
      <c r="M414" s="7" t="s">
        <v>253</v>
      </c>
      <c r="N414" s="7" t="s">
        <v>253</v>
      </c>
      <c r="O414" s="7" t="s">
        <v>254</v>
      </c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  <c r="AE414" s="8"/>
    </row>
    <row r="415">
      <c r="A415" s="12">
        <v>19.0</v>
      </c>
      <c r="B415" s="8" t="s">
        <v>271</v>
      </c>
      <c r="C415" s="8" t="s">
        <v>557</v>
      </c>
      <c r="I415" s="10" t="s">
        <v>1195</v>
      </c>
      <c r="J415" s="13" t="s">
        <v>732</v>
      </c>
      <c r="K415" s="13" t="s">
        <v>276</v>
      </c>
      <c r="L415" s="13" t="s">
        <v>1191</v>
      </c>
      <c r="M415" s="7" t="s">
        <v>253</v>
      </c>
      <c r="N415" s="7" t="s">
        <v>253</v>
      </c>
      <c r="O415" s="7" t="s">
        <v>254</v>
      </c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  <c r="AE415" s="8"/>
    </row>
    <row r="416">
      <c r="A416" s="12">
        <v>19.0</v>
      </c>
      <c r="B416" s="8" t="s">
        <v>271</v>
      </c>
      <c r="C416" s="8" t="s">
        <v>557</v>
      </c>
      <c r="I416" s="10" t="s">
        <v>1106</v>
      </c>
      <c r="J416" s="13" t="s">
        <v>738</v>
      </c>
      <c r="K416" s="13" t="s">
        <v>276</v>
      </c>
      <c r="L416" s="13" t="s">
        <v>1199</v>
      </c>
      <c r="M416" s="7" t="s">
        <v>253</v>
      </c>
      <c r="N416" s="7" t="s">
        <v>253</v>
      </c>
      <c r="O416" s="7" t="s">
        <v>254</v>
      </c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  <c r="AE416" s="8"/>
    </row>
    <row r="417">
      <c r="A417" s="12">
        <v>19.0</v>
      </c>
      <c r="B417" s="8" t="s">
        <v>271</v>
      </c>
      <c r="C417" s="8" t="s">
        <v>557</v>
      </c>
      <c r="I417" s="10" t="s">
        <v>795</v>
      </c>
      <c r="J417" s="13" t="s">
        <v>732</v>
      </c>
      <c r="K417" s="13" t="s">
        <v>276</v>
      </c>
      <c r="L417" s="13" t="s">
        <v>1191</v>
      </c>
      <c r="M417" s="7" t="s">
        <v>253</v>
      </c>
      <c r="N417" s="7" t="s">
        <v>253</v>
      </c>
      <c r="O417" s="7" t="s">
        <v>254</v>
      </c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  <c r="AE417" s="8"/>
    </row>
    <row r="418">
      <c r="A418" s="12">
        <v>19.0</v>
      </c>
      <c r="B418" s="8" t="s">
        <v>271</v>
      </c>
      <c r="C418" s="8" t="s">
        <v>557</v>
      </c>
      <c r="I418" s="10" t="s">
        <v>1088</v>
      </c>
      <c r="J418" s="13" t="s">
        <v>738</v>
      </c>
      <c r="K418" s="13" t="s">
        <v>276</v>
      </c>
      <c r="L418" s="13" t="s">
        <v>1191</v>
      </c>
      <c r="M418" s="7" t="s">
        <v>253</v>
      </c>
      <c r="N418" s="7" t="s">
        <v>253</v>
      </c>
      <c r="O418" s="7" t="s">
        <v>254</v>
      </c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  <c r="AE418" s="8"/>
    </row>
    <row r="419">
      <c r="A419" s="12">
        <v>19.0</v>
      </c>
      <c r="B419" s="8" t="s">
        <v>271</v>
      </c>
      <c r="C419" s="8" t="s">
        <v>557</v>
      </c>
      <c r="I419" s="10" t="s">
        <v>560</v>
      </c>
      <c r="J419" s="13" t="s">
        <v>732</v>
      </c>
      <c r="K419" s="13" t="s">
        <v>276</v>
      </c>
      <c r="L419" s="13" t="s">
        <v>1199</v>
      </c>
      <c r="M419" s="7" t="s">
        <v>253</v>
      </c>
      <c r="N419" s="7" t="s">
        <v>253</v>
      </c>
      <c r="O419" s="7" t="s">
        <v>254</v>
      </c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  <c r="AE419" s="8"/>
    </row>
    <row r="420">
      <c r="A420" s="12">
        <v>19.0</v>
      </c>
      <c r="B420" s="8" t="s">
        <v>271</v>
      </c>
      <c r="C420" s="8" t="s">
        <v>557</v>
      </c>
      <c r="I420" s="10" t="s">
        <v>313</v>
      </c>
      <c r="J420" s="13" t="s">
        <v>738</v>
      </c>
      <c r="K420" s="13" t="s">
        <v>276</v>
      </c>
      <c r="L420" s="13" t="s">
        <v>1191</v>
      </c>
      <c r="M420" s="7" t="s">
        <v>253</v>
      </c>
      <c r="N420" s="7" t="s">
        <v>253</v>
      </c>
      <c r="O420" s="7" t="s">
        <v>254</v>
      </c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  <c r="AE420" s="8"/>
    </row>
    <row r="421">
      <c r="A421" s="12">
        <v>19.0</v>
      </c>
      <c r="B421" s="8" t="s">
        <v>271</v>
      </c>
      <c r="C421" s="8" t="s">
        <v>557</v>
      </c>
      <c r="I421" s="10" t="s">
        <v>564</v>
      </c>
      <c r="J421" s="13" t="s">
        <v>732</v>
      </c>
      <c r="K421" s="13" t="s">
        <v>276</v>
      </c>
      <c r="L421" s="13" t="s">
        <v>1199</v>
      </c>
      <c r="M421" s="7" t="s">
        <v>253</v>
      </c>
      <c r="N421" s="7" t="s">
        <v>253</v>
      </c>
      <c r="O421" s="7" t="s">
        <v>254</v>
      </c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  <c r="AE421" s="8"/>
    </row>
    <row r="422">
      <c r="A422" s="12">
        <v>19.0</v>
      </c>
      <c r="B422" s="8" t="s">
        <v>271</v>
      </c>
      <c r="C422" s="8" t="s">
        <v>557</v>
      </c>
      <c r="I422" s="10" t="s">
        <v>1204</v>
      </c>
      <c r="J422" s="13" t="s">
        <v>738</v>
      </c>
      <c r="K422" s="13" t="s">
        <v>276</v>
      </c>
      <c r="L422" s="13" t="s">
        <v>1191</v>
      </c>
      <c r="M422" s="7" t="s">
        <v>253</v>
      </c>
      <c r="N422" s="7" t="s">
        <v>253</v>
      </c>
      <c r="O422" s="7" t="s">
        <v>254</v>
      </c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  <c r="AE422" s="8"/>
    </row>
    <row r="423">
      <c r="A423" s="12">
        <v>19.0</v>
      </c>
      <c r="B423" s="8" t="s">
        <v>271</v>
      </c>
      <c r="C423" s="8" t="s">
        <v>557</v>
      </c>
      <c r="I423" s="10" t="s">
        <v>284</v>
      </c>
      <c r="J423" s="13" t="s">
        <v>732</v>
      </c>
      <c r="K423" s="13" t="s">
        <v>276</v>
      </c>
      <c r="L423" s="13" t="s">
        <v>1191</v>
      </c>
      <c r="M423" s="7" t="s">
        <v>253</v>
      </c>
      <c r="N423" s="7" t="s">
        <v>253</v>
      </c>
      <c r="O423" s="7" t="s">
        <v>254</v>
      </c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  <c r="AE423" s="8"/>
    </row>
    <row r="424">
      <c r="A424" s="12">
        <v>19.0</v>
      </c>
      <c r="B424" s="8" t="s">
        <v>271</v>
      </c>
      <c r="C424" s="8" t="s">
        <v>557</v>
      </c>
      <c r="I424" s="10" t="s">
        <v>798</v>
      </c>
      <c r="J424" s="13" t="s">
        <v>738</v>
      </c>
      <c r="K424" s="13" t="s">
        <v>276</v>
      </c>
      <c r="L424" s="13" t="s">
        <v>1191</v>
      </c>
      <c r="M424" s="7" t="s">
        <v>253</v>
      </c>
      <c r="N424" s="7" t="s">
        <v>253</v>
      </c>
      <c r="O424" s="7" t="s">
        <v>254</v>
      </c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  <c r="AE424" s="8"/>
    </row>
    <row r="425">
      <c r="A425" s="12">
        <v>19.0</v>
      </c>
      <c r="B425" s="8" t="s">
        <v>271</v>
      </c>
      <c r="C425" s="8" t="s">
        <v>557</v>
      </c>
      <c r="I425" s="10" t="s">
        <v>1209</v>
      </c>
      <c r="J425" s="13" t="s">
        <v>732</v>
      </c>
      <c r="K425" s="13" t="s">
        <v>276</v>
      </c>
      <c r="L425" s="13" t="s">
        <v>1191</v>
      </c>
      <c r="M425" s="7" t="s">
        <v>253</v>
      </c>
      <c r="N425" s="7" t="s">
        <v>253</v>
      </c>
      <c r="O425" s="7" t="s">
        <v>254</v>
      </c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  <c r="AE425" s="8"/>
    </row>
    <row r="426">
      <c r="A426" s="12">
        <v>19.0</v>
      </c>
      <c r="B426" s="8" t="s">
        <v>271</v>
      </c>
      <c r="C426" s="8" t="s">
        <v>557</v>
      </c>
      <c r="I426" s="10" t="s">
        <v>1086</v>
      </c>
      <c r="J426" s="13" t="s">
        <v>738</v>
      </c>
      <c r="K426" s="13" t="s">
        <v>276</v>
      </c>
      <c r="L426" s="13" t="s">
        <v>1191</v>
      </c>
      <c r="M426" s="7" t="s">
        <v>253</v>
      </c>
      <c r="N426" s="7" t="s">
        <v>253</v>
      </c>
      <c r="O426" s="7" t="s">
        <v>254</v>
      </c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  <c r="AE426" s="8"/>
    </row>
    <row r="427">
      <c r="A427" s="12">
        <v>19.0</v>
      </c>
      <c r="B427" s="8" t="s">
        <v>271</v>
      </c>
      <c r="C427" s="8" t="s">
        <v>557</v>
      </c>
      <c r="I427" s="10" t="s">
        <v>792</v>
      </c>
      <c r="J427" s="13" t="s">
        <v>732</v>
      </c>
      <c r="K427" s="13" t="s">
        <v>276</v>
      </c>
      <c r="L427" s="13" t="s">
        <v>1191</v>
      </c>
      <c r="M427" s="7" t="s">
        <v>253</v>
      </c>
      <c r="N427" s="7" t="s">
        <v>253</v>
      </c>
      <c r="O427" s="7" t="s">
        <v>254</v>
      </c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  <c r="AE427" s="8"/>
    </row>
    <row r="428">
      <c r="A428" s="12">
        <v>19.0</v>
      </c>
      <c r="B428" s="8" t="s">
        <v>271</v>
      </c>
      <c r="C428" s="8" t="s">
        <v>557</v>
      </c>
      <c r="I428" s="10" t="s">
        <v>1214</v>
      </c>
      <c r="J428" s="13" t="s">
        <v>738</v>
      </c>
      <c r="K428" s="13" t="s">
        <v>276</v>
      </c>
      <c r="L428" s="13" t="s">
        <v>1191</v>
      </c>
      <c r="M428" s="7" t="s">
        <v>253</v>
      </c>
      <c r="N428" s="7" t="s">
        <v>253</v>
      </c>
      <c r="O428" s="7" t="s">
        <v>254</v>
      </c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  <c r="AE428" s="8"/>
    </row>
    <row r="429">
      <c r="A429" s="12">
        <v>19.0</v>
      </c>
      <c r="B429" s="8" t="s">
        <v>271</v>
      </c>
      <c r="C429" s="8" t="s">
        <v>557</v>
      </c>
      <c r="I429" s="10" t="s">
        <v>1215</v>
      </c>
      <c r="J429" s="13" t="s">
        <v>732</v>
      </c>
      <c r="K429" s="13" t="s">
        <v>276</v>
      </c>
      <c r="L429" s="13" t="s">
        <v>1191</v>
      </c>
      <c r="M429" s="7" t="s">
        <v>253</v>
      </c>
      <c r="N429" s="7" t="s">
        <v>253</v>
      </c>
      <c r="O429" s="7" t="s">
        <v>254</v>
      </c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  <c r="AE429" s="8"/>
    </row>
    <row r="430">
      <c r="A430" s="12">
        <v>19.0</v>
      </c>
      <c r="B430" s="8" t="s">
        <v>271</v>
      </c>
      <c r="C430" s="8" t="s">
        <v>557</v>
      </c>
      <c r="I430" s="10" t="s">
        <v>659</v>
      </c>
      <c r="J430" s="13" t="s">
        <v>738</v>
      </c>
      <c r="K430" s="13" t="s">
        <v>276</v>
      </c>
      <c r="L430" s="13" t="s">
        <v>1191</v>
      </c>
      <c r="M430" s="7" t="s">
        <v>253</v>
      </c>
      <c r="N430" s="7" t="s">
        <v>253</v>
      </c>
      <c r="O430" s="7" t="s">
        <v>254</v>
      </c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  <c r="AE430" s="8"/>
    </row>
    <row r="431">
      <c r="A431" s="12">
        <v>19.0</v>
      </c>
      <c r="B431" s="8" t="s">
        <v>271</v>
      </c>
      <c r="C431" s="8" t="s">
        <v>557</v>
      </c>
      <c r="I431" s="10" t="s">
        <v>1219</v>
      </c>
      <c r="J431" s="13" t="s">
        <v>732</v>
      </c>
      <c r="K431" s="13" t="s">
        <v>276</v>
      </c>
      <c r="L431" s="13" t="s">
        <v>1191</v>
      </c>
      <c r="M431" s="7" t="s">
        <v>253</v>
      </c>
      <c r="N431" s="7" t="s">
        <v>253</v>
      </c>
      <c r="O431" s="7" t="s">
        <v>254</v>
      </c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  <c r="AE431" s="8"/>
    </row>
    <row r="432">
      <c r="A432" s="12">
        <v>19.0</v>
      </c>
      <c r="B432" s="8" t="s">
        <v>271</v>
      </c>
      <c r="C432" s="8" t="s">
        <v>557</v>
      </c>
      <c r="I432" s="10" t="s">
        <v>699</v>
      </c>
      <c r="J432" s="13" t="s">
        <v>738</v>
      </c>
      <c r="K432" s="13" t="s">
        <v>276</v>
      </c>
      <c r="L432" s="13" t="s">
        <v>1191</v>
      </c>
      <c r="M432" s="7" t="s">
        <v>253</v>
      </c>
      <c r="N432" s="7" t="s">
        <v>253</v>
      </c>
      <c r="O432" s="7" t="s">
        <v>254</v>
      </c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  <c r="AE432" s="8"/>
    </row>
    <row r="433">
      <c r="A433" s="12">
        <v>19.0</v>
      </c>
      <c r="B433" s="8" t="s">
        <v>271</v>
      </c>
      <c r="C433" s="8" t="s">
        <v>557</v>
      </c>
      <c r="I433" s="10" t="s">
        <v>1224</v>
      </c>
      <c r="J433" s="13" t="s">
        <v>732</v>
      </c>
      <c r="K433" s="13" t="s">
        <v>276</v>
      </c>
      <c r="L433" s="13" t="s">
        <v>1199</v>
      </c>
      <c r="M433" s="7" t="s">
        <v>253</v>
      </c>
      <c r="N433" s="7" t="s">
        <v>253</v>
      </c>
      <c r="O433" s="7" t="s">
        <v>254</v>
      </c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  <c r="AE433" s="8"/>
    </row>
    <row r="434">
      <c r="A434" s="12">
        <v>19.0</v>
      </c>
      <c r="B434" s="8" t="s">
        <v>271</v>
      </c>
      <c r="C434" s="8" t="s">
        <v>557</v>
      </c>
      <c r="I434" s="10" t="s">
        <v>1225</v>
      </c>
      <c r="J434" s="13" t="s">
        <v>738</v>
      </c>
      <c r="K434" s="13" t="s">
        <v>276</v>
      </c>
      <c r="L434" s="13" t="s">
        <v>1191</v>
      </c>
      <c r="M434" s="7" t="s">
        <v>253</v>
      </c>
      <c r="N434" s="7" t="s">
        <v>253</v>
      </c>
      <c r="O434" s="7" t="s">
        <v>254</v>
      </c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  <c r="AE434" s="8"/>
    </row>
    <row r="435">
      <c r="A435" s="12">
        <v>19.0</v>
      </c>
      <c r="B435" s="8" t="s">
        <v>271</v>
      </c>
      <c r="C435" s="8" t="s">
        <v>557</v>
      </c>
      <c r="I435" s="10" t="s">
        <v>683</v>
      </c>
      <c r="J435" s="13" t="s">
        <v>732</v>
      </c>
      <c r="K435" s="13" t="s">
        <v>276</v>
      </c>
      <c r="L435" s="13" t="s">
        <v>1191</v>
      </c>
      <c r="M435" s="7" t="s">
        <v>253</v>
      </c>
      <c r="N435" s="7" t="s">
        <v>253</v>
      </c>
      <c r="O435" s="7" t="s">
        <v>254</v>
      </c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  <c r="AE435" s="8"/>
    </row>
    <row r="436">
      <c r="A436" s="12">
        <v>19.0</v>
      </c>
      <c r="B436" s="8" t="s">
        <v>271</v>
      </c>
      <c r="C436" s="8" t="s">
        <v>557</v>
      </c>
      <c r="I436" s="10" t="s">
        <v>854</v>
      </c>
      <c r="J436" s="13" t="s">
        <v>738</v>
      </c>
      <c r="K436" s="13" t="s">
        <v>276</v>
      </c>
      <c r="L436" s="13" t="s">
        <v>1191</v>
      </c>
      <c r="M436" s="7" t="s">
        <v>253</v>
      </c>
      <c r="N436" s="7" t="s">
        <v>253</v>
      </c>
      <c r="O436" s="7" t="s">
        <v>254</v>
      </c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  <c r="AE436" s="8"/>
    </row>
    <row r="437">
      <c r="A437" s="12">
        <v>20.0</v>
      </c>
      <c r="B437" s="8" t="s">
        <v>275</v>
      </c>
      <c r="C437" s="8" t="s">
        <v>557</v>
      </c>
      <c r="D437" s="25">
        <f>IF(COUNTIF($B$2:$B437,$B437)&gt;1,"",COUNTIF($B$2:$B$2505,$B437))</f>
        <v>43</v>
      </c>
      <c r="E437" s="25">
        <f>IF(COUNTIF($B$2:$B437,$B437)&gt;1,"",COUNTIFS($B$2:$B$2505,$B437,$K$2:$K$2505,"PHÙ HỢP CAO"))</f>
        <v>1</v>
      </c>
      <c r="F437" s="25">
        <f>IF(COUNTIF($B$2:$B437,$B437)&gt;1,"",COUNTIFS($B$2:$B$2505,$B437,$K$2:$K$2505,"CÓ THỂ ĐI"))</f>
        <v>4</v>
      </c>
      <c r="G437" s="25">
        <f>IF(COUNTIF($B$2:$B437,$B437)&gt;1,"",COUNTIFS($B$2:$B$2505,$B437,$K$2:$K$2505,"CẦN SOÁT"))</f>
        <v>38</v>
      </c>
      <c r="H437" s="26" t="str">
        <f>IFERROR(__xludf.DUMMYFUNCTION("IF(COUNTIF($B$2:$B437,$B437)&gt;1,"""",IFERROR(TEXTJOIN(CHAR(10),TRUE,BYROW(QUERY({$B$2:$B$2505,$J$2:$J$2505},""select Col2, count(Col2) where Col1 = '""&amp;$B437&amp;""' group by Col2 order by count(Col2) desc label count(Col2) ''"",0),LAMBDA(r,INDEX(r,1,1)&amp;"" – "&amp;"""&amp;INDEX(r,1,2)&amp;"" link""))),""""))"),"cách sao kê tài khoản ngân hàng – 22 link
sao kê tài khoản ngân hàng – 21 link")</f>
        <v>cách sao kê tài khoản ngân hàng – 22 link
sao kê tài khoản ngân hàng – 21 link</v>
      </c>
      <c r="I437" s="10" t="s">
        <v>623</v>
      </c>
      <c r="J437" s="13" t="s">
        <v>750</v>
      </c>
      <c r="K437" s="13" t="s">
        <v>251</v>
      </c>
      <c r="L437" s="13" t="s">
        <v>1236</v>
      </c>
      <c r="M437" s="7" t="s">
        <v>253</v>
      </c>
      <c r="N437" s="7" t="s">
        <v>253</v>
      </c>
      <c r="O437" s="7" t="s">
        <v>254</v>
      </c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  <c r="AE437" s="8"/>
    </row>
    <row r="438">
      <c r="A438" s="12">
        <v>20.0</v>
      </c>
      <c r="B438" s="8" t="s">
        <v>275</v>
      </c>
      <c r="C438" s="8" t="s">
        <v>557</v>
      </c>
      <c r="I438" s="10" t="s">
        <v>525</v>
      </c>
      <c r="J438" s="13" t="s">
        <v>753</v>
      </c>
      <c r="K438" s="13" t="s">
        <v>272</v>
      </c>
      <c r="L438" s="13" t="s">
        <v>1238</v>
      </c>
      <c r="M438" s="7" t="s">
        <v>253</v>
      </c>
      <c r="N438" s="7" t="s">
        <v>253</v>
      </c>
      <c r="O438" s="7" t="s">
        <v>254</v>
      </c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  <c r="AE438" s="8"/>
    </row>
    <row r="439">
      <c r="A439" s="12">
        <v>20.0</v>
      </c>
      <c r="B439" s="8" t="s">
        <v>275</v>
      </c>
      <c r="C439" s="8" t="s">
        <v>557</v>
      </c>
      <c r="I439" s="10" t="s">
        <v>643</v>
      </c>
      <c r="J439" s="13" t="s">
        <v>750</v>
      </c>
      <c r="K439" s="13" t="s">
        <v>272</v>
      </c>
      <c r="L439" s="13" t="s">
        <v>1239</v>
      </c>
      <c r="M439" s="7" t="s">
        <v>253</v>
      </c>
      <c r="N439" s="7" t="s">
        <v>253</v>
      </c>
      <c r="O439" s="7" t="s">
        <v>254</v>
      </c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  <c r="AE439" s="8"/>
    </row>
    <row r="440">
      <c r="A440" s="12">
        <v>20.0</v>
      </c>
      <c r="B440" s="8" t="s">
        <v>275</v>
      </c>
      <c r="C440" s="8" t="s">
        <v>557</v>
      </c>
      <c r="I440" s="10" t="s">
        <v>327</v>
      </c>
      <c r="J440" s="13" t="s">
        <v>753</v>
      </c>
      <c r="K440" s="13" t="s">
        <v>272</v>
      </c>
      <c r="L440" s="13" t="s">
        <v>1240</v>
      </c>
      <c r="M440" s="7" t="s">
        <v>253</v>
      </c>
      <c r="N440" s="7" t="s">
        <v>253</v>
      </c>
      <c r="O440" s="7" t="s">
        <v>254</v>
      </c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  <c r="AE440" s="8"/>
    </row>
    <row r="441">
      <c r="A441" s="12">
        <v>20.0</v>
      </c>
      <c r="B441" s="8" t="s">
        <v>275</v>
      </c>
      <c r="C441" s="8" t="s">
        <v>557</v>
      </c>
      <c r="I441" s="10" t="s">
        <v>1242</v>
      </c>
      <c r="J441" s="13" t="s">
        <v>750</v>
      </c>
      <c r="K441" s="13" t="s">
        <v>272</v>
      </c>
      <c r="L441" s="13" t="s">
        <v>1244</v>
      </c>
      <c r="M441" s="7" t="s">
        <v>253</v>
      </c>
      <c r="N441" s="7" t="s">
        <v>253</v>
      </c>
      <c r="O441" s="7" t="s">
        <v>254</v>
      </c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  <c r="AE441" s="8"/>
    </row>
    <row r="442">
      <c r="A442" s="12">
        <v>20.0</v>
      </c>
      <c r="B442" s="8" t="s">
        <v>275</v>
      </c>
      <c r="C442" s="8" t="s">
        <v>557</v>
      </c>
      <c r="I442" s="10" t="s">
        <v>1245</v>
      </c>
      <c r="J442" s="13" t="s">
        <v>753</v>
      </c>
      <c r="K442" s="13" t="s">
        <v>276</v>
      </c>
      <c r="L442" s="13" t="s">
        <v>1248</v>
      </c>
      <c r="M442" s="7" t="s">
        <v>253</v>
      </c>
      <c r="N442" s="7" t="s">
        <v>253</v>
      </c>
      <c r="O442" s="7" t="s">
        <v>254</v>
      </c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  <c r="AE442" s="8"/>
    </row>
    <row r="443">
      <c r="A443" s="12">
        <v>20.0</v>
      </c>
      <c r="B443" s="8" t="s">
        <v>275</v>
      </c>
      <c r="C443" s="8" t="s">
        <v>557</v>
      </c>
      <c r="I443" s="10" t="s">
        <v>1250</v>
      </c>
      <c r="J443" s="13" t="s">
        <v>750</v>
      </c>
      <c r="K443" s="13" t="s">
        <v>276</v>
      </c>
      <c r="L443" s="13" t="s">
        <v>1248</v>
      </c>
      <c r="M443" s="7" t="s">
        <v>253</v>
      </c>
      <c r="N443" s="7" t="s">
        <v>253</v>
      </c>
      <c r="O443" s="7" t="s">
        <v>254</v>
      </c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  <c r="AE443" s="8"/>
    </row>
    <row r="444">
      <c r="A444" s="12">
        <v>20.0</v>
      </c>
      <c r="B444" s="8" t="s">
        <v>275</v>
      </c>
      <c r="C444" s="8" t="s">
        <v>557</v>
      </c>
      <c r="I444" s="10" t="s">
        <v>1251</v>
      </c>
      <c r="J444" s="13" t="s">
        <v>753</v>
      </c>
      <c r="K444" s="13" t="s">
        <v>276</v>
      </c>
      <c r="L444" s="13" t="s">
        <v>1248</v>
      </c>
      <c r="M444" s="7" t="s">
        <v>253</v>
      </c>
      <c r="N444" s="7" t="s">
        <v>253</v>
      </c>
      <c r="O444" s="7" t="s">
        <v>254</v>
      </c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  <c r="AE444" s="8"/>
    </row>
    <row r="445">
      <c r="A445" s="12">
        <v>20.0</v>
      </c>
      <c r="B445" s="8" t="s">
        <v>275</v>
      </c>
      <c r="C445" s="8" t="s">
        <v>557</v>
      </c>
      <c r="I445" s="10" t="s">
        <v>1254</v>
      </c>
      <c r="J445" s="13" t="s">
        <v>750</v>
      </c>
      <c r="K445" s="13" t="s">
        <v>276</v>
      </c>
      <c r="L445" s="13" t="s">
        <v>1248</v>
      </c>
      <c r="M445" s="7" t="s">
        <v>253</v>
      </c>
      <c r="N445" s="7" t="s">
        <v>253</v>
      </c>
      <c r="O445" s="7" t="s">
        <v>254</v>
      </c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  <c r="AE445" s="8"/>
    </row>
    <row r="446">
      <c r="A446" s="12">
        <v>20.0</v>
      </c>
      <c r="B446" s="8" t="s">
        <v>275</v>
      </c>
      <c r="C446" s="8" t="s">
        <v>557</v>
      </c>
      <c r="I446" s="10" t="s">
        <v>1166</v>
      </c>
      <c r="J446" s="13" t="s">
        <v>753</v>
      </c>
      <c r="K446" s="13" t="s">
        <v>276</v>
      </c>
      <c r="L446" s="13" t="s">
        <v>1248</v>
      </c>
      <c r="M446" s="7" t="s">
        <v>253</v>
      </c>
      <c r="N446" s="7" t="s">
        <v>253</v>
      </c>
      <c r="O446" s="7" t="s">
        <v>254</v>
      </c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  <c r="AE446" s="8"/>
    </row>
    <row r="447">
      <c r="A447" s="12">
        <v>20.0</v>
      </c>
      <c r="B447" s="8" t="s">
        <v>275</v>
      </c>
      <c r="C447" s="8" t="s">
        <v>557</v>
      </c>
      <c r="I447" s="10" t="s">
        <v>815</v>
      </c>
      <c r="J447" s="13" t="s">
        <v>750</v>
      </c>
      <c r="K447" s="13" t="s">
        <v>276</v>
      </c>
      <c r="L447" s="13" t="s">
        <v>1248</v>
      </c>
      <c r="M447" s="7" t="s">
        <v>253</v>
      </c>
      <c r="N447" s="7" t="s">
        <v>253</v>
      </c>
      <c r="O447" s="7" t="s">
        <v>254</v>
      </c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  <c r="AE447" s="8"/>
    </row>
    <row r="448">
      <c r="A448" s="12">
        <v>20.0</v>
      </c>
      <c r="B448" s="8" t="s">
        <v>275</v>
      </c>
      <c r="C448" s="8" t="s">
        <v>557</v>
      </c>
      <c r="I448" s="10" t="s">
        <v>1257</v>
      </c>
      <c r="J448" s="13" t="s">
        <v>753</v>
      </c>
      <c r="K448" s="13" t="s">
        <v>276</v>
      </c>
      <c r="L448" s="13" t="s">
        <v>1248</v>
      </c>
      <c r="M448" s="7" t="s">
        <v>253</v>
      </c>
      <c r="N448" s="7" t="s">
        <v>253</v>
      </c>
      <c r="O448" s="7" t="s">
        <v>254</v>
      </c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  <c r="AE448" s="8"/>
    </row>
    <row r="449">
      <c r="A449" s="12">
        <v>20.0</v>
      </c>
      <c r="B449" s="8" t="s">
        <v>275</v>
      </c>
      <c r="C449" s="8" t="s">
        <v>557</v>
      </c>
      <c r="I449" s="10" t="s">
        <v>1260</v>
      </c>
      <c r="J449" s="13" t="s">
        <v>750</v>
      </c>
      <c r="K449" s="13" t="s">
        <v>276</v>
      </c>
      <c r="L449" s="13" t="s">
        <v>1248</v>
      </c>
      <c r="M449" s="7" t="s">
        <v>253</v>
      </c>
      <c r="N449" s="7" t="s">
        <v>253</v>
      </c>
      <c r="O449" s="7" t="s">
        <v>254</v>
      </c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  <c r="AE449" s="8"/>
    </row>
    <row r="450">
      <c r="A450" s="12">
        <v>20.0</v>
      </c>
      <c r="B450" s="8" t="s">
        <v>275</v>
      </c>
      <c r="C450" s="8" t="s">
        <v>557</v>
      </c>
      <c r="I450" s="10" t="s">
        <v>1262</v>
      </c>
      <c r="J450" s="13" t="s">
        <v>753</v>
      </c>
      <c r="K450" s="13" t="s">
        <v>276</v>
      </c>
      <c r="L450" s="13" t="s">
        <v>1248</v>
      </c>
      <c r="M450" s="7" t="s">
        <v>253</v>
      </c>
      <c r="N450" s="7" t="s">
        <v>253</v>
      </c>
      <c r="O450" s="7" t="s">
        <v>254</v>
      </c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  <c r="AE450" s="8"/>
    </row>
    <row r="451">
      <c r="A451" s="12">
        <v>20.0</v>
      </c>
      <c r="B451" s="8" t="s">
        <v>275</v>
      </c>
      <c r="C451" s="8" t="s">
        <v>557</v>
      </c>
      <c r="I451" s="10" t="s">
        <v>1266</v>
      </c>
      <c r="J451" s="13" t="s">
        <v>750</v>
      </c>
      <c r="K451" s="13" t="s">
        <v>276</v>
      </c>
      <c r="L451" s="13" t="s">
        <v>1248</v>
      </c>
      <c r="M451" s="7" t="s">
        <v>253</v>
      </c>
      <c r="N451" s="7" t="s">
        <v>253</v>
      </c>
      <c r="O451" s="7" t="s">
        <v>254</v>
      </c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  <c r="AE451" s="8"/>
    </row>
    <row r="452">
      <c r="A452" s="12">
        <v>20.0</v>
      </c>
      <c r="B452" s="8" t="s">
        <v>275</v>
      </c>
      <c r="C452" s="8" t="s">
        <v>557</v>
      </c>
      <c r="I452" s="10" t="s">
        <v>1268</v>
      </c>
      <c r="J452" s="13" t="s">
        <v>753</v>
      </c>
      <c r="K452" s="13" t="s">
        <v>276</v>
      </c>
      <c r="L452" s="13" t="s">
        <v>1248</v>
      </c>
      <c r="M452" s="7" t="s">
        <v>253</v>
      </c>
      <c r="N452" s="7" t="s">
        <v>253</v>
      </c>
      <c r="O452" s="7" t="s">
        <v>254</v>
      </c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  <c r="AE452" s="8"/>
    </row>
    <row r="453">
      <c r="A453" s="12">
        <v>20.0</v>
      </c>
      <c r="B453" s="8" t="s">
        <v>275</v>
      </c>
      <c r="C453" s="8" t="s">
        <v>557</v>
      </c>
      <c r="I453" s="10" t="s">
        <v>894</v>
      </c>
      <c r="J453" s="13" t="s">
        <v>750</v>
      </c>
      <c r="K453" s="13" t="s">
        <v>276</v>
      </c>
      <c r="L453" s="13" t="s">
        <v>1248</v>
      </c>
      <c r="M453" s="7" t="s">
        <v>253</v>
      </c>
      <c r="N453" s="7" t="s">
        <v>253</v>
      </c>
      <c r="O453" s="7" t="s">
        <v>254</v>
      </c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  <c r="AE453" s="8"/>
    </row>
    <row r="454">
      <c r="A454" s="12">
        <v>20.0</v>
      </c>
      <c r="B454" s="8" t="s">
        <v>275</v>
      </c>
      <c r="C454" s="8" t="s">
        <v>557</v>
      </c>
      <c r="I454" s="10" t="s">
        <v>1273</v>
      </c>
      <c r="J454" s="13" t="s">
        <v>753</v>
      </c>
      <c r="K454" s="13" t="s">
        <v>276</v>
      </c>
      <c r="L454" s="13" t="s">
        <v>1248</v>
      </c>
      <c r="M454" s="7" t="s">
        <v>253</v>
      </c>
      <c r="N454" s="7" t="s">
        <v>253</v>
      </c>
      <c r="O454" s="7" t="s">
        <v>254</v>
      </c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  <c r="AE454" s="8"/>
    </row>
    <row r="455">
      <c r="A455" s="12">
        <v>20.0</v>
      </c>
      <c r="B455" s="8" t="s">
        <v>275</v>
      </c>
      <c r="C455" s="8" t="s">
        <v>557</v>
      </c>
      <c r="I455" s="10" t="s">
        <v>944</v>
      </c>
      <c r="J455" s="13" t="s">
        <v>750</v>
      </c>
      <c r="K455" s="13" t="s">
        <v>276</v>
      </c>
      <c r="L455" s="13" t="s">
        <v>1276</v>
      </c>
      <c r="M455" s="7" t="s">
        <v>253</v>
      </c>
      <c r="N455" s="7" t="s">
        <v>253</v>
      </c>
      <c r="O455" s="7" t="s">
        <v>254</v>
      </c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  <c r="AE455" s="8"/>
    </row>
    <row r="456">
      <c r="A456" s="12">
        <v>20.0</v>
      </c>
      <c r="B456" s="8" t="s">
        <v>275</v>
      </c>
      <c r="C456" s="8" t="s">
        <v>557</v>
      </c>
      <c r="I456" s="10" t="s">
        <v>903</v>
      </c>
      <c r="J456" s="13" t="s">
        <v>753</v>
      </c>
      <c r="K456" s="13" t="s">
        <v>276</v>
      </c>
      <c r="L456" s="13" t="s">
        <v>1248</v>
      </c>
      <c r="M456" s="7" t="s">
        <v>253</v>
      </c>
      <c r="N456" s="7" t="s">
        <v>253</v>
      </c>
      <c r="O456" s="7" t="s">
        <v>254</v>
      </c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  <c r="AE456" s="8"/>
    </row>
    <row r="457">
      <c r="A457" s="12">
        <v>20.0</v>
      </c>
      <c r="B457" s="8" t="s">
        <v>275</v>
      </c>
      <c r="C457" s="8" t="s">
        <v>557</v>
      </c>
      <c r="I457" s="10" t="s">
        <v>1277</v>
      </c>
      <c r="J457" s="13" t="s">
        <v>750</v>
      </c>
      <c r="K457" s="13" t="s">
        <v>276</v>
      </c>
      <c r="L457" s="13" t="s">
        <v>1248</v>
      </c>
      <c r="M457" s="7" t="s">
        <v>253</v>
      </c>
      <c r="N457" s="7" t="s">
        <v>253</v>
      </c>
      <c r="O457" s="7" t="s">
        <v>254</v>
      </c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  <c r="AE457" s="8"/>
    </row>
    <row r="458">
      <c r="A458" s="12">
        <v>20.0</v>
      </c>
      <c r="B458" s="8" t="s">
        <v>275</v>
      </c>
      <c r="C458" s="8" t="s">
        <v>557</v>
      </c>
      <c r="I458" s="10" t="s">
        <v>362</v>
      </c>
      <c r="J458" s="13" t="s">
        <v>753</v>
      </c>
      <c r="K458" s="13" t="s">
        <v>276</v>
      </c>
      <c r="L458" s="13" t="s">
        <v>1248</v>
      </c>
      <c r="M458" s="7" t="s">
        <v>253</v>
      </c>
      <c r="N458" s="7" t="s">
        <v>253</v>
      </c>
      <c r="O458" s="7" t="s">
        <v>254</v>
      </c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  <c r="AE458" s="8"/>
    </row>
    <row r="459">
      <c r="A459" s="12">
        <v>20.0</v>
      </c>
      <c r="B459" s="8" t="s">
        <v>275</v>
      </c>
      <c r="C459" s="8" t="s">
        <v>557</v>
      </c>
      <c r="I459" s="10" t="s">
        <v>873</v>
      </c>
      <c r="J459" s="13" t="s">
        <v>750</v>
      </c>
      <c r="K459" s="13" t="s">
        <v>276</v>
      </c>
      <c r="L459" s="13" t="s">
        <v>1286</v>
      </c>
      <c r="M459" s="7" t="s">
        <v>253</v>
      </c>
      <c r="N459" s="7" t="s">
        <v>253</v>
      </c>
      <c r="O459" s="7" t="s">
        <v>254</v>
      </c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  <c r="AE459" s="8"/>
    </row>
    <row r="460">
      <c r="A460" s="12">
        <v>20.0</v>
      </c>
      <c r="B460" s="8" t="s">
        <v>275</v>
      </c>
      <c r="C460" s="8" t="s">
        <v>557</v>
      </c>
      <c r="I460" s="10" t="s">
        <v>716</v>
      </c>
      <c r="J460" s="13" t="s">
        <v>753</v>
      </c>
      <c r="K460" s="13" t="s">
        <v>276</v>
      </c>
      <c r="L460" s="13" t="s">
        <v>1248</v>
      </c>
      <c r="M460" s="7" t="s">
        <v>253</v>
      </c>
      <c r="N460" s="7" t="s">
        <v>253</v>
      </c>
      <c r="O460" s="7" t="s">
        <v>254</v>
      </c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  <c r="AE460" s="8"/>
    </row>
    <row r="461">
      <c r="A461" s="12">
        <v>20.0</v>
      </c>
      <c r="B461" s="8" t="s">
        <v>275</v>
      </c>
      <c r="C461" s="8" t="s">
        <v>557</v>
      </c>
      <c r="I461" s="10" t="s">
        <v>891</v>
      </c>
      <c r="J461" s="13" t="s">
        <v>750</v>
      </c>
      <c r="K461" s="13" t="s">
        <v>276</v>
      </c>
      <c r="L461" s="13" t="s">
        <v>1248</v>
      </c>
      <c r="M461" s="7" t="s">
        <v>253</v>
      </c>
      <c r="N461" s="7" t="s">
        <v>253</v>
      </c>
      <c r="O461" s="7" t="s">
        <v>254</v>
      </c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  <c r="AE461" s="8"/>
    </row>
    <row r="462">
      <c r="A462" s="12">
        <v>20.0</v>
      </c>
      <c r="B462" s="8" t="s">
        <v>275</v>
      </c>
      <c r="C462" s="8" t="s">
        <v>557</v>
      </c>
      <c r="I462" s="10" t="s">
        <v>1289</v>
      </c>
      <c r="J462" s="13" t="s">
        <v>753</v>
      </c>
      <c r="K462" s="13" t="s">
        <v>276</v>
      </c>
      <c r="L462" s="13" t="s">
        <v>1248</v>
      </c>
      <c r="M462" s="7" t="s">
        <v>253</v>
      </c>
      <c r="N462" s="7" t="s">
        <v>253</v>
      </c>
      <c r="O462" s="7" t="s">
        <v>254</v>
      </c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  <c r="AE462" s="8"/>
    </row>
    <row r="463">
      <c r="A463" s="12">
        <v>20.0</v>
      </c>
      <c r="B463" s="8" t="s">
        <v>275</v>
      </c>
      <c r="C463" s="8" t="s">
        <v>557</v>
      </c>
      <c r="I463" s="10" t="s">
        <v>1291</v>
      </c>
      <c r="J463" s="13" t="s">
        <v>750</v>
      </c>
      <c r="K463" s="13" t="s">
        <v>276</v>
      </c>
      <c r="L463" s="13" t="s">
        <v>1286</v>
      </c>
      <c r="M463" s="7" t="s">
        <v>253</v>
      </c>
      <c r="N463" s="7" t="s">
        <v>253</v>
      </c>
      <c r="O463" s="7" t="s">
        <v>254</v>
      </c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  <c r="AE463" s="8"/>
    </row>
    <row r="464">
      <c r="A464" s="12">
        <v>20.0</v>
      </c>
      <c r="B464" s="8" t="s">
        <v>275</v>
      </c>
      <c r="C464" s="8" t="s">
        <v>557</v>
      </c>
      <c r="I464" s="10" t="s">
        <v>1293</v>
      </c>
      <c r="J464" s="13" t="s">
        <v>753</v>
      </c>
      <c r="K464" s="13" t="s">
        <v>276</v>
      </c>
      <c r="L464" s="13" t="s">
        <v>1248</v>
      </c>
      <c r="M464" s="7" t="s">
        <v>253</v>
      </c>
      <c r="N464" s="7" t="s">
        <v>253</v>
      </c>
      <c r="O464" s="7" t="s">
        <v>254</v>
      </c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  <c r="AE464" s="8"/>
    </row>
    <row r="465">
      <c r="A465" s="12">
        <v>20.0</v>
      </c>
      <c r="B465" s="8" t="s">
        <v>275</v>
      </c>
      <c r="C465" s="8" t="s">
        <v>557</v>
      </c>
      <c r="I465" s="10" t="s">
        <v>881</v>
      </c>
      <c r="J465" s="13" t="s">
        <v>750</v>
      </c>
      <c r="K465" s="13" t="s">
        <v>276</v>
      </c>
      <c r="L465" s="13" t="s">
        <v>1286</v>
      </c>
      <c r="M465" s="7" t="s">
        <v>253</v>
      </c>
      <c r="N465" s="7" t="s">
        <v>253</v>
      </c>
      <c r="O465" s="7" t="s">
        <v>254</v>
      </c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  <c r="AE465" s="8"/>
    </row>
    <row r="466">
      <c r="A466" s="12">
        <v>20.0</v>
      </c>
      <c r="B466" s="8" t="s">
        <v>275</v>
      </c>
      <c r="C466" s="8" t="s">
        <v>557</v>
      </c>
      <c r="I466" s="10" t="s">
        <v>1297</v>
      </c>
      <c r="J466" s="13" t="s">
        <v>753</v>
      </c>
      <c r="K466" s="13" t="s">
        <v>276</v>
      </c>
      <c r="L466" s="13" t="s">
        <v>1248</v>
      </c>
      <c r="M466" s="7" t="s">
        <v>253</v>
      </c>
      <c r="N466" s="7" t="s">
        <v>253</v>
      </c>
      <c r="O466" s="7" t="s">
        <v>254</v>
      </c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  <c r="AE466" s="8"/>
    </row>
    <row r="467">
      <c r="A467" s="12">
        <v>20.0</v>
      </c>
      <c r="B467" s="8" t="s">
        <v>275</v>
      </c>
      <c r="C467" s="8" t="s">
        <v>557</v>
      </c>
      <c r="I467" s="10" t="s">
        <v>1299</v>
      </c>
      <c r="J467" s="13" t="s">
        <v>750</v>
      </c>
      <c r="K467" s="13" t="s">
        <v>276</v>
      </c>
      <c r="L467" s="13" t="s">
        <v>1248</v>
      </c>
      <c r="M467" s="7" t="s">
        <v>253</v>
      </c>
      <c r="N467" s="7" t="s">
        <v>253</v>
      </c>
      <c r="O467" s="7" t="s">
        <v>254</v>
      </c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  <c r="AE467" s="8"/>
    </row>
    <row r="468">
      <c r="A468" s="12">
        <v>20.0</v>
      </c>
      <c r="B468" s="8" t="s">
        <v>275</v>
      </c>
      <c r="C468" s="8" t="s">
        <v>557</v>
      </c>
      <c r="I468" s="10" t="s">
        <v>1303</v>
      </c>
      <c r="J468" s="13" t="s">
        <v>753</v>
      </c>
      <c r="K468" s="13" t="s">
        <v>276</v>
      </c>
      <c r="L468" s="13" t="s">
        <v>1248</v>
      </c>
      <c r="M468" s="7" t="s">
        <v>253</v>
      </c>
      <c r="N468" s="7" t="s">
        <v>253</v>
      </c>
      <c r="O468" s="7" t="s">
        <v>254</v>
      </c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  <c r="AE468" s="8"/>
    </row>
    <row r="469">
      <c r="A469" s="12">
        <v>20.0</v>
      </c>
      <c r="B469" s="8" t="s">
        <v>275</v>
      </c>
      <c r="C469" s="8" t="s">
        <v>557</v>
      </c>
      <c r="I469" s="10" t="s">
        <v>1305</v>
      </c>
      <c r="J469" s="13" t="s">
        <v>750</v>
      </c>
      <c r="K469" s="13" t="s">
        <v>276</v>
      </c>
      <c r="L469" s="13" t="s">
        <v>1248</v>
      </c>
      <c r="M469" s="7" t="s">
        <v>253</v>
      </c>
      <c r="N469" s="7" t="s">
        <v>253</v>
      </c>
      <c r="O469" s="7" t="s">
        <v>254</v>
      </c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  <c r="AE469" s="8"/>
    </row>
    <row r="470">
      <c r="A470" s="12">
        <v>20.0</v>
      </c>
      <c r="B470" s="8" t="s">
        <v>275</v>
      </c>
      <c r="C470" s="8" t="s">
        <v>557</v>
      </c>
      <c r="I470" s="10" t="s">
        <v>649</v>
      </c>
      <c r="J470" s="13" t="s">
        <v>753</v>
      </c>
      <c r="K470" s="13" t="s">
        <v>276</v>
      </c>
      <c r="L470" s="13" t="s">
        <v>1248</v>
      </c>
      <c r="M470" s="7" t="s">
        <v>253</v>
      </c>
      <c r="N470" s="7" t="s">
        <v>253</v>
      </c>
      <c r="O470" s="7" t="s">
        <v>254</v>
      </c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  <c r="AE470" s="8"/>
    </row>
    <row r="471">
      <c r="A471" s="12">
        <v>20.0</v>
      </c>
      <c r="B471" s="8" t="s">
        <v>275</v>
      </c>
      <c r="C471" s="8" t="s">
        <v>557</v>
      </c>
      <c r="I471" s="10" t="s">
        <v>246</v>
      </c>
      <c r="J471" s="13" t="s">
        <v>750</v>
      </c>
      <c r="K471" s="13" t="s">
        <v>276</v>
      </c>
      <c r="L471" s="13" t="s">
        <v>1307</v>
      </c>
      <c r="M471" s="7" t="s">
        <v>253</v>
      </c>
      <c r="N471" s="7" t="s">
        <v>253</v>
      </c>
      <c r="O471" s="7" t="s">
        <v>254</v>
      </c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  <c r="AE471" s="8"/>
    </row>
    <row r="472">
      <c r="A472" s="12">
        <v>20.0</v>
      </c>
      <c r="B472" s="8" t="s">
        <v>275</v>
      </c>
      <c r="C472" s="8" t="s">
        <v>557</v>
      </c>
      <c r="I472" s="10" t="s">
        <v>1310</v>
      </c>
      <c r="J472" s="13" t="s">
        <v>753</v>
      </c>
      <c r="K472" s="13" t="s">
        <v>276</v>
      </c>
      <c r="L472" s="13" t="s">
        <v>1286</v>
      </c>
      <c r="M472" s="7" t="s">
        <v>253</v>
      </c>
      <c r="N472" s="7" t="s">
        <v>253</v>
      </c>
      <c r="O472" s="7" t="s">
        <v>254</v>
      </c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  <c r="AE472" s="8"/>
    </row>
    <row r="473">
      <c r="A473" s="12">
        <v>20.0</v>
      </c>
      <c r="B473" s="8" t="s">
        <v>275</v>
      </c>
      <c r="C473" s="8" t="s">
        <v>557</v>
      </c>
      <c r="I473" s="10" t="s">
        <v>1312</v>
      </c>
      <c r="J473" s="13" t="s">
        <v>750</v>
      </c>
      <c r="K473" s="13" t="s">
        <v>276</v>
      </c>
      <c r="L473" s="13" t="s">
        <v>1248</v>
      </c>
      <c r="M473" s="7" t="s">
        <v>253</v>
      </c>
      <c r="N473" s="7" t="s">
        <v>253</v>
      </c>
      <c r="O473" s="7" t="s">
        <v>254</v>
      </c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  <c r="AE473" s="8"/>
    </row>
    <row r="474">
      <c r="A474" s="12">
        <v>20.0</v>
      </c>
      <c r="B474" s="8" t="s">
        <v>275</v>
      </c>
      <c r="C474" s="8" t="s">
        <v>557</v>
      </c>
      <c r="I474" s="10" t="s">
        <v>1315</v>
      </c>
      <c r="J474" s="13" t="s">
        <v>753</v>
      </c>
      <c r="K474" s="13" t="s">
        <v>276</v>
      </c>
      <c r="L474" s="13" t="s">
        <v>1248</v>
      </c>
      <c r="M474" s="7" t="s">
        <v>253</v>
      </c>
      <c r="N474" s="7" t="s">
        <v>253</v>
      </c>
      <c r="O474" s="7" t="s">
        <v>254</v>
      </c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  <c r="AE474" s="8"/>
    </row>
    <row r="475">
      <c r="A475" s="12">
        <v>20.0</v>
      </c>
      <c r="B475" s="8" t="s">
        <v>275</v>
      </c>
      <c r="C475" s="8" t="s">
        <v>557</v>
      </c>
      <c r="I475" s="10" t="s">
        <v>1082</v>
      </c>
      <c r="J475" s="13" t="s">
        <v>750</v>
      </c>
      <c r="K475" s="13" t="s">
        <v>276</v>
      </c>
      <c r="L475" s="13" t="s">
        <v>1248</v>
      </c>
      <c r="M475" s="7" t="s">
        <v>253</v>
      </c>
      <c r="N475" s="7" t="s">
        <v>253</v>
      </c>
      <c r="O475" s="7" t="s">
        <v>254</v>
      </c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  <c r="AE475" s="8"/>
    </row>
    <row r="476">
      <c r="A476" s="12">
        <v>20.0</v>
      </c>
      <c r="B476" s="8" t="s">
        <v>275</v>
      </c>
      <c r="C476" s="8" t="s">
        <v>557</v>
      </c>
      <c r="I476" s="10" t="s">
        <v>1049</v>
      </c>
      <c r="J476" s="13" t="s">
        <v>753</v>
      </c>
      <c r="K476" s="13" t="s">
        <v>276</v>
      </c>
      <c r="L476" s="13" t="s">
        <v>1248</v>
      </c>
      <c r="M476" s="7" t="s">
        <v>253</v>
      </c>
      <c r="N476" s="7" t="s">
        <v>253</v>
      </c>
      <c r="O476" s="7" t="s">
        <v>254</v>
      </c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  <c r="AE476" s="8"/>
    </row>
    <row r="477">
      <c r="A477" s="12">
        <v>20.0</v>
      </c>
      <c r="B477" s="8" t="s">
        <v>275</v>
      </c>
      <c r="C477" s="8" t="s">
        <v>557</v>
      </c>
      <c r="I477" s="10" t="s">
        <v>1322</v>
      </c>
      <c r="J477" s="13" t="s">
        <v>750</v>
      </c>
      <c r="K477" s="13" t="s">
        <v>276</v>
      </c>
      <c r="L477" s="13" t="s">
        <v>1248</v>
      </c>
      <c r="M477" s="7" t="s">
        <v>253</v>
      </c>
      <c r="N477" s="7" t="s">
        <v>253</v>
      </c>
      <c r="O477" s="7" t="s">
        <v>254</v>
      </c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  <c r="AE477" s="8"/>
    </row>
    <row r="478">
      <c r="A478" s="12">
        <v>20.0</v>
      </c>
      <c r="B478" s="8" t="s">
        <v>275</v>
      </c>
      <c r="C478" s="8" t="s">
        <v>557</v>
      </c>
      <c r="I478" s="10" t="s">
        <v>1324</v>
      </c>
      <c r="J478" s="13" t="s">
        <v>753</v>
      </c>
      <c r="K478" s="13" t="s">
        <v>276</v>
      </c>
      <c r="L478" s="13" t="s">
        <v>1248</v>
      </c>
      <c r="M478" s="7" t="s">
        <v>253</v>
      </c>
      <c r="N478" s="7" t="s">
        <v>253</v>
      </c>
      <c r="O478" s="7" t="s">
        <v>254</v>
      </c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  <c r="AE478" s="8"/>
    </row>
    <row r="479">
      <c r="A479" s="12">
        <v>20.0</v>
      </c>
      <c r="B479" s="8" t="s">
        <v>275</v>
      </c>
      <c r="C479" s="8" t="s">
        <v>557</v>
      </c>
      <c r="I479" s="10" t="s">
        <v>1326</v>
      </c>
      <c r="J479" s="13" t="s">
        <v>750</v>
      </c>
      <c r="K479" s="13" t="s">
        <v>276</v>
      </c>
      <c r="L479" s="13" t="s">
        <v>1248</v>
      </c>
      <c r="M479" s="7" t="s">
        <v>253</v>
      </c>
      <c r="N479" s="7" t="s">
        <v>253</v>
      </c>
      <c r="O479" s="7" t="s">
        <v>254</v>
      </c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  <c r="AE479" s="8"/>
    </row>
    <row r="480">
      <c r="A480" s="12">
        <v>21.0</v>
      </c>
      <c r="B480" s="8" t="s">
        <v>279</v>
      </c>
      <c r="C480" s="8" t="s">
        <v>557</v>
      </c>
      <c r="D480" s="25">
        <f>IF(COUNTIF($B$2:$B480,$B480)&gt;1,"",COUNTIF($B$2:$B$2505,$B480))</f>
        <v>12</v>
      </c>
      <c r="E480" s="25">
        <f>IF(COUNTIF($B$2:$B480,$B480)&gt;1,"",COUNTIFS($B$2:$B$2505,$B480,$K$2:$K$2505,"PHÙ HỢP CAO"))</f>
        <v>4</v>
      </c>
      <c r="F480" s="25">
        <f>IF(COUNTIF($B$2:$B480,$B480)&gt;1,"",COUNTIFS($B$2:$B$2505,$B480,$K$2:$K$2505,"CÓ THỂ ĐI"))</f>
        <v>1</v>
      </c>
      <c r="G480" s="25">
        <f>IF(COUNTIF($B$2:$B480,$B480)&gt;1,"",COUNTIFS($B$2:$B$2505,$B480,$K$2:$K$2505,"CẦN SOÁT"))</f>
        <v>7</v>
      </c>
      <c r="H480" s="26" t="str">
        <f>IFERROR(__xludf.DUMMYFUNCTION("IF(COUNTIF($B$2:$B480,$B480)&gt;1,"""",IFERROR(TEXTJOIN(CHAR(10),TRUE,BYROW(QUERY({$B$2:$B$2505,$J$2:$J$2505},""select Col2, count(Col2) where Col1 = '""&amp;$B480&amp;""' group by Col2 order by count(Col2) desc label count(Col2) ''"",0),LAMBDA(r,INDEX(r,1,1)&amp;"" – "&amp;"""&amp;INDEX(r,1,2)&amp;"" link""))),""""))"),"dãy số phát tài phát lộc – 6 link
số tài khoản phát tài phát lộc – 6 link")</f>
        <v>dãy số phát tài phát lộc – 6 link
số tài khoản phát tài phát lộc – 6 link</v>
      </c>
      <c r="I480" s="10" t="s">
        <v>748</v>
      </c>
      <c r="J480" s="13" t="s">
        <v>756</v>
      </c>
      <c r="K480" s="13" t="s">
        <v>251</v>
      </c>
      <c r="L480" s="13" t="s">
        <v>1334</v>
      </c>
      <c r="M480" s="7" t="s">
        <v>253</v>
      </c>
      <c r="N480" s="7" t="s">
        <v>253</v>
      </c>
      <c r="O480" s="7" t="s">
        <v>254</v>
      </c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  <c r="AE480" s="8"/>
    </row>
    <row r="481">
      <c r="A481" s="12">
        <v>21.0</v>
      </c>
      <c r="B481" s="8" t="s">
        <v>279</v>
      </c>
      <c r="C481" s="8" t="s">
        <v>557</v>
      </c>
      <c r="I481" s="10" t="s">
        <v>701</v>
      </c>
      <c r="J481" s="13" t="s">
        <v>759</v>
      </c>
      <c r="K481" s="13" t="s">
        <v>251</v>
      </c>
      <c r="L481" s="13" t="s">
        <v>1337</v>
      </c>
      <c r="M481" s="7" t="s">
        <v>253</v>
      </c>
      <c r="N481" s="7" t="s">
        <v>253</v>
      </c>
      <c r="O481" s="7" t="s">
        <v>254</v>
      </c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  <c r="AE481" s="8"/>
    </row>
    <row r="482">
      <c r="A482" s="12">
        <v>21.0</v>
      </c>
      <c r="B482" s="8" t="s">
        <v>279</v>
      </c>
      <c r="C482" s="8" t="s">
        <v>557</v>
      </c>
      <c r="I482" s="10" t="s">
        <v>692</v>
      </c>
      <c r="J482" s="13" t="s">
        <v>756</v>
      </c>
      <c r="K482" s="13" t="s">
        <v>251</v>
      </c>
      <c r="L482" s="13" t="s">
        <v>1340</v>
      </c>
      <c r="M482" s="7" t="s">
        <v>253</v>
      </c>
      <c r="N482" s="7" t="s">
        <v>253</v>
      </c>
      <c r="O482" s="7" t="s">
        <v>254</v>
      </c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  <c r="AE482" s="8"/>
    </row>
    <row r="483">
      <c r="A483" s="12">
        <v>21.0</v>
      </c>
      <c r="B483" s="8" t="s">
        <v>279</v>
      </c>
      <c r="C483" s="8" t="s">
        <v>557</v>
      </c>
      <c r="I483" s="10" t="s">
        <v>680</v>
      </c>
      <c r="J483" s="13" t="s">
        <v>759</v>
      </c>
      <c r="K483" s="13" t="s">
        <v>251</v>
      </c>
      <c r="L483" s="13" t="s">
        <v>1341</v>
      </c>
      <c r="M483" s="7" t="s">
        <v>253</v>
      </c>
      <c r="N483" s="7" t="s">
        <v>253</v>
      </c>
      <c r="O483" s="7" t="s">
        <v>254</v>
      </c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  <c r="AE483" s="8"/>
    </row>
    <row r="484">
      <c r="A484" s="12">
        <v>21.0</v>
      </c>
      <c r="B484" s="8" t="s">
        <v>279</v>
      </c>
      <c r="C484" s="8" t="s">
        <v>557</v>
      </c>
      <c r="I484" s="10" t="s">
        <v>763</v>
      </c>
      <c r="J484" s="13" t="s">
        <v>756</v>
      </c>
      <c r="K484" s="13" t="s">
        <v>272</v>
      </c>
      <c r="L484" s="13" t="s">
        <v>1343</v>
      </c>
      <c r="M484" s="7" t="s">
        <v>253</v>
      </c>
      <c r="N484" s="7" t="s">
        <v>253</v>
      </c>
      <c r="O484" s="7" t="s">
        <v>254</v>
      </c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  <c r="AE484" s="8"/>
    </row>
    <row r="485">
      <c r="A485" s="12">
        <v>21.0</v>
      </c>
      <c r="B485" s="8" t="s">
        <v>279</v>
      </c>
      <c r="C485" s="8" t="s">
        <v>557</v>
      </c>
      <c r="I485" s="10" t="s">
        <v>671</v>
      </c>
      <c r="J485" s="13" t="s">
        <v>759</v>
      </c>
      <c r="K485" s="13" t="s">
        <v>276</v>
      </c>
      <c r="L485" s="13" t="s">
        <v>1344</v>
      </c>
      <c r="M485" s="7" t="s">
        <v>253</v>
      </c>
      <c r="N485" s="7" t="s">
        <v>253</v>
      </c>
      <c r="O485" s="7" t="s">
        <v>254</v>
      </c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  <c r="AE485" s="8"/>
    </row>
    <row r="486">
      <c r="A486" s="12">
        <v>21.0</v>
      </c>
      <c r="B486" s="8" t="s">
        <v>279</v>
      </c>
      <c r="C486" s="8" t="s">
        <v>557</v>
      </c>
      <c r="I486" s="10" t="s">
        <v>1345</v>
      </c>
      <c r="J486" s="13" t="s">
        <v>756</v>
      </c>
      <c r="K486" s="13" t="s">
        <v>276</v>
      </c>
      <c r="L486" s="13" t="s">
        <v>1347</v>
      </c>
      <c r="M486" s="7" t="s">
        <v>253</v>
      </c>
      <c r="N486" s="7" t="s">
        <v>253</v>
      </c>
      <c r="O486" s="7" t="s">
        <v>254</v>
      </c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  <c r="AE486" s="8"/>
    </row>
    <row r="487">
      <c r="A487" s="12">
        <v>21.0</v>
      </c>
      <c r="B487" s="8" t="s">
        <v>279</v>
      </c>
      <c r="C487" s="8" t="s">
        <v>557</v>
      </c>
      <c r="I487" s="10" t="s">
        <v>1348</v>
      </c>
      <c r="J487" s="13" t="s">
        <v>759</v>
      </c>
      <c r="K487" s="13" t="s">
        <v>276</v>
      </c>
      <c r="L487" s="13" t="s">
        <v>1347</v>
      </c>
      <c r="M487" s="7" t="s">
        <v>253</v>
      </c>
      <c r="N487" s="7" t="s">
        <v>253</v>
      </c>
      <c r="O487" s="7" t="s">
        <v>254</v>
      </c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  <c r="AE487" s="8"/>
    </row>
    <row r="488">
      <c r="A488" s="12">
        <v>21.0</v>
      </c>
      <c r="B488" s="8" t="s">
        <v>279</v>
      </c>
      <c r="C488" s="8" t="s">
        <v>557</v>
      </c>
      <c r="I488" s="10" t="s">
        <v>682</v>
      </c>
      <c r="J488" s="13" t="s">
        <v>756</v>
      </c>
      <c r="K488" s="13" t="s">
        <v>276</v>
      </c>
      <c r="L488" s="13" t="s">
        <v>1355</v>
      </c>
      <c r="M488" s="7" t="s">
        <v>253</v>
      </c>
      <c r="N488" s="7" t="s">
        <v>253</v>
      </c>
      <c r="O488" s="7" t="s">
        <v>254</v>
      </c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  <c r="AE488" s="8"/>
    </row>
    <row r="489">
      <c r="A489" s="12">
        <v>21.0</v>
      </c>
      <c r="B489" s="8" t="s">
        <v>279</v>
      </c>
      <c r="C489" s="8" t="s">
        <v>557</v>
      </c>
      <c r="I489" s="10" t="s">
        <v>684</v>
      </c>
      <c r="J489" s="13" t="s">
        <v>759</v>
      </c>
      <c r="K489" s="13" t="s">
        <v>276</v>
      </c>
      <c r="L489" s="13" t="s">
        <v>1356</v>
      </c>
      <c r="M489" s="7" t="s">
        <v>253</v>
      </c>
      <c r="N489" s="7" t="s">
        <v>253</v>
      </c>
      <c r="O489" s="7" t="s">
        <v>254</v>
      </c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  <c r="AE489" s="8"/>
    </row>
    <row r="490">
      <c r="A490" s="12">
        <v>21.0</v>
      </c>
      <c r="B490" s="8" t="s">
        <v>279</v>
      </c>
      <c r="C490" s="8" t="s">
        <v>557</v>
      </c>
      <c r="I490" s="10" t="s">
        <v>687</v>
      </c>
      <c r="J490" s="13" t="s">
        <v>756</v>
      </c>
      <c r="K490" s="13" t="s">
        <v>276</v>
      </c>
      <c r="L490" s="13" t="s">
        <v>1358</v>
      </c>
      <c r="M490" s="7" t="s">
        <v>253</v>
      </c>
      <c r="N490" s="7" t="s">
        <v>253</v>
      </c>
      <c r="O490" s="7" t="s">
        <v>254</v>
      </c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  <c r="AE490" s="8"/>
    </row>
    <row r="491">
      <c r="A491" s="12">
        <v>21.0</v>
      </c>
      <c r="B491" s="8" t="s">
        <v>279</v>
      </c>
      <c r="C491" s="8" t="s">
        <v>557</v>
      </c>
      <c r="I491" s="10" t="s">
        <v>703</v>
      </c>
      <c r="J491" s="13" t="s">
        <v>759</v>
      </c>
      <c r="K491" s="13" t="s">
        <v>276</v>
      </c>
      <c r="L491" s="13" t="s">
        <v>1356</v>
      </c>
      <c r="M491" s="7" t="s">
        <v>253</v>
      </c>
      <c r="N491" s="7" t="s">
        <v>253</v>
      </c>
      <c r="O491" s="7" t="s">
        <v>254</v>
      </c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  <c r="AE491" s="8"/>
    </row>
    <row r="492">
      <c r="A492" s="12">
        <v>22.0</v>
      </c>
      <c r="B492" s="8" t="s">
        <v>281</v>
      </c>
      <c r="C492" s="8" t="s">
        <v>557</v>
      </c>
      <c r="D492" s="25">
        <f>IF(COUNTIF($B$2:$B492,$B492)&gt;1,"",COUNTIF($B$2:$B$2505,$B492))</f>
        <v>18</v>
      </c>
      <c r="E492" s="25">
        <f>IF(COUNTIF($B$2:$B492,$B492)&gt;1,"",COUNTIFS($B$2:$B$2505,$B492,$K$2:$K$2505,"PHÙ HỢP CAO"))</f>
        <v>2</v>
      </c>
      <c r="F492" s="25">
        <f>IF(COUNTIF($B$2:$B492,$B492)&gt;1,"",COUNTIFS($B$2:$B$2505,$B492,$K$2:$K$2505,"CÓ THỂ ĐI"))</f>
        <v>3</v>
      </c>
      <c r="G492" s="25">
        <f>IF(COUNTIF($B$2:$B492,$B492)&gt;1,"",COUNTIFS($B$2:$B$2505,$B492,$K$2:$K$2505,"CẦN SOÁT"))</f>
        <v>13</v>
      </c>
      <c r="H492" s="26" t="str">
        <f>IFERROR(__xludf.DUMMYFUNCTION("IF(COUNTIF($B$2:$B492,$B492)&gt;1,"""",IFERROR(TEXTJOIN(CHAR(10),TRUE,BYROW(QUERY({$B$2:$B$2505,$J$2:$J$2505},""select Col2, count(Col2) where Col1 = '""&amp;$B492&amp;""' group by Col2 order by count(Col2) desc label count(Col2) ''"",0),LAMBDA(r,INDEX(r,1,1)&amp;"" – "&amp;"""&amp;INDEX(r,1,2)&amp;"" link""))),""""))"),"kiểm tra thuế TNCN online – 6 link
kiểm tra thuế thu nhập cá nhân – 6 link
tra cứu thuế TNCN – 6 link")</f>
        <v>kiểm tra thuế TNCN online – 6 link
kiểm tra thuế thu nhập cá nhân – 6 link
tra cứu thuế TNCN – 6 link</v>
      </c>
      <c r="I492" s="10" t="s">
        <v>311</v>
      </c>
      <c r="J492" s="13" t="s">
        <v>768</v>
      </c>
      <c r="K492" s="13" t="s">
        <v>251</v>
      </c>
      <c r="L492" s="13" t="s">
        <v>1368</v>
      </c>
      <c r="M492" s="7" t="s">
        <v>253</v>
      </c>
      <c r="N492" s="7" t="s">
        <v>253</v>
      </c>
      <c r="O492" s="7" t="s">
        <v>254</v>
      </c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  <c r="AE492" s="8"/>
    </row>
    <row r="493">
      <c r="A493" s="12">
        <v>22.0</v>
      </c>
      <c r="B493" s="8" t="s">
        <v>281</v>
      </c>
      <c r="C493" s="8" t="s">
        <v>557</v>
      </c>
      <c r="I493" s="10" t="s">
        <v>614</v>
      </c>
      <c r="J493" s="13" t="s">
        <v>770</v>
      </c>
      <c r="K493" s="13" t="s">
        <v>251</v>
      </c>
      <c r="L493" s="13" t="s">
        <v>1371</v>
      </c>
      <c r="M493" s="7" t="s">
        <v>253</v>
      </c>
      <c r="N493" s="7" t="s">
        <v>253</v>
      </c>
      <c r="O493" s="7" t="s">
        <v>254</v>
      </c>
      <c r="P493" s="13" t="s">
        <v>350</v>
      </c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  <c r="AE493" s="8"/>
    </row>
    <row r="494">
      <c r="A494" s="12">
        <v>22.0</v>
      </c>
      <c r="B494" s="8" t="s">
        <v>281</v>
      </c>
      <c r="C494" s="8" t="s">
        <v>557</v>
      </c>
      <c r="I494" s="10" t="s">
        <v>285</v>
      </c>
      <c r="J494" s="13" t="s">
        <v>773</v>
      </c>
      <c r="K494" s="13" t="s">
        <v>272</v>
      </c>
      <c r="L494" s="13" t="s">
        <v>1373</v>
      </c>
      <c r="M494" s="7" t="s">
        <v>253</v>
      </c>
      <c r="N494" s="7" t="s">
        <v>253</v>
      </c>
      <c r="O494" s="7" t="s">
        <v>254</v>
      </c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  <c r="AE494" s="8"/>
    </row>
    <row r="495">
      <c r="A495" s="12">
        <v>22.0</v>
      </c>
      <c r="B495" s="8" t="s">
        <v>281</v>
      </c>
      <c r="C495" s="8" t="s">
        <v>557</v>
      </c>
      <c r="I495" s="10" t="s">
        <v>314</v>
      </c>
      <c r="J495" s="13" t="s">
        <v>768</v>
      </c>
      <c r="K495" s="13" t="s">
        <v>272</v>
      </c>
      <c r="L495" s="13" t="s">
        <v>1374</v>
      </c>
      <c r="M495" s="7" t="s">
        <v>253</v>
      </c>
      <c r="N495" s="7" t="s">
        <v>253</v>
      </c>
      <c r="O495" s="7" t="s">
        <v>254</v>
      </c>
      <c r="P495" s="13" t="s">
        <v>350</v>
      </c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  <c r="AE495" s="8"/>
    </row>
    <row r="496">
      <c r="A496" s="12">
        <v>22.0</v>
      </c>
      <c r="B496" s="8" t="s">
        <v>281</v>
      </c>
      <c r="C496" s="8" t="s">
        <v>557</v>
      </c>
      <c r="I496" s="10" t="s">
        <v>298</v>
      </c>
      <c r="J496" s="13" t="s">
        <v>770</v>
      </c>
      <c r="K496" s="13" t="s">
        <v>272</v>
      </c>
      <c r="L496" s="13" t="s">
        <v>1376</v>
      </c>
      <c r="M496" s="7" t="s">
        <v>253</v>
      </c>
      <c r="N496" s="7" t="s">
        <v>253</v>
      </c>
      <c r="O496" s="7" t="s">
        <v>254</v>
      </c>
      <c r="P496" s="13" t="s">
        <v>350</v>
      </c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  <c r="AE496" s="8"/>
    </row>
    <row r="497">
      <c r="A497" s="12">
        <v>22.0</v>
      </c>
      <c r="B497" s="8" t="s">
        <v>281</v>
      </c>
      <c r="C497" s="8" t="s">
        <v>557</v>
      </c>
      <c r="I497" s="10" t="s">
        <v>343</v>
      </c>
      <c r="J497" s="13" t="s">
        <v>773</v>
      </c>
      <c r="K497" s="13" t="s">
        <v>276</v>
      </c>
      <c r="L497" s="13" t="s">
        <v>630</v>
      </c>
      <c r="M497" s="7" t="s">
        <v>253</v>
      </c>
      <c r="N497" s="7" t="s">
        <v>253</v>
      </c>
      <c r="O497" s="7" t="s">
        <v>254</v>
      </c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  <c r="AE497" s="8"/>
    </row>
    <row r="498">
      <c r="A498" s="12">
        <v>22.0</v>
      </c>
      <c r="B498" s="8" t="s">
        <v>281</v>
      </c>
      <c r="C498" s="8" t="s">
        <v>557</v>
      </c>
      <c r="I498" s="10" t="s">
        <v>301</v>
      </c>
      <c r="J498" s="13" t="s">
        <v>768</v>
      </c>
      <c r="K498" s="13" t="s">
        <v>276</v>
      </c>
      <c r="L498" s="13" t="s">
        <v>453</v>
      </c>
      <c r="M498" s="7" t="s">
        <v>253</v>
      </c>
      <c r="N498" s="7" t="s">
        <v>253</v>
      </c>
      <c r="O498" s="7" t="s">
        <v>254</v>
      </c>
      <c r="P498" s="13" t="s">
        <v>300</v>
      </c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  <c r="AE498" s="8"/>
    </row>
    <row r="499">
      <c r="A499" s="12">
        <v>22.0</v>
      </c>
      <c r="B499" s="8" t="s">
        <v>281</v>
      </c>
      <c r="C499" s="8" t="s">
        <v>557</v>
      </c>
      <c r="I499" s="10" t="s">
        <v>305</v>
      </c>
      <c r="J499" s="13" t="s">
        <v>770</v>
      </c>
      <c r="K499" s="13" t="s">
        <v>276</v>
      </c>
      <c r="L499" s="13" t="s">
        <v>1378</v>
      </c>
      <c r="M499" s="7" t="s">
        <v>253</v>
      </c>
      <c r="N499" s="7" t="s">
        <v>253</v>
      </c>
      <c r="O499" s="7" t="s">
        <v>254</v>
      </c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  <c r="AE499" s="8"/>
    </row>
    <row r="500">
      <c r="A500" s="12">
        <v>22.0</v>
      </c>
      <c r="B500" s="8" t="s">
        <v>281</v>
      </c>
      <c r="C500" s="8" t="s">
        <v>557</v>
      </c>
      <c r="I500" s="10" t="s">
        <v>309</v>
      </c>
      <c r="J500" s="13" t="s">
        <v>773</v>
      </c>
      <c r="K500" s="13" t="s">
        <v>276</v>
      </c>
      <c r="L500" s="13" t="s">
        <v>307</v>
      </c>
      <c r="M500" s="7" t="s">
        <v>253</v>
      </c>
      <c r="N500" s="7" t="s">
        <v>253</v>
      </c>
      <c r="O500" s="7" t="s">
        <v>254</v>
      </c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  <c r="AE500" s="8"/>
    </row>
    <row r="501">
      <c r="A501" s="12">
        <v>22.0</v>
      </c>
      <c r="B501" s="8" t="s">
        <v>281</v>
      </c>
      <c r="C501" s="8" t="s">
        <v>557</v>
      </c>
      <c r="I501" s="10" t="s">
        <v>426</v>
      </c>
      <c r="J501" s="13" t="s">
        <v>768</v>
      </c>
      <c r="K501" s="13" t="s">
        <v>276</v>
      </c>
      <c r="L501" s="13" t="s">
        <v>630</v>
      </c>
      <c r="M501" s="7" t="s">
        <v>253</v>
      </c>
      <c r="N501" s="7" t="s">
        <v>253</v>
      </c>
      <c r="O501" s="7" t="s">
        <v>254</v>
      </c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  <c r="AE501" s="8"/>
    </row>
    <row r="502">
      <c r="A502" s="12">
        <v>22.0</v>
      </c>
      <c r="B502" s="8" t="s">
        <v>281</v>
      </c>
      <c r="C502" s="8" t="s">
        <v>557</v>
      </c>
      <c r="I502" s="10" t="s">
        <v>316</v>
      </c>
      <c r="J502" s="13" t="s">
        <v>770</v>
      </c>
      <c r="K502" s="13" t="s">
        <v>276</v>
      </c>
      <c r="L502" s="13" t="s">
        <v>307</v>
      </c>
      <c r="M502" s="7" t="s">
        <v>253</v>
      </c>
      <c r="N502" s="7" t="s">
        <v>253</v>
      </c>
      <c r="O502" s="7" t="s">
        <v>254</v>
      </c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  <c r="AE502" s="8"/>
    </row>
    <row r="503">
      <c r="A503" s="12">
        <v>22.0</v>
      </c>
      <c r="B503" s="8" t="s">
        <v>281</v>
      </c>
      <c r="C503" s="8" t="s">
        <v>557</v>
      </c>
      <c r="I503" s="10" t="s">
        <v>339</v>
      </c>
      <c r="J503" s="13" t="s">
        <v>773</v>
      </c>
      <c r="K503" s="13" t="s">
        <v>276</v>
      </c>
      <c r="L503" s="13" t="s">
        <v>630</v>
      </c>
      <c r="M503" s="7" t="s">
        <v>253</v>
      </c>
      <c r="N503" s="7" t="s">
        <v>253</v>
      </c>
      <c r="O503" s="7" t="s">
        <v>254</v>
      </c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  <c r="AE503" s="8"/>
    </row>
    <row r="504">
      <c r="A504" s="12">
        <v>22.0</v>
      </c>
      <c r="B504" s="8" t="s">
        <v>281</v>
      </c>
      <c r="C504" s="8" t="s">
        <v>557</v>
      </c>
      <c r="I504" s="10" t="s">
        <v>97</v>
      </c>
      <c r="J504" s="13" t="s">
        <v>768</v>
      </c>
      <c r="K504" s="13" t="s">
        <v>276</v>
      </c>
      <c r="L504" s="13" t="s">
        <v>453</v>
      </c>
      <c r="M504" s="7" t="s">
        <v>253</v>
      </c>
      <c r="N504" s="7" t="s">
        <v>253</v>
      </c>
      <c r="O504" s="7" t="s">
        <v>254</v>
      </c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  <c r="AE504" s="8"/>
    </row>
    <row r="505">
      <c r="A505" s="12">
        <v>22.0</v>
      </c>
      <c r="B505" s="8" t="s">
        <v>281</v>
      </c>
      <c r="C505" s="8" t="s">
        <v>557</v>
      </c>
      <c r="I505" s="10" t="s">
        <v>327</v>
      </c>
      <c r="J505" s="13" t="s">
        <v>770</v>
      </c>
      <c r="K505" s="13" t="s">
        <v>276</v>
      </c>
      <c r="L505" s="13" t="s">
        <v>307</v>
      </c>
      <c r="M505" s="7" t="s">
        <v>253</v>
      </c>
      <c r="N505" s="7" t="s">
        <v>253</v>
      </c>
      <c r="O505" s="7" t="s">
        <v>254</v>
      </c>
      <c r="P505" s="13" t="s">
        <v>300</v>
      </c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  <c r="AE505" s="8"/>
    </row>
    <row r="506">
      <c r="A506" s="12">
        <v>22.0</v>
      </c>
      <c r="B506" s="8" t="s">
        <v>281</v>
      </c>
      <c r="C506" s="8" t="s">
        <v>557</v>
      </c>
      <c r="I506" s="10" t="s">
        <v>218</v>
      </c>
      <c r="J506" s="13" t="s">
        <v>773</v>
      </c>
      <c r="K506" s="13" t="s">
        <v>276</v>
      </c>
      <c r="L506" s="13" t="s">
        <v>1385</v>
      </c>
      <c r="M506" s="7" t="s">
        <v>253</v>
      </c>
      <c r="N506" s="7" t="s">
        <v>253</v>
      </c>
      <c r="O506" s="7" t="s">
        <v>254</v>
      </c>
      <c r="P506" s="13" t="s">
        <v>300</v>
      </c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  <c r="AE506" s="8"/>
    </row>
    <row r="507">
      <c r="A507" s="12">
        <v>22.0</v>
      </c>
      <c r="B507" s="8" t="s">
        <v>281</v>
      </c>
      <c r="C507" s="8" t="s">
        <v>557</v>
      </c>
      <c r="I507" s="10" t="s">
        <v>283</v>
      </c>
      <c r="J507" s="13" t="s">
        <v>768</v>
      </c>
      <c r="K507" s="13" t="s">
        <v>276</v>
      </c>
      <c r="L507" s="13" t="s">
        <v>1385</v>
      </c>
      <c r="M507" s="7" t="s">
        <v>253</v>
      </c>
      <c r="N507" s="7" t="s">
        <v>253</v>
      </c>
      <c r="O507" s="7" t="s">
        <v>254</v>
      </c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  <c r="AE507" s="8"/>
    </row>
    <row r="508">
      <c r="A508" s="12">
        <v>22.0</v>
      </c>
      <c r="B508" s="8" t="s">
        <v>281</v>
      </c>
      <c r="C508" s="8" t="s">
        <v>557</v>
      </c>
      <c r="I508" s="10" t="s">
        <v>39</v>
      </c>
      <c r="J508" s="13" t="s">
        <v>770</v>
      </c>
      <c r="K508" s="13" t="s">
        <v>276</v>
      </c>
      <c r="L508" s="13" t="s">
        <v>307</v>
      </c>
      <c r="M508" s="7" t="s">
        <v>253</v>
      </c>
      <c r="N508" s="7" t="s">
        <v>253</v>
      </c>
      <c r="O508" s="7" t="s">
        <v>254</v>
      </c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  <c r="AE508" s="8"/>
    </row>
    <row r="509">
      <c r="A509" s="12">
        <v>22.0</v>
      </c>
      <c r="B509" s="8" t="s">
        <v>281</v>
      </c>
      <c r="C509" s="8" t="s">
        <v>557</v>
      </c>
      <c r="I509" s="10" t="s">
        <v>49</v>
      </c>
      <c r="J509" s="13" t="s">
        <v>773</v>
      </c>
      <c r="K509" s="13" t="s">
        <v>276</v>
      </c>
      <c r="L509" s="13" t="s">
        <v>307</v>
      </c>
      <c r="M509" s="7" t="s">
        <v>253</v>
      </c>
      <c r="N509" s="7" t="s">
        <v>253</v>
      </c>
      <c r="O509" s="7" t="s">
        <v>254</v>
      </c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  <c r="AE509" s="8"/>
    </row>
    <row r="510">
      <c r="A510" s="12">
        <v>23.0</v>
      </c>
      <c r="B510" s="8" t="s">
        <v>282</v>
      </c>
      <c r="C510" s="8" t="s">
        <v>557</v>
      </c>
      <c r="D510" s="25">
        <f>IF(COUNTIF($B$2:$B510,$B510)&gt;1,"",COUNTIF($B$2:$B$2505,$B510))</f>
        <v>33</v>
      </c>
      <c r="E510" s="25">
        <f>IF(COUNTIF($B$2:$B510,$B510)&gt;1,"",COUNTIFS($B$2:$B$2505,$B510,$K$2:$K$2505,"PHÙ HỢP CAO"))</f>
        <v>3</v>
      </c>
      <c r="F510" s="25">
        <f>IF(COUNTIF($B$2:$B510,$B510)&gt;1,"",COUNTIFS($B$2:$B$2505,$B510,$K$2:$K$2505,"CÓ THỂ ĐI"))</f>
        <v>2</v>
      </c>
      <c r="G510" s="25">
        <f>IF(COUNTIF($B$2:$B510,$B510)&gt;1,"",COUNTIFS($B$2:$B$2505,$B510,$K$2:$K$2505,"CẦN SOÁT"))</f>
        <v>28</v>
      </c>
      <c r="H510" s="26" t="str">
        <f>IFERROR(__xludf.DUMMYFUNCTION("IF(COUNTIF($B$2:$B510,$B510)&gt;1,"""",IFERROR(TEXTJOIN(CHAR(10),TRUE,BYROW(QUERY({$B$2:$B$2505,$J$2:$J$2505},""select Col2, count(Col2) where Col1 = '""&amp;$B510&amp;""' group by Col2 order by count(Col2) desc label count(Col2) ''"",0),LAMBDA(r,INDEX(r,1,1)&amp;"" – "&amp;"""&amp;INDEX(r,1,2)&amp;"" link""))),""""))"),"tên đăng nhập tài khoản ngân hàng – 17 link
tên đăng nhập – 16 link")</f>
        <v>tên đăng nhập tài khoản ngân hàng – 17 link
tên đăng nhập – 16 link</v>
      </c>
      <c r="I510" s="10" t="s">
        <v>741</v>
      </c>
      <c r="J510" s="13" t="s">
        <v>777</v>
      </c>
      <c r="K510" s="13" t="s">
        <v>251</v>
      </c>
      <c r="L510" s="13" t="s">
        <v>1403</v>
      </c>
      <c r="M510" s="7" t="s">
        <v>253</v>
      </c>
      <c r="N510" s="7" t="s">
        <v>253</v>
      </c>
      <c r="O510" s="7" t="s">
        <v>254</v>
      </c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  <c r="AE510" s="8"/>
    </row>
    <row r="511">
      <c r="A511" s="12">
        <v>23.0</v>
      </c>
      <c r="B511" s="8" t="s">
        <v>282</v>
      </c>
      <c r="C511" s="8" t="s">
        <v>557</v>
      </c>
      <c r="I511" s="10" t="s">
        <v>778</v>
      </c>
      <c r="J511" s="13" t="s">
        <v>780</v>
      </c>
      <c r="K511" s="13" t="s">
        <v>251</v>
      </c>
      <c r="L511" s="13" t="s">
        <v>1407</v>
      </c>
      <c r="M511" s="7" t="s">
        <v>253</v>
      </c>
      <c r="N511" s="7" t="s">
        <v>253</v>
      </c>
      <c r="O511" s="7" t="s">
        <v>254</v>
      </c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  <c r="AE511" s="8"/>
    </row>
    <row r="512">
      <c r="A512" s="12">
        <v>23.0</v>
      </c>
      <c r="B512" s="8" t="s">
        <v>282</v>
      </c>
      <c r="C512" s="8" t="s">
        <v>557</v>
      </c>
      <c r="I512" s="10" t="s">
        <v>781</v>
      </c>
      <c r="J512" s="13" t="s">
        <v>777</v>
      </c>
      <c r="K512" s="13" t="s">
        <v>251</v>
      </c>
      <c r="L512" s="13" t="s">
        <v>1410</v>
      </c>
      <c r="M512" s="7" t="s">
        <v>253</v>
      </c>
      <c r="N512" s="7" t="s">
        <v>253</v>
      </c>
      <c r="O512" s="7" t="s">
        <v>254</v>
      </c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  <c r="AE512" s="8"/>
    </row>
    <row r="513">
      <c r="A513" s="12">
        <v>23.0</v>
      </c>
      <c r="B513" s="8" t="s">
        <v>282</v>
      </c>
      <c r="C513" s="8" t="s">
        <v>557</v>
      </c>
      <c r="I513" s="10" t="s">
        <v>783</v>
      </c>
      <c r="J513" s="13" t="s">
        <v>780</v>
      </c>
      <c r="K513" s="13" t="s">
        <v>272</v>
      </c>
      <c r="L513" s="13" t="s">
        <v>1414</v>
      </c>
      <c r="M513" s="7" t="s">
        <v>253</v>
      </c>
      <c r="N513" s="7" t="s">
        <v>253</v>
      </c>
      <c r="O513" s="7" t="s">
        <v>254</v>
      </c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  <c r="AE513" s="8"/>
    </row>
    <row r="514">
      <c r="A514" s="12">
        <v>23.0</v>
      </c>
      <c r="B514" s="8" t="s">
        <v>282</v>
      </c>
      <c r="C514" s="8" t="s">
        <v>557</v>
      </c>
      <c r="I514" s="10" t="s">
        <v>578</v>
      </c>
      <c r="J514" s="13" t="s">
        <v>777</v>
      </c>
      <c r="K514" s="13" t="s">
        <v>272</v>
      </c>
      <c r="L514" s="13" t="s">
        <v>1416</v>
      </c>
      <c r="M514" s="7" t="s">
        <v>253</v>
      </c>
      <c r="N514" s="7" t="s">
        <v>253</v>
      </c>
      <c r="O514" s="7" t="s">
        <v>254</v>
      </c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  <c r="AE514" s="8"/>
    </row>
    <row r="515">
      <c r="A515" s="12">
        <v>23.0</v>
      </c>
      <c r="B515" s="8" t="s">
        <v>282</v>
      </c>
      <c r="C515" s="8" t="s">
        <v>557</v>
      </c>
      <c r="I515" s="10" t="s">
        <v>341</v>
      </c>
      <c r="J515" s="13" t="s">
        <v>780</v>
      </c>
      <c r="K515" s="13" t="s">
        <v>276</v>
      </c>
      <c r="L515" s="13" t="s">
        <v>1418</v>
      </c>
      <c r="M515" s="7" t="s">
        <v>253</v>
      </c>
      <c r="N515" s="7" t="s">
        <v>253</v>
      </c>
      <c r="O515" s="7" t="s">
        <v>254</v>
      </c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  <c r="AE515" s="8"/>
    </row>
    <row r="516">
      <c r="A516" s="12">
        <v>23.0</v>
      </c>
      <c r="B516" s="8" t="s">
        <v>282</v>
      </c>
      <c r="C516" s="8" t="s">
        <v>557</v>
      </c>
      <c r="I516" s="10" t="s">
        <v>628</v>
      </c>
      <c r="J516" s="13" t="s">
        <v>777</v>
      </c>
      <c r="K516" s="13" t="s">
        <v>276</v>
      </c>
      <c r="L516" s="13" t="s">
        <v>1418</v>
      </c>
      <c r="M516" s="7" t="s">
        <v>253</v>
      </c>
      <c r="N516" s="7" t="s">
        <v>253</v>
      </c>
      <c r="O516" s="7" t="s">
        <v>254</v>
      </c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  <c r="AE516" s="8"/>
    </row>
    <row r="517">
      <c r="A517" s="12">
        <v>23.0</v>
      </c>
      <c r="B517" s="8" t="s">
        <v>282</v>
      </c>
      <c r="C517" s="8" t="s">
        <v>557</v>
      </c>
      <c r="I517" s="10" t="s">
        <v>642</v>
      </c>
      <c r="J517" s="13" t="s">
        <v>780</v>
      </c>
      <c r="K517" s="13" t="s">
        <v>276</v>
      </c>
      <c r="L517" s="13" t="s">
        <v>1420</v>
      </c>
      <c r="M517" s="7" t="s">
        <v>253</v>
      </c>
      <c r="N517" s="7" t="s">
        <v>253</v>
      </c>
      <c r="O517" s="7" t="s">
        <v>254</v>
      </c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  <c r="AE517" s="8"/>
    </row>
    <row r="518">
      <c r="A518" s="12">
        <v>23.0</v>
      </c>
      <c r="B518" s="8" t="s">
        <v>282</v>
      </c>
      <c r="C518" s="8" t="s">
        <v>557</v>
      </c>
      <c r="I518" s="10" t="s">
        <v>1421</v>
      </c>
      <c r="J518" s="13" t="s">
        <v>777</v>
      </c>
      <c r="K518" s="13" t="s">
        <v>276</v>
      </c>
      <c r="L518" s="13" t="s">
        <v>1418</v>
      </c>
      <c r="M518" s="7" t="s">
        <v>253</v>
      </c>
      <c r="N518" s="7" t="s">
        <v>253</v>
      </c>
      <c r="O518" s="7" t="s">
        <v>254</v>
      </c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  <c r="AE518" s="8"/>
    </row>
    <row r="519">
      <c r="A519" s="12">
        <v>23.0</v>
      </c>
      <c r="B519" s="8" t="s">
        <v>282</v>
      </c>
      <c r="C519" s="8" t="s">
        <v>557</v>
      </c>
      <c r="I519" s="10" t="s">
        <v>711</v>
      </c>
      <c r="J519" s="13" t="s">
        <v>780</v>
      </c>
      <c r="K519" s="13" t="s">
        <v>276</v>
      </c>
      <c r="L519" s="13" t="s">
        <v>1418</v>
      </c>
      <c r="M519" s="7" t="s">
        <v>253</v>
      </c>
      <c r="N519" s="7" t="s">
        <v>253</v>
      </c>
      <c r="O519" s="7" t="s">
        <v>254</v>
      </c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  <c r="AE519" s="8"/>
    </row>
    <row r="520">
      <c r="A520" s="12">
        <v>23.0</v>
      </c>
      <c r="B520" s="8" t="s">
        <v>282</v>
      </c>
      <c r="C520" s="8" t="s">
        <v>557</v>
      </c>
      <c r="I520" s="10" t="s">
        <v>1425</v>
      </c>
      <c r="J520" s="13" t="s">
        <v>777</v>
      </c>
      <c r="K520" s="13" t="s">
        <v>276</v>
      </c>
      <c r="L520" s="13" t="s">
        <v>1429</v>
      </c>
      <c r="M520" s="7" t="s">
        <v>253</v>
      </c>
      <c r="N520" s="7" t="s">
        <v>253</v>
      </c>
      <c r="O520" s="7" t="s">
        <v>254</v>
      </c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  <c r="AE520" s="8"/>
    </row>
    <row r="521">
      <c r="A521" s="12">
        <v>23.0</v>
      </c>
      <c r="B521" s="8" t="s">
        <v>282</v>
      </c>
      <c r="C521" s="8" t="s">
        <v>557</v>
      </c>
      <c r="I521" s="10" t="s">
        <v>677</v>
      </c>
      <c r="J521" s="13" t="s">
        <v>780</v>
      </c>
      <c r="K521" s="13" t="s">
        <v>276</v>
      </c>
      <c r="L521" s="13" t="s">
        <v>1431</v>
      </c>
      <c r="M521" s="7" t="s">
        <v>253</v>
      </c>
      <c r="N521" s="7" t="s">
        <v>253</v>
      </c>
      <c r="O521" s="7" t="s">
        <v>254</v>
      </c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  <c r="AE521" s="8"/>
    </row>
    <row r="522">
      <c r="A522" s="12">
        <v>23.0</v>
      </c>
      <c r="B522" s="8" t="s">
        <v>282</v>
      </c>
      <c r="C522" s="8" t="s">
        <v>557</v>
      </c>
      <c r="I522" s="10" t="s">
        <v>1218</v>
      </c>
      <c r="J522" s="13" t="s">
        <v>777</v>
      </c>
      <c r="K522" s="13" t="s">
        <v>276</v>
      </c>
      <c r="L522" s="13" t="s">
        <v>1431</v>
      </c>
      <c r="M522" s="7" t="s">
        <v>253</v>
      </c>
      <c r="N522" s="7" t="s">
        <v>253</v>
      </c>
      <c r="O522" s="7" t="s">
        <v>254</v>
      </c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  <c r="AE522" s="8"/>
    </row>
    <row r="523">
      <c r="A523" s="12">
        <v>23.0</v>
      </c>
      <c r="B523" s="8" t="s">
        <v>282</v>
      </c>
      <c r="C523" s="8" t="s">
        <v>557</v>
      </c>
      <c r="I523" s="10" t="s">
        <v>1436</v>
      </c>
      <c r="J523" s="13" t="s">
        <v>780</v>
      </c>
      <c r="K523" s="13" t="s">
        <v>276</v>
      </c>
      <c r="L523" s="13" t="s">
        <v>1441</v>
      </c>
      <c r="M523" s="7" t="s">
        <v>253</v>
      </c>
      <c r="N523" s="7" t="s">
        <v>253</v>
      </c>
      <c r="O523" s="7" t="s">
        <v>254</v>
      </c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  <c r="AE523" s="8"/>
    </row>
    <row r="524">
      <c r="A524" s="12">
        <v>23.0</v>
      </c>
      <c r="B524" s="8" t="s">
        <v>282</v>
      </c>
      <c r="C524" s="8" t="s">
        <v>557</v>
      </c>
      <c r="I524" s="10" t="s">
        <v>700</v>
      </c>
      <c r="J524" s="13" t="s">
        <v>777</v>
      </c>
      <c r="K524" s="13" t="s">
        <v>276</v>
      </c>
      <c r="L524" s="13" t="s">
        <v>1418</v>
      </c>
      <c r="M524" s="7" t="s">
        <v>253</v>
      </c>
      <c r="N524" s="7" t="s">
        <v>253</v>
      </c>
      <c r="O524" s="7" t="s">
        <v>254</v>
      </c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  <c r="AE524" s="8"/>
    </row>
    <row r="525">
      <c r="A525" s="12">
        <v>23.0</v>
      </c>
      <c r="B525" s="8" t="s">
        <v>282</v>
      </c>
      <c r="C525" s="8" t="s">
        <v>557</v>
      </c>
      <c r="I525" s="10" t="s">
        <v>336</v>
      </c>
      <c r="J525" s="13" t="s">
        <v>780</v>
      </c>
      <c r="K525" s="13" t="s">
        <v>276</v>
      </c>
      <c r="L525" s="13" t="s">
        <v>1418</v>
      </c>
      <c r="M525" s="7" t="s">
        <v>253</v>
      </c>
      <c r="N525" s="7" t="s">
        <v>253</v>
      </c>
      <c r="O525" s="7" t="s">
        <v>254</v>
      </c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  <c r="AE525" s="8"/>
    </row>
    <row r="526">
      <c r="A526" s="12">
        <v>23.0</v>
      </c>
      <c r="B526" s="8" t="s">
        <v>282</v>
      </c>
      <c r="C526" s="8" t="s">
        <v>557</v>
      </c>
      <c r="I526" s="10" t="s">
        <v>313</v>
      </c>
      <c r="J526" s="13" t="s">
        <v>777</v>
      </c>
      <c r="K526" s="13" t="s">
        <v>276</v>
      </c>
      <c r="L526" s="13" t="s">
        <v>1448</v>
      </c>
      <c r="M526" s="7" t="s">
        <v>253</v>
      </c>
      <c r="N526" s="7" t="s">
        <v>253</v>
      </c>
      <c r="O526" s="7" t="s">
        <v>254</v>
      </c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  <c r="AE526" s="8"/>
    </row>
    <row r="527">
      <c r="A527" s="12">
        <v>23.0</v>
      </c>
      <c r="B527" s="8" t="s">
        <v>282</v>
      </c>
      <c r="C527" s="8" t="s">
        <v>557</v>
      </c>
      <c r="I527" s="10" t="s">
        <v>1397</v>
      </c>
      <c r="J527" s="13" t="s">
        <v>780</v>
      </c>
      <c r="K527" s="13" t="s">
        <v>276</v>
      </c>
      <c r="L527" s="13" t="s">
        <v>1418</v>
      </c>
      <c r="M527" s="7" t="s">
        <v>253</v>
      </c>
      <c r="N527" s="7" t="s">
        <v>253</v>
      </c>
      <c r="O527" s="7" t="s">
        <v>254</v>
      </c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  <c r="AE527" s="8"/>
    </row>
    <row r="528">
      <c r="A528" s="12">
        <v>23.0</v>
      </c>
      <c r="B528" s="8" t="s">
        <v>282</v>
      </c>
      <c r="C528" s="8" t="s">
        <v>557</v>
      </c>
      <c r="I528" s="10" t="s">
        <v>735</v>
      </c>
      <c r="J528" s="13" t="s">
        <v>777</v>
      </c>
      <c r="K528" s="13" t="s">
        <v>276</v>
      </c>
      <c r="L528" s="13" t="s">
        <v>1418</v>
      </c>
      <c r="M528" s="7" t="s">
        <v>253</v>
      </c>
      <c r="N528" s="7" t="s">
        <v>253</v>
      </c>
      <c r="O528" s="7" t="s">
        <v>254</v>
      </c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  <c r="AE528" s="8"/>
    </row>
    <row r="529">
      <c r="A529" s="12">
        <v>23.0</v>
      </c>
      <c r="B529" s="8" t="s">
        <v>282</v>
      </c>
      <c r="C529" s="8" t="s">
        <v>557</v>
      </c>
      <c r="I529" s="10" t="s">
        <v>921</v>
      </c>
      <c r="J529" s="13" t="s">
        <v>780</v>
      </c>
      <c r="K529" s="13" t="s">
        <v>276</v>
      </c>
      <c r="L529" s="13" t="s">
        <v>1431</v>
      </c>
      <c r="M529" s="7" t="s">
        <v>253</v>
      </c>
      <c r="N529" s="7" t="s">
        <v>253</v>
      </c>
      <c r="O529" s="7" t="s">
        <v>254</v>
      </c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  <c r="AE529" s="8"/>
    </row>
    <row r="530">
      <c r="A530" s="12">
        <v>23.0</v>
      </c>
      <c r="B530" s="8" t="s">
        <v>282</v>
      </c>
      <c r="C530" s="8" t="s">
        <v>557</v>
      </c>
      <c r="I530" s="10" t="s">
        <v>597</v>
      </c>
      <c r="J530" s="13" t="s">
        <v>777</v>
      </c>
      <c r="K530" s="13" t="s">
        <v>276</v>
      </c>
      <c r="L530" s="13" t="s">
        <v>1418</v>
      </c>
      <c r="M530" s="7" t="s">
        <v>253</v>
      </c>
      <c r="N530" s="7" t="s">
        <v>253</v>
      </c>
      <c r="O530" s="7" t="s">
        <v>254</v>
      </c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  <c r="AE530" s="8"/>
    </row>
    <row r="531">
      <c r="A531" s="12">
        <v>23.0</v>
      </c>
      <c r="B531" s="8" t="s">
        <v>282</v>
      </c>
      <c r="C531" s="8" t="s">
        <v>557</v>
      </c>
      <c r="I531" s="10" t="s">
        <v>1455</v>
      </c>
      <c r="J531" s="13" t="s">
        <v>780</v>
      </c>
      <c r="K531" s="13" t="s">
        <v>276</v>
      </c>
      <c r="L531" s="13" t="s">
        <v>1418</v>
      </c>
      <c r="M531" s="7" t="s">
        <v>253</v>
      </c>
      <c r="N531" s="7" t="s">
        <v>253</v>
      </c>
      <c r="O531" s="7" t="s">
        <v>254</v>
      </c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  <c r="AE531" s="8"/>
    </row>
    <row r="532">
      <c r="A532" s="12">
        <v>23.0</v>
      </c>
      <c r="B532" s="8" t="s">
        <v>282</v>
      </c>
      <c r="C532" s="8" t="s">
        <v>557</v>
      </c>
      <c r="I532" s="10" t="s">
        <v>761</v>
      </c>
      <c r="J532" s="13" t="s">
        <v>777</v>
      </c>
      <c r="K532" s="13" t="s">
        <v>276</v>
      </c>
      <c r="L532" s="13" t="s">
        <v>1429</v>
      </c>
      <c r="M532" s="7" t="s">
        <v>253</v>
      </c>
      <c r="N532" s="7" t="s">
        <v>253</v>
      </c>
      <c r="O532" s="7" t="s">
        <v>254</v>
      </c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  <c r="AE532" s="8"/>
    </row>
    <row r="533">
      <c r="A533" s="12">
        <v>23.0</v>
      </c>
      <c r="B533" s="8" t="s">
        <v>282</v>
      </c>
      <c r="C533" s="8" t="s">
        <v>557</v>
      </c>
      <c r="I533" s="10" t="s">
        <v>291</v>
      </c>
      <c r="J533" s="13" t="s">
        <v>780</v>
      </c>
      <c r="K533" s="13" t="s">
        <v>276</v>
      </c>
      <c r="L533" s="13" t="s">
        <v>1459</v>
      </c>
      <c r="M533" s="7" t="s">
        <v>253</v>
      </c>
      <c r="N533" s="7" t="s">
        <v>253</v>
      </c>
      <c r="O533" s="7" t="s">
        <v>254</v>
      </c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  <c r="AE533" s="8"/>
    </row>
    <row r="534">
      <c r="A534" s="12">
        <v>23.0</v>
      </c>
      <c r="B534" s="8" t="s">
        <v>282</v>
      </c>
      <c r="C534" s="8" t="s">
        <v>557</v>
      </c>
      <c r="I534" s="10" t="s">
        <v>1461</v>
      </c>
      <c r="J534" s="13" t="s">
        <v>777</v>
      </c>
      <c r="K534" s="13" t="s">
        <v>276</v>
      </c>
      <c r="L534" s="13" t="s">
        <v>1418</v>
      </c>
      <c r="M534" s="7" t="s">
        <v>253</v>
      </c>
      <c r="N534" s="7" t="s">
        <v>253</v>
      </c>
      <c r="O534" s="7" t="s">
        <v>254</v>
      </c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  <c r="AE534" s="8"/>
    </row>
    <row r="535">
      <c r="A535" s="12">
        <v>23.0</v>
      </c>
      <c r="B535" s="8" t="s">
        <v>282</v>
      </c>
      <c r="C535" s="8" t="s">
        <v>557</v>
      </c>
      <c r="I535" s="10" t="s">
        <v>1464</v>
      </c>
      <c r="J535" s="13" t="s">
        <v>780</v>
      </c>
      <c r="K535" s="13" t="s">
        <v>276</v>
      </c>
      <c r="L535" s="13" t="s">
        <v>1418</v>
      </c>
      <c r="M535" s="7" t="s">
        <v>253</v>
      </c>
      <c r="N535" s="7" t="s">
        <v>253</v>
      </c>
      <c r="O535" s="7" t="s">
        <v>254</v>
      </c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  <c r="AE535" s="8"/>
    </row>
    <row r="536">
      <c r="A536" s="12">
        <v>23.0</v>
      </c>
      <c r="B536" s="8" t="s">
        <v>282</v>
      </c>
      <c r="C536" s="8" t="s">
        <v>557</v>
      </c>
      <c r="I536" s="10" t="s">
        <v>1399</v>
      </c>
      <c r="J536" s="13" t="s">
        <v>777</v>
      </c>
      <c r="K536" s="13" t="s">
        <v>276</v>
      </c>
      <c r="L536" s="13" t="s">
        <v>1441</v>
      </c>
      <c r="M536" s="7" t="s">
        <v>253</v>
      </c>
      <c r="N536" s="7" t="s">
        <v>253</v>
      </c>
      <c r="O536" s="7" t="s">
        <v>254</v>
      </c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  <c r="AE536" s="8"/>
    </row>
    <row r="537">
      <c r="A537" s="12">
        <v>23.0</v>
      </c>
      <c r="B537" s="8" t="s">
        <v>282</v>
      </c>
      <c r="C537" s="8" t="s">
        <v>557</v>
      </c>
      <c r="I537" s="10" t="s">
        <v>1214</v>
      </c>
      <c r="J537" s="13" t="s">
        <v>780</v>
      </c>
      <c r="K537" s="13" t="s">
        <v>276</v>
      </c>
      <c r="L537" s="13" t="s">
        <v>1418</v>
      </c>
      <c r="M537" s="7" t="s">
        <v>253</v>
      </c>
      <c r="N537" s="7" t="s">
        <v>253</v>
      </c>
      <c r="O537" s="7" t="s">
        <v>254</v>
      </c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  <c r="AE537" s="8"/>
    </row>
    <row r="538">
      <c r="A538" s="12">
        <v>23.0</v>
      </c>
      <c r="B538" s="8" t="s">
        <v>282</v>
      </c>
      <c r="C538" s="8" t="s">
        <v>557</v>
      </c>
      <c r="I538" s="10" t="s">
        <v>569</v>
      </c>
      <c r="J538" s="13" t="s">
        <v>777</v>
      </c>
      <c r="K538" s="13" t="s">
        <v>276</v>
      </c>
      <c r="L538" s="13" t="s">
        <v>1418</v>
      </c>
      <c r="M538" s="7" t="s">
        <v>253</v>
      </c>
      <c r="N538" s="7" t="s">
        <v>253</v>
      </c>
      <c r="O538" s="7" t="s">
        <v>254</v>
      </c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  <c r="AE538" s="8"/>
    </row>
    <row r="539">
      <c r="A539" s="12">
        <v>23.0</v>
      </c>
      <c r="B539" s="8" t="s">
        <v>282</v>
      </c>
      <c r="C539" s="8" t="s">
        <v>557</v>
      </c>
      <c r="I539" s="10" t="s">
        <v>440</v>
      </c>
      <c r="J539" s="13" t="s">
        <v>780</v>
      </c>
      <c r="K539" s="13" t="s">
        <v>276</v>
      </c>
      <c r="L539" s="13" t="s">
        <v>1459</v>
      </c>
      <c r="M539" s="7" t="s">
        <v>253</v>
      </c>
      <c r="N539" s="7" t="s">
        <v>253</v>
      </c>
      <c r="O539" s="7" t="s">
        <v>254</v>
      </c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  <c r="AE539" s="8"/>
    </row>
    <row r="540">
      <c r="A540" s="12">
        <v>23.0</v>
      </c>
      <c r="B540" s="8" t="s">
        <v>282</v>
      </c>
      <c r="C540" s="8" t="s">
        <v>557</v>
      </c>
      <c r="I540" s="10" t="s">
        <v>441</v>
      </c>
      <c r="J540" s="13" t="s">
        <v>777</v>
      </c>
      <c r="K540" s="13" t="s">
        <v>276</v>
      </c>
      <c r="L540" s="13" t="s">
        <v>1420</v>
      </c>
      <c r="M540" s="7" t="s">
        <v>253</v>
      </c>
      <c r="N540" s="7" t="s">
        <v>253</v>
      </c>
      <c r="O540" s="7" t="s">
        <v>254</v>
      </c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  <c r="AE540" s="8"/>
    </row>
    <row r="541">
      <c r="A541" s="12">
        <v>23.0</v>
      </c>
      <c r="B541" s="8" t="s">
        <v>282</v>
      </c>
      <c r="C541" s="8" t="s">
        <v>557</v>
      </c>
      <c r="I541" s="10" t="s">
        <v>1013</v>
      </c>
      <c r="J541" s="13" t="s">
        <v>780</v>
      </c>
      <c r="K541" s="13" t="s">
        <v>276</v>
      </c>
      <c r="L541" s="13" t="s">
        <v>1448</v>
      </c>
      <c r="M541" s="7" t="s">
        <v>253</v>
      </c>
      <c r="N541" s="7" t="s">
        <v>253</v>
      </c>
      <c r="O541" s="7" t="s">
        <v>254</v>
      </c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  <c r="AE541" s="8"/>
    </row>
    <row r="542">
      <c r="A542" s="12">
        <v>23.0</v>
      </c>
      <c r="B542" s="8" t="s">
        <v>282</v>
      </c>
      <c r="C542" s="8" t="s">
        <v>557</v>
      </c>
      <c r="I542" s="10" t="s">
        <v>639</v>
      </c>
      <c r="J542" s="13" t="s">
        <v>777</v>
      </c>
      <c r="K542" s="13" t="s">
        <v>276</v>
      </c>
      <c r="L542" s="13" t="s">
        <v>1418</v>
      </c>
      <c r="M542" s="7" t="s">
        <v>253</v>
      </c>
      <c r="N542" s="7" t="s">
        <v>253</v>
      </c>
      <c r="O542" s="7" t="s">
        <v>254</v>
      </c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  <c r="AE542" s="8"/>
    </row>
    <row r="543">
      <c r="A543" s="12">
        <v>24.0</v>
      </c>
      <c r="B543" s="8" t="s">
        <v>283</v>
      </c>
      <c r="C543" s="8" t="s">
        <v>557</v>
      </c>
      <c r="D543" s="25">
        <f>IF(COUNTIF($B$2:$B543,$B543)&gt;1,"",COUNTIF($B$2:$B$2505,$B543))</f>
        <v>17</v>
      </c>
      <c r="E543" s="25">
        <f>IF(COUNTIF($B$2:$B543,$B543)&gt;1,"",COUNTIFS($B$2:$B$2505,$B543,$K$2:$K$2505,"PHÙ HỢP CAO"))</f>
        <v>1</v>
      </c>
      <c r="F543" s="25">
        <f>IF(COUNTIF($B$2:$B543,$B543)&gt;1,"",COUNTIFS($B$2:$B$2505,$B543,$K$2:$K$2505,"CÓ THỂ ĐI"))</f>
        <v>3</v>
      </c>
      <c r="G543" s="25">
        <f>IF(COUNTIF($B$2:$B543,$B543)&gt;1,"",COUNTIFS($B$2:$B$2505,$B543,$K$2:$K$2505,"CẦN SOÁT"))</f>
        <v>13</v>
      </c>
      <c r="H543" s="26" t="str">
        <f>IFERROR(__xludf.DUMMYFUNCTION("IF(COUNTIF($B$2:$B543,$B543)&gt;1,"""",IFERROR(TEXTJOIN(CHAR(10),TRUE,BYROW(QUERY({$B$2:$B$2505,$J$2:$J$2505},""select Col2, count(Col2) where Col1 = '""&amp;$B543&amp;""' group by Col2 order by count(Col2) desc label count(Col2) ''"",0),LAMBDA(r,INDEX(r,1,1)&amp;"" – "&amp;"""&amp;INDEX(r,1,2)&amp;"" link""))),""""))"),"thuế TNCN – 6 link
thuế thu nhập cá nhân – 6 link
mức đóng thuế thu nhập cá nhân – 5 link")</f>
        <v>thuế TNCN – 6 link
thuế thu nhập cá nhân – 6 link
mức đóng thuế thu nhập cá nhân – 5 link</v>
      </c>
      <c r="I543" s="10" t="s">
        <v>327</v>
      </c>
      <c r="J543" s="13" t="s">
        <v>616</v>
      </c>
      <c r="K543" s="13" t="s">
        <v>251</v>
      </c>
      <c r="L543" s="13" t="s">
        <v>1476</v>
      </c>
      <c r="M543" s="7" t="s">
        <v>253</v>
      </c>
      <c r="N543" s="7" t="s">
        <v>253</v>
      </c>
      <c r="O543" s="7" t="s">
        <v>254</v>
      </c>
      <c r="P543" s="13" t="s">
        <v>350</v>
      </c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  <c r="AE543" s="8"/>
    </row>
    <row r="544">
      <c r="A544" s="12">
        <v>24.0</v>
      </c>
      <c r="B544" s="8" t="s">
        <v>283</v>
      </c>
      <c r="C544" s="8" t="s">
        <v>557</v>
      </c>
      <c r="I544" s="10" t="s">
        <v>311</v>
      </c>
      <c r="J544" s="13" t="s">
        <v>788</v>
      </c>
      <c r="K544" s="13" t="s">
        <v>272</v>
      </c>
      <c r="L544" s="13" t="s">
        <v>1478</v>
      </c>
      <c r="M544" s="7" t="s">
        <v>253</v>
      </c>
      <c r="N544" s="7" t="s">
        <v>253</v>
      </c>
      <c r="O544" s="7" t="s">
        <v>254</v>
      </c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  <c r="AE544" s="8"/>
    </row>
    <row r="545">
      <c r="A545" s="12">
        <v>24.0</v>
      </c>
      <c r="B545" s="8" t="s">
        <v>283</v>
      </c>
      <c r="C545" s="8" t="s">
        <v>557</v>
      </c>
      <c r="I545" s="10" t="s">
        <v>627</v>
      </c>
      <c r="J545" s="13" t="s">
        <v>1479</v>
      </c>
      <c r="K545" s="13" t="s">
        <v>272</v>
      </c>
      <c r="L545" s="13" t="s">
        <v>1480</v>
      </c>
      <c r="M545" s="7" t="s">
        <v>253</v>
      </c>
      <c r="N545" s="7" t="s">
        <v>253</v>
      </c>
      <c r="O545" s="7" t="s">
        <v>254</v>
      </c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  <c r="AE545" s="8"/>
    </row>
    <row r="546">
      <c r="A546" s="12">
        <v>24.0</v>
      </c>
      <c r="B546" s="8" t="s">
        <v>283</v>
      </c>
      <c r="C546" s="8" t="s">
        <v>557</v>
      </c>
      <c r="I546" s="10" t="s">
        <v>623</v>
      </c>
      <c r="J546" s="13" t="s">
        <v>616</v>
      </c>
      <c r="K546" s="13" t="s">
        <v>272</v>
      </c>
      <c r="L546" s="13" t="s">
        <v>1481</v>
      </c>
      <c r="M546" s="7" t="s">
        <v>253</v>
      </c>
      <c r="N546" s="7" t="s">
        <v>253</v>
      </c>
      <c r="O546" s="7" t="s">
        <v>254</v>
      </c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  <c r="AE546" s="8"/>
    </row>
    <row r="547">
      <c r="A547" s="12">
        <v>24.0</v>
      </c>
      <c r="B547" s="8" t="s">
        <v>283</v>
      </c>
      <c r="C547" s="8" t="s">
        <v>557</v>
      </c>
      <c r="I547" s="10" t="s">
        <v>343</v>
      </c>
      <c r="J547" s="13" t="s">
        <v>788</v>
      </c>
      <c r="K547" s="13" t="s">
        <v>276</v>
      </c>
      <c r="L547" s="13" t="s">
        <v>630</v>
      </c>
      <c r="M547" s="7" t="s">
        <v>253</v>
      </c>
      <c r="N547" s="7" t="s">
        <v>253</v>
      </c>
      <c r="O547" s="7" t="s">
        <v>254</v>
      </c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  <c r="AE547" s="8"/>
    </row>
    <row r="548">
      <c r="A548" s="12">
        <v>24.0</v>
      </c>
      <c r="B548" s="8" t="s">
        <v>283</v>
      </c>
      <c r="C548" s="8" t="s">
        <v>557</v>
      </c>
      <c r="I548" s="10" t="s">
        <v>298</v>
      </c>
      <c r="J548" s="13" t="s">
        <v>1479</v>
      </c>
      <c r="K548" s="13" t="s">
        <v>276</v>
      </c>
      <c r="L548" s="13" t="s">
        <v>635</v>
      </c>
      <c r="M548" s="7" t="s">
        <v>253</v>
      </c>
      <c r="N548" s="7" t="s">
        <v>253</v>
      </c>
      <c r="O548" s="7" t="s">
        <v>254</v>
      </c>
      <c r="P548" s="13" t="s">
        <v>300</v>
      </c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  <c r="AE548" s="8"/>
    </row>
    <row r="549">
      <c r="A549" s="12">
        <v>24.0</v>
      </c>
      <c r="B549" s="8" t="s">
        <v>283</v>
      </c>
      <c r="C549" s="8" t="s">
        <v>557</v>
      </c>
      <c r="I549" s="10" t="s">
        <v>314</v>
      </c>
      <c r="J549" s="13" t="s">
        <v>616</v>
      </c>
      <c r="K549" s="13" t="s">
        <v>276</v>
      </c>
      <c r="L549" s="13" t="s">
        <v>635</v>
      </c>
      <c r="M549" s="7" t="s">
        <v>253</v>
      </c>
      <c r="N549" s="7" t="s">
        <v>253</v>
      </c>
      <c r="O549" s="7" t="s">
        <v>254</v>
      </c>
      <c r="P549" s="13" t="s">
        <v>300</v>
      </c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  <c r="AE549" s="8"/>
    </row>
    <row r="550">
      <c r="A550" s="12">
        <v>24.0</v>
      </c>
      <c r="B550" s="8" t="s">
        <v>283</v>
      </c>
      <c r="C550" s="8" t="s">
        <v>557</v>
      </c>
      <c r="I550" s="10" t="s">
        <v>426</v>
      </c>
      <c r="J550" s="13" t="s">
        <v>788</v>
      </c>
      <c r="K550" s="13" t="s">
        <v>276</v>
      </c>
      <c r="L550" s="13" t="s">
        <v>630</v>
      </c>
      <c r="M550" s="7" t="s">
        <v>253</v>
      </c>
      <c r="N550" s="7" t="s">
        <v>253</v>
      </c>
      <c r="O550" s="7" t="s">
        <v>254</v>
      </c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  <c r="AE550" s="8"/>
    </row>
    <row r="551">
      <c r="A551" s="12">
        <v>24.0</v>
      </c>
      <c r="B551" s="8" t="s">
        <v>283</v>
      </c>
      <c r="C551" s="8" t="s">
        <v>557</v>
      </c>
      <c r="I551" s="10" t="s">
        <v>636</v>
      </c>
      <c r="J551" s="13" t="s">
        <v>1479</v>
      </c>
      <c r="K551" s="13" t="s">
        <v>276</v>
      </c>
      <c r="L551" s="13" t="s">
        <v>633</v>
      </c>
      <c r="M551" s="7" t="s">
        <v>253</v>
      </c>
      <c r="N551" s="7" t="s">
        <v>253</v>
      </c>
      <c r="O551" s="7" t="s">
        <v>254</v>
      </c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  <c r="AE551" s="8"/>
    </row>
    <row r="552">
      <c r="A552" s="12">
        <v>24.0</v>
      </c>
      <c r="B552" s="8" t="s">
        <v>283</v>
      </c>
      <c r="C552" s="8" t="s">
        <v>557</v>
      </c>
      <c r="I552" s="10" t="s">
        <v>339</v>
      </c>
      <c r="J552" s="13" t="s">
        <v>616</v>
      </c>
      <c r="K552" s="13" t="s">
        <v>276</v>
      </c>
      <c r="L552" s="13" t="s">
        <v>630</v>
      </c>
      <c r="M552" s="7" t="s">
        <v>253</v>
      </c>
      <c r="N552" s="7" t="s">
        <v>253</v>
      </c>
      <c r="O552" s="7" t="s">
        <v>254</v>
      </c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  <c r="AE552" s="8"/>
    </row>
    <row r="553">
      <c r="A553" s="12">
        <v>24.0</v>
      </c>
      <c r="B553" s="8" t="s">
        <v>283</v>
      </c>
      <c r="C553" s="8" t="s">
        <v>557</v>
      </c>
      <c r="I553" s="10" t="s">
        <v>640</v>
      </c>
      <c r="J553" s="13" t="s">
        <v>788</v>
      </c>
      <c r="K553" s="13" t="s">
        <v>276</v>
      </c>
      <c r="L553" s="13" t="s">
        <v>633</v>
      </c>
      <c r="M553" s="7" t="s">
        <v>253</v>
      </c>
      <c r="N553" s="7" t="s">
        <v>253</v>
      </c>
      <c r="O553" s="7" t="s">
        <v>254</v>
      </c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  <c r="AE553" s="8"/>
    </row>
    <row r="554">
      <c r="A554" s="12">
        <v>24.0</v>
      </c>
      <c r="B554" s="8" t="s">
        <v>283</v>
      </c>
      <c r="C554" s="8" t="s">
        <v>557</v>
      </c>
      <c r="I554" s="10" t="s">
        <v>614</v>
      </c>
      <c r="J554" s="13" t="s">
        <v>1479</v>
      </c>
      <c r="K554" s="13" t="s">
        <v>276</v>
      </c>
      <c r="L554" s="13" t="s">
        <v>1488</v>
      </c>
      <c r="M554" s="7" t="s">
        <v>253</v>
      </c>
      <c r="N554" s="7" t="s">
        <v>253</v>
      </c>
      <c r="O554" s="7" t="s">
        <v>254</v>
      </c>
      <c r="P554" s="13" t="s">
        <v>300</v>
      </c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  <c r="AE554" s="8"/>
    </row>
    <row r="555">
      <c r="A555" s="12">
        <v>24.0</v>
      </c>
      <c r="B555" s="8" t="s">
        <v>283</v>
      </c>
      <c r="C555" s="8" t="s">
        <v>557</v>
      </c>
      <c r="I555" s="10" t="s">
        <v>218</v>
      </c>
      <c r="J555" s="13" t="s">
        <v>616</v>
      </c>
      <c r="K555" s="13" t="s">
        <v>276</v>
      </c>
      <c r="L555" s="13" t="s">
        <v>1490</v>
      </c>
      <c r="M555" s="7" t="s">
        <v>253</v>
      </c>
      <c r="N555" s="7" t="s">
        <v>253</v>
      </c>
      <c r="O555" s="7" t="s">
        <v>254</v>
      </c>
      <c r="P555" s="13" t="s">
        <v>300</v>
      </c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  <c r="AE555" s="8"/>
    </row>
    <row r="556">
      <c r="A556" s="12">
        <v>24.0</v>
      </c>
      <c r="B556" s="8" t="s">
        <v>283</v>
      </c>
      <c r="C556" s="8" t="s">
        <v>557</v>
      </c>
      <c r="I556" s="10" t="s">
        <v>643</v>
      </c>
      <c r="J556" s="13" t="s">
        <v>788</v>
      </c>
      <c r="K556" s="13" t="s">
        <v>276</v>
      </c>
      <c r="L556" s="13" t="s">
        <v>633</v>
      </c>
      <c r="M556" s="7" t="s">
        <v>253</v>
      </c>
      <c r="N556" s="7" t="s">
        <v>253</v>
      </c>
      <c r="O556" s="7" t="s">
        <v>254</v>
      </c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  <c r="AE556" s="8"/>
    </row>
    <row r="557">
      <c r="A557" s="12">
        <v>24.0</v>
      </c>
      <c r="B557" s="8" t="s">
        <v>283</v>
      </c>
      <c r="C557" s="8" t="s">
        <v>557</v>
      </c>
      <c r="I557" s="10" t="s">
        <v>281</v>
      </c>
      <c r="J557" s="13" t="s">
        <v>1479</v>
      </c>
      <c r="K557" s="13" t="s">
        <v>276</v>
      </c>
      <c r="L557" s="13" t="s">
        <v>645</v>
      </c>
      <c r="M557" s="7" t="s">
        <v>253</v>
      </c>
      <c r="N557" s="7" t="s">
        <v>253</v>
      </c>
      <c r="O557" s="7" t="s">
        <v>254</v>
      </c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  <c r="AE557" s="8"/>
    </row>
    <row r="558">
      <c r="A558" s="12">
        <v>24.0</v>
      </c>
      <c r="B558" s="8" t="s">
        <v>283</v>
      </c>
      <c r="C558" s="8" t="s">
        <v>557</v>
      </c>
      <c r="I558" s="10" t="s">
        <v>646</v>
      </c>
      <c r="J558" s="13" t="s">
        <v>616</v>
      </c>
      <c r="K558" s="13" t="s">
        <v>276</v>
      </c>
      <c r="L558" s="13" t="s">
        <v>633</v>
      </c>
      <c r="M558" s="7" t="s">
        <v>253</v>
      </c>
      <c r="N558" s="7" t="s">
        <v>253</v>
      </c>
      <c r="O558" s="7" t="s">
        <v>254</v>
      </c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  <c r="AE558" s="8"/>
    </row>
    <row r="559">
      <c r="A559" s="12">
        <v>24.0</v>
      </c>
      <c r="B559" s="8" t="s">
        <v>283</v>
      </c>
      <c r="C559" s="8" t="s">
        <v>557</v>
      </c>
      <c r="I559" s="10" t="s">
        <v>649</v>
      </c>
      <c r="J559" s="13" t="s">
        <v>788</v>
      </c>
      <c r="K559" s="13" t="s">
        <v>276</v>
      </c>
      <c r="L559" s="13" t="s">
        <v>633</v>
      </c>
      <c r="M559" s="7" t="s">
        <v>253</v>
      </c>
      <c r="N559" s="7" t="s">
        <v>253</v>
      </c>
      <c r="O559" s="7" t="s">
        <v>254</v>
      </c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  <c r="AE559" s="8"/>
    </row>
    <row r="560">
      <c r="A560" s="12">
        <v>25.0</v>
      </c>
      <c r="B560" s="8" t="s">
        <v>284</v>
      </c>
      <c r="C560" s="8" t="s">
        <v>557</v>
      </c>
      <c r="D560" s="25">
        <f>IF(COUNTIF($B$2:$B560,$B560)&gt;1,"",COUNTIF($B$2:$B$2505,$B560))</f>
        <v>58</v>
      </c>
      <c r="E560" s="25">
        <f>IF(COUNTIF($B$2:$B560,$B560)&gt;1,"",COUNTIFS($B$2:$B$2505,$B560,$K$2:$K$2505,"PHÙ HỢP CAO"))</f>
        <v>3</v>
      </c>
      <c r="F560" s="25">
        <f>IF(COUNTIF($B$2:$B560,$B560)&gt;1,"",COUNTIFS($B$2:$B$2505,$B560,$K$2:$K$2505,"CÓ THỂ ĐI"))</f>
        <v>2</v>
      </c>
      <c r="G560" s="25">
        <f>IF(COUNTIF($B$2:$B560,$B560)&gt;1,"",COUNTIFS($B$2:$B$2505,$B560,$K$2:$K$2505,"CẦN SOÁT"))</f>
        <v>53</v>
      </c>
      <c r="H560" s="26" t="str">
        <f>IFERROR(__xludf.DUMMYFUNCTION("IF(COUNTIF($B$2:$B560,$B560)&gt;1,"""",IFERROR(TEXTJOIN(CHAR(10),TRUE,BYROW(QUERY({$B$2:$B$2505,$J$2:$J$2505},""select Col2, count(Col2) where Col1 = '""&amp;$B560&amp;""' group by Col2 order by count(Col2) desc label count(Col2) ''"",0),LAMBDA(r,INDEX(r,1,1)&amp;"" – "&amp;"""&amp;INDEX(r,1,2)&amp;"" link""))),""""))"),"rút tiền bằng mã QR – 20 link
cách rút tiền bằng mã QR – 19 link
rút tiền không cần thẻ – 19 link")</f>
        <v>rút tiền bằng mã QR – 20 link
cách rút tiền bằng mã QR – 19 link
rút tiền không cần thẻ – 19 link</v>
      </c>
      <c r="I560" s="10" t="s">
        <v>789</v>
      </c>
      <c r="J560" s="13" t="s">
        <v>791</v>
      </c>
      <c r="K560" s="13" t="s">
        <v>251</v>
      </c>
      <c r="L560" s="13" t="s">
        <v>1498</v>
      </c>
      <c r="M560" s="7" t="s">
        <v>253</v>
      </c>
      <c r="N560" s="7" t="s">
        <v>253</v>
      </c>
      <c r="O560" s="7" t="s">
        <v>254</v>
      </c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  <c r="AE560" s="8"/>
    </row>
    <row r="561">
      <c r="A561" s="12">
        <v>25.0</v>
      </c>
      <c r="B561" s="8" t="s">
        <v>284</v>
      </c>
      <c r="C561" s="8" t="s">
        <v>557</v>
      </c>
      <c r="I561" s="10" t="s">
        <v>792</v>
      </c>
      <c r="J561" s="13" t="s">
        <v>794</v>
      </c>
      <c r="K561" s="13" t="s">
        <v>251</v>
      </c>
      <c r="L561" s="13" t="s">
        <v>1500</v>
      </c>
      <c r="M561" s="7" t="s">
        <v>253</v>
      </c>
      <c r="N561" s="7" t="s">
        <v>253</v>
      </c>
      <c r="O561" s="7" t="s">
        <v>254</v>
      </c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  <c r="AE561" s="8"/>
    </row>
    <row r="562">
      <c r="A562" s="12">
        <v>25.0</v>
      </c>
      <c r="B562" s="8" t="s">
        <v>284</v>
      </c>
      <c r="C562" s="8" t="s">
        <v>557</v>
      </c>
      <c r="I562" s="10" t="s">
        <v>795</v>
      </c>
      <c r="J562" s="13" t="s">
        <v>797</v>
      </c>
      <c r="K562" s="13" t="s">
        <v>251</v>
      </c>
      <c r="L562" s="13" t="s">
        <v>1501</v>
      </c>
      <c r="M562" s="7" t="s">
        <v>253</v>
      </c>
      <c r="N562" s="7" t="s">
        <v>253</v>
      </c>
      <c r="O562" s="7" t="s">
        <v>254</v>
      </c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  <c r="AE562" s="8"/>
    </row>
    <row r="563">
      <c r="A563" s="12">
        <v>25.0</v>
      </c>
      <c r="B563" s="8" t="s">
        <v>284</v>
      </c>
      <c r="C563" s="8" t="s">
        <v>557</v>
      </c>
      <c r="I563" s="10" t="s">
        <v>798</v>
      </c>
      <c r="J563" s="13" t="s">
        <v>791</v>
      </c>
      <c r="K563" s="13" t="s">
        <v>272</v>
      </c>
      <c r="L563" s="13" t="s">
        <v>1503</v>
      </c>
      <c r="M563" s="7" t="s">
        <v>253</v>
      </c>
      <c r="N563" s="7" t="s">
        <v>253</v>
      </c>
      <c r="O563" s="7" t="s">
        <v>254</v>
      </c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  <c r="AE563" s="8"/>
    </row>
    <row r="564">
      <c r="A564" s="12">
        <v>25.0</v>
      </c>
      <c r="B564" s="8" t="s">
        <v>284</v>
      </c>
      <c r="C564" s="8" t="s">
        <v>557</v>
      </c>
      <c r="I564" s="10" t="s">
        <v>744</v>
      </c>
      <c r="J564" s="13" t="s">
        <v>794</v>
      </c>
      <c r="K564" s="13" t="s">
        <v>272</v>
      </c>
      <c r="L564" s="13" t="s">
        <v>1505</v>
      </c>
      <c r="M564" s="7" t="s">
        <v>253</v>
      </c>
      <c r="N564" s="7" t="s">
        <v>253</v>
      </c>
      <c r="O564" s="7" t="s">
        <v>254</v>
      </c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  <c r="AE564" s="8"/>
    </row>
    <row r="565">
      <c r="A565" s="12">
        <v>25.0</v>
      </c>
      <c r="B565" s="8" t="s">
        <v>284</v>
      </c>
      <c r="C565" s="8" t="s">
        <v>557</v>
      </c>
      <c r="I565" s="10" t="s">
        <v>1506</v>
      </c>
      <c r="J565" s="13" t="s">
        <v>797</v>
      </c>
      <c r="K565" s="13" t="s">
        <v>276</v>
      </c>
      <c r="L565" s="13" t="s">
        <v>1508</v>
      </c>
      <c r="M565" s="7" t="s">
        <v>253</v>
      </c>
      <c r="N565" s="7" t="s">
        <v>253</v>
      </c>
      <c r="O565" s="7" t="s">
        <v>254</v>
      </c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  <c r="AE565" s="8"/>
    </row>
    <row r="566">
      <c r="A566" s="12">
        <v>25.0</v>
      </c>
      <c r="B566" s="8" t="s">
        <v>284</v>
      </c>
      <c r="C566" s="8" t="s">
        <v>557</v>
      </c>
      <c r="I566" s="10" t="s">
        <v>341</v>
      </c>
      <c r="J566" s="13" t="s">
        <v>791</v>
      </c>
      <c r="K566" s="13" t="s">
        <v>276</v>
      </c>
      <c r="L566" s="13" t="s">
        <v>1508</v>
      </c>
      <c r="M566" s="7" t="s">
        <v>253</v>
      </c>
      <c r="N566" s="7" t="s">
        <v>253</v>
      </c>
      <c r="O566" s="7" t="s">
        <v>254</v>
      </c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  <c r="AE566" s="8"/>
    </row>
    <row r="567">
      <c r="A567" s="12">
        <v>25.0</v>
      </c>
      <c r="B567" s="8" t="s">
        <v>284</v>
      </c>
      <c r="C567" s="8" t="s">
        <v>557</v>
      </c>
      <c r="I567" s="10" t="s">
        <v>1210</v>
      </c>
      <c r="J567" s="13" t="s">
        <v>794</v>
      </c>
      <c r="K567" s="13" t="s">
        <v>276</v>
      </c>
      <c r="L567" s="13" t="s">
        <v>1508</v>
      </c>
      <c r="M567" s="7" t="s">
        <v>253</v>
      </c>
      <c r="N567" s="7" t="s">
        <v>253</v>
      </c>
      <c r="O567" s="7" t="s">
        <v>254</v>
      </c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  <c r="AE567" s="8"/>
    </row>
    <row r="568">
      <c r="A568" s="12">
        <v>25.0</v>
      </c>
      <c r="B568" s="8" t="s">
        <v>284</v>
      </c>
      <c r="C568" s="8" t="s">
        <v>557</v>
      </c>
      <c r="I568" s="10" t="s">
        <v>1515</v>
      </c>
      <c r="J568" s="13" t="s">
        <v>797</v>
      </c>
      <c r="K568" s="13" t="s">
        <v>276</v>
      </c>
      <c r="L568" s="13" t="s">
        <v>1508</v>
      </c>
      <c r="M568" s="7" t="s">
        <v>253</v>
      </c>
      <c r="N568" s="7" t="s">
        <v>253</v>
      </c>
      <c r="O568" s="7" t="s">
        <v>254</v>
      </c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  <c r="AE568" s="8"/>
    </row>
    <row r="569">
      <c r="A569" s="12">
        <v>25.0</v>
      </c>
      <c r="B569" s="8" t="s">
        <v>284</v>
      </c>
      <c r="C569" s="8" t="s">
        <v>557</v>
      </c>
      <c r="I569" s="10" t="s">
        <v>1518</v>
      </c>
      <c r="J569" s="13" t="s">
        <v>791</v>
      </c>
      <c r="K569" s="13" t="s">
        <v>276</v>
      </c>
      <c r="L569" s="13" t="s">
        <v>1508</v>
      </c>
      <c r="M569" s="7" t="s">
        <v>253</v>
      </c>
      <c r="N569" s="7" t="s">
        <v>253</v>
      </c>
      <c r="O569" s="7" t="s">
        <v>254</v>
      </c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  <c r="AE569" s="8"/>
    </row>
    <row r="570">
      <c r="A570" s="12">
        <v>25.0</v>
      </c>
      <c r="B570" s="8" t="s">
        <v>284</v>
      </c>
      <c r="C570" s="8" t="s">
        <v>557</v>
      </c>
      <c r="I570" s="10" t="s">
        <v>1520</v>
      </c>
      <c r="J570" s="13" t="s">
        <v>794</v>
      </c>
      <c r="K570" s="13" t="s">
        <v>276</v>
      </c>
      <c r="L570" s="13" t="s">
        <v>1508</v>
      </c>
      <c r="M570" s="7" t="s">
        <v>253</v>
      </c>
      <c r="N570" s="7" t="s">
        <v>253</v>
      </c>
      <c r="O570" s="7" t="s">
        <v>254</v>
      </c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  <c r="AE570" s="8"/>
    </row>
    <row r="571">
      <c r="A571" s="12">
        <v>25.0</v>
      </c>
      <c r="B571" s="8" t="s">
        <v>284</v>
      </c>
      <c r="C571" s="8" t="s">
        <v>557</v>
      </c>
      <c r="I571" s="10" t="s">
        <v>957</v>
      </c>
      <c r="J571" s="13" t="s">
        <v>797</v>
      </c>
      <c r="K571" s="13" t="s">
        <v>276</v>
      </c>
      <c r="L571" s="13" t="s">
        <v>1508</v>
      </c>
      <c r="M571" s="7" t="s">
        <v>253</v>
      </c>
      <c r="N571" s="7" t="s">
        <v>253</v>
      </c>
      <c r="O571" s="7" t="s">
        <v>254</v>
      </c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  <c r="AE571" s="8"/>
    </row>
    <row r="572">
      <c r="A572" s="12">
        <v>25.0</v>
      </c>
      <c r="B572" s="8" t="s">
        <v>284</v>
      </c>
      <c r="C572" s="8" t="s">
        <v>557</v>
      </c>
      <c r="I572" s="10" t="s">
        <v>523</v>
      </c>
      <c r="J572" s="13" t="s">
        <v>791</v>
      </c>
      <c r="K572" s="13" t="s">
        <v>276</v>
      </c>
      <c r="L572" s="13" t="s">
        <v>1526</v>
      </c>
      <c r="M572" s="7" t="s">
        <v>253</v>
      </c>
      <c r="N572" s="7" t="s">
        <v>253</v>
      </c>
      <c r="O572" s="7" t="s">
        <v>254</v>
      </c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  <c r="AE572" s="8"/>
    </row>
    <row r="573">
      <c r="A573" s="12">
        <v>25.0</v>
      </c>
      <c r="B573" s="8" t="s">
        <v>284</v>
      </c>
      <c r="C573" s="8" t="s">
        <v>557</v>
      </c>
      <c r="I573" s="10" t="s">
        <v>1213</v>
      </c>
      <c r="J573" s="13" t="s">
        <v>794</v>
      </c>
      <c r="K573" s="13" t="s">
        <v>276</v>
      </c>
      <c r="L573" s="13" t="s">
        <v>1508</v>
      </c>
      <c r="M573" s="7" t="s">
        <v>253</v>
      </c>
      <c r="N573" s="7" t="s">
        <v>253</v>
      </c>
      <c r="O573" s="7" t="s">
        <v>254</v>
      </c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  <c r="AE573" s="8"/>
    </row>
    <row r="574">
      <c r="A574" s="12">
        <v>25.0</v>
      </c>
      <c r="B574" s="8" t="s">
        <v>284</v>
      </c>
      <c r="C574" s="8" t="s">
        <v>557</v>
      </c>
      <c r="I574" s="10" t="s">
        <v>1190</v>
      </c>
      <c r="J574" s="13" t="s">
        <v>797</v>
      </c>
      <c r="K574" s="13" t="s">
        <v>276</v>
      </c>
      <c r="L574" s="13" t="s">
        <v>1191</v>
      </c>
      <c r="M574" s="7" t="s">
        <v>253</v>
      </c>
      <c r="N574" s="7" t="s">
        <v>253</v>
      </c>
      <c r="O574" s="7" t="s">
        <v>254</v>
      </c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  <c r="AE574" s="8"/>
    </row>
    <row r="575">
      <c r="A575" s="12">
        <v>25.0</v>
      </c>
      <c r="B575" s="8" t="s">
        <v>284</v>
      </c>
      <c r="C575" s="8" t="s">
        <v>557</v>
      </c>
      <c r="I575" s="10" t="s">
        <v>674</v>
      </c>
      <c r="J575" s="13" t="s">
        <v>791</v>
      </c>
      <c r="K575" s="13" t="s">
        <v>276</v>
      </c>
      <c r="L575" s="13" t="s">
        <v>1534</v>
      </c>
      <c r="M575" s="7" t="s">
        <v>253</v>
      </c>
      <c r="N575" s="7" t="s">
        <v>253</v>
      </c>
      <c r="O575" s="7" t="s">
        <v>254</v>
      </c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  <c r="AE575" s="8"/>
    </row>
    <row r="576">
      <c r="A576" s="12">
        <v>25.0</v>
      </c>
      <c r="B576" s="8" t="s">
        <v>284</v>
      </c>
      <c r="C576" s="8" t="s">
        <v>557</v>
      </c>
      <c r="I576" s="10" t="s">
        <v>1535</v>
      </c>
      <c r="J576" s="13" t="s">
        <v>794</v>
      </c>
      <c r="K576" s="13" t="s">
        <v>276</v>
      </c>
      <c r="L576" s="13" t="s">
        <v>1508</v>
      </c>
      <c r="M576" s="7" t="s">
        <v>253</v>
      </c>
      <c r="N576" s="7" t="s">
        <v>253</v>
      </c>
      <c r="O576" s="7" t="s">
        <v>254</v>
      </c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  <c r="AE576" s="8"/>
    </row>
    <row r="577">
      <c r="A577" s="12">
        <v>25.0</v>
      </c>
      <c r="B577" s="8" t="s">
        <v>284</v>
      </c>
      <c r="C577" s="8" t="s">
        <v>557</v>
      </c>
      <c r="I577" s="10" t="s">
        <v>1540</v>
      </c>
      <c r="J577" s="13" t="s">
        <v>797</v>
      </c>
      <c r="K577" s="13" t="s">
        <v>276</v>
      </c>
      <c r="L577" s="13" t="s">
        <v>1508</v>
      </c>
      <c r="M577" s="7" t="s">
        <v>253</v>
      </c>
      <c r="N577" s="7" t="s">
        <v>253</v>
      </c>
      <c r="O577" s="7" t="s">
        <v>254</v>
      </c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  <c r="AE577" s="8"/>
    </row>
    <row r="578">
      <c r="A578" s="12">
        <v>25.0</v>
      </c>
      <c r="B578" s="8" t="s">
        <v>284</v>
      </c>
      <c r="C578" s="8" t="s">
        <v>557</v>
      </c>
      <c r="I578" s="10" t="s">
        <v>1543</v>
      </c>
      <c r="J578" s="13" t="s">
        <v>791</v>
      </c>
      <c r="K578" s="13" t="s">
        <v>276</v>
      </c>
      <c r="L578" s="13" t="s">
        <v>1508</v>
      </c>
      <c r="M578" s="7" t="s">
        <v>253</v>
      </c>
      <c r="N578" s="7" t="s">
        <v>253</v>
      </c>
      <c r="O578" s="7" t="s">
        <v>254</v>
      </c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  <c r="AE578" s="8"/>
    </row>
    <row r="579">
      <c r="A579" s="12">
        <v>25.0</v>
      </c>
      <c r="B579" s="8" t="s">
        <v>284</v>
      </c>
      <c r="C579" s="8" t="s">
        <v>557</v>
      </c>
      <c r="I579" s="10" t="s">
        <v>507</v>
      </c>
      <c r="J579" s="13" t="s">
        <v>794</v>
      </c>
      <c r="K579" s="13" t="s">
        <v>276</v>
      </c>
      <c r="L579" s="13" t="s">
        <v>1526</v>
      </c>
      <c r="M579" s="7" t="s">
        <v>253</v>
      </c>
      <c r="N579" s="7" t="s">
        <v>253</v>
      </c>
      <c r="O579" s="7" t="s">
        <v>254</v>
      </c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  <c r="AE579" s="8"/>
    </row>
    <row r="580">
      <c r="A580" s="12">
        <v>25.0</v>
      </c>
      <c r="B580" s="8" t="s">
        <v>284</v>
      </c>
      <c r="C580" s="8" t="s">
        <v>557</v>
      </c>
      <c r="I580" s="10" t="s">
        <v>1544</v>
      </c>
      <c r="J580" s="13" t="s">
        <v>797</v>
      </c>
      <c r="K580" s="13" t="s">
        <v>276</v>
      </c>
      <c r="L580" s="13" t="s">
        <v>1508</v>
      </c>
      <c r="M580" s="7" t="s">
        <v>253</v>
      </c>
      <c r="N580" s="7" t="s">
        <v>253</v>
      </c>
      <c r="O580" s="7" t="s">
        <v>254</v>
      </c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  <c r="AE580" s="8"/>
    </row>
    <row r="581">
      <c r="A581" s="12">
        <v>25.0</v>
      </c>
      <c r="B581" s="8" t="s">
        <v>284</v>
      </c>
      <c r="C581" s="8" t="s">
        <v>557</v>
      </c>
      <c r="I581" s="10" t="s">
        <v>1545</v>
      </c>
      <c r="J581" s="13" t="s">
        <v>791</v>
      </c>
      <c r="K581" s="13" t="s">
        <v>276</v>
      </c>
      <c r="L581" s="13" t="s">
        <v>1508</v>
      </c>
      <c r="M581" s="7" t="s">
        <v>253</v>
      </c>
      <c r="N581" s="7" t="s">
        <v>253</v>
      </c>
      <c r="O581" s="7" t="s">
        <v>254</v>
      </c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  <c r="AE581" s="8"/>
    </row>
    <row r="582">
      <c r="A582" s="12">
        <v>25.0</v>
      </c>
      <c r="B582" s="8" t="s">
        <v>284</v>
      </c>
      <c r="C582" s="8" t="s">
        <v>557</v>
      </c>
      <c r="I582" s="10" t="s">
        <v>1221</v>
      </c>
      <c r="J582" s="13" t="s">
        <v>794</v>
      </c>
      <c r="K582" s="13" t="s">
        <v>276</v>
      </c>
      <c r="L582" s="13" t="s">
        <v>1508</v>
      </c>
      <c r="M582" s="7" t="s">
        <v>253</v>
      </c>
      <c r="N582" s="7" t="s">
        <v>253</v>
      </c>
      <c r="O582" s="7" t="s">
        <v>254</v>
      </c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  <c r="AE582" s="8"/>
    </row>
    <row r="583">
      <c r="A583" s="12">
        <v>25.0</v>
      </c>
      <c r="B583" s="8" t="s">
        <v>284</v>
      </c>
      <c r="C583" s="8" t="s">
        <v>557</v>
      </c>
      <c r="I583" s="10" t="s">
        <v>969</v>
      </c>
      <c r="J583" s="13" t="s">
        <v>797</v>
      </c>
      <c r="K583" s="13" t="s">
        <v>276</v>
      </c>
      <c r="L583" s="13" t="s">
        <v>1508</v>
      </c>
      <c r="M583" s="7" t="s">
        <v>253</v>
      </c>
      <c r="N583" s="7" t="s">
        <v>253</v>
      </c>
      <c r="O583" s="7" t="s">
        <v>254</v>
      </c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  <c r="AE583" s="8"/>
    </row>
    <row r="584">
      <c r="A584" s="12">
        <v>25.0</v>
      </c>
      <c r="B584" s="8" t="s">
        <v>284</v>
      </c>
      <c r="C584" s="8" t="s">
        <v>557</v>
      </c>
      <c r="I584" s="10" t="s">
        <v>1546</v>
      </c>
      <c r="J584" s="13" t="s">
        <v>791</v>
      </c>
      <c r="K584" s="13" t="s">
        <v>276</v>
      </c>
      <c r="L584" s="13" t="s">
        <v>1508</v>
      </c>
      <c r="M584" s="7" t="s">
        <v>253</v>
      </c>
      <c r="N584" s="7" t="s">
        <v>253</v>
      </c>
      <c r="O584" s="7" t="s">
        <v>254</v>
      </c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  <c r="AE584" s="8"/>
    </row>
    <row r="585">
      <c r="A585" s="12">
        <v>25.0</v>
      </c>
      <c r="B585" s="8" t="s">
        <v>284</v>
      </c>
      <c r="C585" s="8" t="s">
        <v>557</v>
      </c>
      <c r="I585" s="10" t="s">
        <v>1099</v>
      </c>
      <c r="J585" s="13" t="s">
        <v>794</v>
      </c>
      <c r="K585" s="13" t="s">
        <v>276</v>
      </c>
      <c r="L585" s="13" t="s">
        <v>1191</v>
      </c>
      <c r="M585" s="7" t="s">
        <v>253</v>
      </c>
      <c r="N585" s="7" t="s">
        <v>253</v>
      </c>
      <c r="O585" s="7" t="s">
        <v>254</v>
      </c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  <c r="AE585" s="8"/>
    </row>
    <row r="586">
      <c r="A586" s="12">
        <v>25.0</v>
      </c>
      <c r="B586" s="8" t="s">
        <v>284</v>
      </c>
      <c r="C586" s="8" t="s">
        <v>557</v>
      </c>
      <c r="I586" s="10" t="s">
        <v>271</v>
      </c>
      <c r="J586" s="13" t="s">
        <v>797</v>
      </c>
      <c r="K586" s="13" t="s">
        <v>276</v>
      </c>
      <c r="L586" s="13" t="s">
        <v>1191</v>
      </c>
      <c r="M586" s="7" t="s">
        <v>253</v>
      </c>
      <c r="N586" s="7" t="s">
        <v>253</v>
      </c>
      <c r="O586" s="7" t="s">
        <v>254</v>
      </c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  <c r="AE586" s="8"/>
    </row>
    <row r="587">
      <c r="A587" s="12">
        <v>25.0</v>
      </c>
      <c r="B587" s="8" t="s">
        <v>284</v>
      </c>
      <c r="C587" s="8" t="s">
        <v>557</v>
      </c>
      <c r="I587" s="10" t="s">
        <v>1547</v>
      </c>
      <c r="J587" s="13" t="s">
        <v>791</v>
      </c>
      <c r="K587" s="13" t="s">
        <v>276</v>
      </c>
      <c r="L587" s="13" t="s">
        <v>1508</v>
      </c>
      <c r="M587" s="7" t="s">
        <v>253</v>
      </c>
      <c r="N587" s="7" t="s">
        <v>253</v>
      </c>
      <c r="O587" s="7" t="s">
        <v>254</v>
      </c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  <c r="AE587" s="8"/>
    </row>
    <row r="588">
      <c r="A588" s="12">
        <v>25.0</v>
      </c>
      <c r="B588" s="8" t="s">
        <v>284</v>
      </c>
      <c r="C588" s="8" t="s">
        <v>557</v>
      </c>
      <c r="I588" s="10" t="s">
        <v>711</v>
      </c>
      <c r="J588" s="13" t="s">
        <v>794</v>
      </c>
      <c r="K588" s="13" t="s">
        <v>276</v>
      </c>
      <c r="L588" s="13" t="s">
        <v>1191</v>
      </c>
      <c r="M588" s="7" t="s">
        <v>253</v>
      </c>
      <c r="N588" s="7" t="s">
        <v>253</v>
      </c>
      <c r="O588" s="7" t="s">
        <v>254</v>
      </c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  <c r="AE588" s="8"/>
    </row>
    <row r="589">
      <c r="A589" s="12">
        <v>25.0</v>
      </c>
      <c r="B589" s="8" t="s">
        <v>284</v>
      </c>
      <c r="C589" s="8" t="s">
        <v>557</v>
      </c>
      <c r="I589" s="10" t="s">
        <v>1195</v>
      </c>
      <c r="J589" s="13" t="s">
        <v>797</v>
      </c>
      <c r="K589" s="13" t="s">
        <v>276</v>
      </c>
      <c r="L589" s="13" t="s">
        <v>1191</v>
      </c>
      <c r="M589" s="7" t="s">
        <v>253</v>
      </c>
      <c r="N589" s="7" t="s">
        <v>253</v>
      </c>
      <c r="O589" s="7" t="s">
        <v>254</v>
      </c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  <c r="AE589" s="8"/>
    </row>
    <row r="590">
      <c r="A590" s="12">
        <v>25.0</v>
      </c>
      <c r="B590" s="8" t="s">
        <v>284</v>
      </c>
      <c r="C590" s="8" t="s">
        <v>557</v>
      </c>
      <c r="I590" s="10" t="s">
        <v>1106</v>
      </c>
      <c r="J590" s="13" t="s">
        <v>791</v>
      </c>
      <c r="K590" s="13" t="s">
        <v>276</v>
      </c>
      <c r="L590" s="13" t="s">
        <v>1526</v>
      </c>
      <c r="M590" s="7" t="s">
        <v>253</v>
      </c>
      <c r="N590" s="7" t="s">
        <v>253</v>
      </c>
      <c r="O590" s="7" t="s">
        <v>254</v>
      </c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  <c r="AE590" s="8"/>
    </row>
    <row r="591">
      <c r="A591" s="12">
        <v>25.0</v>
      </c>
      <c r="B591" s="8" t="s">
        <v>284</v>
      </c>
      <c r="C591" s="8" t="s">
        <v>557</v>
      </c>
      <c r="I591" s="10" t="s">
        <v>1218</v>
      </c>
      <c r="J591" s="13" t="s">
        <v>794</v>
      </c>
      <c r="K591" s="13" t="s">
        <v>276</v>
      </c>
      <c r="L591" s="13" t="s">
        <v>1508</v>
      </c>
      <c r="M591" s="7" t="s">
        <v>253</v>
      </c>
      <c r="N591" s="7" t="s">
        <v>253</v>
      </c>
      <c r="O591" s="7" t="s">
        <v>254</v>
      </c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  <c r="AE591" s="8"/>
    </row>
    <row r="592">
      <c r="A592" s="12">
        <v>25.0</v>
      </c>
      <c r="B592" s="8" t="s">
        <v>284</v>
      </c>
      <c r="C592" s="8" t="s">
        <v>557</v>
      </c>
      <c r="I592" s="10" t="s">
        <v>1088</v>
      </c>
      <c r="J592" s="13" t="s">
        <v>797</v>
      </c>
      <c r="K592" s="13" t="s">
        <v>276</v>
      </c>
      <c r="L592" s="13" t="s">
        <v>1191</v>
      </c>
      <c r="M592" s="7" t="s">
        <v>253</v>
      </c>
      <c r="N592" s="7" t="s">
        <v>253</v>
      </c>
      <c r="O592" s="7" t="s">
        <v>254</v>
      </c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  <c r="AE592" s="8"/>
    </row>
    <row r="593">
      <c r="A593" s="12">
        <v>25.0</v>
      </c>
      <c r="B593" s="8" t="s">
        <v>284</v>
      </c>
      <c r="C593" s="8" t="s">
        <v>557</v>
      </c>
      <c r="I593" s="10" t="s">
        <v>850</v>
      </c>
      <c r="J593" s="13" t="s">
        <v>791</v>
      </c>
      <c r="K593" s="13" t="s">
        <v>276</v>
      </c>
      <c r="L593" s="13" t="s">
        <v>1526</v>
      </c>
      <c r="M593" s="7" t="s">
        <v>253</v>
      </c>
      <c r="N593" s="7" t="s">
        <v>253</v>
      </c>
      <c r="O593" s="7" t="s">
        <v>254</v>
      </c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  <c r="AE593" s="8"/>
    </row>
    <row r="594">
      <c r="A594" s="12">
        <v>25.0</v>
      </c>
      <c r="B594" s="8" t="s">
        <v>284</v>
      </c>
      <c r="C594" s="8" t="s">
        <v>557</v>
      </c>
      <c r="I594" s="10" t="s">
        <v>359</v>
      </c>
      <c r="J594" s="13" t="s">
        <v>794</v>
      </c>
      <c r="K594" s="13" t="s">
        <v>276</v>
      </c>
      <c r="L594" s="13" t="s">
        <v>1526</v>
      </c>
      <c r="M594" s="7" t="s">
        <v>253</v>
      </c>
      <c r="N594" s="7" t="s">
        <v>253</v>
      </c>
      <c r="O594" s="7" t="s">
        <v>254</v>
      </c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  <c r="AE594" s="8"/>
    </row>
    <row r="595">
      <c r="A595" s="12">
        <v>25.0</v>
      </c>
      <c r="B595" s="8" t="s">
        <v>284</v>
      </c>
      <c r="C595" s="8" t="s">
        <v>557</v>
      </c>
      <c r="I595" s="10" t="s">
        <v>313</v>
      </c>
      <c r="J595" s="13" t="s">
        <v>797</v>
      </c>
      <c r="K595" s="13" t="s">
        <v>276</v>
      </c>
      <c r="L595" s="13" t="s">
        <v>1191</v>
      </c>
      <c r="M595" s="7" t="s">
        <v>253</v>
      </c>
      <c r="N595" s="7" t="s">
        <v>253</v>
      </c>
      <c r="O595" s="7" t="s">
        <v>254</v>
      </c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  <c r="AE595" s="8"/>
    </row>
    <row r="596">
      <c r="A596" s="12">
        <v>25.0</v>
      </c>
      <c r="B596" s="8" t="s">
        <v>284</v>
      </c>
      <c r="C596" s="8" t="s">
        <v>557</v>
      </c>
      <c r="I596" s="10" t="s">
        <v>1548</v>
      </c>
      <c r="J596" s="13" t="s">
        <v>791</v>
      </c>
      <c r="K596" s="13" t="s">
        <v>276</v>
      </c>
      <c r="L596" s="13" t="s">
        <v>1508</v>
      </c>
      <c r="M596" s="7" t="s">
        <v>253</v>
      </c>
      <c r="N596" s="7" t="s">
        <v>253</v>
      </c>
      <c r="O596" s="7" t="s">
        <v>254</v>
      </c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  <c r="AE596" s="8"/>
    </row>
    <row r="597">
      <c r="A597" s="12">
        <v>25.0</v>
      </c>
      <c r="B597" s="8" t="s">
        <v>284</v>
      </c>
      <c r="C597" s="8" t="s">
        <v>557</v>
      </c>
      <c r="I597" s="10" t="s">
        <v>1204</v>
      </c>
      <c r="J597" s="13" t="s">
        <v>794</v>
      </c>
      <c r="K597" s="13" t="s">
        <v>276</v>
      </c>
      <c r="L597" s="13" t="s">
        <v>1191</v>
      </c>
      <c r="M597" s="7" t="s">
        <v>253</v>
      </c>
      <c r="N597" s="7" t="s">
        <v>253</v>
      </c>
      <c r="O597" s="7" t="s">
        <v>254</v>
      </c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  <c r="AE597" s="8"/>
    </row>
    <row r="598">
      <c r="A598" s="12">
        <v>25.0</v>
      </c>
      <c r="B598" s="8" t="s">
        <v>284</v>
      </c>
      <c r="C598" s="8" t="s">
        <v>557</v>
      </c>
      <c r="I598" s="10" t="s">
        <v>990</v>
      </c>
      <c r="J598" s="13" t="s">
        <v>797</v>
      </c>
      <c r="K598" s="13" t="s">
        <v>276</v>
      </c>
      <c r="L598" s="13" t="s">
        <v>1508</v>
      </c>
      <c r="M598" s="7" t="s">
        <v>253</v>
      </c>
      <c r="N598" s="7" t="s">
        <v>253</v>
      </c>
      <c r="O598" s="7" t="s">
        <v>254</v>
      </c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  <c r="AE598" s="8"/>
    </row>
    <row r="599">
      <c r="A599" s="12">
        <v>25.0</v>
      </c>
      <c r="B599" s="8" t="s">
        <v>284</v>
      </c>
      <c r="C599" s="8" t="s">
        <v>557</v>
      </c>
      <c r="I599" s="10" t="s">
        <v>1209</v>
      </c>
      <c r="J599" s="13" t="s">
        <v>791</v>
      </c>
      <c r="K599" s="13" t="s">
        <v>276</v>
      </c>
      <c r="L599" s="13" t="s">
        <v>1191</v>
      </c>
      <c r="M599" s="7" t="s">
        <v>253</v>
      </c>
      <c r="N599" s="7" t="s">
        <v>253</v>
      </c>
      <c r="O599" s="7" t="s">
        <v>254</v>
      </c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  <c r="AE599" s="8"/>
    </row>
    <row r="600">
      <c r="A600" s="12">
        <v>25.0</v>
      </c>
      <c r="B600" s="8" t="s">
        <v>284</v>
      </c>
      <c r="C600" s="8" t="s">
        <v>557</v>
      </c>
      <c r="I600" s="10" t="s">
        <v>869</v>
      </c>
      <c r="J600" s="13" t="s">
        <v>794</v>
      </c>
      <c r="K600" s="13" t="s">
        <v>276</v>
      </c>
      <c r="L600" s="13" t="s">
        <v>1526</v>
      </c>
      <c r="M600" s="7" t="s">
        <v>253</v>
      </c>
      <c r="N600" s="7" t="s">
        <v>253</v>
      </c>
      <c r="O600" s="7" t="s">
        <v>254</v>
      </c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  <c r="AE600" s="8"/>
    </row>
    <row r="601">
      <c r="A601" s="12">
        <v>25.0</v>
      </c>
      <c r="B601" s="8" t="s">
        <v>284</v>
      </c>
      <c r="C601" s="8" t="s">
        <v>557</v>
      </c>
      <c r="I601" s="10" t="s">
        <v>911</v>
      </c>
      <c r="J601" s="13" t="s">
        <v>797</v>
      </c>
      <c r="K601" s="13" t="s">
        <v>276</v>
      </c>
      <c r="L601" s="13" t="s">
        <v>1526</v>
      </c>
      <c r="M601" s="7" t="s">
        <v>253</v>
      </c>
      <c r="N601" s="7" t="s">
        <v>253</v>
      </c>
      <c r="O601" s="7" t="s">
        <v>254</v>
      </c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  <c r="AE601" s="8"/>
    </row>
    <row r="602">
      <c r="A602" s="12">
        <v>25.0</v>
      </c>
      <c r="B602" s="8" t="s">
        <v>284</v>
      </c>
      <c r="C602" s="8" t="s">
        <v>557</v>
      </c>
      <c r="I602" s="10" t="s">
        <v>1086</v>
      </c>
      <c r="J602" s="13" t="s">
        <v>791</v>
      </c>
      <c r="K602" s="13" t="s">
        <v>276</v>
      </c>
      <c r="L602" s="13" t="s">
        <v>1191</v>
      </c>
      <c r="M602" s="7" t="s">
        <v>253</v>
      </c>
      <c r="N602" s="7" t="s">
        <v>253</v>
      </c>
      <c r="O602" s="7" t="s">
        <v>254</v>
      </c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  <c r="AE602" s="8"/>
    </row>
    <row r="603">
      <c r="A603" s="12">
        <v>25.0</v>
      </c>
      <c r="B603" s="8" t="s">
        <v>284</v>
      </c>
      <c r="C603" s="8" t="s">
        <v>557</v>
      </c>
      <c r="I603" s="10" t="s">
        <v>1214</v>
      </c>
      <c r="J603" s="13" t="s">
        <v>794</v>
      </c>
      <c r="K603" s="13" t="s">
        <v>276</v>
      </c>
      <c r="L603" s="13" t="s">
        <v>1191</v>
      </c>
      <c r="M603" s="7" t="s">
        <v>253</v>
      </c>
      <c r="N603" s="7" t="s">
        <v>253</v>
      </c>
      <c r="O603" s="7" t="s">
        <v>254</v>
      </c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  <c r="AE603" s="8"/>
    </row>
    <row r="604">
      <c r="A604" s="12">
        <v>25.0</v>
      </c>
      <c r="B604" s="8" t="s">
        <v>284</v>
      </c>
      <c r="C604" s="8" t="s">
        <v>557</v>
      </c>
      <c r="I604" s="10" t="s">
        <v>1549</v>
      </c>
      <c r="J604" s="13" t="s">
        <v>797</v>
      </c>
      <c r="K604" s="13" t="s">
        <v>276</v>
      </c>
      <c r="L604" s="13" t="s">
        <v>1526</v>
      </c>
      <c r="M604" s="7" t="s">
        <v>253</v>
      </c>
      <c r="N604" s="7" t="s">
        <v>253</v>
      </c>
      <c r="O604" s="7" t="s">
        <v>254</v>
      </c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  <c r="AE604" s="8"/>
    </row>
    <row r="605">
      <c r="A605" s="12">
        <v>25.0</v>
      </c>
      <c r="B605" s="8" t="s">
        <v>284</v>
      </c>
      <c r="C605" s="8" t="s">
        <v>557</v>
      </c>
      <c r="I605" s="10" t="s">
        <v>994</v>
      </c>
      <c r="J605" s="13" t="s">
        <v>791</v>
      </c>
      <c r="K605" s="13" t="s">
        <v>276</v>
      </c>
      <c r="L605" s="13" t="s">
        <v>1526</v>
      </c>
      <c r="M605" s="7" t="s">
        <v>253</v>
      </c>
      <c r="N605" s="7" t="s">
        <v>253</v>
      </c>
      <c r="O605" s="7" t="s">
        <v>254</v>
      </c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  <c r="AE605" s="8"/>
    </row>
    <row r="606">
      <c r="A606" s="12">
        <v>25.0</v>
      </c>
      <c r="B606" s="8" t="s">
        <v>284</v>
      </c>
      <c r="C606" s="8" t="s">
        <v>557</v>
      </c>
      <c r="I606" s="10" t="s">
        <v>1215</v>
      </c>
      <c r="J606" s="13" t="s">
        <v>794</v>
      </c>
      <c r="K606" s="13" t="s">
        <v>276</v>
      </c>
      <c r="L606" s="13" t="s">
        <v>1191</v>
      </c>
      <c r="M606" s="7" t="s">
        <v>253</v>
      </c>
      <c r="N606" s="7" t="s">
        <v>253</v>
      </c>
      <c r="O606" s="7" t="s">
        <v>254</v>
      </c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  <c r="AE606" s="8"/>
    </row>
    <row r="607">
      <c r="A607" s="12">
        <v>25.0</v>
      </c>
      <c r="B607" s="8" t="s">
        <v>284</v>
      </c>
      <c r="C607" s="8" t="s">
        <v>557</v>
      </c>
      <c r="I607" s="10" t="s">
        <v>659</v>
      </c>
      <c r="J607" s="13" t="s">
        <v>797</v>
      </c>
      <c r="K607" s="13" t="s">
        <v>276</v>
      </c>
      <c r="L607" s="13" t="s">
        <v>1191</v>
      </c>
      <c r="M607" s="7" t="s">
        <v>253</v>
      </c>
      <c r="N607" s="7" t="s">
        <v>253</v>
      </c>
      <c r="O607" s="7" t="s">
        <v>254</v>
      </c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  <c r="AE607" s="8"/>
    </row>
    <row r="608">
      <c r="A608" s="12">
        <v>25.0</v>
      </c>
      <c r="B608" s="8" t="s">
        <v>284</v>
      </c>
      <c r="C608" s="8" t="s">
        <v>557</v>
      </c>
      <c r="I608" s="10" t="s">
        <v>1219</v>
      </c>
      <c r="J608" s="13" t="s">
        <v>791</v>
      </c>
      <c r="K608" s="13" t="s">
        <v>276</v>
      </c>
      <c r="L608" s="13" t="s">
        <v>1191</v>
      </c>
      <c r="M608" s="7" t="s">
        <v>253</v>
      </c>
      <c r="N608" s="7" t="s">
        <v>253</v>
      </c>
      <c r="O608" s="7" t="s">
        <v>254</v>
      </c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  <c r="AE608" s="8"/>
    </row>
    <row r="609">
      <c r="A609" s="12">
        <v>25.0</v>
      </c>
      <c r="B609" s="8" t="s">
        <v>284</v>
      </c>
      <c r="C609" s="8" t="s">
        <v>557</v>
      </c>
      <c r="I609" s="10" t="s">
        <v>699</v>
      </c>
      <c r="J609" s="13" t="s">
        <v>794</v>
      </c>
      <c r="K609" s="13" t="s">
        <v>276</v>
      </c>
      <c r="L609" s="13" t="s">
        <v>1191</v>
      </c>
      <c r="M609" s="7" t="s">
        <v>253</v>
      </c>
      <c r="N609" s="7" t="s">
        <v>253</v>
      </c>
      <c r="O609" s="7" t="s">
        <v>254</v>
      </c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  <c r="AE609" s="8"/>
    </row>
    <row r="610">
      <c r="A610" s="12">
        <v>25.0</v>
      </c>
      <c r="B610" s="8" t="s">
        <v>284</v>
      </c>
      <c r="C610" s="8" t="s">
        <v>557</v>
      </c>
      <c r="I610" s="10" t="s">
        <v>295</v>
      </c>
      <c r="J610" s="13" t="s">
        <v>797</v>
      </c>
      <c r="K610" s="13" t="s">
        <v>276</v>
      </c>
      <c r="L610" s="13" t="s">
        <v>1526</v>
      </c>
      <c r="M610" s="7" t="s">
        <v>253</v>
      </c>
      <c r="N610" s="7" t="s">
        <v>253</v>
      </c>
      <c r="O610" s="7" t="s">
        <v>254</v>
      </c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  <c r="AE610" s="8"/>
    </row>
    <row r="611">
      <c r="A611" s="12">
        <v>25.0</v>
      </c>
      <c r="B611" s="8" t="s">
        <v>284</v>
      </c>
      <c r="C611" s="8" t="s">
        <v>557</v>
      </c>
      <c r="I611" s="10" t="s">
        <v>1225</v>
      </c>
      <c r="J611" s="13" t="s">
        <v>791</v>
      </c>
      <c r="K611" s="13" t="s">
        <v>276</v>
      </c>
      <c r="L611" s="13" t="s">
        <v>1191</v>
      </c>
      <c r="M611" s="7" t="s">
        <v>253</v>
      </c>
      <c r="N611" s="7" t="s">
        <v>253</v>
      </c>
      <c r="O611" s="7" t="s">
        <v>254</v>
      </c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  <c r="AE611" s="8"/>
    </row>
    <row r="612">
      <c r="A612" s="12">
        <v>25.0</v>
      </c>
      <c r="B612" s="8" t="s">
        <v>284</v>
      </c>
      <c r="C612" s="8" t="s">
        <v>557</v>
      </c>
      <c r="I612" s="10" t="s">
        <v>683</v>
      </c>
      <c r="J612" s="13" t="s">
        <v>794</v>
      </c>
      <c r="K612" s="13" t="s">
        <v>276</v>
      </c>
      <c r="L612" s="13" t="s">
        <v>1550</v>
      </c>
      <c r="M612" s="7" t="s">
        <v>253</v>
      </c>
      <c r="N612" s="7" t="s">
        <v>253</v>
      </c>
      <c r="O612" s="7" t="s">
        <v>254</v>
      </c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  <c r="AE612" s="8"/>
    </row>
    <row r="613">
      <c r="A613" s="12">
        <v>25.0</v>
      </c>
      <c r="B613" s="8" t="s">
        <v>284</v>
      </c>
      <c r="C613" s="8" t="s">
        <v>557</v>
      </c>
      <c r="I613" s="10" t="s">
        <v>854</v>
      </c>
      <c r="J613" s="13" t="s">
        <v>797</v>
      </c>
      <c r="K613" s="13" t="s">
        <v>276</v>
      </c>
      <c r="L613" s="13" t="s">
        <v>1534</v>
      </c>
      <c r="M613" s="7" t="s">
        <v>253</v>
      </c>
      <c r="N613" s="7" t="s">
        <v>253</v>
      </c>
      <c r="O613" s="7" t="s">
        <v>254</v>
      </c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  <c r="AE613" s="8"/>
    </row>
    <row r="614">
      <c r="A614" s="12">
        <v>25.0</v>
      </c>
      <c r="B614" s="8" t="s">
        <v>284</v>
      </c>
      <c r="C614" s="8" t="s">
        <v>557</v>
      </c>
      <c r="I614" s="10" t="s">
        <v>1551</v>
      </c>
      <c r="J614" s="13" t="s">
        <v>791</v>
      </c>
      <c r="K614" s="13" t="s">
        <v>276</v>
      </c>
      <c r="L614" s="13" t="s">
        <v>1526</v>
      </c>
      <c r="M614" s="7" t="s">
        <v>253</v>
      </c>
      <c r="N614" s="7" t="s">
        <v>253</v>
      </c>
      <c r="O614" s="7" t="s">
        <v>254</v>
      </c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  <c r="AE614" s="8"/>
    </row>
    <row r="615">
      <c r="A615" s="12">
        <v>25.0</v>
      </c>
      <c r="B615" s="8" t="s">
        <v>284</v>
      </c>
      <c r="C615" s="8" t="s">
        <v>557</v>
      </c>
      <c r="I615" s="10" t="s">
        <v>1009</v>
      </c>
      <c r="J615" s="13" t="s">
        <v>794</v>
      </c>
      <c r="K615" s="13" t="s">
        <v>276</v>
      </c>
      <c r="L615" s="13" t="s">
        <v>1508</v>
      </c>
      <c r="M615" s="7" t="s">
        <v>253</v>
      </c>
      <c r="N615" s="7" t="s">
        <v>253</v>
      </c>
      <c r="O615" s="7" t="s">
        <v>254</v>
      </c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  <c r="AE615" s="8"/>
    </row>
    <row r="616">
      <c r="A616" s="12">
        <v>25.0</v>
      </c>
      <c r="B616" s="8" t="s">
        <v>284</v>
      </c>
      <c r="C616" s="8" t="s">
        <v>557</v>
      </c>
      <c r="I616" s="10" t="s">
        <v>1552</v>
      </c>
      <c r="J616" s="13" t="s">
        <v>797</v>
      </c>
      <c r="K616" s="13" t="s">
        <v>276</v>
      </c>
      <c r="L616" s="13" t="s">
        <v>1526</v>
      </c>
      <c r="M616" s="7" t="s">
        <v>253</v>
      </c>
      <c r="N616" s="7" t="s">
        <v>253</v>
      </c>
      <c r="O616" s="7" t="s">
        <v>254</v>
      </c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  <c r="AE616" s="8"/>
    </row>
    <row r="617">
      <c r="A617" s="12">
        <v>25.0</v>
      </c>
      <c r="B617" s="8" t="s">
        <v>284</v>
      </c>
      <c r="C617" s="8" t="s">
        <v>557</v>
      </c>
      <c r="I617" s="10" t="s">
        <v>1321</v>
      </c>
      <c r="J617" s="13" t="s">
        <v>791</v>
      </c>
      <c r="K617" s="13" t="s">
        <v>276</v>
      </c>
      <c r="L617" s="13" t="s">
        <v>1526</v>
      </c>
      <c r="M617" s="7" t="s">
        <v>253</v>
      </c>
      <c r="N617" s="7" t="s">
        <v>253</v>
      </c>
      <c r="O617" s="7" t="s">
        <v>254</v>
      </c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  <c r="AE617" s="8"/>
    </row>
    <row r="618">
      <c r="A618" s="12">
        <v>26.0</v>
      </c>
      <c r="B618" s="8" t="s">
        <v>286</v>
      </c>
      <c r="C618" s="8" t="s">
        <v>557</v>
      </c>
      <c r="D618" s="25">
        <f>IF(COUNTIF($B$2:$B618,$B618)&gt;1,"",COUNTIF($B$2:$B$2505,$B618))</f>
        <v>14</v>
      </c>
      <c r="E618" s="25">
        <f>IF(COUNTIF($B$2:$B618,$B618)&gt;1,"",COUNTIFS($B$2:$B$2505,$B618,$K$2:$K$2505,"PHÙ HỢP CAO"))</f>
        <v>4</v>
      </c>
      <c r="F618" s="25">
        <f>IF(COUNTIF($B$2:$B618,$B618)&gt;1,"",COUNTIFS($B$2:$B$2505,$B618,$K$2:$K$2505,"CÓ THỂ ĐI"))</f>
        <v>1</v>
      </c>
      <c r="G618" s="25">
        <f>IF(COUNTIF($B$2:$B618,$B618)&gt;1,"",COUNTIFS($B$2:$B$2505,$B618,$K$2:$K$2505,"CẦN SOÁT"))</f>
        <v>9</v>
      </c>
      <c r="H618" s="26" t="str">
        <f>IFERROR(__xludf.DUMMYFUNCTION("IF(COUNTIF($B$2:$B618,$B618)&gt;1,"""",IFERROR(TEXTJOIN(CHAR(10),TRUE,BYROW(QUERY({$B$2:$B$2505,$J$2:$J$2505},""select Col2, count(Col2) where Col1 = '""&amp;$B618&amp;""' group by Col2 order by count(Col2) desc label count(Col2) ''"",0),LAMBDA(r,INDEX(r,1,1)&amp;"" – "&amp;"""&amp;INDEX(r,1,2)&amp;"" link""))),""""))"),"quét NFC CCCD – 5 link
quét NFC CCCD trên iPhone – 5 link
cách quét NFC căn cước – 4 link")</f>
        <v>quét NFC CCCD – 5 link
quét NFC CCCD trên iPhone – 5 link
cách quét NFC căn cước – 4 link</v>
      </c>
      <c r="I618" s="10" t="s">
        <v>803</v>
      </c>
      <c r="J618" s="13" t="s">
        <v>806</v>
      </c>
      <c r="K618" s="13" t="s">
        <v>251</v>
      </c>
      <c r="L618" s="13" t="s">
        <v>1553</v>
      </c>
      <c r="M618" s="7" t="s">
        <v>253</v>
      </c>
      <c r="N618" s="7" t="s">
        <v>253</v>
      </c>
      <c r="O618" s="7" t="s">
        <v>254</v>
      </c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  <c r="AE618" s="8"/>
    </row>
    <row r="619">
      <c r="A619" s="12">
        <v>26.0</v>
      </c>
      <c r="B619" s="8" t="s">
        <v>286</v>
      </c>
      <c r="C619" s="8" t="s">
        <v>557</v>
      </c>
      <c r="I619" s="10" t="s">
        <v>743</v>
      </c>
      <c r="J619" s="13" t="s">
        <v>808</v>
      </c>
      <c r="K619" s="13" t="s">
        <v>251</v>
      </c>
      <c r="L619" s="13" t="s">
        <v>1554</v>
      </c>
      <c r="M619" s="7" t="s">
        <v>253</v>
      </c>
      <c r="N619" s="7" t="s">
        <v>253</v>
      </c>
      <c r="O619" s="7" t="s">
        <v>254</v>
      </c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  <c r="AE619" s="8"/>
    </row>
    <row r="620">
      <c r="A620" s="12">
        <v>26.0</v>
      </c>
      <c r="B620" s="8" t="s">
        <v>286</v>
      </c>
      <c r="C620" s="8" t="s">
        <v>557</v>
      </c>
      <c r="I620" s="10" t="s">
        <v>809</v>
      </c>
      <c r="J620" s="13" t="s">
        <v>811</v>
      </c>
      <c r="K620" s="13" t="s">
        <v>251</v>
      </c>
      <c r="L620" s="13" t="s">
        <v>1555</v>
      </c>
      <c r="M620" s="7" t="s">
        <v>253</v>
      </c>
      <c r="N620" s="7" t="s">
        <v>253</v>
      </c>
      <c r="O620" s="7" t="s">
        <v>254</v>
      </c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  <c r="AE620" s="8"/>
    </row>
    <row r="621">
      <c r="A621" s="12">
        <v>26.0</v>
      </c>
      <c r="B621" s="8" t="s">
        <v>286</v>
      </c>
      <c r="C621" s="8" t="s">
        <v>557</v>
      </c>
      <c r="I621" s="10" t="s">
        <v>812</v>
      </c>
      <c r="J621" s="13" t="s">
        <v>806</v>
      </c>
      <c r="K621" s="13" t="s">
        <v>251</v>
      </c>
      <c r="L621" s="13" t="s">
        <v>1556</v>
      </c>
      <c r="M621" s="7" t="s">
        <v>253</v>
      </c>
      <c r="N621" s="7" t="s">
        <v>253</v>
      </c>
      <c r="O621" s="7" t="s">
        <v>254</v>
      </c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  <c r="AE621" s="8"/>
    </row>
    <row r="622">
      <c r="A622" s="12">
        <v>26.0</v>
      </c>
      <c r="B622" s="8" t="s">
        <v>286</v>
      </c>
      <c r="C622" s="8" t="s">
        <v>557</v>
      </c>
      <c r="I622" s="10" t="s">
        <v>727</v>
      </c>
      <c r="J622" s="13" t="s">
        <v>808</v>
      </c>
      <c r="K622" s="13" t="s">
        <v>272</v>
      </c>
      <c r="L622" s="13" t="s">
        <v>1557</v>
      </c>
      <c r="M622" s="7" t="s">
        <v>253</v>
      </c>
      <c r="N622" s="7" t="s">
        <v>253</v>
      </c>
      <c r="O622" s="7" t="s">
        <v>254</v>
      </c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  <c r="AE622" s="8"/>
    </row>
    <row r="623">
      <c r="A623" s="12">
        <v>26.0</v>
      </c>
      <c r="B623" s="8" t="s">
        <v>286</v>
      </c>
      <c r="C623" s="8" t="s">
        <v>557</v>
      </c>
      <c r="I623" s="10" t="s">
        <v>1558</v>
      </c>
      <c r="J623" s="13" t="s">
        <v>811</v>
      </c>
      <c r="K623" s="13" t="s">
        <v>276</v>
      </c>
      <c r="L623" s="13" t="s">
        <v>1559</v>
      </c>
      <c r="M623" s="7" t="s">
        <v>253</v>
      </c>
      <c r="N623" s="7" t="s">
        <v>253</v>
      </c>
      <c r="O623" s="7" t="s">
        <v>254</v>
      </c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  <c r="AE623" s="8"/>
    </row>
    <row r="624">
      <c r="A624" s="12">
        <v>26.0</v>
      </c>
      <c r="B624" s="8" t="s">
        <v>286</v>
      </c>
      <c r="C624" s="8" t="s">
        <v>557</v>
      </c>
      <c r="I624" s="10" t="s">
        <v>614</v>
      </c>
      <c r="J624" s="13" t="s">
        <v>806</v>
      </c>
      <c r="K624" s="13" t="s">
        <v>276</v>
      </c>
      <c r="L624" s="13" t="s">
        <v>1560</v>
      </c>
      <c r="M624" s="7" t="s">
        <v>253</v>
      </c>
      <c r="N624" s="7" t="s">
        <v>253</v>
      </c>
      <c r="O624" s="7" t="s">
        <v>254</v>
      </c>
      <c r="P624" s="13" t="s">
        <v>300</v>
      </c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  <c r="AE624" s="8"/>
    </row>
    <row r="625">
      <c r="A625" s="12">
        <v>26.0</v>
      </c>
      <c r="B625" s="8" t="s">
        <v>286</v>
      </c>
      <c r="C625" s="8" t="s">
        <v>557</v>
      </c>
      <c r="I625" s="10" t="s">
        <v>374</v>
      </c>
      <c r="J625" s="13" t="s">
        <v>808</v>
      </c>
      <c r="K625" s="13" t="s">
        <v>276</v>
      </c>
      <c r="L625" s="13" t="s">
        <v>1561</v>
      </c>
      <c r="M625" s="7" t="s">
        <v>253</v>
      </c>
      <c r="N625" s="7" t="s">
        <v>253</v>
      </c>
      <c r="O625" s="7" t="s">
        <v>254</v>
      </c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  <c r="AE625" s="8"/>
    </row>
    <row r="626">
      <c r="A626" s="12">
        <v>26.0</v>
      </c>
      <c r="B626" s="8" t="s">
        <v>286</v>
      </c>
      <c r="C626" s="8" t="s">
        <v>557</v>
      </c>
      <c r="I626" s="10" t="s">
        <v>376</v>
      </c>
      <c r="J626" s="13" t="s">
        <v>811</v>
      </c>
      <c r="K626" s="13" t="s">
        <v>276</v>
      </c>
      <c r="L626" s="13" t="s">
        <v>1561</v>
      </c>
      <c r="M626" s="7" t="s">
        <v>253</v>
      </c>
      <c r="N626" s="7" t="s">
        <v>253</v>
      </c>
      <c r="O626" s="7" t="s">
        <v>254</v>
      </c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  <c r="AE626" s="8"/>
    </row>
    <row r="627">
      <c r="A627" s="12">
        <v>26.0</v>
      </c>
      <c r="B627" s="8" t="s">
        <v>286</v>
      </c>
      <c r="C627" s="8" t="s">
        <v>557</v>
      </c>
      <c r="I627" s="10" t="s">
        <v>1440</v>
      </c>
      <c r="J627" s="13" t="s">
        <v>806</v>
      </c>
      <c r="K627" s="13" t="s">
        <v>276</v>
      </c>
      <c r="L627" s="13" t="s">
        <v>1561</v>
      </c>
      <c r="M627" s="7" t="s">
        <v>253</v>
      </c>
      <c r="N627" s="7" t="s">
        <v>253</v>
      </c>
      <c r="O627" s="7" t="s">
        <v>254</v>
      </c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  <c r="AE627" s="8"/>
    </row>
    <row r="628">
      <c r="A628" s="12">
        <v>26.0</v>
      </c>
      <c r="B628" s="8" t="s">
        <v>286</v>
      </c>
      <c r="C628" s="8" t="s">
        <v>557</v>
      </c>
      <c r="I628" s="10" t="s">
        <v>873</v>
      </c>
      <c r="J628" s="13" t="s">
        <v>808</v>
      </c>
      <c r="K628" s="13" t="s">
        <v>276</v>
      </c>
      <c r="L628" s="13" t="s">
        <v>1561</v>
      </c>
      <c r="M628" s="7" t="s">
        <v>253</v>
      </c>
      <c r="N628" s="7" t="s">
        <v>253</v>
      </c>
      <c r="O628" s="7" t="s">
        <v>254</v>
      </c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  <c r="AE628" s="8"/>
    </row>
    <row r="629">
      <c r="A629" s="12">
        <v>26.0</v>
      </c>
      <c r="B629" s="8" t="s">
        <v>286</v>
      </c>
      <c r="C629" s="8" t="s">
        <v>557</v>
      </c>
      <c r="I629" s="10" t="s">
        <v>1447</v>
      </c>
      <c r="J629" s="13" t="s">
        <v>811</v>
      </c>
      <c r="K629" s="13" t="s">
        <v>276</v>
      </c>
      <c r="L629" s="13" t="s">
        <v>1561</v>
      </c>
      <c r="M629" s="7" t="s">
        <v>253</v>
      </c>
      <c r="N629" s="7" t="s">
        <v>253</v>
      </c>
      <c r="O629" s="7" t="s">
        <v>254</v>
      </c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  <c r="AE629" s="8"/>
    </row>
    <row r="630">
      <c r="A630" s="12">
        <v>26.0</v>
      </c>
      <c r="B630" s="8" t="s">
        <v>286</v>
      </c>
      <c r="C630" s="8" t="s">
        <v>557</v>
      </c>
      <c r="I630" s="10" t="s">
        <v>659</v>
      </c>
      <c r="J630" s="13" t="s">
        <v>806</v>
      </c>
      <c r="K630" s="13" t="s">
        <v>276</v>
      </c>
      <c r="L630" s="13" t="s">
        <v>1561</v>
      </c>
      <c r="M630" s="7" t="s">
        <v>253</v>
      </c>
      <c r="N630" s="7" t="s">
        <v>253</v>
      </c>
      <c r="O630" s="7" t="s">
        <v>254</v>
      </c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  <c r="AD630" s="8"/>
      <c r="AE630" s="8"/>
    </row>
    <row r="631">
      <c r="A631" s="12">
        <v>26.0</v>
      </c>
      <c r="B631" s="8" t="s">
        <v>286</v>
      </c>
      <c r="C631" s="8" t="s">
        <v>557</v>
      </c>
      <c r="I631" s="10" t="s">
        <v>371</v>
      </c>
      <c r="J631" s="13" t="s">
        <v>808</v>
      </c>
      <c r="K631" s="13" t="s">
        <v>276</v>
      </c>
      <c r="L631" s="13" t="s">
        <v>1561</v>
      </c>
      <c r="M631" s="7" t="s">
        <v>253</v>
      </c>
      <c r="N631" s="7" t="s">
        <v>253</v>
      </c>
      <c r="O631" s="7" t="s">
        <v>254</v>
      </c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  <c r="AE631" s="8"/>
    </row>
    <row r="632">
      <c r="A632" s="12">
        <v>27.0</v>
      </c>
      <c r="B632" s="8" t="s">
        <v>289</v>
      </c>
      <c r="C632" s="8" t="s">
        <v>557</v>
      </c>
      <c r="D632" s="25">
        <f>IF(COUNTIF($B$2:$B632,$B632)&gt;1,"",COUNTIF($B$2:$B$2505,$B632))</f>
        <v>45</v>
      </c>
      <c r="E632" s="25">
        <f>IF(COUNTIF($B$2:$B632,$B632)&gt;1,"",COUNTIFS($B$2:$B$2505,$B632,$K$2:$K$2505,"PHÙ HỢP CAO"))</f>
        <v>3</v>
      </c>
      <c r="F632" s="25">
        <f>IF(COUNTIF($B$2:$B632,$B632)&gt;1,"",COUNTIFS($B$2:$B$2505,$B632,$K$2:$K$2505,"CÓ THỂ ĐI"))</f>
        <v>2</v>
      </c>
      <c r="G632" s="25">
        <f>IF(COUNTIF($B$2:$B632,$B632)&gt;1,"",COUNTIFS($B$2:$B$2505,$B632,$K$2:$K$2505,"CẦN SOÁT"))</f>
        <v>40</v>
      </c>
      <c r="H632" s="26" t="str">
        <f>IFERROR(__xludf.DUMMYFUNCTION("IF(COUNTIF($B$2:$B632,$B632)&gt;1,"""",IFERROR(TEXTJOIN(CHAR(10),TRUE,BYROW(QUERY({$B$2:$B$2505,$J$2:$J$2505},""select Col2, count(Col2) where Col1 = '""&amp;$B632&amp;""' group by Col2 order by count(Col2) desc label count(Col2) ''"",0),LAMBDA(r,INDEX(r,1,1)&amp;"" – "&amp;"""&amp;INDEX(r,1,2)&amp;"" link""))),""""))"),"Techcombank Eco – 15 link
eco card – 15 link
thẻ Eco – 15 link")</f>
        <v>Techcombank Eco – 15 link
eco card – 15 link
thẻ Eco – 15 link</v>
      </c>
      <c r="I632" s="10" t="s">
        <v>815</v>
      </c>
      <c r="J632" s="13" t="s">
        <v>817</v>
      </c>
      <c r="K632" s="13" t="s">
        <v>251</v>
      </c>
      <c r="L632" s="13" t="s">
        <v>1562</v>
      </c>
      <c r="M632" s="7" t="s">
        <v>253</v>
      </c>
      <c r="N632" s="7" t="s">
        <v>253</v>
      </c>
      <c r="O632" s="7" t="s">
        <v>254</v>
      </c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  <c r="AE632" s="8"/>
    </row>
    <row r="633">
      <c r="A633" s="12">
        <v>27.0</v>
      </c>
      <c r="B633" s="8" t="s">
        <v>289</v>
      </c>
      <c r="C633" s="8" t="s">
        <v>557</v>
      </c>
      <c r="I633" s="10" t="s">
        <v>818</v>
      </c>
      <c r="J633" s="13" t="s">
        <v>820</v>
      </c>
      <c r="K633" s="13" t="s">
        <v>251</v>
      </c>
      <c r="L633" s="13" t="s">
        <v>1563</v>
      </c>
      <c r="M633" s="7" t="s">
        <v>253</v>
      </c>
      <c r="N633" s="7" t="s">
        <v>253</v>
      </c>
      <c r="O633" s="7" t="s">
        <v>254</v>
      </c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  <c r="AE633" s="8"/>
    </row>
    <row r="634">
      <c r="A634" s="12">
        <v>27.0</v>
      </c>
      <c r="B634" s="8" t="s">
        <v>289</v>
      </c>
      <c r="C634" s="8" t="s">
        <v>557</v>
      </c>
      <c r="I634" s="10" t="s">
        <v>821</v>
      </c>
      <c r="J634" s="13" t="s">
        <v>823</v>
      </c>
      <c r="K634" s="13" t="s">
        <v>251</v>
      </c>
      <c r="L634" s="13" t="s">
        <v>1564</v>
      </c>
      <c r="M634" s="7" t="s">
        <v>253</v>
      </c>
      <c r="N634" s="7" t="s">
        <v>253</v>
      </c>
      <c r="O634" s="7" t="s">
        <v>254</v>
      </c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  <c r="AE634" s="8"/>
    </row>
    <row r="635">
      <c r="A635" s="12">
        <v>27.0</v>
      </c>
      <c r="B635" s="8" t="s">
        <v>289</v>
      </c>
      <c r="C635" s="8" t="s">
        <v>557</v>
      </c>
      <c r="I635" s="10" t="s">
        <v>824</v>
      </c>
      <c r="J635" s="13" t="s">
        <v>817</v>
      </c>
      <c r="K635" s="13" t="s">
        <v>272</v>
      </c>
      <c r="L635" s="13" t="s">
        <v>1565</v>
      </c>
      <c r="M635" s="7" t="s">
        <v>253</v>
      </c>
      <c r="N635" s="7" t="s">
        <v>253</v>
      </c>
      <c r="O635" s="7" t="s">
        <v>254</v>
      </c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  <c r="AC635" s="8"/>
      <c r="AD635" s="8"/>
      <c r="AE635" s="8"/>
    </row>
    <row r="636">
      <c r="A636" s="12">
        <v>27.0</v>
      </c>
      <c r="B636" s="8" t="s">
        <v>289</v>
      </c>
      <c r="C636" s="8" t="s">
        <v>557</v>
      </c>
      <c r="I636" s="10" t="s">
        <v>1566</v>
      </c>
      <c r="J636" s="13" t="s">
        <v>820</v>
      </c>
      <c r="K636" s="13" t="s">
        <v>272</v>
      </c>
      <c r="L636" s="13" t="s">
        <v>1567</v>
      </c>
      <c r="M636" s="7" t="s">
        <v>253</v>
      </c>
      <c r="N636" s="7" t="s">
        <v>253</v>
      </c>
      <c r="O636" s="7" t="s">
        <v>254</v>
      </c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  <c r="AC636" s="8"/>
      <c r="AD636" s="8"/>
      <c r="AE636" s="8"/>
    </row>
    <row r="637">
      <c r="A637" s="12">
        <v>27.0</v>
      </c>
      <c r="B637" s="8" t="s">
        <v>289</v>
      </c>
      <c r="C637" s="8" t="s">
        <v>557</v>
      </c>
      <c r="I637" s="10" t="s">
        <v>1090</v>
      </c>
      <c r="J637" s="13" t="s">
        <v>823</v>
      </c>
      <c r="K637" s="13" t="s">
        <v>276</v>
      </c>
      <c r="L637" s="13" t="s">
        <v>1568</v>
      </c>
      <c r="M637" s="7" t="s">
        <v>253</v>
      </c>
      <c r="N637" s="7" t="s">
        <v>253</v>
      </c>
      <c r="O637" s="7" t="s">
        <v>254</v>
      </c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  <c r="AC637" s="8"/>
      <c r="AD637" s="8"/>
      <c r="AE637" s="8"/>
    </row>
    <row r="638">
      <c r="A638" s="12">
        <v>27.0</v>
      </c>
      <c r="B638" s="8" t="s">
        <v>289</v>
      </c>
      <c r="C638" s="8" t="s">
        <v>557</v>
      </c>
      <c r="I638" s="10" t="s">
        <v>521</v>
      </c>
      <c r="J638" s="13" t="s">
        <v>817</v>
      </c>
      <c r="K638" s="13" t="s">
        <v>276</v>
      </c>
      <c r="L638" s="13" t="s">
        <v>1569</v>
      </c>
      <c r="M638" s="7" t="s">
        <v>253</v>
      </c>
      <c r="N638" s="7" t="s">
        <v>253</v>
      </c>
      <c r="O638" s="7" t="s">
        <v>254</v>
      </c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  <c r="AC638" s="8"/>
      <c r="AD638" s="8"/>
      <c r="AE638" s="8"/>
    </row>
    <row r="639">
      <c r="A639" s="12">
        <v>27.0</v>
      </c>
      <c r="B639" s="8" t="s">
        <v>289</v>
      </c>
      <c r="C639" s="8" t="s">
        <v>557</v>
      </c>
      <c r="I639" s="10" t="s">
        <v>395</v>
      </c>
      <c r="J639" s="13" t="s">
        <v>820</v>
      </c>
      <c r="K639" s="13" t="s">
        <v>276</v>
      </c>
      <c r="L639" s="13" t="s">
        <v>1568</v>
      </c>
      <c r="M639" s="7" t="s">
        <v>253</v>
      </c>
      <c r="N639" s="7" t="s">
        <v>253</v>
      </c>
      <c r="O639" s="7" t="s">
        <v>254</v>
      </c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  <c r="AC639" s="8"/>
      <c r="AD639" s="8"/>
      <c r="AE639" s="8"/>
    </row>
    <row r="640">
      <c r="A640" s="12">
        <v>27.0</v>
      </c>
      <c r="B640" s="8" t="s">
        <v>289</v>
      </c>
      <c r="C640" s="8" t="s">
        <v>557</v>
      </c>
      <c r="I640" s="10" t="s">
        <v>1570</v>
      </c>
      <c r="J640" s="13" t="s">
        <v>823</v>
      </c>
      <c r="K640" s="13" t="s">
        <v>276</v>
      </c>
      <c r="L640" s="13" t="s">
        <v>1568</v>
      </c>
      <c r="M640" s="7" t="s">
        <v>253</v>
      </c>
      <c r="N640" s="7" t="s">
        <v>253</v>
      </c>
      <c r="O640" s="7" t="s">
        <v>254</v>
      </c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  <c r="AC640" s="8"/>
      <c r="AD640" s="8"/>
      <c r="AE640" s="8"/>
    </row>
    <row r="641">
      <c r="A641" s="12">
        <v>27.0</v>
      </c>
      <c r="B641" s="8" t="s">
        <v>289</v>
      </c>
      <c r="C641" s="8" t="s">
        <v>557</v>
      </c>
      <c r="I641" s="10" t="s">
        <v>1571</v>
      </c>
      <c r="J641" s="13" t="s">
        <v>817</v>
      </c>
      <c r="K641" s="13" t="s">
        <v>276</v>
      </c>
      <c r="L641" s="13" t="s">
        <v>1568</v>
      </c>
      <c r="M641" s="7" t="s">
        <v>253</v>
      </c>
      <c r="N641" s="7" t="s">
        <v>253</v>
      </c>
      <c r="O641" s="7" t="s">
        <v>254</v>
      </c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  <c r="AC641" s="8"/>
      <c r="AD641" s="8"/>
      <c r="AE641" s="8"/>
    </row>
    <row r="642">
      <c r="A642" s="12">
        <v>27.0</v>
      </c>
      <c r="B642" s="8" t="s">
        <v>289</v>
      </c>
      <c r="C642" s="8" t="s">
        <v>557</v>
      </c>
      <c r="I642" s="10" t="s">
        <v>477</v>
      </c>
      <c r="J642" s="13" t="s">
        <v>820</v>
      </c>
      <c r="K642" s="13" t="s">
        <v>276</v>
      </c>
      <c r="L642" s="13" t="s">
        <v>1568</v>
      </c>
      <c r="M642" s="7" t="s">
        <v>253</v>
      </c>
      <c r="N642" s="7" t="s">
        <v>253</v>
      </c>
      <c r="O642" s="7" t="s">
        <v>254</v>
      </c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  <c r="AC642" s="8"/>
      <c r="AD642" s="8"/>
      <c r="AE642" s="8"/>
    </row>
    <row r="643">
      <c r="A643" s="12">
        <v>27.0</v>
      </c>
      <c r="B643" s="8" t="s">
        <v>289</v>
      </c>
      <c r="C643" s="8" t="s">
        <v>557</v>
      </c>
      <c r="I643" s="10" t="s">
        <v>1572</v>
      </c>
      <c r="J643" s="13" t="s">
        <v>823</v>
      </c>
      <c r="K643" s="13" t="s">
        <v>276</v>
      </c>
      <c r="L643" s="13" t="s">
        <v>1573</v>
      </c>
      <c r="M643" s="7" t="s">
        <v>253</v>
      </c>
      <c r="N643" s="7" t="s">
        <v>253</v>
      </c>
      <c r="O643" s="7" t="s">
        <v>254</v>
      </c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  <c r="AC643" s="8"/>
      <c r="AD643" s="8"/>
      <c r="AE643" s="8"/>
    </row>
    <row r="644">
      <c r="A644" s="12">
        <v>27.0</v>
      </c>
      <c r="B644" s="8" t="s">
        <v>289</v>
      </c>
      <c r="C644" s="8" t="s">
        <v>557</v>
      </c>
      <c r="I644" s="10" t="s">
        <v>1574</v>
      </c>
      <c r="J644" s="13" t="s">
        <v>817</v>
      </c>
      <c r="K644" s="13" t="s">
        <v>276</v>
      </c>
      <c r="L644" s="13" t="s">
        <v>1575</v>
      </c>
      <c r="M644" s="7" t="s">
        <v>253</v>
      </c>
      <c r="N644" s="7" t="s">
        <v>253</v>
      </c>
      <c r="O644" s="7" t="s">
        <v>254</v>
      </c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  <c r="AC644" s="8"/>
      <c r="AD644" s="8"/>
      <c r="AE644" s="8"/>
    </row>
    <row r="645">
      <c r="A645" s="12">
        <v>27.0</v>
      </c>
      <c r="B645" s="8" t="s">
        <v>289</v>
      </c>
      <c r="C645" s="8" t="s">
        <v>557</v>
      </c>
      <c r="I645" s="10" t="s">
        <v>1576</v>
      </c>
      <c r="J645" s="13" t="s">
        <v>820</v>
      </c>
      <c r="K645" s="13" t="s">
        <v>276</v>
      </c>
      <c r="L645" s="13" t="s">
        <v>1568</v>
      </c>
      <c r="M645" s="7" t="s">
        <v>253</v>
      </c>
      <c r="N645" s="7" t="s">
        <v>253</v>
      </c>
      <c r="O645" s="7" t="s">
        <v>254</v>
      </c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  <c r="AC645" s="8"/>
      <c r="AD645" s="8"/>
      <c r="AE645" s="8"/>
    </row>
    <row r="646">
      <c r="A646" s="12">
        <v>27.0</v>
      </c>
      <c r="B646" s="8" t="s">
        <v>289</v>
      </c>
      <c r="C646" s="8" t="s">
        <v>557</v>
      </c>
      <c r="I646" s="10" t="s">
        <v>1577</v>
      </c>
      <c r="J646" s="13" t="s">
        <v>823</v>
      </c>
      <c r="K646" s="13" t="s">
        <v>276</v>
      </c>
      <c r="L646" s="13" t="s">
        <v>1568</v>
      </c>
      <c r="M646" s="7" t="s">
        <v>253</v>
      </c>
      <c r="N646" s="7" t="s">
        <v>253</v>
      </c>
      <c r="O646" s="7" t="s">
        <v>254</v>
      </c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  <c r="AC646" s="8"/>
      <c r="AD646" s="8"/>
      <c r="AE646" s="8"/>
    </row>
    <row r="647">
      <c r="A647" s="12">
        <v>27.0</v>
      </c>
      <c r="B647" s="8" t="s">
        <v>289</v>
      </c>
      <c r="C647" s="8" t="s">
        <v>557</v>
      </c>
      <c r="I647" s="10" t="s">
        <v>1578</v>
      </c>
      <c r="J647" s="13" t="s">
        <v>817</v>
      </c>
      <c r="K647" s="13" t="s">
        <v>276</v>
      </c>
      <c r="L647" s="13" t="s">
        <v>1575</v>
      </c>
      <c r="M647" s="7" t="s">
        <v>253</v>
      </c>
      <c r="N647" s="7" t="s">
        <v>253</v>
      </c>
      <c r="O647" s="7" t="s">
        <v>254</v>
      </c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  <c r="AD647" s="8"/>
      <c r="AE647" s="8"/>
    </row>
    <row r="648">
      <c r="A648" s="12">
        <v>27.0</v>
      </c>
      <c r="B648" s="8" t="s">
        <v>289</v>
      </c>
      <c r="C648" s="8" t="s">
        <v>557</v>
      </c>
      <c r="I648" s="10" t="s">
        <v>1579</v>
      </c>
      <c r="J648" s="13" t="s">
        <v>820</v>
      </c>
      <c r="K648" s="13" t="s">
        <v>276</v>
      </c>
      <c r="L648" s="13" t="s">
        <v>1575</v>
      </c>
      <c r="M648" s="7" t="s">
        <v>253</v>
      </c>
      <c r="N648" s="7" t="s">
        <v>253</v>
      </c>
      <c r="O648" s="7" t="s">
        <v>254</v>
      </c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  <c r="AD648" s="8"/>
      <c r="AE648" s="8"/>
    </row>
    <row r="649">
      <c r="A649" s="12">
        <v>27.0</v>
      </c>
      <c r="B649" s="8" t="s">
        <v>289</v>
      </c>
      <c r="C649" s="8" t="s">
        <v>557</v>
      </c>
      <c r="I649" s="10" t="s">
        <v>1580</v>
      </c>
      <c r="J649" s="13" t="s">
        <v>823</v>
      </c>
      <c r="K649" s="13" t="s">
        <v>276</v>
      </c>
      <c r="L649" s="13" t="s">
        <v>1568</v>
      </c>
      <c r="M649" s="7" t="s">
        <v>253</v>
      </c>
      <c r="N649" s="7" t="s">
        <v>253</v>
      </c>
      <c r="O649" s="7" t="s">
        <v>254</v>
      </c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  <c r="AC649" s="8"/>
      <c r="AD649" s="8"/>
      <c r="AE649" s="8"/>
    </row>
    <row r="650">
      <c r="A650" s="12">
        <v>27.0</v>
      </c>
      <c r="B650" s="8" t="s">
        <v>289</v>
      </c>
      <c r="C650" s="8" t="s">
        <v>557</v>
      </c>
      <c r="I650" s="10" t="s">
        <v>1581</v>
      </c>
      <c r="J650" s="13" t="s">
        <v>817</v>
      </c>
      <c r="K650" s="13" t="s">
        <v>276</v>
      </c>
      <c r="L650" s="13" t="s">
        <v>1568</v>
      </c>
      <c r="M650" s="7" t="s">
        <v>253</v>
      </c>
      <c r="N650" s="7" t="s">
        <v>253</v>
      </c>
      <c r="O650" s="7" t="s">
        <v>254</v>
      </c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  <c r="AC650" s="8"/>
      <c r="AD650" s="8"/>
      <c r="AE650" s="8"/>
    </row>
    <row r="651">
      <c r="A651" s="12">
        <v>27.0</v>
      </c>
      <c r="B651" s="8" t="s">
        <v>289</v>
      </c>
      <c r="C651" s="8" t="s">
        <v>557</v>
      </c>
      <c r="I651" s="10" t="s">
        <v>1582</v>
      </c>
      <c r="J651" s="13" t="s">
        <v>820</v>
      </c>
      <c r="K651" s="13" t="s">
        <v>276</v>
      </c>
      <c r="L651" s="13" t="s">
        <v>1569</v>
      </c>
      <c r="M651" s="7" t="s">
        <v>253</v>
      </c>
      <c r="N651" s="7" t="s">
        <v>253</v>
      </c>
      <c r="O651" s="7" t="s">
        <v>254</v>
      </c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  <c r="AC651" s="8"/>
      <c r="AD651" s="8"/>
      <c r="AE651" s="8"/>
    </row>
    <row r="652">
      <c r="A652" s="12">
        <v>27.0</v>
      </c>
      <c r="B652" s="8" t="s">
        <v>289</v>
      </c>
      <c r="C652" s="8" t="s">
        <v>557</v>
      </c>
      <c r="I652" s="10" t="s">
        <v>1166</v>
      </c>
      <c r="J652" s="13" t="s">
        <v>823</v>
      </c>
      <c r="K652" s="13" t="s">
        <v>276</v>
      </c>
      <c r="L652" s="13" t="s">
        <v>1568</v>
      </c>
      <c r="M652" s="7" t="s">
        <v>253</v>
      </c>
      <c r="N652" s="7" t="s">
        <v>253</v>
      </c>
      <c r="O652" s="7" t="s">
        <v>254</v>
      </c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  <c r="AC652" s="8"/>
      <c r="AD652" s="8"/>
      <c r="AE652" s="8"/>
    </row>
    <row r="653">
      <c r="A653" s="12">
        <v>27.0</v>
      </c>
      <c r="B653" s="8" t="s">
        <v>289</v>
      </c>
      <c r="C653" s="8" t="s">
        <v>557</v>
      </c>
      <c r="I653" s="10" t="s">
        <v>1583</v>
      </c>
      <c r="J653" s="13" t="s">
        <v>817</v>
      </c>
      <c r="K653" s="13" t="s">
        <v>276</v>
      </c>
      <c r="L653" s="13" t="s">
        <v>1569</v>
      </c>
      <c r="M653" s="7" t="s">
        <v>253</v>
      </c>
      <c r="N653" s="7" t="s">
        <v>253</v>
      </c>
      <c r="O653" s="7" t="s">
        <v>254</v>
      </c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  <c r="AC653" s="8"/>
      <c r="AD653" s="8"/>
      <c r="AE653" s="8"/>
    </row>
    <row r="654">
      <c r="A654" s="12">
        <v>27.0</v>
      </c>
      <c r="B654" s="8" t="s">
        <v>289</v>
      </c>
      <c r="C654" s="8" t="s">
        <v>557</v>
      </c>
      <c r="I654" s="10" t="s">
        <v>1584</v>
      </c>
      <c r="J654" s="13" t="s">
        <v>820</v>
      </c>
      <c r="K654" s="13" t="s">
        <v>276</v>
      </c>
      <c r="L654" s="13" t="s">
        <v>1568</v>
      </c>
      <c r="M654" s="7" t="s">
        <v>253</v>
      </c>
      <c r="N654" s="7" t="s">
        <v>253</v>
      </c>
      <c r="O654" s="7" t="s">
        <v>254</v>
      </c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  <c r="AC654" s="8"/>
      <c r="AD654" s="8"/>
      <c r="AE654" s="8"/>
    </row>
    <row r="655">
      <c r="A655" s="12">
        <v>27.0</v>
      </c>
      <c r="B655" s="8" t="s">
        <v>289</v>
      </c>
      <c r="C655" s="8" t="s">
        <v>557</v>
      </c>
      <c r="I655" s="10" t="s">
        <v>1585</v>
      </c>
      <c r="J655" s="13" t="s">
        <v>823</v>
      </c>
      <c r="K655" s="13" t="s">
        <v>276</v>
      </c>
      <c r="L655" s="13" t="s">
        <v>1568</v>
      </c>
      <c r="M655" s="7" t="s">
        <v>253</v>
      </c>
      <c r="N655" s="7" t="s">
        <v>253</v>
      </c>
      <c r="O655" s="7" t="s">
        <v>254</v>
      </c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  <c r="AC655" s="8"/>
      <c r="AD655" s="8"/>
      <c r="AE655" s="8"/>
    </row>
    <row r="656">
      <c r="A656" s="12">
        <v>27.0</v>
      </c>
      <c r="B656" s="8" t="s">
        <v>289</v>
      </c>
      <c r="C656" s="8" t="s">
        <v>557</v>
      </c>
      <c r="I656" s="10" t="s">
        <v>1586</v>
      </c>
      <c r="J656" s="13" t="s">
        <v>817</v>
      </c>
      <c r="K656" s="13" t="s">
        <v>276</v>
      </c>
      <c r="L656" s="13" t="s">
        <v>1569</v>
      </c>
      <c r="M656" s="7" t="s">
        <v>253</v>
      </c>
      <c r="N656" s="7" t="s">
        <v>253</v>
      </c>
      <c r="O656" s="7" t="s">
        <v>254</v>
      </c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  <c r="AC656" s="8"/>
      <c r="AD656" s="8"/>
      <c r="AE656" s="8"/>
    </row>
    <row r="657">
      <c r="A657" s="12">
        <v>27.0</v>
      </c>
      <c r="B657" s="8" t="s">
        <v>289</v>
      </c>
      <c r="C657" s="8" t="s">
        <v>557</v>
      </c>
      <c r="I657" s="10" t="s">
        <v>1587</v>
      </c>
      <c r="J657" s="13" t="s">
        <v>820</v>
      </c>
      <c r="K657" s="13" t="s">
        <v>276</v>
      </c>
      <c r="L657" s="13" t="s">
        <v>1569</v>
      </c>
      <c r="M657" s="7" t="s">
        <v>253</v>
      </c>
      <c r="N657" s="7" t="s">
        <v>253</v>
      </c>
      <c r="O657" s="7" t="s">
        <v>254</v>
      </c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  <c r="AC657" s="8"/>
      <c r="AD657" s="8"/>
      <c r="AE657" s="8"/>
    </row>
    <row r="658">
      <c r="A658" s="12">
        <v>27.0</v>
      </c>
      <c r="B658" s="8" t="s">
        <v>289</v>
      </c>
      <c r="C658" s="8" t="s">
        <v>557</v>
      </c>
      <c r="I658" s="10" t="s">
        <v>1588</v>
      </c>
      <c r="J658" s="13" t="s">
        <v>823</v>
      </c>
      <c r="K658" s="13" t="s">
        <v>276</v>
      </c>
      <c r="L658" s="13" t="s">
        <v>1589</v>
      </c>
      <c r="M658" s="7" t="s">
        <v>253</v>
      </c>
      <c r="N658" s="7" t="s">
        <v>253</v>
      </c>
      <c r="O658" s="7" t="s">
        <v>254</v>
      </c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  <c r="AC658" s="8"/>
      <c r="AD658" s="8"/>
      <c r="AE658" s="8"/>
    </row>
    <row r="659">
      <c r="A659" s="12">
        <v>27.0</v>
      </c>
      <c r="B659" s="8" t="s">
        <v>289</v>
      </c>
      <c r="C659" s="8" t="s">
        <v>557</v>
      </c>
      <c r="I659" s="10" t="s">
        <v>1590</v>
      </c>
      <c r="J659" s="13" t="s">
        <v>817</v>
      </c>
      <c r="K659" s="13" t="s">
        <v>276</v>
      </c>
      <c r="L659" s="13" t="s">
        <v>1569</v>
      </c>
      <c r="M659" s="7" t="s">
        <v>253</v>
      </c>
      <c r="N659" s="7" t="s">
        <v>253</v>
      </c>
      <c r="O659" s="7" t="s">
        <v>254</v>
      </c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  <c r="AC659" s="8"/>
      <c r="AD659" s="8"/>
      <c r="AE659" s="8"/>
    </row>
    <row r="660">
      <c r="A660" s="12">
        <v>27.0</v>
      </c>
      <c r="B660" s="8" t="s">
        <v>289</v>
      </c>
      <c r="C660" s="8" t="s">
        <v>557</v>
      </c>
      <c r="I660" s="10" t="s">
        <v>735</v>
      </c>
      <c r="J660" s="13" t="s">
        <v>820</v>
      </c>
      <c r="K660" s="13" t="s">
        <v>276</v>
      </c>
      <c r="L660" s="13" t="s">
        <v>1569</v>
      </c>
      <c r="M660" s="7" t="s">
        <v>253</v>
      </c>
      <c r="N660" s="7" t="s">
        <v>253</v>
      </c>
      <c r="O660" s="7" t="s">
        <v>254</v>
      </c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  <c r="AC660" s="8"/>
      <c r="AD660" s="8"/>
      <c r="AE660" s="8"/>
    </row>
    <row r="661">
      <c r="A661" s="12">
        <v>27.0</v>
      </c>
      <c r="B661" s="8" t="s">
        <v>289</v>
      </c>
      <c r="C661" s="8" t="s">
        <v>557</v>
      </c>
      <c r="I661" s="10" t="s">
        <v>1591</v>
      </c>
      <c r="J661" s="13" t="s">
        <v>823</v>
      </c>
      <c r="K661" s="13" t="s">
        <v>276</v>
      </c>
      <c r="L661" s="13" t="s">
        <v>1575</v>
      </c>
      <c r="M661" s="7" t="s">
        <v>253</v>
      </c>
      <c r="N661" s="7" t="s">
        <v>253</v>
      </c>
      <c r="O661" s="7" t="s">
        <v>254</v>
      </c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  <c r="AC661" s="8"/>
      <c r="AD661" s="8"/>
      <c r="AE661" s="8"/>
    </row>
    <row r="662">
      <c r="A662" s="12">
        <v>27.0</v>
      </c>
      <c r="B662" s="8" t="s">
        <v>289</v>
      </c>
      <c r="C662" s="8" t="s">
        <v>557</v>
      </c>
      <c r="I662" s="10" t="s">
        <v>1592</v>
      </c>
      <c r="J662" s="13" t="s">
        <v>817</v>
      </c>
      <c r="K662" s="13" t="s">
        <v>276</v>
      </c>
      <c r="L662" s="13" t="s">
        <v>1568</v>
      </c>
      <c r="M662" s="7" t="s">
        <v>253</v>
      </c>
      <c r="N662" s="7" t="s">
        <v>253</v>
      </c>
      <c r="O662" s="7" t="s">
        <v>254</v>
      </c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  <c r="AC662" s="8"/>
      <c r="AD662" s="8"/>
      <c r="AE662" s="8"/>
    </row>
    <row r="663">
      <c r="A663" s="12">
        <v>27.0</v>
      </c>
      <c r="B663" s="8" t="s">
        <v>289</v>
      </c>
      <c r="C663" s="8" t="s">
        <v>557</v>
      </c>
      <c r="I663" s="10" t="s">
        <v>1593</v>
      </c>
      <c r="J663" s="13" t="s">
        <v>820</v>
      </c>
      <c r="K663" s="13" t="s">
        <v>276</v>
      </c>
      <c r="L663" s="13" t="s">
        <v>1568</v>
      </c>
      <c r="M663" s="7" t="s">
        <v>253</v>
      </c>
      <c r="N663" s="7" t="s">
        <v>253</v>
      </c>
      <c r="O663" s="7" t="s">
        <v>254</v>
      </c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  <c r="AC663" s="8"/>
      <c r="AD663" s="8"/>
      <c r="AE663" s="8"/>
    </row>
    <row r="664">
      <c r="A664" s="12">
        <v>27.0</v>
      </c>
      <c r="B664" s="8" t="s">
        <v>289</v>
      </c>
      <c r="C664" s="8" t="s">
        <v>557</v>
      </c>
      <c r="I664" s="10" t="s">
        <v>1594</v>
      </c>
      <c r="J664" s="13" t="s">
        <v>823</v>
      </c>
      <c r="K664" s="13" t="s">
        <v>276</v>
      </c>
      <c r="L664" s="13" t="s">
        <v>1595</v>
      </c>
      <c r="M664" s="7" t="s">
        <v>253</v>
      </c>
      <c r="N664" s="7" t="s">
        <v>253</v>
      </c>
      <c r="O664" s="7" t="s">
        <v>254</v>
      </c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  <c r="AC664" s="8"/>
      <c r="AD664" s="8"/>
      <c r="AE664" s="8"/>
    </row>
    <row r="665">
      <c r="A665" s="12">
        <v>27.0</v>
      </c>
      <c r="B665" s="8" t="s">
        <v>289</v>
      </c>
      <c r="C665" s="8" t="s">
        <v>557</v>
      </c>
      <c r="I665" s="10" t="s">
        <v>1596</v>
      </c>
      <c r="J665" s="13" t="s">
        <v>817</v>
      </c>
      <c r="K665" s="13" t="s">
        <v>276</v>
      </c>
      <c r="L665" s="13" t="s">
        <v>1595</v>
      </c>
      <c r="M665" s="7" t="s">
        <v>253</v>
      </c>
      <c r="N665" s="7" t="s">
        <v>253</v>
      </c>
      <c r="O665" s="7" t="s">
        <v>254</v>
      </c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  <c r="AC665" s="8"/>
      <c r="AD665" s="8"/>
      <c r="AE665" s="8"/>
    </row>
    <row r="666">
      <c r="A666" s="12">
        <v>27.0</v>
      </c>
      <c r="B666" s="8" t="s">
        <v>289</v>
      </c>
      <c r="C666" s="8" t="s">
        <v>557</v>
      </c>
      <c r="I666" s="10" t="s">
        <v>1597</v>
      </c>
      <c r="J666" s="13" t="s">
        <v>820</v>
      </c>
      <c r="K666" s="13" t="s">
        <v>276</v>
      </c>
      <c r="L666" s="13" t="s">
        <v>1568</v>
      </c>
      <c r="M666" s="7" t="s">
        <v>253</v>
      </c>
      <c r="N666" s="7" t="s">
        <v>253</v>
      </c>
      <c r="O666" s="7" t="s">
        <v>254</v>
      </c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  <c r="AC666" s="8"/>
      <c r="AD666" s="8"/>
      <c r="AE666" s="8"/>
    </row>
    <row r="667">
      <c r="A667" s="12">
        <v>27.0</v>
      </c>
      <c r="B667" s="8" t="s">
        <v>289</v>
      </c>
      <c r="C667" s="8" t="s">
        <v>557</v>
      </c>
      <c r="I667" s="10" t="s">
        <v>1297</v>
      </c>
      <c r="J667" s="13" t="s">
        <v>823</v>
      </c>
      <c r="K667" s="13" t="s">
        <v>276</v>
      </c>
      <c r="L667" s="13" t="s">
        <v>1568</v>
      </c>
      <c r="M667" s="7" t="s">
        <v>253</v>
      </c>
      <c r="N667" s="7" t="s">
        <v>253</v>
      </c>
      <c r="O667" s="7" t="s">
        <v>254</v>
      </c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  <c r="AC667" s="8"/>
      <c r="AD667" s="8"/>
      <c r="AE667" s="8"/>
    </row>
    <row r="668">
      <c r="A668" s="12">
        <v>27.0</v>
      </c>
      <c r="B668" s="8" t="s">
        <v>289</v>
      </c>
      <c r="C668" s="8" t="s">
        <v>557</v>
      </c>
      <c r="I668" s="10" t="s">
        <v>1598</v>
      </c>
      <c r="J668" s="13" t="s">
        <v>817</v>
      </c>
      <c r="K668" s="13" t="s">
        <v>276</v>
      </c>
      <c r="L668" s="13" t="s">
        <v>1568</v>
      </c>
      <c r="M668" s="7" t="s">
        <v>253</v>
      </c>
      <c r="N668" s="7" t="s">
        <v>253</v>
      </c>
      <c r="O668" s="7" t="s">
        <v>254</v>
      </c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  <c r="AC668" s="8"/>
      <c r="AD668" s="8"/>
      <c r="AE668" s="8"/>
    </row>
    <row r="669">
      <c r="A669" s="12">
        <v>27.0</v>
      </c>
      <c r="B669" s="8" t="s">
        <v>289</v>
      </c>
      <c r="C669" s="8" t="s">
        <v>557</v>
      </c>
      <c r="I669" s="10" t="s">
        <v>649</v>
      </c>
      <c r="J669" s="13" t="s">
        <v>820</v>
      </c>
      <c r="K669" s="13" t="s">
        <v>276</v>
      </c>
      <c r="L669" s="13" t="s">
        <v>1568</v>
      </c>
      <c r="M669" s="7" t="s">
        <v>253</v>
      </c>
      <c r="N669" s="7" t="s">
        <v>253</v>
      </c>
      <c r="O669" s="7" t="s">
        <v>254</v>
      </c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  <c r="AC669" s="8"/>
      <c r="AD669" s="8"/>
      <c r="AE669" s="8"/>
    </row>
    <row r="670">
      <c r="A670" s="12">
        <v>27.0</v>
      </c>
      <c r="B670" s="8" t="s">
        <v>289</v>
      </c>
      <c r="C670" s="8" t="s">
        <v>557</v>
      </c>
      <c r="I670" s="10" t="s">
        <v>1599</v>
      </c>
      <c r="J670" s="13" t="s">
        <v>823</v>
      </c>
      <c r="K670" s="13" t="s">
        <v>276</v>
      </c>
      <c r="L670" s="13" t="s">
        <v>1595</v>
      </c>
      <c r="M670" s="7" t="s">
        <v>253</v>
      </c>
      <c r="N670" s="7" t="s">
        <v>253</v>
      </c>
      <c r="O670" s="7" t="s">
        <v>254</v>
      </c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  <c r="AC670" s="8"/>
      <c r="AD670" s="8"/>
      <c r="AE670" s="8"/>
    </row>
    <row r="671">
      <c r="A671" s="12">
        <v>27.0</v>
      </c>
      <c r="B671" s="8" t="s">
        <v>289</v>
      </c>
      <c r="C671" s="8" t="s">
        <v>557</v>
      </c>
      <c r="I671" s="10" t="s">
        <v>1551</v>
      </c>
      <c r="J671" s="13" t="s">
        <v>817</v>
      </c>
      <c r="K671" s="13" t="s">
        <v>276</v>
      </c>
      <c r="L671" s="13" t="s">
        <v>1569</v>
      </c>
      <c r="M671" s="7" t="s">
        <v>253</v>
      </c>
      <c r="N671" s="7" t="s">
        <v>253</v>
      </c>
      <c r="O671" s="7" t="s">
        <v>254</v>
      </c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  <c r="AC671" s="8"/>
      <c r="AD671" s="8"/>
      <c r="AE671" s="8"/>
    </row>
    <row r="672">
      <c r="A672" s="12">
        <v>27.0</v>
      </c>
      <c r="B672" s="8" t="s">
        <v>289</v>
      </c>
      <c r="C672" s="8" t="s">
        <v>557</v>
      </c>
      <c r="I672" s="10" t="s">
        <v>1600</v>
      </c>
      <c r="J672" s="13" t="s">
        <v>820</v>
      </c>
      <c r="K672" s="13" t="s">
        <v>276</v>
      </c>
      <c r="L672" s="13" t="s">
        <v>1568</v>
      </c>
      <c r="M672" s="7" t="s">
        <v>253</v>
      </c>
      <c r="N672" s="7" t="s">
        <v>253</v>
      </c>
      <c r="O672" s="7" t="s">
        <v>254</v>
      </c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  <c r="AC672" s="8"/>
      <c r="AD672" s="8"/>
      <c r="AE672" s="8"/>
    </row>
    <row r="673">
      <c r="A673" s="12">
        <v>27.0</v>
      </c>
      <c r="B673" s="8" t="s">
        <v>289</v>
      </c>
      <c r="C673" s="8" t="s">
        <v>557</v>
      </c>
      <c r="I673" s="10" t="s">
        <v>1013</v>
      </c>
      <c r="J673" s="13" t="s">
        <v>823</v>
      </c>
      <c r="K673" s="13" t="s">
        <v>276</v>
      </c>
      <c r="L673" s="13" t="s">
        <v>1569</v>
      </c>
      <c r="M673" s="7" t="s">
        <v>253</v>
      </c>
      <c r="N673" s="7" t="s">
        <v>253</v>
      </c>
      <c r="O673" s="7" t="s">
        <v>254</v>
      </c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  <c r="AC673" s="8"/>
      <c r="AD673" s="8"/>
      <c r="AE673" s="8"/>
    </row>
    <row r="674">
      <c r="A674" s="12">
        <v>27.0</v>
      </c>
      <c r="B674" s="8" t="s">
        <v>289</v>
      </c>
      <c r="C674" s="8" t="s">
        <v>557</v>
      </c>
      <c r="I674" s="10" t="s">
        <v>1387</v>
      </c>
      <c r="J674" s="13" t="s">
        <v>817</v>
      </c>
      <c r="K674" s="13" t="s">
        <v>276</v>
      </c>
      <c r="L674" s="13" t="s">
        <v>1568</v>
      </c>
      <c r="M674" s="7" t="s">
        <v>253</v>
      </c>
      <c r="N674" s="7" t="s">
        <v>253</v>
      </c>
      <c r="O674" s="7" t="s">
        <v>254</v>
      </c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  <c r="AC674" s="8"/>
      <c r="AD674" s="8"/>
      <c r="AE674" s="8"/>
    </row>
    <row r="675">
      <c r="A675" s="12">
        <v>27.0</v>
      </c>
      <c r="B675" s="8" t="s">
        <v>289</v>
      </c>
      <c r="C675" s="8" t="s">
        <v>557</v>
      </c>
      <c r="I675" s="10" t="s">
        <v>1552</v>
      </c>
      <c r="J675" s="13" t="s">
        <v>820</v>
      </c>
      <c r="K675" s="13" t="s">
        <v>276</v>
      </c>
      <c r="L675" s="13" t="s">
        <v>1569</v>
      </c>
      <c r="M675" s="7" t="s">
        <v>253</v>
      </c>
      <c r="N675" s="7" t="s">
        <v>253</v>
      </c>
      <c r="O675" s="7" t="s">
        <v>254</v>
      </c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  <c r="AC675" s="8"/>
      <c r="AD675" s="8"/>
      <c r="AE675" s="8"/>
    </row>
    <row r="676">
      <c r="A676" s="12">
        <v>27.0</v>
      </c>
      <c r="B676" s="8" t="s">
        <v>289</v>
      </c>
      <c r="C676" s="8" t="s">
        <v>557</v>
      </c>
      <c r="I676" s="10" t="s">
        <v>413</v>
      </c>
      <c r="J676" s="13" t="s">
        <v>823</v>
      </c>
      <c r="K676" s="13" t="s">
        <v>276</v>
      </c>
      <c r="L676" s="13" t="s">
        <v>1568</v>
      </c>
      <c r="M676" s="7" t="s">
        <v>253</v>
      </c>
      <c r="N676" s="7" t="s">
        <v>253</v>
      </c>
      <c r="O676" s="7" t="s">
        <v>254</v>
      </c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  <c r="AC676" s="8"/>
      <c r="AD676" s="8"/>
      <c r="AE676" s="8"/>
    </row>
    <row r="677">
      <c r="A677" s="12">
        <v>28.0</v>
      </c>
      <c r="B677" s="8" t="s">
        <v>291</v>
      </c>
      <c r="C677" s="8" t="s">
        <v>827</v>
      </c>
      <c r="D677" s="25">
        <f>IF(COUNTIF($B$2:$B677,$B677)&gt;1,"",COUNTIF($B$2:$B$2505,$B677))</f>
        <v>22</v>
      </c>
      <c r="E677" s="25">
        <f>IF(COUNTIF($B$2:$B677,$B677)&gt;1,"",COUNTIFS($B$2:$B$2505,$B677,$K$2:$K$2505,"PHÙ HỢP CAO"))</f>
        <v>3</v>
      </c>
      <c r="F677" s="25">
        <f>IF(COUNTIF($B$2:$B677,$B677)&gt;1,"",COUNTIFS($B$2:$B$2505,$B677,$K$2:$K$2505,"CÓ THỂ ĐI"))</f>
        <v>2</v>
      </c>
      <c r="G677" s="25">
        <f>IF(COUNTIF($B$2:$B677,$B677)&gt;1,"",COUNTIFS($B$2:$B$2505,$B677,$K$2:$K$2505,"CẦN SOÁT"))</f>
        <v>17</v>
      </c>
      <c r="H677" s="26" t="str">
        <f>IFERROR(__xludf.DUMMYFUNCTION("IF(COUNTIF($B$2:$B677,$B677)&gt;1,"""",IFERROR(TEXTJOIN(CHAR(10),TRUE,BYROW(QUERY({$B$2:$B$2505,$J$2:$J$2505},""select Col2, count(Col2) where Col1 = '""&amp;$B677&amp;""' group by Col2 order by count(Col2) desc label count(Col2) ''"",0),LAMBDA(r,INDEX(r,1,1)&amp;"" – "&amp;"""&amp;INDEX(r,1,2)&amp;"" link""))),""""))"),"tra cứu cic – 6 link
tra cứu cic miễn phí – 6 link
cic là gì – 5 link
kiểm tra cic – 5 link")</f>
        <v>tra cứu cic – 6 link
tra cứu cic miễn phí – 6 link
cic là gì – 5 link
kiểm tra cic – 5 link</v>
      </c>
      <c r="I677" s="10" t="s">
        <v>828</v>
      </c>
      <c r="J677" s="13" t="s">
        <v>1601</v>
      </c>
      <c r="K677" s="13" t="s">
        <v>251</v>
      </c>
      <c r="L677" s="13" t="s">
        <v>1602</v>
      </c>
      <c r="M677" s="7" t="s">
        <v>253</v>
      </c>
      <c r="N677" s="7" t="s">
        <v>253</v>
      </c>
      <c r="O677" s="7" t="s">
        <v>254</v>
      </c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  <c r="AC677" s="8"/>
      <c r="AD677" s="8"/>
      <c r="AE677" s="8"/>
    </row>
    <row r="678">
      <c r="A678" s="12">
        <v>28.0</v>
      </c>
      <c r="B678" s="8" t="s">
        <v>291</v>
      </c>
      <c r="C678" s="8" t="s">
        <v>827</v>
      </c>
      <c r="I678" s="10" t="s">
        <v>832</v>
      </c>
      <c r="J678" s="13" t="s">
        <v>1603</v>
      </c>
      <c r="K678" s="13" t="s">
        <v>251</v>
      </c>
      <c r="L678" s="13" t="s">
        <v>1604</v>
      </c>
      <c r="M678" s="7" t="s">
        <v>253</v>
      </c>
      <c r="N678" s="7" t="s">
        <v>253</v>
      </c>
      <c r="O678" s="7" t="s">
        <v>254</v>
      </c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  <c r="AC678" s="8"/>
      <c r="AD678" s="8"/>
      <c r="AE678" s="8"/>
    </row>
    <row r="679">
      <c r="A679" s="12">
        <v>28.0</v>
      </c>
      <c r="B679" s="8" t="s">
        <v>291</v>
      </c>
      <c r="C679" s="8" t="s">
        <v>827</v>
      </c>
      <c r="I679" s="10" t="s">
        <v>837</v>
      </c>
      <c r="J679" s="13" t="s">
        <v>1605</v>
      </c>
      <c r="K679" s="13" t="s">
        <v>251</v>
      </c>
      <c r="L679" s="13" t="s">
        <v>1606</v>
      </c>
      <c r="M679" s="7" t="s">
        <v>253</v>
      </c>
      <c r="N679" s="7" t="s">
        <v>253</v>
      </c>
      <c r="O679" s="7" t="s">
        <v>254</v>
      </c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  <c r="AC679" s="8"/>
      <c r="AD679" s="8"/>
      <c r="AE679" s="8"/>
    </row>
    <row r="680">
      <c r="A680" s="12">
        <v>28.0</v>
      </c>
      <c r="B680" s="8" t="s">
        <v>291</v>
      </c>
      <c r="C680" s="8" t="s">
        <v>827</v>
      </c>
      <c r="I680" s="10" t="s">
        <v>841</v>
      </c>
      <c r="J680" s="13" t="s">
        <v>1607</v>
      </c>
      <c r="K680" s="13" t="s">
        <v>272</v>
      </c>
      <c r="L680" s="13" t="s">
        <v>1608</v>
      </c>
      <c r="M680" s="7" t="s">
        <v>253</v>
      </c>
      <c r="N680" s="7" t="s">
        <v>253</v>
      </c>
      <c r="O680" s="7" t="s">
        <v>254</v>
      </c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  <c r="AC680" s="8"/>
      <c r="AD680" s="8"/>
      <c r="AE680" s="8"/>
    </row>
    <row r="681">
      <c r="A681" s="12">
        <v>28.0</v>
      </c>
      <c r="B681" s="8" t="s">
        <v>291</v>
      </c>
      <c r="C681" s="8" t="s">
        <v>827</v>
      </c>
      <c r="I681" s="10" t="s">
        <v>845</v>
      </c>
      <c r="J681" s="13" t="s">
        <v>1601</v>
      </c>
      <c r="K681" s="13" t="s">
        <v>272</v>
      </c>
      <c r="L681" s="13" t="s">
        <v>1609</v>
      </c>
      <c r="M681" s="7" t="s">
        <v>253</v>
      </c>
      <c r="N681" s="7" t="s">
        <v>253</v>
      </c>
      <c r="O681" s="7" t="s">
        <v>254</v>
      </c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  <c r="AC681" s="8"/>
      <c r="AD681" s="8"/>
      <c r="AE681" s="8"/>
    </row>
    <row r="682">
      <c r="A682" s="12">
        <v>28.0</v>
      </c>
      <c r="B682" s="8" t="s">
        <v>291</v>
      </c>
      <c r="C682" s="8" t="s">
        <v>827</v>
      </c>
      <c r="I682" s="10" t="s">
        <v>1519</v>
      </c>
      <c r="J682" s="13" t="s">
        <v>1603</v>
      </c>
      <c r="K682" s="13" t="s">
        <v>276</v>
      </c>
      <c r="L682" s="13" t="s">
        <v>1610</v>
      </c>
      <c r="M682" s="7" t="s">
        <v>253</v>
      </c>
      <c r="N682" s="7" t="s">
        <v>253</v>
      </c>
      <c r="O682" s="7" t="s">
        <v>254</v>
      </c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  <c r="AC682" s="8"/>
      <c r="AD682" s="8"/>
      <c r="AE682" s="8"/>
    </row>
    <row r="683">
      <c r="A683" s="12">
        <v>28.0</v>
      </c>
      <c r="B683" s="8" t="s">
        <v>291</v>
      </c>
      <c r="C683" s="8" t="s">
        <v>827</v>
      </c>
      <c r="I683" s="10" t="s">
        <v>374</v>
      </c>
      <c r="J683" s="13" t="s">
        <v>1605</v>
      </c>
      <c r="K683" s="13" t="s">
        <v>276</v>
      </c>
      <c r="L683" s="13" t="s">
        <v>1611</v>
      </c>
      <c r="M683" s="7" t="s">
        <v>253</v>
      </c>
      <c r="N683" s="7" t="s">
        <v>253</v>
      </c>
      <c r="O683" s="7" t="s">
        <v>254</v>
      </c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  <c r="AC683" s="8"/>
      <c r="AD683" s="8"/>
      <c r="AE683" s="8"/>
    </row>
    <row r="684">
      <c r="A684" s="12">
        <v>28.0</v>
      </c>
      <c r="B684" s="8" t="s">
        <v>291</v>
      </c>
      <c r="C684" s="8" t="s">
        <v>827</v>
      </c>
      <c r="I684" s="10" t="s">
        <v>1612</v>
      </c>
      <c r="J684" s="13" t="s">
        <v>1607</v>
      </c>
      <c r="K684" s="13" t="s">
        <v>276</v>
      </c>
      <c r="L684" s="13" t="s">
        <v>1613</v>
      </c>
      <c r="M684" s="7" t="s">
        <v>253</v>
      </c>
      <c r="N684" s="7" t="s">
        <v>253</v>
      </c>
      <c r="O684" s="7" t="s">
        <v>254</v>
      </c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  <c r="AC684" s="8"/>
      <c r="AD684" s="8"/>
      <c r="AE684" s="8"/>
    </row>
    <row r="685">
      <c r="A685" s="12">
        <v>28.0</v>
      </c>
      <c r="B685" s="8" t="s">
        <v>291</v>
      </c>
      <c r="C685" s="8" t="s">
        <v>827</v>
      </c>
      <c r="I685" s="10" t="s">
        <v>376</v>
      </c>
      <c r="J685" s="13" t="s">
        <v>1601</v>
      </c>
      <c r="K685" s="13" t="s">
        <v>276</v>
      </c>
      <c r="L685" s="13" t="s">
        <v>1613</v>
      </c>
      <c r="M685" s="7" t="s">
        <v>253</v>
      </c>
      <c r="N685" s="7" t="s">
        <v>253</v>
      </c>
      <c r="O685" s="7" t="s">
        <v>254</v>
      </c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  <c r="AC685" s="8"/>
      <c r="AD685" s="8"/>
      <c r="AE685" s="8"/>
    </row>
    <row r="686">
      <c r="A686" s="12">
        <v>28.0</v>
      </c>
      <c r="B686" s="8" t="s">
        <v>291</v>
      </c>
      <c r="C686" s="8" t="s">
        <v>827</v>
      </c>
      <c r="I686" s="10" t="s">
        <v>1465</v>
      </c>
      <c r="J686" s="13" t="s">
        <v>1603</v>
      </c>
      <c r="K686" s="13" t="s">
        <v>276</v>
      </c>
      <c r="L686" s="13" t="s">
        <v>1614</v>
      </c>
      <c r="M686" s="7" t="s">
        <v>253</v>
      </c>
      <c r="N686" s="7" t="s">
        <v>253</v>
      </c>
      <c r="O686" s="7" t="s">
        <v>254</v>
      </c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  <c r="AC686" s="8"/>
      <c r="AD686" s="8"/>
      <c r="AE686" s="8"/>
    </row>
    <row r="687">
      <c r="A687" s="12">
        <v>28.0</v>
      </c>
      <c r="B687" s="8" t="s">
        <v>291</v>
      </c>
      <c r="C687" s="8" t="s">
        <v>827</v>
      </c>
      <c r="I687" s="10" t="s">
        <v>940</v>
      </c>
      <c r="J687" s="13" t="s">
        <v>1605</v>
      </c>
      <c r="K687" s="13" t="s">
        <v>276</v>
      </c>
      <c r="L687" s="13" t="s">
        <v>1614</v>
      </c>
      <c r="M687" s="7" t="s">
        <v>253</v>
      </c>
      <c r="N687" s="7" t="s">
        <v>253</v>
      </c>
      <c r="O687" s="7" t="s">
        <v>254</v>
      </c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  <c r="AC687" s="8"/>
      <c r="AD687" s="8"/>
      <c r="AE687" s="8"/>
    </row>
    <row r="688">
      <c r="A688" s="12">
        <v>28.0</v>
      </c>
      <c r="B688" s="8" t="s">
        <v>291</v>
      </c>
      <c r="C688" s="8" t="s">
        <v>827</v>
      </c>
      <c r="I688" s="10" t="s">
        <v>1116</v>
      </c>
      <c r="J688" s="13" t="s">
        <v>1607</v>
      </c>
      <c r="K688" s="13" t="s">
        <v>276</v>
      </c>
      <c r="L688" s="13" t="s">
        <v>1613</v>
      </c>
      <c r="M688" s="7" t="s">
        <v>253</v>
      </c>
      <c r="N688" s="7" t="s">
        <v>253</v>
      </c>
      <c r="O688" s="7" t="s">
        <v>254</v>
      </c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  <c r="AC688" s="8"/>
      <c r="AD688" s="8"/>
      <c r="AE688" s="8"/>
    </row>
    <row r="689">
      <c r="A689" s="12">
        <v>28.0</v>
      </c>
      <c r="B689" s="8" t="s">
        <v>291</v>
      </c>
      <c r="C689" s="8" t="s">
        <v>827</v>
      </c>
      <c r="I689" s="10" t="s">
        <v>936</v>
      </c>
      <c r="J689" s="13" t="s">
        <v>1601</v>
      </c>
      <c r="K689" s="13" t="s">
        <v>276</v>
      </c>
      <c r="L689" s="13" t="s">
        <v>1613</v>
      </c>
      <c r="M689" s="7" t="s">
        <v>253</v>
      </c>
      <c r="N689" s="7" t="s">
        <v>253</v>
      </c>
      <c r="O689" s="7" t="s">
        <v>254</v>
      </c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  <c r="AC689" s="8"/>
      <c r="AD689" s="8"/>
      <c r="AE689" s="8"/>
    </row>
    <row r="690">
      <c r="A690" s="12">
        <v>28.0</v>
      </c>
      <c r="B690" s="8" t="s">
        <v>291</v>
      </c>
      <c r="C690" s="8" t="s">
        <v>827</v>
      </c>
      <c r="I690" s="10" t="s">
        <v>1615</v>
      </c>
      <c r="J690" s="13" t="s">
        <v>1603</v>
      </c>
      <c r="K690" s="13" t="s">
        <v>276</v>
      </c>
      <c r="L690" s="13" t="s">
        <v>1616</v>
      </c>
      <c r="M690" s="7" t="s">
        <v>253</v>
      </c>
      <c r="N690" s="7" t="s">
        <v>253</v>
      </c>
      <c r="O690" s="7" t="s">
        <v>254</v>
      </c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  <c r="AC690" s="8"/>
      <c r="AD690" s="8"/>
      <c r="AE690" s="8"/>
    </row>
    <row r="691">
      <c r="A691" s="12">
        <v>28.0</v>
      </c>
      <c r="B691" s="8" t="s">
        <v>291</v>
      </c>
      <c r="C691" s="8" t="s">
        <v>827</v>
      </c>
      <c r="I691" s="10" t="s">
        <v>924</v>
      </c>
      <c r="J691" s="13" t="s">
        <v>1605</v>
      </c>
      <c r="K691" s="13" t="s">
        <v>276</v>
      </c>
      <c r="L691" s="13" t="s">
        <v>1613</v>
      </c>
      <c r="M691" s="7" t="s">
        <v>253</v>
      </c>
      <c r="N691" s="7" t="s">
        <v>253</v>
      </c>
      <c r="O691" s="7" t="s">
        <v>254</v>
      </c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  <c r="AC691" s="8"/>
      <c r="AD691" s="8"/>
      <c r="AE691" s="8"/>
    </row>
    <row r="692">
      <c r="A692" s="12">
        <v>28.0</v>
      </c>
      <c r="B692" s="8" t="s">
        <v>291</v>
      </c>
      <c r="C692" s="8" t="s">
        <v>827</v>
      </c>
      <c r="I692" s="10" t="s">
        <v>1484</v>
      </c>
      <c r="J692" s="13" t="s">
        <v>1607</v>
      </c>
      <c r="K692" s="13" t="s">
        <v>276</v>
      </c>
      <c r="L692" s="13" t="s">
        <v>1611</v>
      </c>
      <c r="M692" s="7" t="s">
        <v>253</v>
      </c>
      <c r="N692" s="7" t="s">
        <v>253</v>
      </c>
      <c r="O692" s="7" t="s">
        <v>254</v>
      </c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  <c r="AC692" s="8"/>
      <c r="AD692" s="8"/>
      <c r="AE692" s="8"/>
    </row>
    <row r="693">
      <c r="A693" s="12">
        <v>28.0</v>
      </c>
      <c r="B693" s="8" t="s">
        <v>291</v>
      </c>
      <c r="C693" s="8" t="s">
        <v>827</v>
      </c>
      <c r="I693" s="10" t="s">
        <v>948</v>
      </c>
      <c r="J693" s="13" t="s">
        <v>1601</v>
      </c>
      <c r="K693" s="13" t="s">
        <v>276</v>
      </c>
      <c r="L693" s="13" t="s">
        <v>1613</v>
      </c>
      <c r="M693" s="7" t="s">
        <v>253</v>
      </c>
      <c r="N693" s="7" t="s">
        <v>253</v>
      </c>
      <c r="O693" s="7" t="s">
        <v>254</v>
      </c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  <c r="AC693" s="8"/>
      <c r="AD693" s="8"/>
      <c r="AE693" s="8"/>
    </row>
    <row r="694">
      <c r="A694" s="12">
        <v>28.0</v>
      </c>
      <c r="B694" s="8" t="s">
        <v>291</v>
      </c>
      <c r="C694" s="8" t="s">
        <v>827</v>
      </c>
      <c r="I694" s="10" t="s">
        <v>1617</v>
      </c>
      <c r="J694" s="13" t="s">
        <v>1603</v>
      </c>
      <c r="K694" s="13" t="s">
        <v>276</v>
      </c>
      <c r="L694" s="13" t="s">
        <v>1610</v>
      </c>
      <c r="M694" s="7" t="s">
        <v>253</v>
      </c>
      <c r="N694" s="7" t="s">
        <v>253</v>
      </c>
      <c r="O694" s="7" t="s">
        <v>254</v>
      </c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  <c r="AC694" s="8"/>
      <c r="AD694" s="8"/>
      <c r="AE694" s="8"/>
    </row>
    <row r="695">
      <c r="A695" s="12">
        <v>28.0</v>
      </c>
      <c r="B695" s="8" t="s">
        <v>291</v>
      </c>
      <c r="C695" s="8" t="s">
        <v>827</v>
      </c>
      <c r="I695" s="10" t="s">
        <v>934</v>
      </c>
      <c r="J695" s="13" t="s">
        <v>1605</v>
      </c>
      <c r="K695" s="13" t="s">
        <v>276</v>
      </c>
      <c r="L695" s="13" t="s">
        <v>1613</v>
      </c>
      <c r="M695" s="7" t="s">
        <v>253</v>
      </c>
      <c r="N695" s="7" t="s">
        <v>253</v>
      </c>
      <c r="O695" s="7" t="s">
        <v>254</v>
      </c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  <c r="AC695" s="8"/>
      <c r="AD695" s="8"/>
      <c r="AE695" s="8"/>
    </row>
    <row r="696">
      <c r="A696" s="12">
        <v>28.0</v>
      </c>
      <c r="B696" s="8" t="s">
        <v>291</v>
      </c>
      <c r="C696" s="8" t="s">
        <v>827</v>
      </c>
      <c r="I696" s="10" t="s">
        <v>337</v>
      </c>
      <c r="J696" s="13" t="s">
        <v>1607</v>
      </c>
      <c r="K696" s="13" t="s">
        <v>276</v>
      </c>
      <c r="L696" s="13" t="s">
        <v>1610</v>
      </c>
      <c r="M696" s="7" t="s">
        <v>253</v>
      </c>
      <c r="N696" s="7" t="s">
        <v>253</v>
      </c>
      <c r="O696" s="7" t="s">
        <v>254</v>
      </c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  <c r="AC696" s="8"/>
      <c r="AD696" s="8"/>
      <c r="AE696" s="8"/>
    </row>
    <row r="697">
      <c r="A697" s="12">
        <v>28.0</v>
      </c>
      <c r="B697" s="8" t="s">
        <v>291</v>
      </c>
      <c r="C697" s="8" t="s">
        <v>827</v>
      </c>
      <c r="I697" s="10" t="s">
        <v>1487</v>
      </c>
      <c r="J697" s="13" t="s">
        <v>1601</v>
      </c>
      <c r="K697" s="13" t="s">
        <v>276</v>
      </c>
      <c r="L697" s="13" t="s">
        <v>1618</v>
      </c>
      <c r="M697" s="7" t="s">
        <v>253</v>
      </c>
      <c r="N697" s="7" t="s">
        <v>253</v>
      </c>
      <c r="O697" s="7" t="s">
        <v>254</v>
      </c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  <c r="AC697" s="8"/>
      <c r="AD697" s="8"/>
      <c r="AE697" s="8"/>
    </row>
    <row r="698">
      <c r="A698" s="12">
        <v>28.0</v>
      </c>
      <c r="B698" s="8" t="s">
        <v>291</v>
      </c>
      <c r="C698" s="8" t="s">
        <v>827</v>
      </c>
      <c r="I698" s="10" t="s">
        <v>1138</v>
      </c>
      <c r="J698" s="13" t="s">
        <v>1603</v>
      </c>
      <c r="K698" s="13" t="s">
        <v>276</v>
      </c>
      <c r="L698" s="13" t="s">
        <v>1610</v>
      </c>
      <c r="M698" s="7" t="s">
        <v>253</v>
      </c>
      <c r="N698" s="7" t="s">
        <v>253</v>
      </c>
      <c r="O698" s="7" t="s">
        <v>254</v>
      </c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  <c r="AC698" s="8"/>
      <c r="AD698" s="8"/>
      <c r="AE698" s="8"/>
    </row>
    <row r="699">
      <c r="A699" s="12">
        <v>29.0</v>
      </c>
      <c r="B699" s="8" t="s">
        <v>295</v>
      </c>
      <c r="C699" s="8" t="s">
        <v>827</v>
      </c>
      <c r="D699" s="25">
        <f>IF(COUNTIF($B$2:$B699,$B699)&gt;1,"",COUNTIF($B$2:$B$2505,$B699))</f>
        <v>36</v>
      </c>
      <c r="E699" s="25">
        <f>IF(COUNTIF($B$2:$B699,$B699)&gt;1,"",COUNTIFS($B$2:$B$2505,$B699,$K$2:$K$2505,"PHÙ HỢP CAO"))</f>
        <v>3</v>
      </c>
      <c r="F699" s="25">
        <f>IF(COUNTIF($B$2:$B699,$B699)&gt;1,"",COUNTIFS($B$2:$B$2505,$B699,$K$2:$K$2505,"CÓ THỂ ĐI"))</f>
        <v>2</v>
      </c>
      <c r="G699" s="25">
        <f>IF(COUNTIF($B$2:$B699,$B699)&gt;1,"",COUNTIFS($B$2:$B$2505,$B699,$K$2:$K$2505,"CẦN SOÁT"))</f>
        <v>31</v>
      </c>
      <c r="H699" s="26" t="str">
        <f>IFERROR(__xludf.DUMMYFUNCTION("IF(COUNTIF($B$2:$B699,$B699)&gt;1,"""",IFERROR(TEXTJOIN(CHAR(10),TRUE,BYROW(QUERY({$B$2:$B$2505,$J$2:$J$2505},""select Col2, count(Col2) where Col1 = '""&amp;$B699&amp;""' group by Col2 order by count(Col2) desc label count(Col2) ''"",0),LAMBDA(r,INDEX(r,1,1)&amp;"" – "&amp;"""&amp;INDEX(r,1,2)&amp;"" link""))),""""))"),"quẹt thẻ tín dụng lấy tiền mặt – 18 link
rút tiền thẻ tín dụng – 18 link")</f>
        <v>quẹt thẻ tín dụng lấy tiền mặt – 18 link
rút tiền thẻ tín dụng – 18 link</v>
      </c>
      <c r="I699" s="10" t="s">
        <v>850</v>
      </c>
      <c r="J699" s="13" t="s">
        <v>861</v>
      </c>
      <c r="K699" s="13" t="s">
        <v>251</v>
      </c>
      <c r="L699" s="13" t="s">
        <v>1619</v>
      </c>
      <c r="M699" s="7" t="s">
        <v>253</v>
      </c>
      <c r="N699" s="7" t="s">
        <v>253</v>
      </c>
      <c r="O699" s="7" t="s">
        <v>254</v>
      </c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  <c r="AC699" s="8"/>
      <c r="AD699" s="8"/>
      <c r="AE699" s="8"/>
    </row>
    <row r="700">
      <c r="A700" s="12">
        <v>29.0</v>
      </c>
      <c r="B700" s="8" t="s">
        <v>295</v>
      </c>
      <c r="C700" s="8" t="s">
        <v>827</v>
      </c>
      <c r="I700" s="10" t="s">
        <v>854</v>
      </c>
      <c r="J700" s="13" t="s">
        <v>1620</v>
      </c>
      <c r="K700" s="13" t="s">
        <v>251</v>
      </c>
      <c r="L700" s="13" t="s">
        <v>1621</v>
      </c>
      <c r="M700" s="7" t="s">
        <v>253</v>
      </c>
      <c r="N700" s="7" t="s">
        <v>253</v>
      </c>
      <c r="O700" s="7" t="s">
        <v>254</v>
      </c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  <c r="AC700" s="8"/>
      <c r="AD700" s="8"/>
      <c r="AE700" s="8"/>
    </row>
    <row r="701">
      <c r="A701" s="12">
        <v>29.0</v>
      </c>
      <c r="B701" s="8" t="s">
        <v>295</v>
      </c>
      <c r="C701" s="8" t="s">
        <v>827</v>
      </c>
      <c r="I701" s="10" t="s">
        <v>436</v>
      </c>
      <c r="J701" s="13" t="s">
        <v>861</v>
      </c>
      <c r="K701" s="13" t="s">
        <v>251</v>
      </c>
      <c r="L701" s="13" t="s">
        <v>1622</v>
      </c>
      <c r="M701" s="7" t="s">
        <v>253</v>
      </c>
      <c r="N701" s="7" t="s">
        <v>253</v>
      </c>
      <c r="O701" s="7" t="s">
        <v>254</v>
      </c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  <c r="AC701" s="8"/>
      <c r="AD701" s="8"/>
      <c r="AE701" s="8"/>
    </row>
    <row r="702">
      <c r="A702" s="12">
        <v>29.0</v>
      </c>
      <c r="B702" s="8" t="s">
        <v>295</v>
      </c>
      <c r="C702" s="8" t="s">
        <v>827</v>
      </c>
      <c r="I702" s="10" t="s">
        <v>862</v>
      </c>
      <c r="J702" s="13" t="s">
        <v>1620</v>
      </c>
      <c r="K702" s="13" t="s">
        <v>272</v>
      </c>
      <c r="L702" s="13" t="s">
        <v>1623</v>
      </c>
      <c r="M702" s="7" t="s">
        <v>253</v>
      </c>
      <c r="N702" s="7" t="s">
        <v>253</v>
      </c>
      <c r="O702" s="7" t="s">
        <v>254</v>
      </c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  <c r="AC702" s="8"/>
      <c r="AD702" s="8"/>
      <c r="AE702" s="8"/>
    </row>
    <row r="703">
      <c r="A703" s="12">
        <v>29.0</v>
      </c>
      <c r="B703" s="8" t="s">
        <v>295</v>
      </c>
      <c r="C703" s="8" t="s">
        <v>827</v>
      </c>
      <c r="I703" s="10" t="s">
        <v>864</v>
      </c>
      <c r="J703" s="13" t="s">
        <v>861</v>
      </c>
      <c r="K703" s="13" t="s">
        <v>272</v>
      </c>
      <c r="L703" s="13" t="s">
        <v>1624</v>
      </c>
      <c r="M703" s="7" t="s">
        <v>253</v>
      </c>
      <c r="N703" s="7" t="s">
        <v>253</v>
      </c>
      <c r="O703" s="7" t="s">
        <v>254</v>
      </c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  <c r="AC703" s="8"/>
      <c r="AD703" s="8"/>
      <c r="AE703" s="8"/>
    </row>
    <row r="704">
      <c r="A704" s="12">
        <v>29.0</v>
      </c>
      <c r="B704" s="8" t="s">
        <v>295</v>
      </c>
      <c r="C704" s="8" t="s">
        <v>827</v>
      </c>
      <c r="I704" s="10" t="s">
        <v>515</v>
      </c>
      <c r="J704" s="13" t="s">
        <v>1620</v>
      </c>
      <c r="K704" s="13" t="s">
        <v>276</v>
      </c>
      <c r="L704" s="13" t="s">
        <v>1625</v>
      </c>
      <c r="M704" s="7" t="s">
        <v>253</v>
      </c>
      <c r="N704" s="7" t="s">
        <v>253</v>
      </c>
      <c r="O704" s="7" t="s">
        <v>254</v>
      </c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  <c r="AC704" s="8"/>
      <c r="AD704" s="8"/>
      <c r="AE704" s="8"/>
    </row>
    <row r="705">
      <c r="A705" s="12">
        <v>29.0</v>
      </c>
      <c r="B705" s="8" t="s">
        <v>295</v>
      </c>
      <c r="C705" s="8" t="s">
        <v>827</v>
      </c>
      <c r="I705" s="10" t="s">
        <v>1626</v>
      </c>
      <c r="J705" s="13" t="s">
        <v>861</v>
      </c>
      <c r="K705" s="13" t="s">
        <v>276</v>
      </c>
      <c r="L705" s="13" t="s">
        <v>1625</v>
      </c>
      <c r="M705" s="7" t="s">
        <v>253</v>
      </c>
      <c r="N705" s="7" t="s">
        <v>253</v>
      </c>
      <c r="O705" s="7" t="s">
        <v>254</v>
      </c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  <c r="AC705" s="8"/>
      <c r="AD705" s="8"/>
      <c r="AE705" s="8"/>
    </row>
    <row r="706">
      <c r="A706" s="12">
        <v>29.0</v>
      </c>
      <c r="B706" s="8" t="s">
        <v>295</v>
      </c>
      <c r="C706" s="8" t="s">
        <v>827</v>
      </c>
      <c r="I706" s="10" t="s">
        <v>511</v>
      </c>
      <c r="J706" s="13" t="s">
        <v>1620</v>
      </c>
      <c r="K706" s="13" t="s">
        <v>276</v>
      </c>
      <c r="L706" s="13" t="s">
        <v>1625</v>
      </c>
      <c r="M706" s="7" t="s">
        <v>253</v>
      </c>
      <c r="N706" s="7" t="s">
        <v>253</v>
      </c>
      <c r="O706" s="7" t="s">
        <v>254</v>
      </c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  <c r="AC706" s="8"/>
      <c r="AD706" s="8"/>
      <c r="AE706" s="8"/>
    </row>
    <row r="707">
      <c r="A707" s="12">
        <v>29.0</v>
      </c>
      <c r="B707" s="8" t="s">
        <v>295</v>
      </c>
      <c r="C707" s="8" t="s">
        <v>827</v>
      </c>
      <c r="I707" s="10" t="s">
        <v>1627</v>
      </c>
      <c r="J707" s="13" t="s">
        <v>861</v>
      </c>
      <c r="K707" s="13" t="s">
        <v>276</v>
      </c>
      <c r="L707" s="13" t="s">
        <v>1625</v>
      </c>
      <c r="M707" s="7" t="s">
        <v>253</v>
      </c>
      <c r="N707" s="7" t="s">
        <v>253</v>
      </c>
      <c r="O707" s="7" t="s">
        <v>254</v>
      </c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  <c r="AC707" s="8"/>
      <c r="AD707" s="8"/>
      <c r="AE707" s="8"/>
    </row>
    <row r="708">
      <c r="A708" s="12">
        <v>29.0</v>
      </c>
      <c r="B708" s="8" t="s">
        <v>295</v>
      </c>
      <c r="C708" s="8" t="s">
        <v>827</v>
      </c>
      <c r="I708" s="10" t="s">
        <v>523</v>
      </c>
      <c r="J708" s="13" t="s">
        <v>1620</v>
      </c>
      <c r="K708" s="13" t="s">
        <v>276</v>
      </c>
      <c r="L708" s="13" t="s">
        <v>1628</v>
      </c>
      <c r="M708" s="7" t="s">
        <v>253</v>
      </c>
      <c r="N708" s="7" t="s">
        <v>253</v>
      </c>
      <c r="O708" s="7" t="s">
        <v>254</v>
      </c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  <c r="AC708" s="8"/>
      <c r="AD708" s="8"/>
      <c r="AE708" s="8"/>
    </row>
    <row r="709">
      <c r="A709" s="12">
        <v>29.0</v>
      </c>
      <c r="B709" s="8" t="s">
        <v>295</v>
      </c>
      <c r="C709" s="8" t="s">
        <v>827</v>
      </c>
      <c r="I709" s="10" t="s">
        <v>674</v>
      </c>
      <c r="J709" s="13" t="s">
        <v>861</v>
      </c>
      <c r="K709" s="13" t="s">
        <v>276</v>
      </c>
      <c r="L709" s="13" t="s">
        <v>1526</v>
      </c>
      <c r="M709" s="7" t="s">
        <v>253</v>
      </c>
      <c r="N709" s="7" t="s">
        <v>253</v>
      </c>
      <c r="O709" s="7" t="s">
        <v>254</v>
      </c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  <c r="AC709" s="8"/>
      <c r="AD709" s="8"/>
      <c r="AE709" s="8"/>
    </row>
    <row r="710">
      <c r="A710" s="12">
        <v>29.0</v>
      </c>
      <c r="B710" s="8" t="s">
        <v>295</v>
      </c>
      <c r="C710" s="8" t="s">
        <v>827</v>
      </c>
      <c r="I710" s="10" t="s">
        <v>507</v>
      </c>
      <c r="J710" s="13" t="s">
        <v>1620</v>
      </c>
      <c r="K710" s="13" t="s">
        <v>276</v>
      </c>
      <c r="L710" s="13" t="s">
        <v>1628</v>
      </c>
      <c r="M710" s="7" t="s">
        <v>253</v>
      </c>
      <c r="N710" s="7" t="s">
        <v>253</v>
      </c>
      <c r="O710" s="7" t="s">
        <v>254</v>
      </c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  <c r="AC710" s="8"/>
      <c r="AD710" s="8"/>
      <c r="AE710" s="8"/>
    </row>
    <row r="711">
      <c r="A711" s="12">
        <v>29.0</v>
      </c>
      <c r="B711" s="8" t="s">
        <v>295</v>
      </c>
      <c r="C711" s="8" t="s">
        <v>827</v>
      </c>
      <c r="I711" s="10" t="s">
        <v>789</v>
      </c>
      <c r="J711" s="13" t="s">
        <v>861</v>
      </c>
      <c r="K711" s="13" t="s">
        <v>276</v>
      </c>
      <c r="L711" s="13" t="s">
        <v>1526</v>
      </c>
      <c r="M711" s="7" t="s">
        <v>253</v>
      </c>
      <c r="N711" s="7" t="s">
        <v>253</v>
      </c>
      <c r="O711" s="7" t="s">
        <v>254</v>
      </c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  <c r="AC711" s="8"/>
      <c r="AD711" s="8"/>
      <c r="AE711" s="8"/>
    </row>
    <row r="712">
      <c r="A712" s="12">
        <v>29.0</v>
      </c>
      <c r="B712" s="8" t="s">
        <v>295</v>
      </c>
      <c r="C712" s="8" t="s">
        <v>827</v>
      </c>
      <c r="I712" s="10" t="s">
        <v>1195</v>
      </c>
      <c r="J712" s="13" t="s">
        <v>1620</v>
      </c>
      <c r="K712" s="13" t="s">
        <v>276</v>
      </c>
      <c r="L712" s="13" t="s">
        <v>1629</v>
      </c>
      <c r="M712" s="7" t="s">
        <v>253</v>
      </c>
      <c r="N712" s="7" t="s">
        <v>253</v>
      </c>
      <c r="O712" s="7" t="s">
        <v>254</v>
      </c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  <c r="AC712" s="8"/>
      <c r="AD712" s="8"/>
      <c r="AE712" s="8"/>
    </row>
    <row r="713">
      <c r="A713" s="12">
        <v>29.0</v>
      </c>
      <c r="B713" s="8" t="s">
        <v>295</v>
      </c>
      <c r="C713" s="8" t="s">
        <v>827</v>
      </c>
      <c r="I713" s="10" t="s">
        <v>1106</v>
      </c>
      <c r="J713" s="13" t="s">
        <v>861</v>
      </c>
      <c r="K713" s="13" t="s">
        <v>276</v>
      </c>
      <c r="L713" s="13" t="s">
        <v>1526</v>
      </c>
      <c r="M713" s="7" t="s">
        <v>253</v>
      </c>
      <c r="N713" s="7" t="s">
        <v>253</v>
      </c>
      <c r="O713" s="7" t="s">
        <v>254</v>
      </c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  <c r="AC713" s="8"/>
      <c r="AD713" s="8"/>
      <c r="AE713" s="8"/>
    </row>
    <row r="714">
      <c r="A714" s="12">
        <v>29.0</v>
      </c>
      <c r="B714" s="8" t="s">
        <v>295</v>
      </c>
      <c r="C714" s="8" t="s">
        <v>827</v>
      </c>
      <c r="I714" s="10" t="s">
        <v>795</v>
      </c>
      <c r="J714" s="13" t="s">
        <v>1620</v>
      </c>
      <c r="K714" s="13" t="s">
        <v>276</v>
      </c>
      <c r="L714" s="13" t="s">
        <v>1526</v>
      </c>
      <c r="M714" s="7" t="s">
        <v>253</v>
      </c>
      <c r="N714" s="7" t="s">
        <v>253</v>
      </c>
      <c r="O714" s="7" t="s">
        <v>254</v>
      </c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  <c r="AC714" s="8"/>
      <c r="AD714" s="8"/>
      <c r="AE714" s="8"/>
    </row>
    <row r="715">
      <c r="A715" s="12">
        <v>29.0</v>
      </c>
      <c r="B715" s="8" t="s">
        <v>295</v>
      </c>
      <c r="C715" s="8" t="s">
        <v>827</v>
      </c>
      <c r="I715" s="10" t="s">
        <v>359</v>
      </c>
      <c r="J715" s="13" t="s">
        <v>861</v>
      </c>
      <c r="K715" s="13" t="s">
        <v>276</v>
      </c>
      <c r="L715" s="13" t="s">
        <v>1526</v>
      </c>
      <c r="M715" s="7" t="s">
        <v>253</v>
      </c>
      <c r="N715" s="7" t="s">
        <v>253</v>
      </c>
      <c r="O715" s="7" t="s">
        <v>254</v>
      </c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  <c r="AC715" s="8"/>
      <c r="AD715" s="8"/>
      <c r="AE715" s="8"/>
    </row>
    <row r="716">
      <c r="A716" s="12">
        <v>29.0</v>
      </c>
      <c r="B716" s="8" t="s">
        <v>295</v>
      </c>
      <c r="C716" s="8" t="s">
        <v>827</v>
      </c>
      <c r="I716" s="10" t="s">
        <v>284</v>
      </c>
      <c r="J716" s="13" t="s">
        <v>1620</v>
      </c>
      <c r="K716" s="13" t="s">
        <v>276</v>
      </c>
      <c r="L716" s="13" t="s">
        <v>1526</v>
      </c>
      <c r="M716" s="7" t="s">
        <v>253</v>
      </c>
      <c r="N716" s="7" t="s">
        <v>253</v>
      </c>
      <c r="O716" s="7" t="s">
        <v>254</v>
      </c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  <c r="AC716" s="8"/>
      <c r="AD716" s="8"/>
      <c r="AE716" s="8"/>
    </row>
    <row r="717">
      <c r="A717" s="12">
        <v>29.0</v>
      </c>
      <c r="B717" s="8" t="s">
        <v>295</v>
      </c>
      <c r="C717" s="8" t="s">
        <v>827</v>
      </c>
      <c r="I717" s="10" t="s">
        <v>1630</v>
      </c>
      <c r="J717" s="13" t="s">
        <v>861</v>
      </c>
      <c r="K717" s="13" t="s">
        <v>276</v>
      </c>
      <c r="L717" s="13" t="s">
        <v>1625</v>
      </c>
      <c r="M717" s="7" t="s">
        <v>253</v>
      </c>
      <c r="N717" s="7" t="s">
        <v>253</v>
      </c>
      <c r="O717" s="7" t="s">
        <v>254</v>
      </c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  <c r="AC717" s="8"/>
      <c r="AD717" s="8"/>
      <c r="AE717" s="8"/>
    </row>
    <row r="718">
      <c r="A718" s="12">
        <v>29.0</v>
      </c>
      <c r="B718" s="8" t="s">
        <v>295</v>
      </c>
      <c r="C718" s="8" t="s">
        <v>827</v>
      </c>
      <c r="I718" s="10" t="s">
        <v>1631</v>
      </c>
      <c r="J718" s="13" t="s">
        <v>1620</v>
      </c>
      <c r="K718" s="13" t="s">
        <v>276</v>
      </c>
      <c r="L718" s="13" t="s">
        <v>1625</v>
      </c>
      <c r="M718" s="7" t="s">
        <v>253</v>
      </c>
      <c r="N718" s="7" t="s">
        <v>253</v>
      </c>
      <c r="O718" s="7" t="s">
        <v>254</v>
      </c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  <c r="AC718" s="8"/>
      <c r="AD718" s="8"/>
      <c r="AE718" s="8"/>
    </row>
    <row r="719">
      <c r="A719" s="12">
        <v>29.0</v>
      </c>
      <c r="B719" s="8" t="s">
        <v>295</v>
      </c>
      <c r="C719" s="8" t="s">
        <v>827</v>
      </c>
      <c r="I719" s="10" t="s">
        <v>798</v>
      </c>
      <c r="J719" s="13" t="s">
        <v>861</v>
      </c>
      <c r="K719" s="13" t="s">
        <v>276</v>
      </c>
      <c r="L719" s="13" t="s">
        <v>1526</v>
      </c>
      <c r="M719" s="7" t="s">
        <v>253</v>
      </c>
      <c r="N719" s="7" t="s">
        <v>253</v>
      </c>
      <c r="O719" s="7" t="s">
        <v>254</v>
      </c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  <c r="AC719" s="8"/>
      <c r="AD719" s="8"/>
      <c r="AE719" s="8"/>
    </row>
    <row r="720">
      <c r="A720" s="12">
        <v>29.0</v>
      </c>
      <c r="B720" s="8" t="s">
        <v>295</v>
      </c>
      <c r="C720" s="8" t="s">
        <v>827</v>
      </c>
      <c r="I720" s="10" t="s">
        <v>1632</v>
      </c>
      <c r="J720" s="13" t="s">
        <v>1620</v>
      </c>
      <c r="K720" s="13" t="s">
        <v>276</v>
      </c>
      <c r="L720" s="13" t="s">
        <v>1625</v>
      </c>
      <c r="M720" s="7" t="s">
        <v>253</v>
      </c>
      <c r="N720" s="7" t="s">
        <v>253</v>
      </c>
      <c r="O720" s="7" t="s">
        <v>254</v>
      </c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  <c r="AC720" s="8"/>
      <c r="AD720" s="8"/>
      <c r="AE720" s="8"/>
    </row>
    <row r="721">
      <c r="A721" s="12">
        <v>29.0</v>
      </c>
      <c r="B721" s="8" t="s">
        <v>295</v>
      </c>
      <c r="C721" s="8" t="s">
        <v>827</v>
      </c>
      <c r="I721" s="10" t="s">
        <v>869</v>
      </c>
      <c r="J721" s="13" t="s">
        <v>861</v>
      </c>
      <c r="K721" s="13" t="s">
        <v>276</v>
      </c>
      <c r="L721" s="13" t="s">
        <v>1628</v>
      </c>
      <c r="M721" s="7" t="s">
        <v>253</v>
      </c>
      <c r="N721" s="7" t="s">
        <v>253</v>
      </c>
      <c r="O721" s="7" t="s">
        <v>254</v>
      </c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  <c r="AC721" s="8"/>
      <c r="AD721" s="8"/>
      <c r="AE721" s="8"/>
    </row>
    <row r="722">
      <c r="A722" s="12">
        <v>29.0</v>
      </c>
      <c r="B722" s="8" t="s">
        <v>295</v>
      </c>
      <c r="C722" s="8" t="s">
        <v>827</v>
      </c>
      <c r="I722" s="10" t="s">
        <v>911</v>
      </c>
      <c r="J722" s="13" t="s">
        <v>1620</v>
      </c>
      <c r="K722" s="13" t="s">
        <v>276</v>
      </c>
      <c r="L722" s="13" t="s">
        <v>1526</v>
      </c>
      <c r="M722" s="7" t="s">
        <v>253</v>
      </c>
      <c r="N722" s="7" t="s">
        <v>253</v>
      </c>
      <c r="O722" s="7" t="s">
        <v>254</v>
      </c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  <c r="AC722" s="8"/>
      <c r="AD722" s="8"/>
      <c r="AE722" s="8"/>
    </row>
    <row r="723">
      <c r="A723" s="12">
        <v>29.0</v>
      </c>
      <c r="B723" s="8" t="s">
        <v>295</v>
      </c>
      <c r="C723" s="8" t="s">
        <v>827</v>
      </c>
      <c r="I723" s="10" t="s">
        <v>1277</v>
      </c>
      <c r="J723" s="13" t="s">
        <v>861</v>
      </c>
      <c r="K723" s="13" t="s">
        <v>276</v>
      </c>
      <c r="L723" s="13" t="s">
        <v>1629</v>
      </c>
      <c r="M723" s="7" t="s">
        <v>253</v>
      </c>
      <c r="N723" s="7" t="s">
        <v>253</v>
      </c>
      <c r="O723" s="7" t="s">
        <v>254</v>
      </c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  <c r="AC723" s="8"/>
      <c r="AD723" s="8"/>
      <c r="AE723" s="8"/>
    </row>
    <row r="724">
      <c r="A724" s="12">
        <v>29.0</v>
      </c>
      <c r="B724" s="8" t="s">
        <v>295</v>
      </c>
      <c r="C724" s="8" t="s">
        <v>827</v>
      </c>
      <c r="I724" s="10" t="s">
        <v>1633</v>
      </c>
      <c r="J724" s="13" t="s">
        <v>1620</v>
      </c>
      <c r="K724" s="13" t="s">
        <v>276</v>
      </c>
      <c r="L724" s="13" t="s">
        <v>1625</v>
      </c>
      <c r="M724" s="7" t="s">
        <v>253</v>
      </c>
      <c r="N724" s="7" t="s">
        <v>253</v>
      </c>
      <c r="O724" s="7" t="s">
        <v>254</v>
      </c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  <c r="AC724" s="8"/>
      <c r="AD724" s="8"/>
      <c r="AE724" s="8"/>
    </row>
    <row r="725">
      <c r="A725" s="12">
        <v>29.0</v>
      </c>
      <c r="B725" s="8" t="s">
        <v>295</v>
      </c>
      <c r="C725" s="8" t="s">
        <v>827</v>
      </c>
      <c r="I725" s="10" t="s">
        <v>792</v>
      </c>
      <c r="J725" s="13" t="s">
        <v>861</v>
      </c>
      <c r="K725" s="13" t="s">
        <v>276</v>
      </c>
      <c r="L725" s="13" t="s">
        <v>1526</v>
      </c>
      <c r="M725" s="7" t="s">
        <v>253</v>
      </c>
      <c r="N725" s="7" t="s">
        <v>253</v>
      </c>
      <c r="O725" s="7" t="s">
        <v>254</v>
      </c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  <c r="AC725" s="8"/>
      <c r="AD725" s="8"/>
      <c r="AE725" s="8"/>
    </row>
    <row r="726">
      <c r="A726" s="12">
        <v>29.0</v>
      </c>
      <c r="B726" s="8" t="s">
        <v>295</v>
      </c>
      <c r="C726" s="8" t="s">
        <v>827</v>
      </c>
      <c r="I726" s="10" t="s">
        <v>1549</v>
      </c>
      <c r="J726" s="13" t="s">
        <v>1620</v>
      </c>
      <c r="K726" s="13" t="s">
        <v>276</v>
      </c>
      <c r="L726" s="13" t="s">
        <v>1526</v>
      </c>
      <c r="M726" s="7" t="s">
        <v>253</v>
      </c>
      <c r="N726" s="7" t="s">
        <v>253</v>
      </c>
      <c r="O726" s="7" t="s">
        <v>254</v>
      </c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  <c r="AC726" s="8"/>
      <c r="AD726" s="8"/>
      <c r="AE726" s="8"/>
    </row>
    <row r="727">
      <c r="A727" s="12">
        <v>29.0</v>
      </c>
      <c r="B727" s="8" t="s">
        <v>295</v>
      </c>
      <c r="C727" s="8" t="s">
        <v>827</v>
      </c>
      <c r="I727" s="10" t="s">
        <v>994</v>
      </c>
      <c r="J727" s="13" t="s">
        <v>861</v>
      </c>
      <c r="K727" s="13" t="s">
        <v>276</v>
      </c>
      <c r="L727" s="13" t="s">
        <v>1526</v>
      </c>
      <c r="M727" s="7" t="s">
        <v>253</v>
      </c>
      <c r="N727" s="7" t="s">
        <v>253</v>
      </c>
      <c r="O727" s="7" t="s">
        <v>254</v>
      </c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  <c r="AC727" s="8"/>
      <c r="AD727" s="8"/>
      <c r="AE727" s="8"/>
    </row>
    <row r="728">
      <c r="A728" s="12">
        <v>29.0</v>
      </c>
      <c r="B728" s="8" t="s">
        <v>295</v>
      </c>
      <c r="C728" s="8" t="s">
        <v>827</v>
      </c>
      <c r="I728" s="10" t="s">
        <v>1634</v>
      </c>
      <c r="J728" s="13" t="s">
        <v>1620</v>
      </c>
      <c r="K728" s="13" t="s">
        <v>276</v>
      </c>
      <c r="L728" s="13" t="s">
        <v>1625</v>
      </c>
      <c r="M728" s="7" t="s">
        <v>253</v>
      </c>
      <c r="N728" s="7" t="s">
        <v>253</v>
      </c>
      <c r="O728" s="7" t="s">
        <v>254</v>
      </c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  <c r="AC728" s="8"/>
      <c r="AD728" s="8"/>
      <c r="AE728" s="8"/>
    </row>
    <row r="729">
      <c r="A729" s="12">
        <v>29.0</v>
      </c>
      <c r="B729" s="8" t="s">
        <v>295</v>
      </c>
      <c r="C729" s="8" t="s">
        <v>827</v>
      </c>
      <c r="I729" s="10" t="s">
        <v>1635</v>
      </c>
      <c r="J729" s="13" t="s">
        <v>861</v>
      </c>
      <c r="K729" s="13" t="s">
        <v>276</v>
      </c>
      <c r="L729" s="13" t="s">
        <v>1625</v>
      </c>
      <c r="M729" s="7" t="s">
        <v>253</v>
      </c>
      <c r="N729" s="7" t="s">
        <v>253</v>
      </c>
      <c r="O729" s="7" t="s">
        <v>254</v>
      </c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  <c r="AC729" s="8"/>
      <c r="AD729" s="8"/>
      <c r="AE729" s="8"/>
    </row>
    <row r="730">
      <c r="A730" s="12">
        <v>29.0</v>
      </c>
      <c r="B730" s="8" t="s">
        <v>295</v>
      </c>
      <c r="C730" s="8" t="s">
        <v>827</v>
      </c>
      <c r="I730" s="10" t="s">
        <v>744</v>
      </c>
      <c r="J730" s="13" t="s">
        <v>1620</v>
      </c>
      <c r="K730" s="13" t="s">
        <v>276</v>
      </c>
      <c r="L730" s="13" t="s">
        <v>1526</v>
      </c>
      <c r="M730" s="7" t="s">
        <v>253</v>
      </c>
      <c r="N730" s="7" t="s">
        <v>253</v>
      </c>
      <c r="O730" s="7" t="s">
        <v>254</v>
      </c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  <c r="AC730" s="8"/>
      <c r="AD730" s="8"/>
      <c r="AE730" s="8"/>
    </row>
    <row r="731">
      <c r="A731" s="12">
        <v>29.0</v>
      </c>
      <c r="B731" s="8" t="s">
        <v>295</v>
      </c>
      <c r="C731" s="8" t="s">
        <v>827</v>
      </c>
      <c r="I731" s="10" t="s">
        <v>1417</v>
      </c>
      <c r="J731" s="13" t="s">
        <v>861</v>
      </c>
      <c r="K731" s="13" t="s">
        <v>276</v>
      </c>
      <c r="L731" s="13" t="s">
        <v>1625</v>
      </c>
      <c r="M731" s="7" t="s">
        <v>253</v>
      </c>
      <c r="N731" s="7" t="s">
        <v>253</v>
      </c>
      <c r="O731" s="7" t="s">
        <v>254</v>
      </c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  <c r="AC731" s="8"/>
      <c r="AD731" s="8"/>
      <c r="AE731" s="8"/>
    </row>
    <row r="732">
      <c r="A732" s="12">
        <v>29.0</v>
      </c>
      <c r="B732" s="8" t="s">
        <v>295</v>
      </c>
      <c r="C732" s="8" t="s">
        <v>827</v>
      </c>
      <c r="I732" s="10" t="s">
        <v>1551</v>
      </c>
      <c r="J732" s="13" t="s">
        <v>1620</v>
      </c>
      <c r="K732" s="13" t="s">
        <v>276</v>
      </c>
      <c r="L732" s="13" t="s">
        <v>1526</v>
      </c>
      <c r="M732" s="7" t="s">
        <v>253</v>
      </c>
      <c r="N732" s="7" t="s">
        <v>253</v>
      </c>
      <c r="O732" s="7" t="s">
        <v>254</v>
      </c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  <c r="AC732" s="8"/>
      <c r="AD732" s="8"/>
      <c r="AE732" s="8"/>
    </row>
    <row r="733">
      <c r="A733" s="12">
        <v>29.0</v>
      </c>
      <c r="B733" s="8" t="s">
        <v>295</v>
      </c>
      <c r="C733" s="8" t="s">
        <v>827</v>
      </c>
      <c r="I733" s="10" t="s">
        <v>1552</v>
      </c>
      <c r="J733" s="13" t="s">
        <v>861</v>
      </c>
      <c r="K733" s="13" t="s">
        <v>276</v>
      </c>
      <c r="L733" s="13" t="s">
        <v>1526</v>
      </c>
      <c r="M733" s="7" t="s">
        <v>253</v>
      </c>
      <c r="N733" s="7" t="s">
        <v>253</v>
      </c>
      <c r="O733" s="7" t="s">
        <v>254</v>
      </c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  <c r="AC733" s="8"/>
      <c r="AD733" s="8"/>
      <c r="AE733" s="8"/>
    </row>
    <row r="734">
      <c r="A734" s="12">
        <v>29.0</v>
      </c>
      <c r="B734" s="8" t="s">
        <v>295</v>
      </c>
      <c r="C734" s="8" t="s">
        <v>827</v>
      </c>
      <c r="I734" s="10" t="s">
        <v>1321</v>
      </c>
      <c r="J734" s="13" t="s">
        <v>1620</v>
      </c>
      <c r="K734" s="13" t="s">
        <v>276</v>
      </c>
      <c r="L734" s="13" t="s">
        <v>1526</v>
      </c>
      <c r="M734" s="7" t="s">
        <v>253</v>
      </c>
      <c r="N734" s="7" t="s">
        <v>253</v>
      </c>
      <c r="O734" s="7" t="s">
        <v>254</v>
      </c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  <c r="AC734" s="8"/>
      <c r="AD734" s="8"/>
      <c r="AE734" s="8"/>
    </row>
    <row r="735">
      <c r="A735" s="12">
        <v>30.0</v>
      </c>
      <c r="B735" s="8" t="s">
        <v>302</v>
      </c>
      <c r="C735" s="8" t="s">
        <v>827</v>
      </c>
      <c r="D735" s="25">
        <f>IF(COUNTIF($B$2:$B735,$B735)&gt;1,"",COUNTIF($B$2:$B$2505,$B735))</f>
        <v>93</v>
      </c>
      <c r="E735" s="25">
        <f>IF(COUNTIF($B$2:$B735,$B735)&gt;1,"",COUNTIFS($B$2:$B$2505,$B735,$K$2:$K$2505,"PHÙ HỢP CAO"))</f>
        <v>4</v>
      </c>
      <c r="F735" s="25">
        <f>IF(COUNTIF($B$2:$B735,$B735)&gt;1,"",COUNTIFS($B$2:$B$2505,$B735,$K$2:$K$2505,"CÓ THỂ ĐI"))</f>
        <v>1</v>
      </c>
      <c r="G735" s="25">
        <f>IF(COUNTIF($B$2:$B735,$B735)&gt;1,"",COUNTIFS($B$2:$B$2505,$B735,$K$2:$K$2505,"CẦN SOÁT"))</f>
        <v>88</v>
      </c>
      <c r="H735" s="26" t="str">
        <f>IFERROR(__xludf.DUMMYFUNCTION("IF(COUNTIF($B$2:$B735,$B735)&gt;1,"""",IFERROR(TEXTJOIN(CHAR(10),TRUE,BYROW(QUERY({$B$2:$B$2505,$J$2:$J$2505},""select Col2, count(Col2) where Col1 = '""&amp;$B735&amp;""' group by Col2 order by count(Col2) desc label count(Col2) ''"",0),LAMBDA(r,INDEX(r,1,1)&amp;"" – "&amp;"""&amp;INDEX(r,1,2)&amp;"" link""))),""""))"),"làm thẻ tín dụng – 47 link
mở thẻ tín dụng – 46 link")</f>
        <v>làm thẻ tín dụng – 47 link
mở thẻ tín dụng – 46 link</v>
      </c>
      <c r="I735" s="10" t="s">
        <v>869</v>
      </c>
      <c r="J735" s="13" t="s">
        <v>871</v>
      </c>
      <c r="K735" s="13" t="s">
        <v>251</v>
      </c>
      <c r="L735" s="13" t="s">
        <v>1636</v>
      </c>
      <c r="M735" s="7" t="s">
        <v>253</v>
      </c>
      <c r="N735" s="7" t="s">
        <v>253</v>
      </c>
      <c r="O735" s="7" t="s">
        <v>254</v>
      </c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  <c r="AC735" s="8"/>
      <c r="AD735" s="8"/>
      <c r="AE735" s="8"/>
    </row>
    <row r="736">
      <c r="A736" s="12">
        <v>30.0</v>
      </c>
      <c r="B736" s="8" t="s">
        <v>302</v>
      </c>
      <c r="C736" s="8" t="s">
        <v>827</v>
      </c>
      <c r="I736" s="10" t="s">
        <v>873</v>
      </c>
      <c r="J736" s="13" t="s">
        <v>875</v>
      </c>
      <c r="K736" s="13" t="s">
        <v>251</v>
      </c>
      <c r="L736" s="13" t="s">
        <v>1637</v>
      </c>
      <c r="M736" s="7" t="s">
        <v>253</v>
      </c>
      <c r="N736" s="7" t="s">
        <v>253</v>
      </c>
      <c r="O736" s="7" t="s">
        <v>254</v>
      </c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  <c r="AC736" s="8"/>
      <c r="AD736" s="8"/>
      <c r="AE736" s="8"/>
    </row>
    <row r="737">
      <c r="A737" s="12">
        <v>30.0</v>
      </c>
      <c r="B737" s="8" t="s">
        <v>302</v>
      </c>
      <c r="C737" s="8" t="s">
        <v>827</v>
      </c>
      <c r="I737" s="10" t="s">
        <v>877</v>
      </c>
      <c r="J737" s="13" t="s">
        <v>871</v>
      </c>
      <c r="K737" s="13" t="s">
        <v>251</v>
      </c>
      <c r="L737" s="13" t="s">
        <v>1638</v>
      </c>
      <c r="M737" s="7" t="s">
        <v>253</v>
      </c>
      <c r="N737" s="7" t="s">
        <v>253</v>
      </c>
      <c r="O737" s="7" t="s">
        <v>254</v>
      </c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  <c r="AC737" s="8"/>
      <c r="AD737" s="8"/>
      <c r="AE737" s="8"/>
    </row>
    <row r="738">
      <c r="A738" s="12">
        <v>30.0</v>
      </c>
      <c r="B738" s="8" t="s">
        <v>302</v>
      </c>
      <c r="C738" s="8" t="s">
        <v>827</v>
      </c>
      <c r="I738" s="10" t="s">
        <v>881</v>
      </c>
      <c r="J738" s="13" t="s">
        <v>875</v>
      </c>
      <c r="K738" s="13" t="s">
        <v>251</v>
      </c>
      <c r="L738" s="13" t="s">
        <v>1639</v>
      </c>
      <c r="M738" s="7" t="s">
        <v>253</v>
      </c>
      <c r="N738" s="7" t="s">
        <v>253</v>
      </c>
      <c r="O738" s="7" t="s">
        <v>254</v>
      </c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  <c r="AC738" s="8"/>
      <c r="AD738" s="8"/>
      <c r="AE738" s="8"/>
    </row>
    <row r="739">
      <c r="A739" s="12">
        <v>30.0</v>
      </c>
      <c r="B739" s="8" t="s">
        <v>302</v>
      </c>
      <c r="C739" s="8" t="s">
        <v>827</v>
      </c>
      <c r="I739" s="10" t="s">
        <v>884</v>
      </c>
      <c r="J739" s="13" t="s">
        <v>871</v>
      </c>
      <c r="K739" s="13" t="s">
        <v>272</v>
      </c>
      <c r="L739" s="13" t="s">
        <v>1640</v>
      </c>
      <c r="M739" s="7" t="s">
        <v>253</v>
      </c>
      <c r="N739" s="7" t="s">
        <v>253</v>
      </c>
      <c r="O739" s="7" t="s">
        <v>254</v>
      </c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  <c r="AC739" s="8"/>
      <c r="AD739" s="8"/>
      <c r="AE739" s="8"/>
    </row>
    <row r="740">
      <c r="A740" s="12">
        <v>30.0</v>
      </c>
      <c r="B740" s="8" t="s">
        <v>302</v>
      </c>
      <c r="C740" s="8" t="s">
        <v>827</v>
      </c>
      <c r="I740" s="10" t="s">
        <v>521</v>
      </c>
      <c r="J740" s="13" t="s">
        <v>875</v>
      </c>
      <c r="K740" s="13" t="s">
        <v>276</v>
      </c>
      <c r="L740" s="13" t="s">
        <v>1641</v>
      </c>
      <c r="M740" s="7" t="s">
        <v>253</v>
      </c>
      <c r="N740" s="7" t="s">
        <v>253</v>
      </c>
      <c r="O740" s="7" t="s">
        <v>254</v>
      </c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  <c r="AC740" s="8"/>
      <c r="AD740" s="8"/>
      <c r="AE740" s="8"/>
    </row>
    <row r="741">
      <c r="A741" s="12">
        <v>30.0</v>
      </c>
      <c r="B741" s="8" t="s">
        <v>302</v>
      </c>
      <c r="C741" s="8" t="s">
        <v>827</v>
      </c>
      <c r="I741" s="10" t="s">
        <v>1190</v>
      </c>
      <c r="J741" s="13" t="s">
        <v>871</v>
      </c>
      <c r="K741" s="13" t="s">
        <v>276</v>
      </c>
      <c r="L741" s="13" t="s">
        <v>1641</v>
      </c>
      <c r="M741" s="7" t="s">
        <v>253</v>
      </c>
      <c r="N741" s="7" t="s">
        <v>253</v>
      </c>
      <c r="O741" s="7" t="s">
        <v>254</v>
      </c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  <c r="AC741" s="8"/>
      <c r="AD741" s="8"/>
      <c r="AE741" s="8"/>
    </row>
    <row r="742">
      <c r="A742" s="12">
        <v>30.0</v>
      </c>
      <c r="B742" s="8" t="s">
        <v>302</v>
      </c>
      <c r="C742" s="8" t="s">
        <v>827</v>
      </c>
      <c r="I742" s="10" t="s">
        <v>1251</v>
      </c>
      <c r="J742" s="13" t="s">
        <v>875</v>
      </c>
      <c r="K742" s="13" t="s">
        <v>276</v>
      </c>
      <c r="L742" s="13" t="s">
        <v>1641</v>
      </c>
      <c r="M742" s="7" t="s">
        <v>253</v>
      </c>
      <c r="N742" s="7" t="s">
        <v>253</v>
      </c>
      <c r="O742" s="7" t="s">
        <v>254</v>
      </c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  <c r="AC742" s="8"/>
      <c r="AD742" s="8"/>
      <c r="AE742" s="8"/>
    </row>
    <row r="743">
      <c r="A743" s="12">
        <v>30.0</v>
      </c>
      <c r="B743" s="8" t="s">
        <v>302</v>
      </c>
      <c r="C743" s="8" t="s">
        <v>827</v>
      </c>
      <c r="I743" s="10" t="s">
        <v>897</v>
      </c>
      <c r="J743" s="13" t="s">
        <v>871</v>
      </c>
      <c r="K743" s="13" t="s">
        <v>276</v>
      </c>
      <c r="L743" s="13" t="s">
        <v>1642</v>
      </c>
      <c r="M743" s="7" t="s">
        <v>253</v>
      </c>
      <c r="N743" s="7" t="s">
        <v>253</v>
      </c>
      <c r="O743" s="7" t="s">
        <v>254</v>
      </c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  <c r="AC743" s="8"/>
      <c r="AD743" s="8"/>
      <c r="AE743" s="8"/>
    </row>
    <row r="744">
      <c r="A744" s="12">
        <v>30.0</v>
      </c>
      <c r="B744" s="8" t="s">
        <v>302</v>
      </c>
      <c r="C744" s="8" t="s">
        <v>827</v>
      </c>
      <c r="I744" s="10" t="s">
        <v>909</v>
      </c>
      <c r="J744" s="13" t="s">
        <v>875</v>
      </c>
      <c r="K744" s="13" t="s">
        <v>276</v>
      </c>
      <c r="L744" s="13" t="s">
        <v>1642</v>
      </c>
      <c r="M744" s="7" t="s">
        <v>253</v>
      </c>
      <c r="N744" s="7" t="s">
        <v>253</v>
      </c>
      <c r="O744" s="7" t="s">
        <v>254</v>
      </c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  <c r="AC744" s="8"/>
      <c r="AD744" s="8"/>
      <c r="AE744" s="8"/>
    </row>
    <row r="745">
      <c r="A745" s="12">
        <v>30.0</v>
      </c>
      <c r="B745" s="8" t="s">
        <v>302</v>
      </c>
      <c r="C745" s="8" t="s">
        <v>827</v>
      </c>
      <c r="I745" s="10" t="s">
        <v>1643</v>
      </c>
      <c r="J745" s="13" t="s">
        <v>871</v>
      </c>
      <c r="K745" s="13" t="s">
        <v>276</v>
      </c>
      <c r="L745" s="13" t="s">
        <v>1641</v>
      </c>
      <c r="M745" s="7" t="s">
        <v>253</v>
      </c>
      <c r="N745" s="7" t="s">
        <v>253</v>
      </c>
      <c r="O745" s="7" t="s">
        <v>254</v>
      </c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  <c r="AC745" s="8"/>
      <c r="AD745" s="8"/>
      <c r="AE745" s="8"/>
    </row>
    <row r="746">
      <c r="A746" s="12">
        <v>30.0</v>
      </c>
      <c r="B746" s="8" t="s">
        <v>302</v>
      </c>
      <c r="C746" s="8" t="s">
        <v>827</v>
      </c>
      <c r="I746" s="10" t="s">
        <v>1644</v>
      </c>
      <c r="J746" s="13" t="s">
        <v>875</v>
      </c>
      <c r="K746" s="13" t="s">
        <v>276</v>
      </c>
      <c r="L746" s="13" t="s">
        <v>1641</v>
      </c>
      <c r="M746" s="7" t="s">
        <v>253</v>
      </c>
      <c r="N746" s="7" t="s">
        <v>253</v>
      </c>
      <c r="O746" s="7" t="s">
        <v>254</v>
      </c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  <c r="AC746" s="8"/>
      <c r="AD746" s="8"/>
      <c r="AE746" s="8"/>
    </row>
    <row r="747">
      <c r="A747" s="12">
        <v>30.0</v>
      </c>
      <c r="B747" s="8" t="s">
        <v>302</v>
      </c>
      <c r="C747" s="8" t="s">
        <v>827</v>
      </c>
      <c r="I747" s="10" t="s">
        <v>1645</v>
      </c>
      <c r="J747" s="13" t="s">
        <v>871</v>
      </c>
      <c r="K747" s="13" t="s">
        <v>276</v>
      </c>
      <c r="L747" s="13" t="s">
        <v>1641</v>
      </c>
      <c r="M747" s="7" t="s">
        <v>253</v>
      </c>
      <c r="N747" s="7" t="s">
        <v>253</v>
      </c>
      <c r="O747" s="7" t="s">
        <v>254</v>
      </c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  <c r="AC747" s="8"/>
      <c r="AD747" s="8"/>
      <c r="AE747" s="8"/>
    </row>
    <row r="748">
      <c r="A748" s="12">
        <v>30.0</v>
      </c>
      <c r="B748" s="8" t="s">
        <v>302</v>
      </c>
      <c r="C748" s="8" t="s">
        <v>827</v>
      </c>
      <c r="I748" s="10" t="s">
        <v>1099</v>
      </c>
      <c r="J748" s="13" t="s">
        <v>875</v>
      </c>
      <c r="K748" s="13" t="s">
        <v>276</v>
      </c>
      <c r="L748" s="13" t="s">
        <v>1101</v>
      </c>
      <c r="M748" s="7" t="s">
        <v>253</v>
      </c>
      <c r="N748" s="7" t="s">
        <v>253</v>
      </c>
      <c r="O748" s="7" t="s">
        <v>254</v>
      </c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  <c r="AC748" s="8"/>
      <c r="AD748" s="8"/>
      <c r="AE748" s="8"/>
    </row>
    <row r="749">
      <c r="A749" s="12">
        <v>30.0</v>
      </c>
      <c r="B749" s="8" t="s">
        <v>302</v>
      </c>
      <c r="C749" s="8" t="s">
        <v>827</v>
      </c>
      <c r="I749" s="10" t="s">
        <v>887</v>
      </c>
      <c r="J749" s="13" t="s">
        <v>871</v>
      </c>
      <c r="K749" s="13" t="s">
        <v>276</v>
      </c>
      <c r="L749" s="13" t="s">
        <v>1641</v>
      </c>
      <c r="M749" s="7" t="s">
        <v>253</v>
      </c>
      <c r="N749" s="7" t="s">
        <v>253</v>
      </c>
      <c r="O749" s="7" t="s">
        <v>254</v>
      </c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  <c r="AC749" s="8"/>
      <c r="AD749" s="8"/>
      <c r="AE749" s="8"/>
    </row>
    <row r="750">
      <c r="A750" s="12">
        <v>30.0</v>
      </c>
      <c r="B750" s="8" t="s">
        <v>302</v>
      </c>
      <c r="C750" s="8" t="s">
        <v>827</v>
      </c>
      <c r="I750" s="10" t="s">
        <v>1582</v>
      </c>
      <c r="J750" s="13" t="s">
        <v>875</v>
      </c>
      <c r="K750" s="13" t="s">
        <v>276</v>
      </c>
      <c r="L750" s="13" t="s">
        <v>1641</v>
      </c>
      <c r="M750" s="7" t="s">
        <v>253</v>
      </c>
      <c r="N750" s="7" t="s">
        <v>253</v>
      </c>
      <c r="O750" s="7" t="s">
        <v>254</v>
      </c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  <c r="AC750" s="8"/>
      <c r="AD750" s="8"/>
      <c r="AE750" s="8"/>
    </row>
    <row r="751">
      <c r="A751" s="12">
        <v>30.0</v>
      </c>
      <c r="B751" s="8" t="s">
        <v>302</v>
      </c>
      <c r="C751" s="8" t="s">
        <v>827</v>
      </c>
      <c r="I751" s="10" t="s">
        <v>289</v>
      </c>
      <c r="J751" s="13" t="s">
        <v>871</v>
      </c>
      <c r="K751" s="13" t="s">
        <v>276</v>
      </c>
      <c r="L751" s="13" t="s">
        <v>1646</v>
      </c>
      <c r="M751" s="7" t="s">
        <v>253</v>
      </c>
      <c r="N751" s="7" t="s">
        <v>253</v>
      </c>
      <c r="O751" s="7" t="s">
        <v>254</v>
      </c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  <c r="AC751" s="8"/>
      <c r="AD751" s="8"/>
      <c r="AE751" s="8"/>
    </row>
    <row r="752">
      <c r="A752" s="12">
        <v>30.0</v>
      </c>
      <c r="B752" s="8" t="s">
        <v>302</v>
      </c>
      <c r="C752" s="8" t="s">
        <v>827</v>
      </c>
      <c r="I752" s="10" t="s">
        <v>1647</v>
      </c>
      <c r="J752" s="13" t="s">
        <v>875</v>
      </c>
      <c r="K752" s="13" t="s">
        <v>276</v>
      </c>
      <c r="L752" s="13" t="s">
        <v>1642</v>
      </c>
      <c r="M752" s="7" t="s">
        <v>253</v>
      </c>
      <c r="N752" s="7" t="s">
        <v>253</v>
      </c>
      <c r="O752" s="7" t="s">
        <v>254</v>
      </c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  <c r="AC752" s="8"/>
      <c r="AD752" s="8"/>
      <c r="AE752" s="8"/>
    </row>
    <row r="753">
      <c r="A753" s="12">
        <v>30.0</v>
      </c>
      <c r="B753" s="8" t="s">
        <v>302</v>
      </c>
      <c r="C753" s="8" t="s">
        <v>827</v>
      </c>
      <c r="I753" s="10" t="s">
        <v>711</v>
      </c>
      <c r="J753" s="13" t="s">
        <v>871</v>
      </c>
      <c r="K753" s="13" t="s">
        <v>276</v>
      </c>
      <c r="L753" s="13" t="s">
        <v>1101</v>
      </c>
      <c r="M753" s="7" t="s">
        <v>253</v>
      </c>
      <c r="N753" s="7" t="s">
        <v>253</v>
      </c>
      <c r="O753" s="7" t="s">
        <v>254</v>
      </c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  <c r="AC753" s="8"/>
      <c r="AD753" s="8"/>
      <c r="AE753" s="8"/>
    </row>
    <row r="754">
      <c r="A754" s="12">
        <v>30.0</v>
      </c>
      <c r="B754" s="8" t="s">
        <v>302</v>
      </c>
      <c r="C754" s="8" t="s">
        <v>827</v>
      </c>
      <c r="I754" s="10" t="s">
        <v>1425</v>
      </c>
      <c r="J754" s="13" t="s">
        <v>875</v>
      </c>
      <c r="K754" s="13" t="s">
        <v>276</v>
      </c>
      <c r="L754" s="13" t="s">
        <v>1641</v>
      </c>
      <c r="M754" s="7" t="s">
        <v>253</v>
      </c>
      <c r="N754" s="7" t="s">
        <v>253</v>
      </c>
      <c r="O754" s="7" t="s">
        <v>254</v>
      </c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  <c r="AC754" s="8"/>
      <c r="AD754" s="8"/>
      <c r="AE754" s="8"/>
    </row>
    <row r="755">
      <c r="A755" s="12">
        <v>30.0</v>
      </c>
      <c r="B755" s="8" t="s">
        <v>302</v>
      </c>
      <c r="C755" s="8" t="s">
        <v>827</v>
      </c>
      <c r="I755" s="10" t="s">
        <v>1648</v>
      </c>
      <c r="J755" s="13" t="s">
        <v>871</v>
      </c>
      <c r="K755" s="13" t="s">
        <v>276</v>
      </c>
      <c r="L755" s="13" t="s">
        <v>1641</v>
      </c>
      <c r="M755" s="7" t="s">
        <v>253</v>
      </c>
      <c r="N755" s="7" t="s">
        <v>253</v>
      </c>
      <c r="O755" s="7" t="s">
        <v>254</v>
      </c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  <c r="AC755" s="8"/>
      <c r="AD755" s="8"/>
      <c r="AE755" s="8"/>
    </row>
    <row r="756">
      <c r="A756" s="12">
        <v>30.0</v>
      </c>
      <c r="B756" s="8" t="s">
        <v>302</v>
      </c>
      <c r="C756" s="8" t="s">
        <v>827</v>
      </c>
      <c r="I756" s="10" t="s">
        <v>1195</v>
      </c>
      <c r="J756" s="13" t="s">
        <v>875</v>
      </c>
      <c r="K756" s="13" t="s">
        <v>276</v>
      </c>
      <c r="L756" s="13" t="s">
        <v>1641</v>
      </c>
      <c r="M756" s="7" t="s">
        <v>253</v>
      </c>
      <c r="N756" s="7" t="s">
        <v>253</v>
      </c>
      <c r="O756" s="7" t="s">
        <v>254</v>
      </c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  <c r="AC756" s="8"/>
      <c r="AD756" s="8"/>
      <c r="AE756" s="8"/>
    </row>
    <row r="757">
      <c r="A757" s="12">
        <v>30.0</v>
      </c>
      <c r="B757" s="8" t="s">
        <v>302</v>
      </c>
      <c r="C757" s="8" t="s">
        <v>827</v>
      </c>
      <c r="I757" s="10" t="s">
        <v>1106</v>
      </c>
      <c r="J757" s="13" t="s">
        <v>871</v>
      </c>
      <c r="K757" s="13" t="s">
        <v>276</v>
      </c>
      <c r="L757" s="13" t="s">
        <v>1101</v>
      </c>
      <c r="M757" s="7" t="s">
        <v>253</v>
      </c>
      <c r="N757" s="7" t="s">
        <v>253</v>
      </c>
      <c r="O757" s="7" t="s">
        <v>254</v>
      </c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  <c r="AC757" s="8"/>
      <c r="AD757" s="8"/>
      <c r="AE757" s="8"/>
    </row>
    <row r="758">
      <c r="A758" s="12">
        <v>30.0</v>
      </c>
      <c r="B758" s="8" t="s">
        <v>302</v>
      </c>
      <c r="C758" s="8" t="s">
        <v>827</v>
      </c>
      <c r="I758" s="10" t="s">
        <v>1583</v>
      </c>
      <c r="J758" s="13" t="s">
        <v>875</v>
      </c>
      <c r="K758" s="13" t="s">
        <v>276</v>
      </c>
      <c r="L758" s="13" t="s">
        <v>1641</v>
      </c>
      <c r="M758" s="7" t="s">
        <v>253</v>
      </c>
      <c r="N758" s="7" t="s">
        <v>253</v>
      </c>
      <c r="O758" s="7" t="s">
        <v>254</v>
      </c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  <c r="AC758" s="8"/>
      <c r="AD758" s="8"/>
      <c r="AE758" s="8"/>
    </row>
    <row r="759">
      <c r="A759" s="12">
        <v>30.0</v>
      </c>
      <c r="B759" s="8" t="s">
        <v>302</v>
      </c>
      <c r="C759" s="8" t="s">
        <v>827</v>
      </c>
      <c r="I759" s="10" t="s">
        <v>928</v>
      </c>
      <c r="J759" s="13" t="s">
        <v>871</v>
      </c>
      <c r="K759" s="13" t="s">
        <v>276</v>
      </c>
      <c r="L759" s="13" t="s">
        <v>1641</v>
      </c>
      <c r="M759" s="7" t="s">
        <v>253</v>
      </c>
      <c r="N759" s="7" t="s">
        <v>253</v>
      </c>
      <c r="O759" s="7" t="s">
        <v>254</v>
      </c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  <c r="AC759" s="8"/>
      <c r="AD759" s="8"/>
      <c r="AE759" s="8"/>
    </row>
    <row r="760">
      <c r="A760" s="12">
        <v>30.0</v>
      </c>
      <c r="B760" s="8" t="s">
        <v>302</v>
      </c>
      <c r="C760" s="8" t="s">
        <v>827</v>
      </c>
      <c r="I760" s="10" t="s">
        <v>310</v>
      </c>
      <c r="J760" s="13" t="s">
        <v>875</v>
      </c>
      <c r="K760" s="13" t="s">
        <v>276</v>
      </c>
      <c r="L760" s="13" t="s">
        <v>1641</v>
      </c>
      <c r="M760" s="7" t="s">
        <v>253</v>
      </c>
      <c r="N760" s="7" t="s">
        <v>253</v>
      </c>
      <c r="O760" s="7" t="s">
        <v>254</v>
      </c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  <c r="AC760" s="8"/>
      <c r="AD760" s="8"/>
      <c r="AE760" s="8"/>
    </row>
    <row r="761">
      <c r="A761" s="12">
        <v>30.0</v>
      </c>
      <c r="B761" s="8" t="s">
        <v>302</v>
      </c>
      <c r="C761" s="8" t="s">
        <v>827</v>
      </c>
      <c r="I761" s="10" t="s">
        <v>1088</v>
      </c>
      <c r="J761" s="13" t="s">
        <v>871</v>
      </c>
      <c r="K761" s="13" t="s">
        <v>276</v>
      </c>
      <c r="L761" s="13" t="s">
        <v>1649</v>
      </c>
      <c r="M761" s="7" t="s">
        <v>253</v>
      </c>
      <c r="N761" s="7" t="s">
        <v>253</v>
      </c>
      <c r="O761" s="7" t="s">
        <v>254</v>
      </c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  <c r="AC761" s="8"/>
      <c r="AD761" s="8"/>
      <c r="AE761" s="8"/>
    </row>
    <row r="762">
      <c r="A762" s="12">
        <v>30.0</v>
      </c>
      <c r="B762" s="8" t="s">
        <v>302</v>
      </c>
      <c r="C762" s="8" t="s">
        <v>827</v>
      </c>
      <c r="I762" s="10" t="s">
        <v>1650</v>
      </c>
      <c r="J762" s="13" t="s">
        <v>875</v>
      </c>
      <c r="K762" s="13" t="s">
        <v>276</v>
      </c>
      <c r="L762" s="13" t="s">
        <v>1646</v>
      </c>
      <c r="M762" s="7" t="s">
        <v>253</v>
      </c>
      <c r="N762" s="7" t="s">
        <v>253</v>
      </c>
      <c r="O762" s="7" t="s">
        <v>254</v>
      </c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  <c r="AC762" s="8"/>
      <c r="AD762" s="8"/>
      <c r="AE762" s="8"/>
    </row>
    <row r="763">
      <c r="A763" s="12">
        <v>30.0</v>
      </c>
      <c r="B763" s="8" t="s">
        <v>302</v>
      </c>
      <c r="C763" s="8" t="s">
        <v>827</v>
      </c>
      <c r="I763" s="10" t="s">
        <v>1651</v>
      </c>
      <c r="J763" s="13" t="s">
        <v>871</v>
      </c>
      <c r="K763" s="13" t="s">
        <v>276</v>
      </c>
      <c r="L763" s="13" t="s">
        <v>1641</v>
      </c>
      <c r="M763" s="7" t="s">
        <v>253</v>
      </c>
      <c r="N763" s="7" t="s">
        <v>253</v>
      </c>
      <c r="O763" s="7" t="s">
        <v>254</v>
      </c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  <c r="AC763" s="8"/>
      <c r="AD763" s="8"/>
      <c r="AE763" s="8"/>
    </row>
    <row r="764">
      <c r="A764" s="12">
        <v>30.0</v>
      </c>
      <c r="B764" s="8" t="s">
        <v>302</v>
      </c>
      <c r="C764" s="8" t="s">
        <v>827</v>
      </c>
      <c r="I764" s="10" t="s">
        <v>1652</v>
      </c>
      <c r="J764" s="13" t="s">
        <v>875</v>
      </c>
      <c r="K764" s="13" t="s">
        <v>276</v>
      </c>
      <c r="L764" s="13" t="s">
        <v>1642</v>
      </c>
      <c r="M764" s="7" t="s">
        <v>253</v>
      </c>
      <c r="N764" s="7" t="s">
        <v>253</v>
      </c>
      <c r="O764" s="7" t="s">
        <v>254</v>
      </c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  <c r="AC764" s="8"/>
      <c r="AD764" s="8"/>
      <c r="AE764" s="8"/>
    </row>
    <row r="765">
      <c r="A765" s="12">
        <v>30.0</v>
      </c>
      <c r="B765" s="8" t="s">
        <v>302</v>
      </c>
      <c r="C765" s="8" t="s">
        <v>827</v>
      </c>
      <c r="I765" s="10" t="s">
        <v>866</v>
      </c>
      <c r="J765" s="13" t="s">
        <v>871</v>
      </c>
      <c r="K765" s="13" t="s">
        <v>276</v>
      </c>
      <c r="L765" s="13" t="s">
        <v>1649</v>
      </c>
      <c r="M765" s="7" t="s">
        <v>253</v>
      </c>
      <c r="N765" s="7" t="s">
        <v>253</v>
      </c>
      <c r="O765" s="7" t="s">
        <v>254</v>
      </c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  <c r="AC765" s="8"/>
      <c r="AD765" s="8"/>
      <c r="AE765" s="8"/>
    </row>
    <row r="766">
      <c r="A766" s="12">
        <v>30.0</v>
      </c>
      <c r="B766" s="8" t="s">
        <v>302</v>
      </c>
      <c r="C766" s="8" t="s">
        <v>827</v>
      </c>
      <c r="I766" s="10" t="s">
        <v>940</v>
      </c>
      <c r="J766" s="13" t="s">
        <v>875</v>
      </c>
      <c r="K766" s="13" t="s">
        <v>276</v>
      </c>
      <c r="L766" s="13" t="s">
        <v>1641</v>
      </c>
      <c r="M766" s="7" t="s">
        <v>253</v>
      </c>
      <c r="N766" s="7" t="s">
        <v>253</v>
      </c>
      <c r="O766" s="7" t="s">
        <v>254</v>
      </c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  <c r="AC766" s="8"/>
      <c r="AD766" s="8"/>
      <c r="AE766" s="8"/>
    </row>
    <row r="767">
      <c r="A767" s="12">
        <v>30.0</v>
      </c>
      <c r="B767" s="8" t="s">
        <v>302</v>
      </c>
      <c r="C767" s="8" t="s">
        <v>827</v>
      </c>
      <c r="I767" s="10" t="s">
        <v>850</v>
      </c>
      <c r="J767" s="13" t="s">
        <v>871</v>
      </c>
      <c r="K767" s="13" t="s">
        <v>276</v>
      </c>
      <c r="L767" s="13" t="s">
        <v>1641</v>
      </c>
      <c r="M767" s="7" t="s">
        <v>253</v>
      </c>
      <c r="N767" s="7" t="s">
        <v>253</v>
      </c>
      <c r="O767" s="7" t="s">
        <v>254</v>
      </c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  <c r="AC767" s="8"/>
      <c r="AD767" s="8"/>
      <c r="AE767" s="8"/>
    </row>
    <row r="768">
      <c r="A768" s="12">
        <v>30.0</v>
      </c>
      <c r="B768" s="8" t="s">
        <v>302</v>
      </c>
      <c r="C768" s="8" t="s">
        <v>827</v>
      </c>
      <c r="I768" s="10" t="s">
        <v>336</v>
      </c>
      <c r="J768" s="13" t="s">
        <v>875</v>
      </c>
      <c r="K768" s="13" t="s">
        <v>276</v>
      </c>
      <c r="L768" s="13" t="s">
        <v>1641</v>
      </c>
      <c r="M768" s="7" t="s">
        <v>253</v>
      </c>
      <c r="N768" s="7" t="s">
        <v>253</v>
      </c>
      <c r="O768" s="7" t="s">
        <v>254</v>
      </c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  <c r="AC768" s="8"/>
      <c r="AD768" s="8"/>
      <c r="AE768" s="8"/>
    </row>
    <row r="769">
      <c r="A769" s="12">
        <v>30.0</v>
      </c>
      <c r="B769" s="8" t="s">
        <v>302</v>
      </c>
      <c r="C769" s="8" t="s">
        <v>827</v>
      </c>
      <c r="I769" s="10" t="s">
        <v>313</v>
      </c>
      <c r="J769" s="13" t="s">
        <v>871</v>
      </c>
      <c r="K769" s="13" t="s">
        <v>276</v>
      </c>
      <c r="L769" s="13" t="s">
        <v>1641</v>
      </c>
      <c r="M769" s="7" t="s">
        <v>253</v>
      </c>
      <c r="N769" s="7" t="s">
        <v>253</v>
      </c>
      <c r="O769" s="7" t="s">
        <v>254</v>
      </c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  <c r="AC769" s="8"/>
      <c r="AD769" s="8"/>
      <c r="AE769" s="8"/>
    </row>
    <row r="770">
      <c r="A770" s="12">
        <v>30.0</v>
      </c>
      <c r="B770" s="8" t="s">
        <v>302</v>
      </c>
      <c r="C770" s="8" t="s">
        <v>827</v>
      </c>
      <c r="I770" s="10" t="s">
        <v>1654</v>
      </c>
      <c r="J770" s="13" t="s">
        <v>875</v>
      </c>
      <c r="K770" s="13" t="s">
        <v>276</v>
      </c>
      <c r="L770" s="13" t="s">
        <v>1642</v>
      </c>
      <c r="M770" s="7" t="s">
        <v>253</v>
      </c>
      <c r="N770" s="7" t="s">
        <v>253</v>
      </c>
      <c r="O770" s="7" t="s">
        <v>254</v>
      </c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  <c r="AC770" s="8"/>
      <c r="AD770" s="8"/>
      <c r="AE770" s="8"/>
    </row>
    <row r="771">
      <c r="A771" s="12">
        <v>30.0</v>
      </c>
      <c r="B771" s="8" t="s">
        <v>302</v>
      </c>
      <c r="C771" s="8" t="s">
        <v>827</v>
      </c>
      <c r="I771" s="10" t="s">
        <v>1586</v>
      </c>
      <c r="J771" s="13" t="s">
        <v>871</v>
      </c>
      <c r="K771" s="13" t="s">
        <v>276</v>
      </c>
      <c r="L771" s="13" t="s">
        <v>1646</v>
      </c>
      <c r="M771" s="7" t="s">
        <v>253</v>
      </c>
      <c r="N771" s="7" t="s">
        <v>253</v>
      </c>
      <c r="O771" s="7" t="s">
        <v>254</v>
      </c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  <c r="AC771" s="8"/>
      <c r="AD771" s="8"/>
      <c r="AE771" s="8"/>
    </row>
    <row r="772">
      <c r="A772" s="12">
        <v>30.0</v>
      </c>
      <c r="B772" s="8" t="s">
        <v>302</v>
      </c>
      <c r="C772" s="8" t="s">
        <v>827</v>
      </c>
      <c r="I772" s="10" t="s">
        <v>1655</v>
      </c>
      <c r="J772" s="13" t="s">
        <v>875</v>
      </c>
      <c r="K772" s="13" t="s">
        <v>276</v>
      </c>
      <c r="L772" s="13" t="s">
        <v>1641</v>
      </c>
      <c r="M772" s="7" t="s">
        <v>253</v>
      </c>
      <c r="N772" s="7" t="s">
        <v>253</v>
      </c>
      <c r="O772" s="7" t="s">
        <v>254</v>
      </c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  <c r="AC772" s="8"/>
      <c r="AD772" s="8"/>
      <c r="AE772" s="8"/>
    </row>
    <row r="773">
      <c r="A773" s="12">
        <v>30.0</v>
      </c>
      <c r="B773" s="8" t="s">
        <v>302</v>
      </c>
      <c r="C773" s="8" t="s">
        <v>827</v>
      </c>
      <c r="I773" s="10" t="s">
        <v>1116</v>
      </c>
      <c r="J773" s="13" t="s">
        <v>871</v>
      </c>
      <c r="K773" s="13" t="s">
        <v>276</v>
      </c>
      <c r="L773" s="13" t="s">
        <v>1649</v>
      </c>
      <c r="M773" s="7" t="s">
        <v>253</v>
      </c>
      <c r="N773" s="7" t="s">
        <v>253</v>
      </c>
      <c r="O773" s="7" t="s">
        <v>254</v>
      </c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  <c r="AC773" s="8"/>
      <c r="AD773" s="8"/>
      <c r="AE773" s="8"/>
    </row>
    <row r="774">
      <c r="A774" s="12">
        <v>30.0</v>
      </c>
      <c r="B774" s="8" t="s">
        <v>302</v>
      </c>
      <c r="C774" s="8" t="s">
        <v>827</v>
      </c>
      <c r="I774" s="10" t="s">
        <v>1587</v>
      </c>
      <c r="J774" s="13" t="s">
        <v>875</v>
      </c>
      <c r="K774" s="13" t="s">
        <v>276</v>
      </c>
      <c r="L774" s="13" t="s">
        <v>1646</v>
      </c>
      <c r="M774" s="7" t="s">
        <v>253</v>
      </c>
      <c r="N774" s="7" t="s">
        <v>253</v>
      </c>
      <c r="O774" s="7" t="s">
        <v>254</v>
      </c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  <c r="AC774" s="8"/>
      <c r="AD774" s="8"/>
      <c r="AE774" s="8"/>
    </row>
    <row r="775">
      <c r="A775" s="12">
        <v>30.0</v>
      </c>
      <c r="B775" s="8" t="s">
        <v>302</v>
      </c>
      <c r="C775" s="8" t="s">
        <v>827</v>
      </c>
      <c r="I775" s="10" t="s">
        <v>1658</v>
      </c>
      <c r="J775" s="13" t="s">
        <v>871</v>
      </c>
      <c r="K775" s="13" t="s">
        <v>276</v>
      </c>
      <c r="L775" s="13" t="s">
        <v>1641</v>
      </c>
      <c r="M775" s="7" t="s">
        <v>253</v>
      </c>
      <c r="N775" s="7" t="s">
        <v>253</v>
      </c>
      <c r="O775" s="7" t="s">
        <v>254</v>
      </c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  <c r="AC775" s="8"/>
      <c r="AD775" s="8"/>
      <c r="AE775" s="8"/>
    </row>
    <row r="776">
      <c r="A776" s="12">
        <v>30.0</v>
      </c>
      <c r="B776" s="8" t="s">
        <v>302</v>
      </c>
      <c r="C776" s="8" t="s">
        <v>827</v>
      </c>
      <c r="I776" s="10" t="s">
        <v>872</v>
      </c>
      <c r="J776" s="13" t="s">
        <v>875</v>
      </c>
      <c r="K776" s="13" t="s">
        <v>276</v>
      </c>
      <c r="L776" s="13" t="s">
        <v>1642</v>
      </c>
      <c r="M776" s="7" t="s">
        <v>253</v>
      </c>
      <c r="N776" s="7" t="s">
        <v>253</v>
      </c>
      <c r="O776" s="7" t="s">
        <v>254</v>
      </c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  <c r="AC776" s="8"/>
      <c r="AD776" s="8"/>
      <c r="AE776" s="8"/>
    </row>
    <row r="777">
      <c r="A777" s="12">
        <v>30.0</v>
      </c>
      <c r="B777" s="8" t="s">
        <v>302</v>
      </c>
      <c r="C777" s="8" t="s">
        <v>827</v>
      </c>
      <c r="I777" s="10" t="s">
        <v>436</v>
      </c>
      <c r="J777" s="13" t="s">
        <v>871</v>
      </c>
      <c r="K777" s="13" t="s">
        <v>276</v>
      </c>
      <c r="L777" s="13" t="s">
        <v>1641</v>
      </c>
      <c r="M777" s="7" t="s">
        <v>253</v>
      </c>
      <c r="N777" s="7" t="s">
        <v>253</v>
      </c>
      <c r="O777" s="7" t="s">
        <v>254</v>
      </c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  <c r="AC777" s="8"/>
      <c r="AD777" s="8"/>
      <c r="AE777" s="8"/>
    </row>
    <row r="778">
      <c r="A778" s="12">
        <v>30.0</v>
      </c>
      <c r="B778" s="8" t="s">
        <v>302</v>
      </c>
      <c r="C778" s="8" t="s">
        <v>827</v>
      </c>
      <c r="I778" s="10" t="s">
        <v>1588</v>
      </c>
      <c r="J778" s="13" t="s">
        <v>875</v>
      </c>
      <c r="K778" s="13" t="s">
        <v>276</v>
      </c>
      <c r="L778" s="13" t="s">
        <v>1641</v>
      </c>
      <c r="M778" s="7" t="s">
        <v>253</v>
      </c>
      <c r="N778" s="7" t="s">
        <v>253</v>
      </c>
      <c r="O778" s="7" t="s">
        <v>254</v>
      </c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  <c r="AC778" s="8"/>
      <c r="AD778" s="8"/>
      <c r="AE778" s="8"/>
    </row>
    <row r="779">
      <c r="A779" s="12">
        <v>30.0</v>
      </c>
      <c r="B779" s="8" t="s">
        <v>302</v>
      </c>
      <c r="C779" s="8" t="s">
        <v>827</v>
      </c>
      <c r="I779" s="10" t="s">
        <v>1268</v>
      </c>
      <c r="J779" s="13" t="s">
        <v>871</v>
      </c>
      <c r="K779" s="13" t="s">
        <v>276</v>
      </c>
      <c r="L779" s="13" t="s">
        <v>1642</v>
      </c>
      <c r="M779" s="7" t="s">
        <v>253</v>
      </c>
      <c r="N779" s="7" t="s">
        <v>253</v>
      </c>
      <c r="O779" s="7" t="s">
        <v>254</v>
      </c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  <c r="AC779" s="8"/>
      <c r="AD779" s="8"/>
      <c r="AE779" s="8"/>
    </row>
    <row r="780">
      <c r="A780" s="12">
        <v>30.0</v>
      </c>
      <c r="B780" s="8" t="s">
        <v>302</v>
      </c>
      <c r="C780" s="8" t="s">
        <v>827</v>
      </c>
      <c r="I780" s="10" t="s">
        <v>894</v>
      </c>
      <c r="J780" s="13" t="s">
        <v>875</v>
      </c>
      <c r="K780" s="13" t="s">
        <v>276</v>
      </c>
      <c r="L780" s="13" t="s">
        <v>1641</v>
      </c>
      <c r="M780" s="7" t="s">
        <v>253</v>
      </c>
      <c r="N780" s="7" t="s">
        <v>253</v>
      </c>
      <c r="O780" s="7" t="s">
        <v>254</v>
      </c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  <c r="AC780" s="8"/>
      <c r="AD780" s="8"/>
      <c r="AE780" s="8"/>
    </row>
    <row r="781">
      <c r="A781" s="12">
        <v>30.0</v>
      </c>
      <c r="B781" s="8" t="s">
        <v>302</v>
      </c>
      <c r="C781" s="8" t="s">
        <v>827</v>
      </c>
      <c r="I781" s="10" t="s">
        <v>1670</v>
      </c>
      <c r="J781" s="13" t="s">
        <v>871</v>
      </c>
      <c r="K781" s="13" t="s">
        <v>276</v>
      </c>
      <c r="L781" s="13" t="s">
        <v>1641</v>
      </c>
      <c r="M781" s="7" t="s">
        <v>253</v>
      </c>
      <c r="N781" s="7" t="s">
        <v>253</v>
      </c>
      <c r="O781" s="7" t="s">
        <v>254</v>
      </c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  <c r="AC781" s="8"/>
      <c r="AD781" s="8"/>
      <c r="AE781" s="8"/>
    </row>
    <row r="782">
      <c r="A782" s="12">
        <v>30.0</v>
      </c>
      <c r="B782" s="8" t="s">
        <v>302</v>
      </c>
      <c r="C782" s="8" t="s">
        <v>827</v>
      </c>
      <c r="I782" s="10" t="s">
        <v>1121</v>
      </c>
      <c r="J782" s="13" t="s">
        <v>875</v>
      </c>
      <c r="K782" s="13" t="s">
        <v>276</v>
      </c>
      <c r="L782" s="13" t="s">
        <v>1649</v>
      </c>
      <c r="M782" s="7" t="s">
        <v>253</v>
      </c>
      <c r="N782" s="7" t="s">
        <v>253</v>
      </c>
      <c r="O782" s="7" t="s">
        <v>254</v>
      </c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  <c r="AC782" s="8"/>
      <c r="AD782" s="8"/>
      <c r="AE782" s="8"/>
    </row>
    <row r="783">
      <c r="A783" s="12">
        <v>30.0</v>
      </c>
      <c r="B783" s="8" t="s">
        <v>302</v>
      </c>
      <c r="C783" s="8" t="s">
        <v>827</v>
      </c>
      <c r="I783" s="10" t="s">
        <v>864</v>
      </c>
      <c r="J783" s="13" t="s">
        <v>871</v>
      </c>
      <c r="K783" s="13" t="s">
        <v>276</v>
      </c>
      <c r="L783" s="13" t="s">
        <v>1641</v>
      </c>
      <c r="M783" s="7" t="s">
        <v>253</v>
      </c>
      <c r="N783" s="7" t="s">
        <v>253</v>
      </c>
      <c r="O783" s="7" t="s">
        <v>254</v>
      </c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  <c r="AC783" s="8"/>
      <c r="AD783" s="8"/>
      <c r="AE783" s="8"/>
    </row>
    <row r="784">
      <c r="A784" s="12">
        <v>30.0</v>
      </c>
      <c r="B784" s="8" t="s">
        <v>302</v>
      </c>
      <c r="C784" s="8" t="s">
        <v>827</v>
      </c>
      <c r="I784" s="10" t="s">
        <v>899</v>
      </c>
      <c r="J784" s="13" t="s">
        <v>875</v>
      </c>
      <c r="K784" s="13" t="s">
        <v>276</v>
      </c>
      <c r="L784" s="13" t="s">
        <v>1641</v>
      </c>
      <c r="M784" s="7" t="s">
        <v>253</v>
      </c>
      <c r="N784" s="7" t="s">
        <v>253</v>
      </c>
      <c r="O784" s="7" t="s">
        <v>254</v>
      </c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  <c r="AC784" s="8"/>
      <c r="AD784" s="8"/>
      <c r="AE784" s="8"/>
    </row>
    <row r="785">
      <c r="A785" s="12">
        <v>30.0</v>
      </c>
      <c r="B785" s="8" t="s">
        <v>302</v>
      </c>
      <c r="C785" s="8" t="s">
        <v>827</v>
      </c>
      <c r="I785" s="10" t="s">
        <v>1676</v>
      </c>
      <c r="J785" s="13" t="s">
        <v>871</v>
      </c>
      <c r="K785" s="13" t="s">
        <v>276</v>
      </c>
      <c r="L785" s="13" t="s">
        <v>1642</v>
      </c>
      <c r="M785" s="7" t="s">
        <v>253</v>
      </c>
      <c r="N785" s="7" t="s">
        <v>253</v>
      </c>
      <c r="O785" s="7" t="s">
        <v>254</v>
      </c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  <c r="AC785" s="8"/>
      <c r="AD785" s="8"/>
      <c r="AE785" s="8"/>
    </row>
    <row r="786">
      <c r="A786" s="12">
        <v>30.0</v>
      </c>
      <c r="B786" s="8" t="s">
        <v>302</v>
      </c>
      <c r="C786" s="8" t="s">
        <v>827</v>
      </c>
      <c r="I786" s="10" t="s">
        <v>936</v>
      </c>
      <c r="J786" s="13" t="s">
        <v>875</v>
      </c>
      <c r="K786" s="13" t="s">
        <v>276</v>
      </c>
      <c r="L786" s="13" t="s">
        <v>1641</v>
      </c>
      <c r="M786" s="7" t="s">
        <v>253</v>
      </c>
      <c r="N786" s="7" t="s">
        <v>253</v>
      </c>
      <c r="O786" s="7" t="s">
        <v>254</v>
      </c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  <c r="AC786" s="8"/>
      <c r="AD786" s="8"/>
      <c r="AE786" s="8"/>
    </row>
    <row r="787">
      <c r="A787" s="12">
        <v>30.0</v>
      </c>
      <c r="B787" s="8" t="s">
        <v>302</v>
      </c>
      <c r="C787" s="8" t="s">
        <v>827</v>
      </c>
      <c r="I787" s="10" t="s">
        <v>1677</v>
      </c>
      <c r="J787" s="13" t="s">
        <v>871</v>
      </c>
      <c r="K787" s="13" t="s">
        <v>276</v>
      </c>
      <c r="L787" s="13" t="s">
        <v>1641</v>
      </c>
      <c r="M787" s="7" t="s">
        <v>253</v>
      </c>
      <c r="N787" s="7" t="s">
        <v>253</v>
      </c>
      <c r="O787" s="7" t="s">
        <v>254</v>
      </c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  <c r="AC787" s="8"/>
      <c r="AD787" s="8"/>
      <c r="AE787" s="8"/>
    </row>
    <row r="788">
      <c r="A788" s="12">
        <v>30.0</v>
      </c>
      <c r="B788" s="8" t="s">
        <v>302</v>
      </c>
      <c r="C788" s="8" t="s">
        <v>827</v>
      </c>
      <c r="I788" s="10" t="s">
        <v>597</v>
      </c>
      <c r="J788" s="13" t="s">
        <v>875</v>
      </c>
      <c r="K788" s="13" t="s">
        <v>276</v>
      </c>
      <c r="L788" s="13" t="s">
        <v>1641</v>
      </c>
      <c r="M788" s="7" t="s">
        <v>253</v>
      </c>
      <c r="N788" s="7" t="s">
        <v>253</v>
      </c>
      <c r="O788" s="7" t="s">
        <v>254</v>
      </c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  <c r="AC788" s="8"/>
      <c r="AD788" s="8"/>
      <c r="AE788" s="8"/>
    </row>
    <row r="789">
      <c r="A789" s="12">
        <v>30.0</v>
      </c>
      <c r="B789" s="8" t="s">
        <v>302</v>
      </c>
      <c r="C789" s="8" t="s">
        <v>827</v>
      </c>
      <c r="I789" s="10" t="s">
        <v>1686</v>
      </c>
      <c r="J789" s="13" t="s">
        <v>871</v>
      </c>
      <c r="K789" s="13" t="s">
        <v>276</v>
      </c>
      <c r="L789" s="13" t="s">
        <v>1646</v>
      </c>
      <c r="M789" s="7" t="s">
        <v>253</v>
      </c>
      <c r="N789" s="7" t="s">
        <v>253</v>
      </c>
      <c r="O789" s="7" t="s">
        <v>254</v>
      </c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  <c r="AC789" s="8"/>
      <c r="AD789" s="8"/>
      <c r="AE789" s="8"/>
    </row>
    <row r="790">
      <c r="A790" s="12">
        <v>30.0</v>
      </c>
      <c r="B790" s="8" t="s">
        <v>302</v>
      </c>
      <c r="C790" s="8" t="s">
        <v>827</v>
      </c>
      <c r="I790" s="10" t="s">
        <v>1455</v>
      </c>
      <c r="J790" s="13" t="s">
        <v>875</v>
      </c>
      <c r="K790" s="13" t="s">
        <v>276</v>
      </c>
      <c r="L790" s="13" t="s">
        <v>1641</v>
      </c>
      <c r="M790" s="7" t="s">
        <v>253</v>
      </c>
      <c r="N790" s="7" t="s">
        <v>253</v>
      </c>
      <c r="O790" s="7" t="s">
        <v>254</v>
      </c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  <c r="AC790" s="8"/>
      <c r="AD790" s="8"/>
      <c r="AE790" s="8"/>
    </row>
    <row r="791">
      <c r="A791" s="12">
        <v>30.0</v>
      </c>
      <c r="B791" s="8" t="s">
        <v>302</v>
      </c>
      <c r="C791" s="8" t="s">
        <v>827</v>
      </c>
      <c r="I791" s="10" t="s">
        <v>1690</v>
      </c>
      <c r="J791" s="13" t="s">
        <v>871</v>
      </c>
      <c r="K791" s="13" t="s">
        <v>276</v>
      </c>
      <c r="L791" s="13" t="s">
        <v>1641</v>
      </c>
      <c r="M791" s="7" t="s">
        <v>253</v>
      </c>
      <c r="N791" s="7" t="s">
        <v>253</v>
      </c>
      <c r="O791" s="7" t="s">
        <v>254</v>
      </c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  <c r="AC791" s="8"/>
      <c r="AD791" s="8"/>
      <c r="AE791" s="8"/>
    </row>
    <row r="792">
      <c r="A792" s="12">
        <v>30.0</v>
      </c>
      <c r="B792" s="8" t="s">
        <v>302</v>
      </c>
      <c r="C792" s="8" t="s">
        <v>827</v>
      </c>
      <c r="I792" s="10" t="s">
        <v>1691</v>
      </c>
      <c r="J792" s="13" t="s">
        <v>875</v>
      </c>
      <c r="K792" s="13" t="s">
        <v>276</v>
      </c>
      <c r="L792" s="13" t="s">
        <v>1641</v>
      </c>
      <c r="M792" s="7" t="s">
        <v>253</v>
      </c>
      <c r="N792" s="7" t="s">
        <v>253</v>
      </c>
      <c r="O792" s="7" t="s">
        <v>254</v>
      </c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  <c r="AC792" s="8"/>
      <c r="AD792" s="8"/>
      <c r="AE792" s="8"/>
    </row>
    <row r="793">
      <c r="A793" s="12">
        <v>30.0</v>
      </c>
      <c r="B793" s="8" t="s">
        <v>302</v>
      </c>
      <c r="C793" s="8" t="s">
        <v>827</v>
      </c>
      <c r="I793" s="10" t="s">
        <v>291</v>
      </c>
      <c r="J793" s="13" t="s">
        <v>871</v>
      </c>
      <c r="K793" s="13" t="s">
        <v>276</v>
      </c>
      <c r="L793" s="13" t="s">
        <v>1642</v>
      </c>
      <c r="M793" s="7" t="s">
        <v>253</v>
      </c>
      <c r="N793" s="7" t="s">
        <v>253</v>
      </c>
      <c r="O793" s="7" t="s">
        <v>254</v>
      </c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  <c r="AC793" s="8"/>
      <c r="AD793" s="8"/>
      <c r="AE793" s="8"/>
    </row>
    <row r="794">
      <c r="A794" s="12">
        <v>30.0</v>
      </c>
      <c r="B794" s="8" t="s">
        <v>302</v>
      </c>
      <c r="C794" s="8" t="s">
        <v>827</v>
      </c>
      <c r="I794" s="10" t="s">
        <v>1130</v>
      </c>
      <c r="J794" s="13" t="s">
        <v>875</v>
      </c>
      <c r="K794" s="13" t="s">
        <v>276</v>
      </c>
      <c r="L794" s="13" t="s">
        <v>1101</v>
      </c>
      <c r="M794" s="7" t="s">
        <v>253</v>
      </c>
      <c r="N794" s="7" t="s">
        <v>253</v>
      </c>
      <c r="O794" s="7" t="s">
        <v>254</v>
      </c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  <c r="AC794" s="8"/>
      <c r="AD794" s="8"/>
      <c r="AE794" s="8"/>
    </row>
    <row r="795">
      <c r="A795" s="12">
        <v>30.0</v>
      </c>
      <c r="B795" s="8" t="s">
        <v>302</v>
      </c>
      <c r="C795" s="8" t="s">
        <v>827</v>
      </c>
      <c r="I795" s="10" t="s">
        <v>944</v>
      </c>
      <c r="J795" s="13" t="s">
        <v>871</v>
      </c>
      <c r="K795" s="13" t="s">
        <v>276</v>
      </c>
      <c r="L795" s="13" t="s">
        <v>1641</v>
      </c>
      <c r="M795" s="7" t="s">
        <v>253</v>
      </c>
      <c r="N795" s="7" t="s">
        <v>253</v>
      </c>
      <c r="O795" s="7" t="s">
        <v>254</v>
      </c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  <c r="AC795" s="8"/>
      <c r="AD795" s="8"/>
      <c r="AE795" s="8"/>
    </row>
    <row r="796">
      <c r="A796" s="12">
        <v>30.0</v>
      </c>
      <c r="B796" s="8" t="s">
        <v>302</v>
      </c>
      <c r="C796" s="8" t="s">
        <v>827</v>
      </c>
      <c r="I796" s="10" t="s">
        <v>1692</v>
      </c>
      <c r="J796" s="13" t="s">
        <v>875</v>
      </c>
      <c r="K796" s="13" t="s">
        <v>276</v>
      </c>
      <c r="L796" s="13" t="s">
        <v>1641</v>
      </c>
      <c r="M796" s="7" t="s">
        <v>253</v>
      </c>
      <c r="N796" s="7" t="s">
        <v>253</v>
      </c>
      <c r="O796" s="7" t="s">
        <v>254</v>
      </c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  <c r="AC796" s="8"/>
      <c r="AD796" s="8"/>
      <c r="AE796" s="8"/>
    </row>
    <row r="797">
      <c r="A797" s="12">
        <v>30.0</v>
      </c>
      <c r="B797" s="8" t="s">
        <v>302</v>
      </c>
      <c r="C797" s="8" t="s">
        <v>827</v>
      </c>
      <c r="I797" s="10" t="s">
        <v>1693</v>
      </c>
      <c r="J797" s="13" t="s">
        <v>871</v>
      </c>
      <c r="K797" s="13" t="s">
        <v>276</v>
      </c>
      <c r="L797" s="13" t="s">
        <v>1641</v>
      </c>
      <c r="M797" s="7" t="s">
        <v>253</v>
      </c>
      <c r="N797" s="7" t="s">
        <v>253</v>
      </c>
      <c r="O797" s="7" t="s">
        <v>254</v>
      </c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  <c r="AC797" s="8"/>
      <c r="AD797" s="8"/>
      <c r="AE797" s="8"/>
    </row>
    <row r="798">
      <c r="A798" s="12">
        <v>30.0</v>
      </c>
      <c r="B798" s="8" t="s">
        <v>302</v>
      </c>
      <c r="C798" s="8" t="s">
        <v>827</v>
      </c>
      <c r="I798" s="10" t="s">
        <v>708</v>
      </c>
      <c r="J798" s="13" t="s">
        <v>875</v>
      </c>
      <c r="K798" s="13" t="s">
        <v>276</v>
      </c>
      <c r="L798" s="13" t="s">
        <v>1646</v>
      </c>
      <c r="M798" s="7" t="s">
        <v>253</v>
      </c>
      <c r="N798" s="7" t="s">
        <v>253</v>
      </c>
      <c r="O798" s="7" t="s">
        <v>254</v>
      </c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  <c r="AC798" s="8"/>
      <c r="AD798" s="8"/>
      <c r="AE798" s="8"/>
    </row>
    <row r="799">
      <c r="A799" s="12">
        <v>30.0</v>
      </c>
      <c r="B799" s="8" t="s">
        <v>302</v>
      </c>
      <c r="C799" s="8" t="s">
        <v>827</v>
      </c>
      <c r="I799" s="10" t="s">
        <v>1132</v>
      </c>
      <c r="J799" s="13" t="s">
        <v>871</v>
      </c>
      <c r="K799" s="13" t="s">
        <v>276</v>
      </c>
      <c r="L799" s="13" t="s">
        <v>1649</v>
      </c>
      <c r="M799" s="7" t="s">
        <v>253</v>
      </c>
      <c r="N799" s="7" t="s">
        <v>253</v>
      </c>
      <c r="O799" s="7" t="s">
        <v>254</v>
      </c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  <c r="AC799" s="8"/>
      <c r="AD799" s="8"/>
      <c r="AE799" s="8"/>
    </row>
    <row r="800">
      <c r="A800" s="12">
        <v>30.0</v>
      </c>
      <c r="B800" s="8" t="s">
        <v>302</v>
      </c>
      <c r="C800" s="8" t="s">
        <v>827</v>
      </c>
      <c r="I800" s="10" t="s">
        <v>911</v>
      </c>
      <c r="J800" s="13" t="s">
        <v>875</v>
      </c>
      <c r="K800" s="13" t="s">
        <v>276</v>
      </c>
      <c r="L800" s="13" t="s">
        <v>1641</v>
      </c>
      <c r="M800" s="7" t="s">
        <v>253</v>
      </c>
      <c r="N800" s="7" t="s">
        <v>253</v>
      </c>
      <c r="O800" s="7" t="s">
        <v>254</v>
      </c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  <c r="AC800" s="8"/>
      <c r="AD800" s="8"/>
      <c r="AE800" s="8"/>
    </row>
    <row r="801">
      <c r="A801" s="12">
        <v>30.0</v>
      </c>
      <c r="B801" s="8" t="s">
        <v>302</v>
      </c>
      <c r="C801" s="8" t="s">
        <v>827</v>
      </c>
      <c r="I801" s="10" t="s">
        <v>862</v>
      </c>
      <c r="J801" s="13" t="s">
        <v>871</v>
      </c>
      <c r="K801" s="13" t="s">
        <v>276</v>
      </c>
      <c r="L801" s="13" t="s">
        <v>1641</v>
      </c>
      <c r="M801" s="7" t="s">
        <v>253</v>
      </c>
      <c r="N801" s="7" t="s">
        <v>253</v>
      </c>
      <c r="O801" s="7" t="s">
        <v>254</v>
      </c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  <c r="AC801" s="8"/>
      <c r="AD801" s="8"/>
      <c r="AE801" s="8"/>
    </row>
    <row r="802">
      <c r="A802" s="12">
        <v>30.0</v>
      </c>
      <c r="B802" s="8" t="s">
        <v>302</v>
      </c>
      <c r="C802" s="8" t="s">
        <v>827</v>
      </c>
      <c r="I802" s="10" t="s">
        <v>1277</v>
      </c>
      <c r="J802" s="13" t="s">
        <v>875</v>
      </c>
      <c r="K802" s="13" t="s">
        <v>276</v>
      </c>
      <c r="L802" s="13" t="s">
        <v>1641</v>
      </c>
      <c r="M802" s="7" t="s">
        <v>253</v>
      </c>
      <c r="N802" s="7" t="s">
        <v>253</v>
      </c>
      <c r="O802" s="7" t="s">
        <v>254</v>
      </c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  <c r="AC802" s="8"/>
      <c r="AD802" s="8"/>
      <c r="AE802" s="8"/>
    </row>
    <row r="803">
      <c r="A803" s="12">
        <v>30.0</v>
      </c>
      <c r="B803" s="8" t="s">
        <v>302</v>
      </c>
      <c r="C803" s="8" t="s">
        <v>827</v>
      </c>
      <c r="I803" s="10" t="s">
        <v>896</v>
      </c>
      <c r="J803" s="13" t="s">
        <v>871</v>
      </c>
      <c r="K803" s="13" t="s">
        <v>276</v>
      </c>
      <c r="L803" s="13" t="s">
        <v>1641</v>
      </c>
      <c r="M803" s="7" t="s">
        <v>253</v>
      </c>
      <c r="N803" s="7" t="s">
        <v>253</v>
      </c>
      <c r="O803" s="7" t="s">
        <v>254</v>
      </c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  <c r="AC803" s="8"/>
      <c r="AD803" s="8"/>
      <c r="AE803" s="8"/>
    </row>
    <row r="804">
      <c r="A804" s="12">
        <v>30.0</v>
      </c>
      <c r="B804" s="8" t="s">
        <v>302</v>
      </c>
      <c r="C804" s="8" t="s">
        <v>827</v>
      </c>
      <c r="I804" s="10" t="s">
        <v>1694</v>
      </c>
      <c r="J804" s="13" t="s">
        <v>875</v>
      </c>
      <c r="K804" s="13" t="s">
        <v>276</v>
      </c>
      <c r="L804" s="13" t="s">
        <v>1641</v>
      </c>
      <c r="M804" s="7" t="s">
        <v>253</v>
      </c>
      <c r="N804" s="7" t="s">
        <v>253</v>
      </c>
      <c r="O804" s="7" t="s">
        <v>254</v>
      </c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  <c r="AB804" s="8"/>
      <c r="AC804" s="8"/>
      <c r="AD804" s="8"/>
      <c r="AE804" s="8"/>
    </row>
    <row r="805">
      <c r="A805" s="12">
        <v>30.0</v>
      </c>
      <c r="B805" s="8" t="s">
        <v>302</v>
      </c>
      <c r="C805" s="8" t="s">
        <v>827</v>
      </c>
      <c r="I805" s="10" t="s">
        <v>1695</v>
      </c>
      <c r="J805" s="13" t="s">
        <v>871</v>
      </c>
      <c r="K805" s="13" t="s">
        <v>276</v>
      </c>
      <c r="L805" s="13" t="s">
        <v>1641</v>
      </c>
      <c r="M805" s="7" t="s">
        <v>253</v>
      </c>
      <c r="N805" s="7" t="s">
        <v>253</v>
      </c>
      <c r="O805" s="7" t="s">
        <v>254</v>
      </c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  <c r="AB805" s="8"/>
      <c r="AC805" s="8"/>
      <c r="AD805" s="8"/>
      <c r="AE805" s="8"/>
    </row>
    <row r="806">
      <c r="A806" s="12">
        <v>30.0</v>
      </c>
      <c r="B806" s="8" t="s">
        <v>302</v>
      </c>
      <c r="C806" s="8" t="s">
        <v>827</v>
      </c>
      <c r="I806" s="10" t="s">
        <v>924</v>
      </c>
      <c r="J806" s="13" t="s">
        <v>875</v>
      </c>
      <c r="K806" s="13" t="s">
        <v>276</v>
      </c>
      <c r="L806" s="13" t="s">
        <v>1641</v>
      </c>
      <c r="M806" s="7" t="s">
        <v>253</v>
      </c>
      <c r="N806" s="7" t="s">
        <v>253</v>
      </c>
      <c r="O806" s="7" t="s">
        <v>254</v>
      </c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  <c r="AB806" s="8"/>
      <c r="AC806" s="8"/>
      <c r="AD806" s="8"/>
      <c r="AE806" s="8"/>
    </row>
    <row r="807">
      <c r="A807" s="12">
        <v>30.0</v>
      </c>
      <c r="B807" s="8" t="s">
        <v>302</v>
      </c>
      <c r="C807" s="8" t="s">
        <v>827</v>
      </c>
      <c r="I807" s="10" t="s">
        <v>1484</v>
      </c>
      <c r="J807" s="13" t="s">
        <v>871</v>
      </c>
      <c r="K807" s="13" t="s">
        <v>276</v>
      </c>
      <c r="L807" s="13" t="s">
        <v>1642</v>
      </c>
      <c r="M807" s="7" t="s">
        <v>253</v>
      </c>
      <c r="N807" s="7" t="s">
        <v>253</v>
      </c>
      <c r="O807" s="7" t="s">
        <v>254</v>
      </c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  <c r="AB807" s="8"/>
      <c r="AC807" s="8"/>
      <c r="AD807" s="8"/>
      <c r="AE807" s="8"/>
    </row>
    <row r="808">
      <c r="A808" s="12">
        <v>30.0</v>
      </c>
      <c r="B808" s="8" t="s">
        <v>302</v>
      </c>
      <c r="C808" s="8" t="s">
        <v>827</v>
      </c>
      <c r="I808" s="10" t="s">
        <v>948</v>
      </c>
      <c r="J808" s="13" t="s">
        <v>875</v>
      </c>
      <c r="K808" s="13" t="s">
        <v>276</v>
      </c>
      <c r="L808" s="13" t="s">
        <v>1641</v>
      </c>
      <c r="M808" s="7" t="s">
        <v>253</v>
      </c>
      <c r="N808" s="7" t="s">
        <v>253</v>
      </c>
      <c r="O808" s="7" t="s">
        <v>254</v>
      </c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  <c r="AB808" s="8"/>
      <c r="AC808" s="8"/>
      <c r="AD808" s="8"/>
      <c r="AE808" s="8"/>
    </row>
    <row r="809">
      <c r="A809" s="12">
        <v>30.0</v>
      </c>
      <c r="B809" s="8" t="s">
        <v>302</v>
      </c>
      <c r="C809" s="8" t="s">
        <v>827</v>
      </c>
      <c r="I809" s="10" t="s">
        <v>716</v>
      </c>
      <c r="J809" s="13" t="s">
        <v>871</v>
      </c>
      <c r="K809" s="13" t="s">
        <v>276</v>
      </c>
      <c r="L809" s="13" t="s">
        <v>1646</v>
      </c>
      <c r="M809" s="7" t="s">
        <v>253</v>
      </c>
      <c r="N809" s="7" t="s">
        <v>253</v>
      </c>
      <c r="O809" s="7" t="s">
        <v>254</v>
      </c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  <c r="AB809" s="8"/>
      <c r="AC809" s="8"/>
      <c r="AD809" s="8"/>
      <c r="AE809" s="8"/>
    </row>
    <row r="810">
      <c r="A810" s="12">
        <v>30.0</v>
      </c>
      <c r="B810" s="8" t="s">
        <v>302</v>
      </c>
      <c r="C810" s="8" t="s">
        <v>827</v>
      </c>
      <c r="I810" s="10" t="s">
        <v>1617</v>
      </c>
      <c r="J810" s="13" t="s">
        <v>875</v>
      </c>
      <c r="K810" s="13" t="s">
        <v>276</v>
      </c>
      <c r="L810" s="13" t="s">
        <v>1642</v>
      </c>
      <c r="M810" s="7" t="s">
        <v>253</v>
      </c>
      <c r="N810" s="7" t="s">
        <v>253</v>
      </c>
      <c r="O810" s="7" t="s">
        <v>254</v>
      </c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  <c r="AB810" s="8"/>
      <c r="AC810" s="8"/>
      <c r="AD810" s="8"/>
      <c r="AE810" s="8"/>
    </row>
    <row r="811">
      <c r="A811" s="12">
        <v>30.0</v>
      </c>
      <c r="B811" s="8" t="s">
        <v>302</v>
      </c>
      <c r="C811" s="8" t="s">
        <v>827</v>
      </c>
      <c r="I811" s="10" t="s">
        <v>891</v>
      </c>
      <c r="J811" s="13" t="s">
        <v>871</v>
      </c>
      <c r="K811" s="13" t="s">
        <v>276</v>
      </c>
      <c r="L811" s="13" t="s">
        <v>1641</v>
      </c>
      <c r="M811" s="7" t="s">
        <v>253</v>
      </c>
      <c r="N811" s="7" t="s">
        <v>253</v>
      </c>
      <c r="O811" s="7" t="s">
        <v>254</v>
      </c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  <c r="AB811" s="8"/>
      <c r="AC811" s="8"/>
      <c r="AD811" s="8"/>
      <c r="AE811" s="8"/>
    </row>
    <row r="812">
      <c r="A812" s="12">
        <v>30.0</v>
      </c>
      <c r="B812" s="8" t="s">
        <v>302</v>
      </c>
      <c r="C812" s="8" t="s">
        <v>827</v>
      </c>
      <c r="I812" s="10" t="s">
        <v>1135</v>
      </c>
      <c r="J812" s="13" t="s">
        <v>875</v>
      </c>
      <c r="K812" s="13" t="s">
        <v>276</v>
      </c>
      <c r="L812" s="13" t="s">
        <v>1101</v>
      </c>
      <c r="M812" s="7" t="s">
        <v>253</v>
      </c>
      <c r="N812" s="7" t="s">
        <v>253</v>
      </c>
      <c r="O812" s="7" t="s">
        <v>254</v>
      </c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  <c r="AB812" s="8"/>
      <c r="AC812" s="8"/>
      <c r="AD812" s="8"/>
      <c r="AE812" s="8"/>
    </row>
    <row r="813">
      <c r="A813" s="12">
        <v>30.0</v>
      </c>
      <c r="B813" s="8" t="s">
        <v>302</v>
      </c>
      <c r="C813" s="8" t="s">
        <v>827</v>
      </c>
      <c r="I813" s="10" t="s">
        <v>906</v>
      </c>
      <c r="J813" s="13" t="s">
        <v>871</v>
      </c>
      <c r="K813" s="13" t="s">
        <v>276</v>
      </c>
      <c r="L813" s="13" t="s">
        <v>1641</v>
      </c>
      <c r="M813" s="7" t="s">
        <v>253</v>
      </c>
      <c r="N813" s="7" t="s">
        <v>253</v>
      </c>
      <c r="O813" s="7" t="s">
        <v>254</v>
      </c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  <c r="AB813" s="8"/>
      <c r="AC813" s="8"/>
      <c r="AD813" s="8"/>
      <c r="AE813" s="8"/>
    </row>
    <row r="814">
      <c r="A814" s="12">
        <v>30.0</v>
      </c>
      <c r="B814" s="8" t="s">
        <v>302</v>
      </c>
      <c r="C814" s="8" t="s">
        <v>827</v>
      </c>
      <c r="I814" s="10" t="s">
        <v>1696</v>
      </c>
      <c r="J814" s="13" t="s">
        <v>875</v>
      </c>
      <c r="K814" s="13" t="s">
        <v>276</v>
      </c>
      <c r="L814" s="13" t="s">
        <v>1641</v>
      </c>
      <c r="M814" s="7" t="s">
        <v>253</v>
      </c>
      <c r="N814" s="7" t="s">
        <v>253</v>
      </c>
      <c r="O814" s="7" t="s">
        <v>254</v>
      </c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  <c r="AB814" s="8"/>
      <c r="AC814" s="8"/>
      <c r="AD814" s="8"/>
      <c r="AE814" s="8"/>
    </row>
    <row r="815">
      <c r="A815" s="12">
        <v>30.0</v>
      </c>
      <c r="B815" s="8" t="s">
        <v>302</v>
      </c>
      <c r="C815" s="8" t="s">
        <v>827</v>
      </c>
      <c r="I815" s="10" t="s">
        <v>1305</v>
      </c>
      <c r="J815" s="13" t="s">
        <v>871</v>
      </c>
      <c r="K815" s="13" t="s">
        <v>276</v>
      </c>
      <c r="L815" s="13" t="s">
        <v>1641</v>
      </c>
      <c r="M815" s="7" t="s">
        <v>253</v>
      </c>
      <c r="N815" s="7" t="s">
        <v>253</v>
      </c>
      <c r="O815" s="7" t="s">
        <v>254</v>
      </c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  <c r="AB815" s="8"/>
      <c r="AC815" s="8"/>
      <c r="AD815" s="8"/>
      <c r="AE815" s="8"/>
    </row>
    <row r="816">
      <c r="A816" s="12">
        <v>30.0</v>
      </c>
      <c r="B816" s="8" t="s">
        <v>302</v>
      </c>
      <c r="C816" s="8" t="s">
        <v>827</v>
      </c>
      <c r="I816" s="10" t="s">
        <v>295</v>
      </c>
      <c r="J816" s="13" t="s">
        <v>875</v>
      </c>
      <c r="K816" s="13" t="s">
        <v>276</v>
      </c>
      <c r="L816" s="13" t="s">
        <v>1641</v>
      </c>
      <c r="M816" s="7" t="s">
        <v>253</v>
      </c>
      <c r="N816" s="7" t="s">
        <v>253</v>
      </c>
      <c r="O816" s="7" t="s">
        <v>254</v>
      </c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  <c r="AB816" s="8"/>
      <c r="AC816" s="8"/>
      <c r="AD816" s="8"/>
      <c r="AE816" s="8"/>
    </row>
    <row r="817">
      <c r="A817" s="12">
        <v>30.0</v>
      </c>
      <c r="B817" s="8" t="s">
        <v>302</v>
      </c>
      <c r="C817" s="8" t="s">
        <v>827</v>
      </c>
      <c r="I817" s="10" t="s">
        <v>1224</v>
      </c>
      <c r="J817" s="13" t="s">
        <v>871</v>
      </c>
      <c r="K817" s="13" t="s">
        <v>276</v>
      </c>
      <c r="L817" s="13" t="s">
        <v>1646</v>
      </c>
      <c r="M817" s="7" t="s">
        <v>253</v>
      </c>
      <c r="N817" s="7" t="s">
        <v>253</v>
      </c>
      <c r="O817" s="7" t="s">
        <v>254</v>
      </c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  <c r="AB817" s="8"/>
      <c r="AC817" s="8"/>
      <c r="AD817" s="8"/>
      <c r="AE817" s="8"/>
    </row>
    <row r="818">
      <c r="A818" s="12">
        <v>30.0</v>
      </c>
      <c r="B818" s="8" t="s">
        <v>302</v>
      </c>
      <c r="C818" s="8" t="s">
        <v>827</v>
      </c>
      <c r="I818" s="10" t="s">
        <v>1697</v>
      </c>
      <c r="J818" s="13" t="s">
        <v>875</v>
      </c>
      <c r="K818" s="13" t="s">
        <v>276</v>
      </c>
      <c r="L818" s="13" t="s">
        <v>1641</v>
      </c>
      <c r="M818" s="7" t="s">
        <v>253</v>
      </c>
      <c r="N818" s="7" t="s">
        <v>253</v>
      </c>
      <c r="O818" s="7" t="s">
        <v>254</v>
      </c>
      <c r="P818" s="13" t="s">
        <v>300</v>
      </c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  <c r="AB818" s="8"/>
      <c r="AC818" s="8"/>
      <c r="AD818" s="8"/>
      <c r="AE818" s="8"/>
    </row>
    <row r="819">
      <c r="A819" s="12">
        <v>30.0</v>
      </c>
      <c r="B819" s="8" t="s">
        <v>302</v>
      </c>
      <c r="C819" s="8" t="s">
        <v>827</v>
      </c>
      <c r="I819" s="10" t="s">
        <v>845</v>
      </c>
      <c r="J819" s="13" t="s">
        <v>871</v>
      </c>
      <c r="K819" s="13" t="s">
        <v>276</v>
      </c>
      <c r="L819" s="13" t="s">
        <v>1642</v>
      </c>
      <c r="M819" s="7" t="s">
        <v>253</v>
      </c>
      <c r="N819" s="7" t="s">
        <v>253</v>
      </c>
      <c r="O819" s="7" t="s">
        <v>254</v>
      </c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  <c r="AB819" s="8"/>
      <c r="AC819" s="8"/>
      <c r="AD819" s="8"/>
      <c r="AE819" s="8"/>
    </row>
    <row r="820">
      <c r="A820" s="12">
        <v>30.0</v>
      </c>
      <c r="B820" s="8" t="s">
        <v>302</v>
      </c>
      <c r="C820" s="8" t="s">
        <v>827</v>
      </c>
      <c r="I820" s="10" t="s">
        <v>824</v>
      </c>
      <c r="J820" s="13" t="s">
        <v>875</v>
      </c>
      <c r="K820" s="13" t="s">
        <v>276</v>
      </c>
      <c r="L820" s="13" t="s">
        <v>1642</v>
      </c>
      <c r="M820" s="7" t="s">
        <v>253</v>
      </c>
      <c r="N820" s="7" t="s">
        <v>253</v>
      </c>
      <c r="O820" s="7" t="s">
        <v>254</v>
      </c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  <c r="AB820" s="8"/>
      <c r="AC820" s="8"/>
      <c r="AD820" s="8"/>
      <c r="AE820" s="8"/>
    </row>
    <row r="821">
      <c r="A821" s="12">
        <v>30.0</v>
      </c>
      <c r="B821" s="8" t="s">
        <v>302</v>
      </c>
      <c r="C821" s="8" t="s">
        <v>827</v>
      </c>
      <c r="I821" s="10" t="s">
        <v>1698</v>
      </c>
      <c r="J821" s="13" t="s">
        <v>871</v>
      </c>
      <c r="K821" s="13" t="s">
        <v>276</v>
      </c>
      <c r="L821" s="13" t="s">
        <v>1641</v>
      </c>
      <c r="M821" s="7" t="s">
        <v>253</v>
      </c>
      <c r="N821" s="7" t="s">
        <v>253</v>
      </c>
      <c r="O821" s="7" t="s">
        <v>254</v>
      </c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  <c r="AB821" s="8"/>
      <c r="AC821" s="8"/>
      <c r="AD821" s="8"/>
      <c r="AE821" s="8"/>
    </row>
    <row r="822">
      <c r="A822" s="12">
        <v>30.0</v>
      </c>
      <c r="B822" s="8" t="s">
        <v>302</v>
      </c>
      <c r="C822" s="8" t="s">
        <v>827</v>
      </c>
      <c r="I822" s="10" t="s">
        <v>918</v>
      </c>
      <c r="J822" s="13" t="s">
        <v>875</v>
      </c>
      <c r="K822" s="13" t="s">
        <v>276</v>
      </c>
      <c r="L822" s="13" t="s">
        <v>1641</v>
      </c>
      <c r="M822" s="7" t="s">
        <v>253</v>
      </c>
      <c r="N822" s="7" t="s">
        <v>253</v>
      </c>
      <c r="O822" s="7" t="s">
        <v>254</v>
      </c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  <c r="AB822" s="8"/>
      <c r="AC822" s="8"/>
      <c r="AD822" s="8"/>
      <c r="AE822" s="8"/>
    </row>
    <row r="823">
      <c r="A823" s="12">
        <v>30.0</v>
      </c>
      <c r="B823" s="8" t="s">
        <v>302</v>
      </c>
      <c r="C823" s="8" t="s">
        <v>827</v>
      </c>
      <c r="I823" s="10" t="s">
        <v>1699</v>
      </c>
      <c r="J823" s="13" t="s">
        <v>871</v>
      </c>
      <c r="K823" s="13" t="s">
        <v>276</v>
      </c>
      <c r="L823" s="13" t="s">
        <v>1641</v>
      </c>
      <c r="M823" s="7" t="s">
        <v>253</v>
      </c>
      <c r="N823" s="7" t="s">
        <v>253</v>
      </c>
      <c r="O823" s="7" t="s">
        <v>254</v>
      </c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  <c r="AB823" s="8"/>
      <c r="AC823" s="8"/>
      <c r="AD823" s="8"/>
      <c r="AE823" s="8"/>
    </row>
    <row r="824">
      <c r="A824" s="12">
        <v>30.0</v>
      </c>
      <c r="B824" s="8" t="s">
        <v>302</v>
      </c>
      <c r="C824" s="8" t="s">
        <v>827</v>
      </c>
      <c r="I824" s="10" t="s">
        <v>1312</v>
      </c>
      <c r="J824" s="13" t="s">
        <v>875</v>
      </c>
      <c r="K824" s="13" t="s">
        <v>276</v>
      </c>
      <c r="L824" s="13" t="s">
        <v>1641</v>
      </c>
      <c r="M824" s="7" t="s">
        <v>253</v>
      </c>
      <c r="N824" s="7" t="s">
        <v>253</v>
      </c>
      <c r="O824" s="7" t="s">
        <v>254</v>
      </c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  <c r="AB824" s="8"/>
      <c r="AC824" s="8"/>
      <c r="AD824" s="8"/>
      <c r="AE824" s="8"/>
    </row>
    <row r="825">
      <c r="A825" s="12">
        <v>30.0</v>
      </c>
      <c r="B825" s="8" t="s">
        <v>302</v>
      </c>
      <c r="C825" s="8" t="s">
        <v>827</v>
      </c>
      <c r="I825" s="10" t="s">
        <v>306</v>
      </c>
      <c r="J825" s="13" t="s">
        <v>871</v>
      </c>
      <c r="K825" s="13" t="s">
        <v>276</v>
      </c>
      <c r="L825" s="13" t="s">
        <v>1641</v>
      </c>
      <c r="M825" s="7" t="s">
        <v>253</v>
      </c>
      <c r="N825" s="7" t="s">
        <v>253</v>
      </c>
      <c r="O825" s="7" t="s">
        <v>254</v>
      </c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  <c r="AB825" s="8"/>
      <c r="AC825" s="8"/>
      <c r="AD825" s="8"/>
      <c r="AE825" s="8"/>
    </row>
    <row r="826">
      <c r="A826" s="12">
        <v>30.0</v>
      </c>
      <c r="B826" s="8" t="s">
        <v>302</v>
      </c>
      <c r="C826" s="8" t="s">
        <v>827</v>
      </c>
      <c r="I826" s="10" t="s">
        <v>1700</v>
      </c>
      <c r="J826" s="13" t="s">
        <v>875</v>
      </c>
      <c r="K826" s="13" t="s">
        <v>276</v>
      </c>
      <c r="L826" s="13" t="s">
        <v>1641</v>
      </c>
      <c r="M826" s="7" t="s">
        <v>253</v>
      </c>
      <c r="N826" s="7" t="s">
        <v>253</v>
      </c>
      <c r="O826" s="7" t="s">
        <v>254</v>
      </c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  <c r="AB826" s="8"/>
      <c r="AC826" s="8"/>
      <c r="AD826" s="8"/>
      <c r="AE826" s="8"/>
    </row>
    <row r="827">
      <c r="A827" s="12">
        <v>30.0</v>
      </c>
      <c r="B827" s="8" t="s">
        <v>302</v>
      </c>
      <c r="C827" s="8" t="s">
        <v>827</v>
      </c>
      <c r="I827" s="10" t="s">
        <v>647</v>
      </c>
      <c r="J827" s="13" t="s">
        <v>871</v>
      </c>
      <c r="K827" s="13" t="s">
        <v>276</v>
      </c>
      <c r="L827" s="13" t="s">
        <v>1641</v>
      </c>
      <c r="M827" s="7" t="s">
        <v>253</v>
      </c>
      <c r="N827" s="7" t="s">
        <v>253</v>
      </c>
      <c r="O827" s="7" t="s">
        <v>254</v>
      </c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  <c r="AB827" s="8"/>
      <c r="AC827" s="8"/>
      <c r="AD827" s="8"/>
      <c r="AE827" s="8"/>
    </row>
    <row r="828">
      <c r="A828" s="12">
        <v>31.0</v>
      </c>
      <c r="B828" s="8" t="s">
        <v>304</v>
      </c>
      <c r="C828" s="8" t="s">
        <v>827</v>
      </c>
      <c r="D828" s="25">
        <f>IF(COUNTIF($B$2:$B828,$B828)&gt;1,"",COUNTIF($B$2:$B$2505,$B828))</f>
        <v>78</v>
      </c>
      <c r="E828" s="25">
        <f>IF(COUNTIF($B$2:$B828,$B828)&gt;1,"",COUNTIFS($B$2:$B$2505,$B828,$K$2:$K$2505,"PHÙ HỢP CAO"))</f>
        <v>2</v>
      </c>
      <c r="F828" s="25">
        <f>IF(COUNTIF($B$2:$B828,$B828)&gt;1,"",COUNTIFS($B$2:$B$2505,$B828,$K$2:$K$2505,"CÓ THỂ ĐI"))</f>
        <v>3</v>
      </c>
      <c r="G828" s="25">
        <f>IF(COUNTIF($B$2:$B828,$B828)&gt;1,"",COUNTIFS($B$2:$B$2505,$B828,$K$2:$K$2505,"CẦN SOÁT"))</f>
        <v>73</v>
      </c>
      <c r="H828" s="26" t="str">
        <f>IFERROR(__xludf.DUMMYFUNCTION("IF(COUNTIF($B$2:$B828,$B828)&gt;1,"""",IFERROR(TEXTJOIN(CHAR(10),TRUE,BYROW(QUERY({$B$2:$B$2505,$J$2:$J$2505},""select Col2, count(Col2) where Col1 = '""&amp;$B828&amp;""' group by Col2 order by count(Col2) desc label count(Col2) ''"",0),LAMBDA(r,INDEX(r,1,1)&amp;"" – "&amp;"""&amp;INDEX(r,1,2)&amp;"" link""))),""""))"),"Techcombank Everyday – 39 link
thẻ tín dụng Techcombank Everyday – 39 link")</f>
        <v>Techcombank Everyday – 39 link
thẻ tín dụng Techcombank Everyday – 39 link</v>
      </c>
      <c r="I828" s="10" t="s">
        <v>887</v>
      </c>
      <c r="J828" s="13" t="s">
        <v>889</v>
      </c>
      <c r="K828" s="13" t="s">
        <v>251</v>
      </c>
      <c r="L828" s="13" t="s">
        <v>1701</v>
      </c>
      <c r="M828" s="7" t="s">
        <v>253</v>
      </c>
      <c r="N828" s="7" t="s">
        <v>253</v>
      </c>
      <c r="O828" s="7" t="s">
        <v>254</v>
      </c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  <c r="AB828" s="8"/>
      <c r="AC828" s="8"/>
      <c r="AD828" s="8"/>
      <c r="AE828" s="8"/>
    </row>
    <row r="829">
      <c r="A829" s="12">
        <v>31.0</v>
      </c>
      <c r="B829" s="8" t="s">
        <v>304</v>
      </c>
      <c r="C829" s="8" t="s">
        <v>827</v>
      </c>
      <c r="I829" s="10" t="s">
        <v>891</v>
      </c>
      <c r="J829" s="13" t="s">
        <v>893</v>
      </c>
      <c r="K829" s="13" t="s">
        <v>251</v>
      </c>
      <c r="L829" s="13" t="s">
        <v>1702</v>
      </c>
      <c r="M829" s="7" t="s">
        <v>253</v>
      </c>
      <c r="N829" s="7" t="s">
        <v>253</v>
      </c>
      <c r="O829" s="7" t="s">
        <v>254</v>
      </c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  <c r="AB829" s="8"/>
      <c r="AC829" s="8"/>
      <c r="AD829" s="8"/>
      <c r="AE829" s="8"/>
    </row>
    <row r="830">
      <c r="A830" s="12">
        <v>31.0</v>
      </c>
      <c r="B830" s="8" t="s">
        <v>304</v>
      </c>
      <c r="C830" s="8" t="s">
        <v>827</v>
      </c>
      <c r="I830" s="10" t="s">
        <v>894</v>
      </c>
      <c r="J830" s="13" t="s">
        <v>889</v>
      </c>
      <c r="K830" s="13" t="s">
        <v>272</v>
      </c>
      <c r="L830" s="13" t="s">
        <v>1703</v>
      </c>
      <c r="M830" s="7" t="s">
        <v>253</v>
      </c>
      <c r="N830" s="7" t="s">
        <v>253</v>
      </c>
      <c r="O830" s="7" t="s">
        <v>254</v>
      </c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  <c r="AB830" s="8"/>
      <c r="AC830" s="8"/>
      <c r="AD830" s="8"/>
      <c r="AE830" s="8"/>
    </row>
    <row r="831">
      <c r="A831" s="12">
        <v>31.0</v>
      </c>
      <c r="B831" s="8" t="s">
        <v>304</v>
      </c>
      <c r="C831" s="8" t="s">
        <v>827</v>
      </c>
      <c r="I831" s="10" t="s">
        <v>897</v>
      </c>
      <c r="J831" s="13" t="s">
        <v>893</v>
      </c>
      <c r="K831" s="13" t="s">
        <v>272</v>
      </c>
      <c r="L831" s="13" t="s">
        <v>1704</v>
      </c>
      <c r="M831" s="7" t="s">
        <v>253</v>
      </c>
      <c r="N831" s="7" t="s">
        <v>253</v>
      </c>
      <c r="O831" s="7" t="s">
        <v>254</v>
      </c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  <c r="AB831" s="8"/>
      <c r="AC831" s="8"/>
      <c r="AD831" s="8"/>
      <c r="AE831" s="8"/>
    </row>
    <row r="832">
      <c r="A832" s="12">
        <v>31.0</v>
      </c>
      <c r="B832" s="8" t="s">
        <v>304</v>
      </c>
      <c r="C832" s="8" t="s">
        <v>827</v>
      </c>
      <c r="I832" s="10" t="s">
        <v>899</v>
      </c>
      <c r="J832" s="13" t="s">
        <v>889</v>
      </c>
      <c r="K832" s="13" t="s">
        <v>272</v>
      </c>
      <c r="L832" s="13" t="s">
        <v>1705</v>
      </c>
      <c r="M832" s="7" t="s">
        <v>253</v>
      </c>
      <c r="N832" s="7" t="s">
        <v>253</v>
      </c>
      <c r="O832" s="7" t="s">
        <v>254</v>
      </c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  <c r="AB832" s="8"/>
      <c r="AC832" s="8"/>
      <c r="AD832" s="8"/>
      <c r="AE832" s="8"/>
    </row>
    <row r="833">
      <c r="A833" s="12">
        <v>31.0</v>
      </c>
      <c r="B833" s="8" t="s">
        <v>304</v>
      </c>
      <c r="C833" s="8" t="s">
        <v>827</v>
      </c>
      <c r="I833" s="10" t="s">
        <v>521</v>
      </c>
      <c r="J833" s="13" t="s">
        <v>893</v>
      </c>
      <c r="K833" s="13" t="s">
        <v>276</v>
      </c>
      <c r="L833" s="13" t="s">
        <v>1641</v>
      </c>
      <c r="M833" s="7" t="s">
        <v>253</v>
      </c>
      <c r="N833" s="7" t="s">
        <v>253</v>
      </c>
      <c r="O833" s="7" t="s">
        <v>254</v>
      </c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  <c r="AB833" s="8"/>
      <c r="AC833" s="8"/>
      <c r="AD833" s="8"/>
      <c r="AE833" s="8"/>
    </row>
    <row r="834">
      <c r="A834" s="12">
        <v>31.0</v>
      </c>
      <c r="B834" s="8" t="s">
        <v>304</v>
      </c>
      <c r="C834" s="8" t="s">
        <v>827</v>
      </c>
      <c r="I834" s="10" t="s">
        <v>1190</v>
      </c>
      <c r="J834" s="13" t="s">
        <v>889</v>
      </c>
      <c r="K834" s="13" t="s">
        <v>276</v>
      </c>
      <c r="L834" s="13" t="s">
        <v>1641</v>
      </c>
      <c r="M834" s="7" t="s">
        <v>253</v>
      </c>
      <c r="N834" s="7" t="s">
        <v>253</v>
      </c>
      <c r="O834" s="7" t="s">
        <v>254</v>
      </c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  <c r="AB834" s="8"/>
      <c r="AC834" s="8"/>
      <c r="AD834" s="8"/>
      <c r="AE834" s="8"/>
    </row>
    <row r="835">
      <c r="A835" s="12">
        <v>31.0</v>
      </c>
      <c r="B835" s="8" t="s">
        <v>304</v>
      </c>
      <c r="C835" s="8" t="s">
        <v>827</v>
      </c>
      <c r="I835" s="10" t="s">
        <v>1251</v>
      </c>
      <c r="J835" s="13" t="s">
        <v>893</v>
      </c>
      <c r="K835" s="13" t="s">
        <v>276</v>
      </c>
      <c r="L835" s="13" t="s">
        <v>1641</v>
      </c>
      <c r="M835" s="7" t="s">
        <v>253</v>
      </c>
      <c r="N835" s="7" t="s">
        <v>253</v>
      </c>
      <c r="O835" s="7" t="s">
        <v>254</v>
      </c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  <c r="AB835" s="8"/>
      <c r="AC835" s="8"/>
      <c r="AD835" s="8"/>
      <c r="AE835" s="8"/>
    </row>
    <row r="836">
      <c r="A836" s="12">
        <v>31.0</v>
      </c>
      <c r="B836" s="8" t="s">
        <v>304</v>
      </c>
      <c r="C836" s="8" t="s">
        <v>827</v>
      </c>
      <c r="I836" s="10" t="s">
        <v>909</v>
      </c>
      <c r="J836" s="13" t="s">
        <v>889</v>
      </c>
      <c r="K836" s="13" t="s">
        <v>276</v>
      </c>
      <c r="L836" s="13" t="s">
        <v>1706</v>
      </c>
      <c r="M836" s="7" t="s">
        <v>253</v>
      </c>
      <c r="N836" s="7" t="s">
        <v>253</v>
      </c>
      <c r="O836" s="7" t="s">
        <v>254</v>
      </c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  <c r="AB836" s="8"/>
      <c r="AC836" s="8"/>
      <c r="AD836" s="8"/>
      <c r="AE836" s="8"/>
    </row>
    <row r="837">
      <c r="A837" s="12">
        <v>31.0</v>
      </c>
      <c r="B837" s="8" t="s">
        <v>304</v>
      </c>
      <c r="C837" s="8" t="s">
        <v>827</v>
      </c>
      <c r="I837" s="10" t="s">
        <v>1643</v>
      </c>
      <c r="J837" s="13" t="s">
        <v>893</v>
      </c>
      <c r="K837" s="13" t="s">
        <v>276</v>
      </c>
      <c r="L837" s="13" t="s">
        <v>1641</v>
      </c>
      <c r="M837" s="7" t="s">
        <v>253</v>
      </c>
      <c r="N837" s="7" t="s">
        <v>253</v>
      </c>
      <c r="O837" s="7" t="s">
        <v>254</v>
      </c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  <c r="AB837" s="8"/>
      <c r="AC837" s="8"/>
      <c r="AD837" s="8"/>
      <c r="AE837" s="8"/>
    </row>
    <row r="838">
      <c r="A838" s="12">
        <v>31.0</v>
      </c>
      <c r="B838" s="8" t="s">
        <v>304</v>
      </c>
      <c r="C838" s="8" t="s">
        <v>827</v>
      </c>
      <c r="I838" s="10" t="s">
        <v>1644</v>
      </c>
      <c r="J838" s="13" t="s">
        <v>889</v>
      </c>
      <c r="K838" s="13" t="s">
        <v>276</v>
      </c>
      <c r="L838" s="13" t="s">
        <v>1641</v>
      </c>
      <c r="M838" s="7" t="s">
        <v>253</v>
      </c>
      <c r="N838" s="7" t="s">
        <v>253</v>
      </c>
      <c r="O838" s="7" t="s">
        <v>254</v>
      </c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  <c r="AB838" s="8"/>
      <c r="AC838" s="8"/>
      <c r="AD838" s="8"/>
      <c r="AE838" s="8"/>
    </row>
    <row r="839">
      <c r="A839" s="12">
        <v>31.0</v>
      </c>
      <c r="B839" s="8" t="s">
        <v>304</v>
      </c>
      <c r="C839" s="8" t="s">
        <v>827</v>
      </c>
      <c r="I839" s="10" t="s">
        <v>1645</v>
      </c>
      <c r="J839" s="13" t="s">
        <v>893</v>
      </c>
      <c r="K839" s="13" t="s">
        <v>276</v>
      </c>
      <c r="L839" s="13" t="s">
        <v>1641</v>
      </c>
      <c r="M839" s="7" t="s">
        <v>253</v>
      </c>
      <c r="N839" s="7" t="s">
        <v>253</v>
      </c>
      <c r="O839" s="7" t="s">
        <v>254</v>
      </c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  <c r="AB839" s="8"/>
      <c r="AC839" s="8"/>
      <c r="AD839" s="8"/>
      <c r="AE839" s="8"/>
    </row>
    <row r="840">
      <c r="A840" s="12">
        <v>31.0</v>
      </c>
      <c r="B840" s="8" t="s">
        <v>304</v>
      </c>
      <c r="C840" s="8" t="s">
        <v>827</v>
      </c>
      <c r="I840" s="10" t="s">
        <v>1582</v>
      </c>
      <c r="J840" s="13" t="s">
        <v>889</v>
      </c>
      <c r="K840" s="13" t="s">
        <v>276</v>
      </c>
      <c r="L840" s="13" t="s">
        <v>1641</v>
      </c>
      <c r="M840" s="7" t="s">
        <v>253</v>
      </c>
      <c r="N840" s="7" t="s">
        <v>253</v>
      </c>
      <c r="O840" s="7" t="s">
        <v>254</v>
      </c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  <c r="AB840" s="8"/>
      <c r="AC840" s="8"/>
      <c r="AD840" s="8"/>
      <c r="AE840" s="8"/>
    </row>
    <row r="841">
      <c r="A841" s="12">
        <v>31.0</v>
      </c>
      <c r="B841" s="8" t="s">
        <v>304</v>
      </c>
      <c r="C841" s="8" t="s">
        <v>827</v>
      </c>
      <c r="I841" s="10" t="s">
        <v>1647</v>
      </c>
      <c r="J841" s="13" t="s">
        <v>893</v>
      </c>
      <c r="K841" s="13" t="s">
        <v>276</v>
      </c>
      <c r="L841" s="13" t="s">
        <v>1641</v>
      </c>
      <c r="M841" s="7" t="s">
        <v>253</v>
      </c>
      <c r="N841" s="7" t="s">
        <v>253</v>
      </c>
      <c r="O841" s="7" t="s">
        <v>254</v>
      </c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  <c r="AB841" s="8"/>
      <c r="AC841" s="8"/>
      <c r="AD841" s="8"/>
      <c r="AE841" s="8"/>
    </row>
    <row r="842">
      <c r="A842" s="12">
        <v>31.0</v>
      </c>
      <c r="B842" s="8" t="s">
        <v>304</v>
      </c>
      <c r="C842" s="8" t="s">
        <v>827</v>
      </c>
      <c r="I842" s="10" t="s">
        <v>1425</v>
      </c>
      <c r="J842" s="13" t="s">
        <v>889</v>
      </c>
      <c r="K842" s="13" t="s">
        <v>276</v>
      </c>
      <c r="L842" s="13" t="s">
        <v>1641</v>
      </c>
      <c r="M842" s="7" t="s">
        <v>253</v>
      </c>
      <c r="N842" s="7" t="s">
        <v>253</v>
      </c>
      <c r="O842" s="7" t="s">
        <v>254</v>
      </c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  <c r="AB842" s="8"/>
      <c r="AC842" s="8"/>
      <c r="AD842" s="8"/>
      <c r="AE842" s="8"/>
    </row>
    <row r="843">
      <c r="A843" s="12">
        <v>31.0</v>
      </c>
      <c r="B843" s="8" t="s">
        <v>304</v>
      </c>
      <c r="C843" s="8" t="s">
        <v>827</v>
      </c>
      <c r="I843" s="10" t="s">
        <v>1648</v>
      </c>
      <c r="J843" s="13" t="s">
        <v>893</v>
      </c>
      <c r="K843" s="13" t="s">
        <v>276</v>
      </c>
      <c r="L843" s="13" t="s">
        <v>1641</v>
      </c>
      <c r="M843" s="7" t="s">
        <v>253</v>
      </c>
      <c r="N843" s="7" t="s">
        <v>253</v>
      </c>
      <c r="O843" s="7" t="s">
        <v>254</v>
      </c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  <c r="AB843" s="8"/>
      <c r="AC843" s="8"/>
      <c r="AD843" s="8"/>
      <c r="AE843" s="8"/>
    </row>
    <row r="844">
      <c r="A844" s="12">
        <v>31.0</v>
      </c>
      <c r="B844" s="8" t="s">
        <v>304</v>
      </c>
      <c r="C844" s="8" t="s">
        <v>827</v>
      </c>
      <c r="I844" s="10" t="s">
        <v>1195</v>
      </c>
      <c r="J844" s="13" t="s">
        <v>889</v>
      </c>
      <c r="K844" s="13" t="s">
        <v>276</v>
      </c>
      <c r="L844" s="13" t="s">
        <v>1641</v>
      </c>
      <c r="M844" s="7" t="s">
        <v>253</v>
      </c>
      <c r="N844" s="7" t="s">
        <v>253</v>
      </c>
      <c r="O844" s="7" t="s">
        <v>254</v>
      </c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  <c r="AB844" s="8"/>
      <c r="AC844" s="8"/>
      <c r="AD844" s="8"/>
      <c r="AE844" s="8"/>
    </row>
    <row r="845">
      <c r="A845" s="12">
        <v>31.0</v>
      </c>
      <c r="B845" s="8" t="s">
        <v>304</v>
      </c>
      <c r="C845" s="8" t="s">
        <v>827</v>
      </c>
      <c r="I845" s="10" t="s">
        <v>1583</v>
      </c>
      <c r="J845" s="13" t="s">
        <v>893</v>
      </c>
      <c r="K845" s="13" t="s">
        <v>276</v>
      </c>
      <c r="L845" s="13" t="s">
        <v>1641</v>
      </c>
      <c r="M845" s="7" t="s">
        <v>253</v>
      </c>
      <c r="N845" s="7" t="s">
        <v>253</v>
      </c>
      <c r="O845" s="7" t="s">
        <v>254</v>
      </c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  <c r="AB845" s="8"/>
      <c r="AC845" s="8"/>
      <c r="AD845" s="8"/>
      <c r="AE845" s="8"/>
    </row>
    <row r="846">
      <c r="A846" s="12">
        <v>31.0</v>
      </c>
      <c r="B846" s="8" t="s">
        <v>304</v>
      </c>
      <c r="C846" s="8" t="s">
        <v>827</v>
      </c>
      <c r="I846" s="10" t="s">
        <v>928</v>
      </c>
      <c r="J846" s="13" t="s">
        <v>889</v>
      </c>
      <c r="K846" s="13" t="s">
        <v>276</v>
      </c>
      <c r="L846" s="13" t="s">
        <v>1641</v>
      </c>
      <c r="M846" s="7" t="s">
        <v>253</v>
      </c>
      <c r="N846" s="7" t="s">
        <v>253</v>
      </c>
      <c r="O846" s="7" t="s">
        <v>254</v>
      </c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  <c r="AB846" s="8"/>
      <c r="AC846" s="8"/>
      <c r="AD846" s="8"/>
      <c r="AE846" s="8"/>
    </row>
    <row r="847">
      <c r="A847" s="12">
        <v>31.0</v>
      </c>
      <c r="B847" s="8" t="s">
        <v>304</v>
      </c>
      <c r="C847" s="8" t="s">
        <v>827</v>
      </c>
      <c r="I847" s="10" t="s">
        <v>310</v>
      </c>
      <c r="J847" s="13" t="s">
        <v>893</v>
      </c>
      <c r="K847" s="13" t="s">
        <v>276</v>
      </c>
      <c r="L847" s="13" t="s">
        <v>1641</v>
      </c>
      <c r="M847" s="7" t="s">
        <v>253</v>
      </c>
      <c r="N847" s="7" t="s">
        <v>253</v>
      </c>
      <c r="O847" s="7" t="s">
        <v>254</v>
      </c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  <c r="AB847" s="8"/>
      <c r="AC847" s="8"/>
      <c r="AD847" s="8"/>
      <c r="AE847" s="8"/>
    </row>
    <row r="848">
      <c r="A848" s="12">
        <v>31.0</v>
      </c>
      <c r="B848" s="8" t="s">
        <v>304</v>
      </c>
      <c r="C848" s="8" t="s">
        <v>827</v>
      </c>
      <c r="I848" s="10" t="s">
        <v>884</v>
      </c>
      <c r="J848" s="13" t="s">
        <v>889</v>
      </c>
      <c r="K848" s="13" t="s">
        <v>276</v>
      </c>
      <c r="L848" s="13" t="s">
        <v>1641</v>
      </c>
      <c r="M848" s="7" t="s">
        <v>253</v>
      </c>
      <c r="N848" s="7" t="s">
        <v>253</v>
      </c>
      <c r="O848" s="7" t="s">
        <v>254</v>
      </c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  <c r="AB848" s="8"/>
      <c r="AC848" s="8"/>
      <c r="AD848" s="8"/>
      <c r="AE848" s="8"/>
    </row>
    <row r="849">
      <c r="A849" s="12">
        <v>31.0</v>
      </c>
      <c r="B849" s="8" t="s">
        <v>304</v>
      </c>
      <c r="C849" s="8" t="s">
        <v>827</v>
      </c>
      <c r="I849" s="10" t="s">
        <v>1651</v>
      </c>
      <c r="J849" s="13" t="s">
        <v>893</v>
      </c>
      <c r="K849" s="13" t="s">
        <v>276</v>
      </c>
      <c r="L849" s="13" t="s">
        <v>1641</v>
      </c>
      <c r="M849" s="7" t="s">
        <v>253</v>
      </c>
      <c r="N849" s="7" t="s">
        <v>253</v>
      </c>
      <c r="O849" s="7" t="s">
        <v>254</v>
      </c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  <c r="AB849" s="8"/>
      <c r="AC849" s="8"/>
      <c r="AD849" s="8"/>
      <c r="AE849" s="8"/>
    </row>
    <row r="850">
      <c r="A850" s="12">
        <v>31.0</v>
      </c>
      <c r="B850" s="8" t="s">
        <v>304</v>
      </c>
      <c r="C850" s="8" t="s">
        <v>827</v>
      </c>
      <c r="I850" s="10" t="s">
        <v>1652</v>
      </c>
      <c r="J850" s="13" t="s">
        <v>889</v>
      </c>
      <c r="K850" s="13" t="s">
        <v>276</v>
      </c>
      <c r="L850" s="13" t="s">
        <v>1641</v>
      </c>
      <c r="M850" s="7" t="s">
        <v>253</v>
      </c>
      <c r="N850" s="7" t="s">
        <v>253</v>
      </c>
      <c r="O850" s="7" t="s">
        <v>254</v>
      </c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  <c r="AB850" s="8"/>
      <c r="AC850" s="8"/>
      <c r="AD850" s="8"/>
      <c r="AE850" s="8"/>
    </row>
    <row r="851">
      <c r="A851" s="12">
        <v>31.0</v>
      </c>
      <c r="B851" s="8" t="s">
        <v>304</v>
      </c>
      <c r="C851" s="8" t="s">
        <v>827</v>
      </c>
      <c r="I851" s="10" t="s">
        <v>940</v>
      </c>
      <c r="J851" s="13" t="s">
        <v>893</v>
      </c>
      <c r="K851" s="13" t="s">
        <v>276</v>
      </c>
      <c r="L851" s="13" t="s">
        <v>1641</v>
      </c>
      <c r="M851" s="7" t="s">
        <v>253</v>
      </c>
      <c r="N851" s="7" t="s">
        <v>253</v>
      </c>
      <c r="O851" s="7" t="s">
        <v>254</v>
      </c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  <c r="AB851" s="8"/>
      <c r="AC851" s="8"/>
      <c r="AD851" s="8"/>
      <c r="AE851" s="8"/>
    </row>
    <row r="852">
      <c r="A852" s="12">
        <v>31.0</v>
      </c>
      <c r="B852" s="8" t="s">
        <v>304</v>
      </c>
      <c r="C852" s="8" t="s">
        <v>827</v>
      </c>
      <c r="I852" s="10" t="s">
        <v>850</v>
      </c>
      <c r="J852" s="13" t="s">
        <v>889</v>
      </c>
      <c r="K852" s="13" t="s">
        <v>276</v>
      </c>
      <c r="L852" s="13" t="s">
        <v>1641</v>
      </c>
      <c r="M852" s="7" t="s">
        <v>253</v>
      </c>
      <c r="N852" s="7" t="s">
        <v>253</v>
      </c>
      <c r="O852" s="7" t="s">
        <v>254</v>
      </c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  <c r="AB852" s="8"/>
      <c r="AC852" s="8"/>
      <c r="AD852" s="8"/>
      <c r="AE852" s="8"/>
    </row>
    <row r="853">
      <c r="A853" s="12">
        <v>31.0</v>
      </c>
      <c r="B853" s="8" t="s">
        <v>304</v>
      </c>
      <c r="C853" s="8" t="s">
        <v>827</v>
      </c>
      <c r="I853" s="10" t="s">
        <v>1260</v>
      </c>
      <c r="J853" s="13" t="s">
        <v>893</v>
      </c>
      <c r="K853" s="13" t="s">
        <v>276</v>
      </c>
      <c r="L853" s="13" t="s">
        <v>1707</v>
      </c>
      <c r="M853" s="7" t="s">
        <v>253</v>
      </c>
      <c r="N853" s="7" t="s">
        <v>253</v>
      </c>
      <c r="O853" s="7" t="s">
        <v>254</v>
      </c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  <c r="AB853" s="8"/>
      <c r="AC853" s="8"/>
      <c r="AD853" s="8"/>
      <c r="AE853" s="8"/>
    </row>
    <row r="854">
      <c r="A854" s="12">
        <v>31.0</v>
      </c>
      <c r="B854" s="8" t="s">
        <v>304</v>
      </c>
      <c r="C854" s="8" t="s">
        <v>827</v>
      </c>
      <c r="I854" s="10" t="s">
        <v>336</v>
      </c>
      <c r="J854" s="13" t="s">
        <v>889</v>
      </c>
      <c r="K854" s="13" t="s">
        <v>276</v>
      </c>
      <c r="L854" s="13" t="s">
        <v>1706</v>
      </c>
      <c r="M854" s="7" t="s">
        <v>253</v>
      </c>
      <c r="N854" s="7" t="s">
        <v>253</v>
      </c>
      <c r="O854" s="7" t="s">
        <v>254</v>
      </c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  <c r="AB854" s="8"/>
      <c r="AC854" s="8"/>
      <c r="AD854" s="8"/>
      <c r="AE854" s="8"/>
    </row>
    <row r="855">
      <c r="A855" s="12">
        <v>31.0</v>
      </c>
      <c r="B855" s="8" t="s">
        <v>304</v>
      </c>
      <c r="C855" s="8" t="s">
        <v>827</v>
      </c>
      <c r="I855" s="10" t="s">
        <v>313</v>
      </c>
      <c r="J855" s="13" t="s">
        <v>893</v>
      </c>
      <c r="K855" s="13" t="s">
        <v>276</v>
      </c>
      <c r="L855" s="13" t="s">
        <v>1641</v>
      </c>
      <c r="M855" s="7" t="s">
        <v>253</v>
      </c>
      <c r="N855" s="7" t="s">
        <v>253</v>
      </c>
      <c r="O855" s="7" t="s">
        <v>254</v>
      </c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  <c r="AB855" s="8"/>
      <c r="AC855" s="8"/>
      <c r="AD855" s="8"/>
      <c r="AE855" s="8"/>
    </row>
    <row r="856">
      <c r="A856" s="12">
        <v>31.0</v>
      </c>
      <c r="B856" s="8" t="s">
        <v>304</v>
      </c>
      <c r="C856" s="8" t="s">
        <v>827</v>
      </c>
      <c r="I856" s="10" t="s">
        <v>1654</v>
      </c>
      <c r="J856" s="13" t="s">
        <v>889</v>
      </c>
      <c r="K856" s="13" t="s">
        <v>276</v>
      </c>
      <c r="L856" s="13" t="s">
        <v>1641</v>
      </c>
      <c r="M856" s="7" t="s">
        <v>253</v>
      </c>
      <c r="N856" s="7" t="s">
        <v>253</v>
      </c>
      <c r="O856" s="7" t="s">
        <v>254</v>
      </c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  <c r="AB856" s="8"/>
      <c r="AC856" s="8"/>
      <c r="AD856" s="8"/>
      <c r="AE856" s="8"/>
    </row>
    <row r="857">
      <c r="A857" s="12">
        <v>31.0</v>
      </c>
      <c r="B857" s="8" t="s">
        <v>304</v>
      </c>
      <c r="C857" s="8" t="s">
        <v>827</v>
      </c>
      <c r="I857" s="10" t="s">
        <v>1655</v>
      </c>
      <c r="J857" s="13" t="s">
        <v>893</v>
      </c>
      <c r="K857" s="13" t="s">
        <v>276</v>
      </c>
      <c r="L857" s="13" t="s">
        <v>1641</v>
      </c>
      <c r="M857" s="7" t="s">
        <v>253</v>
      </c>
      <c r="N857" s="7" t="s">
        <v>253</v>
      </c>
      <c r="O857" s="7" t="s">
        <v>254</v>
      </c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  <c r="AB857" s="8"/>
      <c r="AC857" s="8"/>
      <c r="AD857" s="8"/>
      <c r="AE857" s="8"/>
    </row>
    <row r="858">
      <c r="A858" s="12">
        <v>31.0</v>
      </c>
      <c r="B858" s="8" t="s">
        <v>304</v>
      </c>
      <c r="C858" s="8" t="s">
        <v>827</v>
      </c>
      <c r="I858" s="10" t="s">
        <v>1658</v>
      </c>
      <c r="J858" s="13" t="s">
        <v>889</v>
      </c>
      <c r="K858" s="13" t="s">
        <v>276</v>
      </c>
      <c r="L858" s="13" t="s">
        <v>1641</v>
      </c>
      <c r="M858" s="7" t="s">
        <v>253</v>
      </c>
      <c r="N858" s="7" t="s">
        <v>253</v>
      </c>
      <c r="O858" s="7" t="s">
        <v>254</v>
      </c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  <c r="AB858" s="8"/>
      <c r="AC858" s="8"/>
      <c r="AD858" s="8"/>
      <c r="AE858" s="8"/>
    </row>
    <row r="859">
      <c r="A859" s="12">
        <v>31.0</v>
      </c>
      <c r="B859" s="8" t="s">
        <v>304</v>
      </c>
      <c r="C859" s="8" t="s">
        <v>827</v>
      </c>
      <c r="I859" s="10" t="s">
        <v>872</v>
      </c>
      <c r="J859" s="13" t="s">
        <v>893</v>
      </c>
      <c r="K859" s="13" t="s">
        <v>276</v>
      </c>
      <c r="L859" s="13" t="s">
        <v>1641</v>
      </c>
      <c r="M859" s="7" t="s">
        <v>253</v>
      </c>
      <c r="N859" s="7" t="s">
        <v>253</v>
      </c>
      <c r="O859" s="7" t="s">
        <v>254</v>
      </c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  <c r="AB859" s="8"/>
      <c r="AC859" s="8"/>
      <c r="AD859" s="8"/>
      <c r="AE859" s="8"/>
    </row>
    <row r="860">
      <c r="A860" s="12">
        <v>31.0</v>
      </c>
      <c r="B860" s="8" t="s">
        <v>304</v>
      </c>
      <c r="C860" s="8" t="s">
        <v>827</v>
      </c>
      <c r="I860" s="10" t="s">
        <v>436</v>
      </c>
      <c r="J860" s="13" t="s">
        <v>889</v>
      </c>
      <c r="K860" s="13" t="s">
        <v>276</v>
      </c>
      <c r="L860" s="13" t="s">
        <v>1641</v>
      </c>
      <c r="M860" s="7" t="s">
        <v>253</v>
      </c>
      <c r="N860" s="7" t="s">
        <v>253</v>
      </c>
      <c r="O860" s="7" t="s">
        <v>254</v>
      </c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  <c r="AB860" s="8"/>
      <c r="AC860" s="8"/>
      <c r="AD860" s="8"/>
      <c r="AE860" s="8"/>
    </row>
    <row r="861">
      <c r="A861" s="12">
        <v>31.0</v>
      </c>
      <c r="B861" s="8" t="s">
        <v>304</v>
      </c>
      <c r="C861" s="8" t="s">
        <v>827</v>
      </c>
      <c r="I861" s="10" t="s">
        <v>1588</v>
      </c>
      <c r="J861" s="13" t="s">
        <v>893</v>
      </c>
      <c r="K861" s="13" t="s">
        <v>276</v>
      </c>
      <c r="L861" s="13" t="s">
        <v>1641</v>
      </c>
      <c r="M861" s="7" t="s">
        <v>253</v>
      </c>
      <c r="N861" s="7" t="s">
        <v>253</v>
      </c>
      <c r="O861" s="7" t="s">
        <v>254</v>
      </c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  <c r="AB861" s="8"/>
      <c r="AC861" s="8"/>
      <c r="AD861" s="8"/>
      <c r="AE861" s="8"/>
    </row>
    <row r="862">
      <c r="A862" s="12">
        <v>31.0</v>
      </c>
      <c r="B862" s="8" t="s">
        <v>304</v>
      </c>
      <c r="C862" s="8" t="s">
        <v>827</v>
      </c>
      <c r="I862" s="10" t="s">
        <v>1268</v>
      </c>
      <c r="J862" s="13" t="s">
        <v>889</v>
      </c>
      <c r="K862" s="13" t="s">
        <v>276</v>
      </c>
      <c r="L862" s="13" t="s">
        <v>1706</v>
      </c>
      <c r="M862" s="7" t="s">
        <v>253</v>
      </c>
      <c r="N862" s="7" t="s">
        <v>253</v>
      </c>
      <c r="O862" s="7" t="s">
        <v>254</v>
      </c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  <c r="AB862" s="8"/>
      <c r="AC862" s="8"/>
      <c r="AD862" s="8"/>
      <c r="AE862" s="8"/>
    </row>
    <row r="863">
      <c r="A863" s="12">
        <v>31.0</v>
      </c>
      <c r="B863" s="8" t="s">
        <v>304</v>
      </c>
      <c r="C863" s="8" t="s">
        <v>827</v>
      </c>
      <c r="I863" s="10" t="s">
        <v>1670</v>
      </c>
      <c r="J863" s="13" t="s">
        <v>893</v>
      </c>
      <c r="K863" s="13" t="s">
        <v>276</v>
      </c>
      <c r="L863" s="13" t="s">
        <v>1641</v>
      </c>
      <c r="M863" s="7" t="s">
        <v>253</v>
      </c>
      <c r="N863" s="7" t="s">
        <v>253</v>
      </c>
      <c r="O863" s="7" t="s">
        <v>254</v>
      </c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  <c r="AB863" s="8"/>
      <c r="AC863" s="8"/>
      <c r="AD863" s="8"/>
      <c r="AE863" s="8"/>
    </row>
    <row r="864">
      <c r="A864" s="12">
        <v>31.0</v>
      </c>
      <c r="B864" s="8" t="s">
        <v>304</v>
      </c>
      <c r="C864" s="8" t="s">
        <v>827</v>
      </c>
      <c r="I864" s="10" t="s">
        <v>864</v>
      </c>
      <c r="J864" s="13" t="s">
        <v>889</v>
      </c>
      <c r="K864" s="13" t="s">
        <v>276</v>
      </c>
      <c r="L864" s="13" t="s">
        <v>1641</v>
      </c>
      <c r="M864" s="7" t="s">
        <v>253</v>
      </c>
      <c r="N864" s="7" t="s">
        <v>253</v>
      </c>
      <c r="O864" s="7" t="s">
        <v>254</v>
      </c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  <c r="AC864" s="8"/>
      <c r="AD864" s="8"/>
      <c r="AE864" s="8"/>
    </row>
    <row r="865">
      <c r="A865" s="12">
        <v>31.0</v>
      </c>
      <c r="B865" s="8" t="s">
        <v>304</v>
      </c>
      <c r="C865" s="8" t="s">
        <v>827</v>
      </c>
      <c r="I865" s="10" t="s">
        <v>1676</v>
      </c>
      <c r="J865" s="13" t="s">
        <v>893</v>
      </c>
      <c r="K865" s="13" t="s">
        <v>276</v>
      </c>
      <c r="L865" s="13" t="s">
        <v>1641</v>
      </c>
      <c r="M865" s="7" t="s">
        <v>253</v>
      </c>
      <c r="N865" s="7" t="s">
        <v>253</v>
      </c>
      <c r="O865" s="7" t="s">
        <v>254</v>
      </c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  <c r="AB865" s="8"/>
      <c r="AC865" s="8"/>
      <c r="AD865" s="8"/>
      <c r="AE865" s="8"/>
    </row>
    <row r="866">
      <c r="A866" s="12">
        <v>31.0</v>
      </c>
      <c r="B866" s="8" t="s">
        <v>304</v>
      </c>
      <c r="C866" s="8" t="s">
        <v>827</v>
      </c>
      <c r="I866" s="10" t="s">
        <v>936</v>
      </c>
      <c r="J866" s="13" t="s">
        <v>889</v>
      </c>
      <c r="K866" s="13" t="s">
        <v>276</v>
      </c>
      <c r="L866" s="13" t="s">
        <v>1641</v>
      </c>
      <c r="M866" s="7" t="s">
        <v>253</v>
      </c>
      <c r="N866" s="7" t="s">
        <v>253</v>
      </c>
      <c r="O866" s="7" t="s">
        <v>254</v>
      </c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  <c r="AB866" s="8"/>
      <c r="AC866" s="8"/>
      <c r="AD866" s="8"/>
      <c r="AE866" s="8"/>
    </row>
    <row r="867">
      <c r="A867" s="12">
        <v>31.0</v>
      </c>
      <c r="B867" s="8" t="s">
        <v>304</v>
      </c>
      <c r="C867" s="8" t="s">
        <v>827</v>
      </c>
      <c r="I867" s="10" t="s">
        <v>1677</v>
      </c>
      <c r="J867" s="13" t="s">
        <v>893</v>
      </c>
      <c r="K867" s="13" t="s">
        <v>276</v>
      </c>
      <c r="L867" s="13" t="s">
        <v>1641</v>
      </c>
      <c r="M867" s="7" t="s">
        <v>253</v>
      </c>
      <c r="N867" s="7" t="s">
        <v>253</v>
      </c>
      <c r="O867" s="7" t="s">
        <v>254</v>
      </c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  <c r="AB867" s="8"/>
      <c r="AC867" s="8"/>
      <c r="AD867" s="8"/>
      <c r="AE867" s="8"/>
    </row>
    <row r="868">
      <c r="A868" s="12">
        <v>31.0</v>
      </c>
      <c r="B868" s="8" t="s">
        <v>304</v>
      </c>
      <c r="C868" s="8" t="s">
        <v>827</v>
      </c>
      <c r="I868" s="10" t="s">
        <v>597</v>
      </c>
      <c r="J868" s="13" t="s">
        <v>889</v>
      </c>
      <c r="K868" s="13" t="s">
        <v>276</v>
      </c>
      <c r="L868" s="13" t="s">
        <v>1706</v>
      </c>
      <c r="M868" s="7" t="s">
        <v>253</v>
      </c>
      <c r="N868" s="7" t="s">
        <v>253</v>
      </c>
      <c r="O868" s="7" t="s">
        <v>254</v>
      </c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  <c r="AB868" s="8"/>
      <c r="AC868" s="8"/>
      <c r="AD868" s="8"/>
      <c r="AE868" s="8"/>
    </row>
    <row r="869">
      <c r="A869" s="12">
        <v>31.0</v>
      </c>
      <c r="B869" s="8" t="s">
        <v>304</v>
      </c>
      <c r="C869" s="8" t="s">
        <v>827</v>
      </c>
      <c r="I869" s="10" t="s">
        <v>1455</v>
      </c>
      <c r="J869" s="13" t="s">
        <v>893</v>
      </c>
      <c r="K869" s="13" t="s">
        <v>276</v>
      </c>
      <c r="L869" s="13" t="s">
        <v>1641</v>
      </c>
      <c r="M869" s="7" t="s">
        <v>253</v>
      </c>
      <c r="N869" s="7" t="s">
        <v>253</v>
      </c>
      <c r="O869" s="7" t="s">
        <v>254</v>
      </c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  <c r="AB869" s="8"/>
      <c r="AC869" s="8"/>
      <c r="AD869" s="8"/>
      <c r="AE869" s="8"/>
    </row>
    <row r="870">
      <c r="A870" s="12">
        <v>31.0</v>
      </c>
      <c r="B870" s="8" t="s">
        <v>304</v>
      </c>
      <c r="C870" s="8" t="s">
        <v>827</v>
      </c>
      <c r="I870" s="10" t="s">
        <v>1690</v>
      </c>
      <c r="J870" s="13" t="s">
        <v>889</v>
      </c>
      <c r="K870" s="13" t="s">
        <v>276</v>
      </c>
      <c r="L870" s="13" t="s">
        <v>1641</v>
      </c>
      <c r="M870" s="7" t="s">
        <v>253</v>
      </c>
      <c r="N870" s="7" t="s">
        <v>253</v>
      </c>
      <c r="O870" s="7" t="s">
        <v>254</v>
      </c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  <c r="AB870" s="8"/>
      <c r="AC870" s="8"/>
      <c r="AD870" s="8"/>
      <c r="AE870" s="8"/>
    </row>
    <row r="871">
      <c r="A871" s="12">
        <v>31.0</v>
      </c>
      <c r="B871" s="8" t="s">
        <v>304</v>
      </c>
      <c r="C871" s="8" t="s">
        <v>827</v>
      </c>
      <c r="I871" s="10" t="s">
        <v>302</v>
      </c>
      <c r="J871" s="13" t="s">
        <v>893</v>
      </c>
      <c r="K871" s="13" t="s">
        <v>276</v>
      </c>
      <c r="L871" s="13" t="s">
        <v>1641</v>
      </c>
      <c r="M871" s="7" t="s">
        <v>253</v>
      </c>
      <c r="N871" s="7" t="s">
        <v>253</v>
      </c>
      <c r="O871" s="7" t="s">
        <v>254</v>
      </c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  <c r="AB871" s="8"/>
      <c r="AC871" s="8"/>
      <c r="AD871" s="8"/>
      <c r="AE871" s="8"/>
    </row>
    <row r="872">
      <c r="A872" s="12">
        <v>31.0</v>
      </c>
      <c r="B872" s="8" t="s">
        <v>304</v>
      </c>
      <c r="C872" s="8" t="s">
        <v>827</v>
      </c>
      <c r="I872" s="10" t="s">
        <v>1691</v>
      </c>
      <c r="J872" s="13" t="s">
        <v>889</v>
      </c>
      <c r="K872" s="13" t="s">
        <v>276</v>
      </c>
      <c r="L872" s="13" t="s">
        <v>1641</v>
      </c>
      <c r="M872" s="7" t="s">
        <v>253</v>
      </c>
      <c r="N872" s="7" t="s">
        <v>253</v>
      </c>
      <c r="O872" s="7" t="s">
        <v>254</v>
      </c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  <c r="AB872" s="8"/>
      <c r="AC872" s="8"/>
      <c r="AD872" s="8"/>
      <c r="AE872" s="8"/>
    </row>
    <row r="873">
      <c r="A873" s="12">
        <v>31.0</v>
      </c>
      <c r="B873" s="8" t="s">
        <v>304</v>
      </c>
      <c r="C873" s="8" t="s">
        <v>827</v>
      </c>
      <c r="I873" s="10" t="s">
        <v>291</v>
      </c>
      <c r="J873" s="13" t="s">
        <v>893</v>
      </c>
      <c r="K873" s="13" t="s">
        <v>276</v>
      </c>
      <c r="L873" s="13" t="s">
        <v>1641</v>
      </c>
      <c r="M873" s="7" t="s">
        <v>253</v>
      </c>
      <c r="N873" s="7" t="s">
        <v>253</v>
      </c>
      <c r="O873" s="7" t="s">
        <v>254</v>
      </c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  <c r="AB873" s="8"/>
      <c r="AC873" s="8"/>
      <c r="AD873" s="8"/>
      <c r="AE873" s="8"/>
    </row>
    <row r="874">
      <c r="A874" s="12">
        <v>31.0</v>
      </c>
      <c r="B874" s="8" t="s">
        <v>304</v>
      </c>
      <c r="C874" s="8" t="s">
        <v>827</v>
      </c>
      <c r="I874" s="10" t="s">
        <v>944</v>
      </c>
      <c r="J874" s="13" t="s">
        <v>889</v>
      </c>
      <c r="K874" s="13" t="s">
        <v>276</v>
      </c>
      <c r="L874" s="13" t="s">
        <v>1641</v>
      </c>
      <c r="M874" s="7" t="s">
        <v>253</v>
      </c>
      <c r="N874" s="7" t="s">
        <v>253</v>
      </c>
      <c r="O874" s="7" t="s">
        <v>254</v>
      </c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  <c r="AB874" s="8"/>
      <c r="AC874" s="8"/>
      <c r="AD874" s="8"/>
      <c r="AE874" s="8"/>
    </row>
    <row r="875">
      <c r="A875" s="12">
        <v>31.0</v>
      </c>
      <c r="B875" s="8" t="s">
        <v>304</v>
      </c>
      <c r="C875" s="8" t="s">
        <v>827</v>
      </c>
      <c r="I875" s="10" t="s">
        <v>1692</v>
      </c>
      <c r="J875" s="13" t="s">
        <v>893</v>
      </c>
      <c r="K875" s="13" t="s">
        <v>276</v>
      </c>
      <c r="L875" s="13" t="s">
        <v>1641</v>
      </c>
      <c r="M875" s="7" t="s">
        <v>253</v>
      </c>
      <c r="N875" s="7" t="s">
        <v>253</v>
      </c>
      <c r="O875" s="7" t="s">
        <v>254</v>
      </c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  <c r="AB875" s="8"/>
      <c r="AC875" s="8"/>
      <c r="AD875" s="8"/>
      <c r="AE875" s="8"/>
    </row>
    <row r="876">
      <c r="A876" s="12">
        <v>31.0</v>
      </c>
      <c r="B876" s="8" t="s">
        <v>304</v>
      </c>
      <c r="C876" s="8" t="s">
        <v>827</v>
      </c>
      <c r="I876" s="10" t="s">
        <v>1693</v>
      </c>
      <c r="J876" s="13" t="s">
        <v>889</v>
      </c>
      <c r="K876" s="13" t="s">
        <v>276</v>
      </c>
      <c r="L876" s="13" t="s">
        <v>1641</v>
      </c>
      <c r="M876" s="7" t="s">
        <v>253</v>
      </c>
      <c r="N876" s="7" t="s">
        <v>253</v>
      </c>
      <c r="O876" s="7" t="s">
        <v>254</v>
      </c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  <c r="AB876" s="8"/>
      <c r="AC876" s="8"/>
      <c r="AD876" s="8"/>
      <c r="AE876" s="8"/>
    </row>
    <row r="877">
      <c r="A877" s="12">
        <v>31.0</v>
      </c>
      <c r="B877" s="8" t="s">
        <v>304</v>
      </c>
      <c r="C877" s="8" t="s">
        <v>827</v>
      </c>
      <c r="I877" s="10" t="s">
        <v>869</v>
      </c>
      <c r="J877" s="13" t="s">
        <v>893</v>
      </c>
      <c r="K877" s="13" t="s">
        <v>276</v>
      </c>
      <c r="L877" s="13" t="s">
        <v>1641</v>
      </c>
      <c r="M877" s="7" t="s">
        <v>253</v>
      </c>
      <c r="N877" s="7" t="s">
        <v>253</v>
      </c>
      <c r="O877" s="7" t="s">
        <v>254</v>
      </c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  <c r="AB877" s="8"/>
      <c r="AC877" s="8"/>
      <c r="AD877" s="8"/>
      <c r="AE877" s="8"/>
    </row>
    <row r="878">
      <c r="A878" s="12">
        <v>31.0</v>
      </c>
      <c r="B878" s="8" t="s">
        <v>304</v>
      </c>
      <c r="C878" s="8" t="s">
        <v>827</v>
      </c>
      <c r="I878" s="10" t="s">
        <v>911</v>
      </c>
      <c r="J878" s="13" t="s">
        <v>889</v>
      </c>
      <c r="K878" s="13" t="s">
        <v>276</v>
      </c>
      <c r="L878" s="13" t="s">
        <v>1641</v>
      </c>
      <c r="M878" s="7" t="s">
        <v>253</v>
      </c>
      <c r="N878" s="7" t="s">
        <v>253</v>
      </c>
      <c r="O878" s="7" t="s">
        <v>254</v>
      </c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  <c r="AB878" s="8"/>
      <c r="AC878" s="8"/>
      <c r="AD878" s="8"/>
      <c r="AE878" s="8"/>
    </row>
    <row r="879">
      <c r="A879" s="12">
        <v>31.0</v>
      </c>
      <c r="B879" s="8" t="s">
        <v>304</v>
      </c>
      <c r="C879" s="8" t="s">
        <v>827</v>
      </c>
      <c r="I879" s="10" t="s">
        <v>903</v>
      </c>
      <c r="J879" s="13" t="s">
        <v>893</v>
      </c>
      <c r="K879" s="13" t="s">
        <v>276</v>
      </c>
      <c r="L879" s="13" t="s">
        <v>1708</v>
      </c>
      <c r="M879" s="7" t="s">
        <v>253</v>
      </c>
      <c r="N879" s="7" t="s">
        <v>253</v>
      </c>
      <c r="O879" s="7" t="s">
        <v>254</v>
      </c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  <c r="AB879" s="8"/>
      <c r="AC879" s="8"/>
      <c r="AD879" s="8"/>
      <c r="AE879" s="8"/>
    </row>
    <row r="880">
      <c r="A880" s="12">
        <v>31.0</v>
      </c>
      <c r="B880" s="8" t="s">
        <v>304</v>
      </c>
      <c r="C880" s="8" t="s">
        <v>827</v>
      </c>
      <c r="I880" s="10" t="s">
        <v>862</v>
      </c>
      <c r="J880" s="13" t="s">
        <v>889</v>
      </c>
      <c r="K880" s="13" t="s">
        <v>276</v>
      </c>
      <c r="L880" s="13" t="s">
        <v>1641</v>
      </c>
      <c r="M880" s="7" t="s">
        <v>253</v>
      </c>
      <c r="N880" s="7" t="s">
        <v>253</v>
      </c>
      <c r="O880" s="7" t="s">
        <v>254</v>
      </c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  <c r="AB880" s="8"/>
      <c r="AC880" s="8"/>
      <c r="AD880" s="8"/>
      <c r="AE880" s="8"/>
    </row>
    <row r="881">
      <c r="A881" s="12">
        <v>31.0</v>
      </c>
      <c r="B881" s="8" t="s">
        <v>304</v>
      </c>
      <c r="C881" s="8" t="s">
        <v>827</v>
      </c>
      <c r="I881" s="10" t="s">
        <v>1277</v>
      </c>
      <c r="J881" s="13" t="s">
        <v>893</v>
      </c>
      <c r="K881" s="13" t="s">
        <v>276</v>
      </c>
      <c r="L881" s="13" t="s">
        <v>1641</v>
      </c>
      <c r="M881" s="7" t="s">
        <v>253</v>
      </c>
      <c r="N881" s="7" t="s">
        <v>253</v>
      </c>
      <c r="O881" s="7" t="s">
        <v>254</v>
      </c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  <c r="AB881" s="8"/>
      <c r="AC881" s="8"/>
      <c r="AD881" s="8"/>
      <c r="AE881" s="8"/>
    </row>
    <row r="882">
      <c r="A882" s="12">
        <v>31.0</v>
      </c>
      <c r="B882" s="8" t="s">
        <v>304</v>
      </c>
      <c r="C882" s="8" t="s">
        <v>827</v>
      </c>
      <c r="I882" s="10" t="s">
        <v>896</v>
      </c>
      <c r="J882" s="13" t="s">
        <v>889</v>
      </c>
      <c r="K882" s="13" t="s">
        <v>276</v>
      </c>
      <c r="L882" s="13" t="s">
        <v>1641</v>
      </c>
      <c r="M882" s="7" t="s">
        <v>253</v>
      </c>
      <c r="N882" s="7" t="s">
        <v>253</v>
      </c>
      <c r="O882" s="7" t="s">
        <v>254</v>
      </c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  <c r="AB882" s="8"/>
      <c r="AC882" s="8"/>
      <c r="AD882" s="8"/>
      <c r="AE882" s="8"/>
    </row>
    <row r="883">
      <c r="A883" s="12">
        <v>31.0</v>
      </c>
      <c r="B883" s="8" t="s">
        <v>304</v>
      </c>
      <c r="C883" s="8" t="s">
        <v>827</v>
      </c>
      <c r="I883" s="10" t="s">
        <v>1694</v>
      </c>
      <c r="J883" s="13" t="s">
        <v>893</v>
      </c>
      <c r="K883" s="13" t="s">
        <v>276</v>
      </c>
      <c r="L883" s="13" t="s">
        <v>1641</v>
      </c>
      <c r="M883" s="7" t="s">
        <v>253</v>
      </c>
      <c r="N883" s="7" t="s">
        <v>253</v>
      </c>
      <c r="O883" s="7" t="s">
        <v>254</v>
      </c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  <c r="AB883" s="8"/>
      <c r="AC883" s="8"/>
      <c r="AD883" s="8"/>
      <c r="AE883" s="8"/>
    </row>
    <row r="884">
      <c r="A884" s="12">
        <v>31.0</v>
      </c>
      <c r="B884" s="8" t="s">
        <v>304</v>
      </c>
      <c r="C884" s="8" t="s">
        <v>827</v>
      </c>
      <c r="I884" s="10" t="s">
        <v>877</v>
      </c>
      <c r="J884" s="13" t="s">
        <v>889</v>
      </c>
      <c r="K884" s="13" t="s">
        <v>276</v>
      </c>
      <c r="L884" s="13" t="s">
        <v>1641</v>
      </c>
      <c r="M884" s="7" t="s">
        <v>253</v>
      </c>
      <c r="N884" s="7" t="s">
        <v>253</v>
      </c>
      <c r="O884" s="7" t="s">
        <v>254</v>
      </c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  <c r="AB884" s="8"/>
      <c r="AC884" s="8"/>
      <c r="AD884" s="8"/>
      <c r="AE884" s="8"/>
    </row>
    <row r="885">
      <c r="A885" s="12">
        <v>31.0</v>
      </c>
      <c r="B885" s="8" t="s">
        <v>304</v>
      </c>
      <c r="C885" s="8" t="s">
        <v>827</v>
      </c>
      <c r="I885" s="10" t="s">
        <v>1695</v>
      </c>
      <c r="J885" s="13" t="s">
        <v>893</v>
      </c>
      <c r="K885" s="13" t="s">
        <v>276</v>
      </c>
      <c r="L885" s="13" t="s">
        <v>1641</v>
      </c>
      <c r="M885" s="7" t="s">
        <v>253</v>
      </c>
      <c r="N885" s="7" t="s">
        <v>253</v>
      </c>
      <c r="O885" s="7" t="s">
        <v>254</v>
      </c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  <c r="AB885" s="8"/>
      <c r="AC885" s="8"/>
      <c r="AD885" s="8"/>
      <c r="AE885" s="8"/>
    </row>
    <row r="886">
      <c r="A886" s="12">
        <v>31.0</v>
      </c>
      <c r="B886" s="8" t="s">
        <v>304</v>
      </c>
      <c r="C886" s="8" t="s">
        <v>827</v>
      </c>
      <c r="I886" s="10" t="s">
        <v>924</v>
      </c>
      <c r="J886" s="13" t="s">
        <v>889</v>
      </c>
      <c r="K886" s="13" t="s">
        <v>276</v>
      </c>
      <c r="L886" s="13" t="s">
        <v>1641</v>
      </c>
      <c r="M886" s="7" t="s">
        <v>253</v>
      </c>
      <c r="N886" s="7" t="s">
        <v>253</v>
      </c>
      <c r="O886" s="7" t="s">
        <v>254</v>
      </c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  <c r="AB886" s="8"/>
      <c r="AC886" s="8"/>
      <c r="AD886" s="8"/>
      <c r="AE886" s="8"/>
    </row>
    <row r="887">
      <c r="A887" s="12">
        <v>31.0</v>
      </c>
      <c r="B887" s="8" t="s">
        <v>304</v>
      </c>
      <c r="C887" s="8" t="s">
        <v>827</v>
      </c>
      <c r="I887" s="10" t="s">
        <v>1484</v>
      </c>
      <c r="J887" s="13" t="s">
        <v>893</v>
      </c>
      <c r="K887" s="13" t="s">
        <v>276</v>
      </c>
      <c r="L887" s="13" t="s">
        <v>1641</v>
      </c>
      <c r="M887" s="7" t="s">
        <v>253</v>
      </c>
      <c r="N887" s="7" t="s">
        <v>253</v>
      </c>
      <c r="O887" s="7" t="s">
        <v>254</v>
      </c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  <c r="AB887" s="8"/>
      <c r="AC887" s="8"/>
      <c r="AD887" s="8"/>
      <c r="AE887" s="8"/>
    </row>
    <row r="888">
      <c r="A888" s="12">
        <v>31.0</v>
      </c>
      <c r="B888" s="8" t="s">
        <v>304</v>
      </c>
      <c r="C888" s="8" t="s">
        <v>827</v>
      </c>
      <c r="I888" s="10" t="s">
        <v>948</v>
      </c>
      <c r="J888" s="13" t="s">
        <v>889</v>
      </c>
      <c r="K888" s="13" t="s">
        <v>276</v>
      </c>
      <c r="L888" s="13" t="s">
        <v>1641</v>
      </c>
      <c r="M888" s="7" t="s">
        <v>253</v>
      </c>
      <c r="N888" s="7" t="s">
        <v>253</v>
      </c>
      <c r="O888" s="7" t="s">
        <v>254</v>
      </c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  <c r="AB888" s="8"/>
      <c r="AC888" s="8"/>
      <c r="AD888" s="8"/>
      <c r="AE888" s="8"/>
    </row>
    <row r="889">
      <c r="A889" s="12">
        <v>31.0</v>
      </c>
      <c r="B889" s="8" t="s">
        <v>304</v>
      </c>
      <c r="C889" s="8" t="s">
        <v>827</v>
      </c>
      <c r="I889" s="10" t="s">
        <v>873</v>
      </c>
      <c r="J889" s="13" t="s">
        <v>893</v>
      </c>
      <c r="K889" s="13" t="s">
        <v>276</v>
      </c>
      <c r="L889" s="13" t="s">
        <v>1641</v>
      </c>
      <c r="M889" s="7" t="s">
        <v>253</v>
      </c>
      <c r="N889" s="7" t="s">
        <v>253</v>
      </c>
      <c r="O889" s="7" t="s">
        <v>254</v>
      </c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  <c r="AB889" s="8"/>
      <c r="AC889" s="8"/>
      <c r="AD889" s="8"/>
      <c r="AE889" s="8"/>
    </row>
    <row r="890">
      <c r="A890" s="12">
        <v>31.0</v>
      </c>
      <c r="B890" s="8" t="s">
        <v>304</v>
      </c>
      <c r="C890" s="8" t="s">
        <v>827</v>
      </c>
      <c r="I890" s="10" t="s">
        <v>1617</v>
      </c>
      <c r="J890" s="13" t="s">
        <v>889</v>
      </c>
      <c r="K890" s="13" t="s">
        <v>276</v>
      </c>
      <c r="L890" s="13" t="s">
        <v>1641</v>
      </c>
      <c r="M890" s="7" t="s">
        <v>253</v>
      </c>
      <c r="N890" s="7" t="s">
        <v>253</v>
      </c>
      <c r="O890" s="7" t="s">
        <v>254</v>
      </c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  <c r="AB890" s="8"/>
      <c r="AC890" s="8"/>
      <c r="AD890" s="8"/>
      <c r="AE890" s="8"/>
    </row>
    <row r="891">
      <c r="A891" s="12">
        <v>31.0</v>
      </c>
      <c r="B891" s="8" t="s">
        <v>304</v>
      </c>
      <c r="C891" s="8" t="s">
        <v>827</v>
      </c>
      <c r="I891" s="10" t="s">
        <v>906</v>
      </c>
      <c r="J891" s="13" t="s">
        <v>893</v>
      </c>
      <c r="K891" s="13" t="s">
        <v>276</v>
      </c>
      <c r="L891" s="13" t="s">
        <v>1641</v>
      </c>
      <c r="M891" s="7" t="s">
        <v>253</v>
      </c>
      <c r="N891" s="7" t="s">
        <v>253</v>
      </c>
      <c r="O891" s="7" t="s">
        <v>254</v>
      </c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  <c r="AB891" s="8"/>
      <c r="AC891" s="8"/>
      <c r="AD891" s="8"/>
      <c r="AE891" s="8"/>
    </row>
    <row r="892">
      <c r="A892" s="12">
        <v>31.0</v>
      </c>
      <c r="B892" s="8" t="s">
        <v>304</v>
      </c>
      <c r="C892" s="8" t="s">
        <v>827</v>
      </c>
      <c r="I892" s="10" t="s">
        <v>881</v>
      </c>
      <c r="J892" s="13" t="s">
        <v>889</v>
      </c>
      <c r="K892" s="13" t="s">
        <v>276</v>
      </c>
      <c r="L892" s="13" t="s">
        <v>1641</v>
      </c>
      <c r="M892" s="7" t="s">
        <v>253</v>
      </c>
      <c r="N892" s="7" t="s">
        <v>253</v>
      </c>
      <c r="O892" s="7" t="s">
        <v>254</v>
      </c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  <c r="AB892" s="8"/>
      <c r="AC892" s="8"/>
      <c r="AD892" s="8"/>
      <c r="AE892" s="8"/>
    </row>
    <row r="893">
      <c r="A893" s="12">
        <v>31.0</v>
      </c>
      <c r="B893" s="8" t="s">
        <v>304</v>
      </c>
      <c r="C893" s="8" t="s">
        <v>827</v>
      </c>
      <c r="I893" s="10" t="s">
        <v>1696</v>
      </c>
      <c r="J893" s="13" t="s">
        <v>893</v>
      </c>
      <c r="K893" s="13" t="s">
        <v>276</v>
      </c>
      <c r="L893" s="13" t="s">
        <v>1706</v>
      </c>
      <c r="M893" s="7" t="s">
        <v>253</v>
      </c>
      <c r="N893" s="7" t="s">
        <v>253</v>
      </c>
      <c r="O893" s="7" t="s">
        <v>254</v>
      </c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  <c r="AB893" s="8"/>
      <c r="AC893" s="8"/>
      <c r="AD893" s="8"/>
      <c r="AE893" s="8"/>
    </row>
    <row r="894">
      <c r="A894" s="12">
        <v>31.0</v>
      </c>
      <c r="B894" s="8" t="s">
        <v>304</v>
      </c>
      <c r="C894" s="8" t="s">
        <v>827</v>
      </c>
      <c r="I894" s="10" t="s">
        <v>1305</v>
      </c>
      <c r="J894" s="13" t="s">
        <v>889</v>
      </c>
      <c r="K894" s="13" t="s">
        <v>276</v>
      </c>
      <c r="L894" s="13" t="s">
        <v>1641</v>
      </c>
      <c r="M894" s="7" t="s">
        <v>253</v>
      </c>
      <c r="N894" s="7" t="s">
        <v>253</v>
      </c>
      <c r="O894" s="7" t="s">
        <v>254</v>
      </c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  <c r="AB894" s="8"/>
      <c r="AC894" s="8"/>
      <c r="AD894" s="8"/>
      <c r="AE894" s="8"/>
    </row>
    <row r="895">
      <c r="A895" s="12">
        <v>31.0</v>
      </c>
      <c r="B895" s="8" t="s">
        <v>304</v>
      </c>
      <c r="C895" s="8" t="s">
        <v>827</v>
      </c>
      <c r="I895" s="10" t="s">
        <v>295</v>
      </c>
      <c r="J895" s="13" t="s">
        <v>893</v>
      </c>
      <c r="K895" s="13" t="s">
        <v>276</v>
      </c>
      <c r="L895" s="13" t="s">
        <v>1641</v>
      </c>
      <c r="M895" s="7" t="s">
        <v>253</v>
      </c>
      <c r="N895" s="7" t="s">
        <v>253</v>
      </c>
      <c r="O895" s="7" t="s">
        <v>254</v>
      </c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  <c r="AB895" s="8"/>
      <c r="AC895" s="8"/>
      <c r="AD895" s="8"/>
      <c r="AE895" s="8"/>
    </row>
    <row r="896">
      <c r="A896" s="12">
        <v>31.0</v>
      </c>
      <c r="B896" s="8" t="s">
        <v>304</v>
      </c>
      <c r="C896" s="8" t="s">
        <v>827</v>
      </c>
      <c r="I896" s="10" t="s">
        <v>1697</v>
      </c>
      <c r="J896" s="13" t="s">
        <v>889</v>
      </c>
      <c r="K896" s="13" t="s">
        <v>276</v>
      </c>
      <c r="L896" s="13" t="s">
        <v>1641</v>
      </c>
      <c r="M896" s="7" t="s">
        <v>253</v>
      </c>
      <c r="N896" s="7" t="s">
        <v>253</v>
      </c>
      <c r="O896" s="7" t="s">
        <v>254</v>
      </c>
      <c r="P896" s="13" t="s">
        <v>300</v>
      </c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  <c r="AB896" s="8"/>
      <c r="AC896" s="8"/>
      <c r="AD896" s="8"/>
      <c r="AE896" s="8"/>
    </row>
    <row r="897">
      <c r="A897" s="12">
        <v>31.0</v>
      </c>
      <c r="B897" s="8" t="s">
        <v>304</v>
      </c>
      <c r="C897" s="8" t="s">
        <v>827</v>
      </c>
      <c r="I897" s="10" t="s">
        <v>845</v>
      </c>
      <c r="J897" s="13" t="s">
        <v>893</v>
      </c>
      <c r="K897" s="13" t="s">
        <v>276</v>
      </c>
      <c r="L897" s="13" t="s">
        <v>1641</v>
      </c>
      <c r="M897" s="7" t="s">
        <v>253</v>
      </c>
      <c r="N897" s="7" t="s">
        <v>253</v>
      </c>
      <c r="O897" s="7" t="s">
        <v>254</v>
      </c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  <c r="AB897" s="8"/>
      <c r="AC897" s="8"/>
      <c r="AD897" s="8"/>
      <c r="AE897" s="8"/>
    </row>
    <row r="898">
      <c r="A898" s="12">
        <v>31.0</v>
      </c>
      <c r="B898" s="8" t="s">
        <v>304</v>
      </c>
      <c r="C898" s="8" t="s">
        <v>827</v>
      </c>
      <c r="I898" s="10" t="s">
        <v>824</v>
      </c>
      <c r="J898" s="13" t="s">
        <v>889</v>
      </c>
      <c r="K898" s="13" t="s">
        <v>276</v>
      </c>
      <c r="L898" s="13" t="s">
        <v>1641</v>
      </c>
      <c r="M898" s="7" t="s">
        <v>253</v>
      </c>
      <c r="N898" s="7" t="s">
        <v>253</v>
      </c>
      <c r="O898" s="7" t="s">
        <v>254</v>
      </c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  <c r="AB898" s="8"/>
      <c r="AC898" s="8"/>
      <c r="AD898" s="8"/>
      <c r="AE898" s="8"/>
    </row>
    <row r="899">
      <c r="A899" s="12">
        <v>31.0</v>
      </c>
      <c r="B899" s="8" t="s">
        <v>304</v>
      </c>
      <c r="C899" s="8" t="s">
        <v>827</v>
      </c>
      <c r="I899" s="10" t="s">
        <v>1698</v>
      </c>
      <c r="J899" s="13" t="s">
        <v>893</v>
      </c>
      <c r="K899" s="13" t="s">
        <v>276</v>
      </c>
      <c r="L899" s="13" t="s">
        <v>1706</v>
      </c>
      <c r="M899" s="7" t="s">
        <v>253</v>
      </c>
      <c r="N899" s="7" t="s">
        <v>253</v>
      </c>
      <c r="O899" s="7" t="s">
        <v>254</v>
      </c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  <c r="AB899" s="8"/>
      <c r="AC899" s="8"/>
      <c r="AD899" s="8"/>
      <c r="AE899" s="8"/>
    </row>
    <row r="900">
      <c r="A900" s="12">
        <v>31.0</v>
      </c>
      <c r="B900" s="8" t="s">
        <v>304</v>
      </c>
      <c r="C900" s="8" t="s">
        <v>827</v>
      </c>
      <c r="I900" s="10" t="s">
        <v>918</v>
      </c>
      <c r="J900" s="13" t="s">
        <v>889</v>
      </c>
      <c r="K900" s="13" t="s">
        <v>276</v>
      </c>
      <c r="L900" s="13" t="s">
        <v>1641</v>
      </c>
      <c r="M900" s="7" t="s">
        <v>253</v>
      </c>
      <c r="N900" s="7" t="s">
        <v>253</v>
      </c>
      <c r="O900" s="7" t="s">
        <v>254</v>
      </c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  <c r="AB900" s="8"/>
      <c r="AC900" s="8"/>
      <c r="AD900" s="8"/>
      <c r="AE900" s="8"/>
    </row>
    <row r="901">
      <c r="A901" s="12">
        <v>31.0</v>
      </c>
      <c r="B901" s="8" t="s">
        <v>304</v>
      </c>
      <c r="C901" s="8" t="s">
        <v>827</v>
      </c>
      <c r="I901" s="10" t="s">
        <v>1699</v>
      </c>
      <c r="J901" s="13" t="s">
        <v>893</v>
      </c>
      <c r="K901" s="13" t="s">
        <v>276</v>
      </c>
      <c r="L901" s="13" t="s">
        <v>1641</v>
      </c>
      <c r="M901" s="7" t="s">
        <v>253</v>
      </c>
      <c r="N901" s="7" t="s">
        <v>253</v>
      </c>
      <c r="O901" s="7" t="s">
        <v>254</v>
      </c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  <c r="AB901" s="8"/>
      <c r="AC901" s="8"/>
      <c r="AD901" s="8"/>
      <c r="AE901" s="8"/>
    </row>
    <row r="902">
      <c r="A902" s="12">
        <v>31.0</v>
      </c>
      <c r="B902" s="8" t="s">
        <v>304</v>
      </c>
      <c r="C902" s="8" t="s">
        <v>827</v>
      </c>
      <c r="I902" s="10" t="s">
        <v>1312</v>
      </c>
      <c r="J902" s="13" t="s">
        <v>889</v>
      </c>
      <c r="K902" s="13" t="s">
        <v>276</v>
      </c>
      <c r="L902" s="13" t="s">
        <v>1641</v>
      </c>
      <c r="M902" s="7" t="s">
        <v>253</v>
      </c>
      <c r="N902" s="7" t="s">
        <v>253</v>
      </c>
      <c r="O902" s="7" t="s">
        <v>254</v>
      </c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  <c r="AB902" s="8"/>
      <c r="AC902" s="8"/>
      <c r="AD902" s="8"/>
      <c r="AE902" s="8"/>
    </row>
    <row r="903">
      <c r="A903" s="12">
        <v>31.0</v>
      </c>
      <c r="B903" s="8" t="s">
        <v>304</v>
      </c>
      <c r="C903" s="8" t="s">
        <v>827</v>
      </c>
      <c r="I903" s="10" t="s">
        <v>306</v>
      </c>
      <c r="J903" s="13" t="s">
        <v>893</v>
      </c>
      <c r="K903" s="13" t="s">
        <v>276</v>
      </c>
      <c r="L903" s="13" t="s">
        <v>1709</v>
      </c>
      <c r="M903" s="7" t="s">
        <v>253</v>
      </c>
      <c r="N903" s="7" t="s">
        <v>253</v>
      </c>
      <c r="O903" s="7" t="s">
        <v>254</v>
      </c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  <c r="AB903" s="8"/>
      <c r="AC903" s="8"/>
      <c r="AD903" s="8"/>
      <c r="AE903" s="8"/>
    </row>
    <row r="904">
      <c r="A904" s="12">
        <v>31.0</v>
      </c>
      <c r="B904" s="8" t="s">
        <v>304</v>
      </c>
      <c r="C904" s="8" t="s">
        <v>827</v>
      </c>
      <c r="I904" s="10" t="s">
        <v>1700</v>
      </c>
      <c r="J904" s="13" t="s">
        <v>889</v>
      </c>
      <c r="K904" s="13" t="s">
        <v>276</v>
      </c>
      <c r="L904" s="13" t="s">
        <v>1641</v>
      </c>
      <c r="M904" s="7" t="s">
        <v>253</v>
      </c>
      <c r="N904" s="7" t="s">
        <v>253</v>
      </c>
      <c r="O904" s="7" t="s">
        <v>254</v>
      </c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  <c r="AB904" s="8"/>
      <c r="AC904" s="8"/>
      <c r="AD904" s="8"/>
      <c r="AE904" s="8"/>
    </row>
    <row r="905">
      <c r="A905" s="12">
        <v>31.0</v>
      </c>
      <c r="B905" s="8" t="s">
        <v>304</v>
      </c>
      <c r="C905" s="8" t="s">
        <v>827</v>
      </c>
      <c r="I905" s="10" t="s">
        <v>647</v>
      </c>
      <c r="J905" s="13" t="s">
        <v>893</v>
      </c>
      <c r="K905" s="13" t="s">
        <v>276</v>
      </c>
      <c r="L905" s="13" t="s">
        <v>1641</v>
      </c>
      <c r="M905" s="7" t="s">
        <v>253</v>
      </c>
      <c r="N905" s="7" t="s">
        <v>253</v>
      </c>
      <c r="O905" s="7" t="s">
        <v>254</v>
      </c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  <c r="AB905" s="8"/>
      <c r="AC905" s="8"/>
      <c r="AD905" s="8"/>
      <c r="AE905" s="8"/>
    </row>
    <row r="906">
      <c r="A906" s="12">
        <v>32.0</v>
      </c>
      <c r="B906" s="8" t="s">
        <v>306</v>
      </c>
      <c r="C906" s="8" t="s">
        <v>827</v>
      </c>
      <c r="D906" s="25">
        <f>IF(COUNTIF($B$2:$B906,$B906)&gt;1,"",COUNTIF($B$2:$B$2505,$B906))</f>
        <v>77</v>
      </c>
      <c r="E906" s="25">
        <f>IF(COUNTIF($B$2:$B906,$B906)&gt;1,"",COUNTIFS($B$2:$B$2505,$B906,$K$2:$K$2505,"PHÙ HỢP CAO"))</f>
        <v>1</v>
      </c>
      <c r="F906" s="25">
        <f>IF(COUNTIF($B$2:$B906,$B906)&gt;1,"",COUNTIFS($B$2:$B$2505,$B906,$K$2:$K$2505,"CÓ THỂ ĐI"))</f>
        <v>4</v>
      </c>
      <c r="G906" s="25">
        <f>IF(COUNTIF($B$2:$B906,$B906)&gt;1,"",COUNTIFS($B$2:$B$2505,$B906,$K$2:$K$2505,"CẦN SOÁT"))</f>
        <v>72</v>
      </c>
      <c r="H906" s="26" t="str">
        <f>IFERROR(__xludf.DUMMYFUNCTION("IF(COUNTIF($B$2:$B906,$B906)&gt;1,"""",IFERROR(TEXTJOIN(CHAR(10),TRUE,BYROW(QUERY({$B$2:$B$2505,$J$2:$J$2505},""select Col2, count(Col2) where Col1 = '""&amp;$B906&amp;""' group by Col2 order by count(Col2) desc label count(Col2) ''"",0),LAMBDA(r,INDEX(r,1,1)&amp;"" – "&amp;"""&amp;INDEX(r,1,2)&amp;"" link""))),""""))"),"thẻ hoàn tiền – 26 link
thẻ tín dụng hoàn tiền – 26 link
thẻ cashback – 25 link")</f>
        <v>thẻ hoàn tiền – 26 link
thẻ tín dụng hoàn tiền – 26 link
thẻ cashback – 25 link</v>
      </c>
      <c r="I906" s="10" t="s">
        <v>597</v>
      </c>
      <c r="J906" s="13" t="s">
        <v>902</v>
      </c>
      <c r="K906" s="13" t="s">
        <v>251</v>
      </c>
      <c r="L906" s="13" t="s">
        <v>1710</v>
      </c>
      <c r="M906" s="7" t="s">
        <v>253</v>
      </c>
      <c r="N906" s="7" t="s">
        <v>253</v>
      </c>
      <c r="O906" s="7" t="s">
        <v>254</v>
      </c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  <c r="AB906" s="8"/>
      <c r="AC906" s="8"/>
      <c r="AD906" s="8"/>
      <c r="AE906" s="8"/>
    </row>
    <row r="907">
      <c r="A907" s="12">
        <v>32.0</v>
      </c>
      <c r="B907" s="8" t="s">
        <v>306</v>
      </c>
      <c r="C907" s="8" t="s">
        <v>827</v>
      </c>
      <c r="I907" s="10" t="s">
        <v>903</v>
      </c>
      <c r="J907" s="13" t="s">
        <v>905</v>
      </c>
      <c r="K907" s="13" t="s">
        <v>272</v>
      </c>
      <c r="L907" s="13" t="s">
        <v>1711</v>
      </c>
      <c r="M907" s="7" t="s">
        <v>253</v>
      </c>
      <c r="N907" s="7" t="s">
        <v>253</v>
      </c>
      <c r="O907" s="7" t="s">
        <v>254</v>
      </c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  <c r="AB907" s="8"/>
      <c r="AC907" s="8"/>
      <c r="AD907" s="8"/>
      <c r="AE907" s="8"/>
    </row>
    <row r="908">
      <c r="A908" s="12">
        <v>32.0</v>
      </c>
      <c r="B908" s="8" t="s">
        <v>306</v>
      </c>
      <c r="C908" s="8" t="s">
        <v>827</v>
      </c>
      <c r="I908" s="10" t="s">
        <v>872</v>
      </c>
      <c r="J908" s="13" t="s">
        <v>908</v>
      </c>
      <c r="K908" s="13" t="s">
        <v>272</v>
      </c>
      <c r="L908" s="13" t="s">
        <v>1712</v>
      </c>
      <c r="M908" s="7" t="s">
        <v>253</v>
      </c>
      <c r="N908" s="7" t="s">
        <v>253</v>
      </c>
      <c r="O908" s="7" t="s">
        <v>254</v>
      </c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  <c r="AB908" s="8"/>
      <c r="AC908" s="8"/>
      <c r="AD908" s="8"/>
      <c r="AE908" s="8"/>
    </row>
    <row r="909">
      <c r="A909" s="12">
        <v>32.0</v>
      </c>
      <c r="B909" s="8" t="s">
        <v>306</v>
      </c>
      <c r="C909" s="8" t="s">
        <v>827</v>
      </c>
      <c r="I909" s="10" t="s">
        <v>909</v>
      </c>
      <c r="J909" s="13" t="s">
        <v>902</v>
      </c>
      <c r="K909" s="13" t="s">
        <v>272</v>
      </c>
      <c r="L909" s="13" t="s">
        <v>1713</v>
      </c>
      <c r="M909" s="7" t="s">
        <v>253</v>
      </c>
      <c r="N909" s="7" t="s">
        <v>253</v>
      </c>
      <c r="O909" s="7" t="s">
        <v>254</v>
      </c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  <c r="AB909" s="8"/>
      <c r="AC909" s="8"/>
      <c r="AD909" s="8"/>
      <c r="AE909" s="8"/>
    </row>
    <row r="910">
      <c r="A910" s="12">
        <v>32.0</v>
      </c>
      <c r="B910" s="8" t="s">
        <v>306</v>
      </c>
      <c r="C910" s="8" t="s">
        <v>827</v>
      </c>
      <c r="I910" s="10" t="s">
        <v>911</v>
      </c>
      <c r="J910" s="13" t="s">
        <v>905</v>
      </c>
      <c r="K910" s="13" t="s">
        <v>272</v>
      </c>
      <c r="L910" s="13" t="s">
        <v>1714</v>
      </c>
      <c r="M910" s="7" t="s">
        <v>253</v>
      </c>
      <c r="N910" s="7" t="s">
        <v>253</v>
      </c>
      <c r="O910" s="7" t="s">
        <v>254</v>
      </c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  <c r="AB910" s="8"/>
      <c r="AC910" s="8"/>
      <c r="AD910" s="8"/>
      <c r="AE910" s="8"/>
    </row>
    <row r="911">
      <c r="A911" s="12">
        <v>32.0</v>
      </c>
      <c r="B911" s="8" t="s">
        <v>306</v>
      </c>
      <c r="C911" s="8" t="s">
        <v>827</v>
      </c>
      <c r="I911" s="10" t="s">
        <v>521</v>
      </c>
      <c r="J911" s="13" t="s">
        <v>908</v>
      </c>
      <c r="K911" s="13" t="s">
        <v>276</v>
      </c>
      <c r="L911" s="13" t="s">
        <v>1641</v>
      </c>
      <c r="M911" s="7" t="s">
        <v>253</v>
      </c>
      <c r="N911" s="7" t="s">
        <v>253</v>
      </c>
      <c r="O911" s="7" t="s">
        <v>254</v>
      </c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  <c r="AB911" s="8"/>
      <c r="AC911" s="8"/>
      <c r="AD911" s="8"/>
      <c r="AE911" s="8"/>
    </row>
    <row r="912">
      <c r="A912" s="12">
        <v>32.0</v>
      </c>
      <c r="B912" s="8" t="s">
        <v>306</v>
      </c>
      <c r="C912" s="8" t="s">
        <v>827</v>
      </c>
      <c r="I912" s="10" t="s">
        <v>1190</v>
      </c>
      <c r="J912" s="13" t="s">
        <v>902</v>
      </c>
      <c r="K912" s="13" t="s">
        <v>276</v>
      </c>
      <c r="L912" s="13" t="s">
        <v>1641</v>
      </c>
      <c r="M912" s="7" t="s">
        <v>253</v>
      </c>
      <c r="N912" s="7" t="s">
        <v>253</v>
      </c>
      <c r="O912" s="7" t="s">
        <v>254</v>
      </c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  <c r="AB912" s="8"/>
      <c r="AC912" s="8"/>
      <c r="AD912" s="8"/>
      <c r="AE912" s="8"/>
    </row>
    <row r="913">
      <c r="A913" s="12">
        <v>32.0</v>
      </c>
      <c r="B913" s="8" t="s">
        <v>306</v>
      </c>
      <c r="C913" s="8" t="s">
        <v>827</v>
      </c>
      <c r="I913" s="10" t="s">
        <v>1251</v>
      </c>
      <c r="J913" s="13" t="s">
        <v>905</v>
      </c>
      <c r="K913" s="13" t="s">
        <v>276</v>
      </c>
      <c r="L913" s="13" t="s">
        <v>1715</v>
      </c>
      <c r="M913" s="7" t="s">
        <v>253</v>
      </c>
      <c r="N913" s="7" t="s">
        <v>253</v>
      </c>
      <c r="O913" s="7" t="s">
        <v>254</v>
      </c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  <c r="AB913" s="8"/>
      <c r="AC913" s="8"/>
      <c r="AD913" s="8"/>
      <c r="AE913" s="8"/>
    </row>
    <row r="914">
      <c r="A914" s="12">
        <v>32.0</v>
      </c>
      <c r="B914" s="8" t="s">
        <v>306</v>
      </c>
      <c r="C914" s="8" t="s">
        <v>827</v>
      </c>
      <c r="I914" s="10" t="s">
        <v>897</v>
      </c>
      <c r="J914" s="13" t="s">
        <v>908</v>
      </c>
      <c r="K914" s="13" t="s">
        <v>276</v>
      </c>
      <c r="L914" s="13" t="s">
        <v>1641</v>
      </c>
      <c r="M914" s="7" t="s">
        <v>253</v>
      </c>
      <c r="N914" s="7" t="s">
        <v>253</v>
      </c>
      <c r="O914" s="7" t="s">
        <v>254</v>
      </c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  <c r="AB914" s="8"/>
      <c r="AC914" s="8"/>
      <c r="AD914" s="8"/>
      <c r="AE914" s="8"/>
    </row>
    <row r="915">
      <c r="A915" s="12">
        <v>32.0</v>
      </c>
      <c r="B915" s="8" t="s">
        <v>306</v>
      </c>
      <c r="C915" s="8" t="s">
        <v>827</v>
      </c>
      <c r="I915" s="10" t="s">
        <v>1643</v>
      </c>
      <c r="J915" s="13" t="s">
        <v>902</v>
      </c>
      <c r="K915" s="13" t="s">
        <v>276</v>
      </c>
      <c r="L915" s="13" t="s">
        <v>1641</v>
      </c>
      <c r="M915" s="7" t="s">
        <v>253</v>
      </c>
      <c r="N915" s="7" t="s">
        <v>253</v>
      </c>
      <c r="O915" s="7" t="s">
        <v>254</v>
      </c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  <c r="AB915" s="8"/>
      <c r="AC915" s="8"/>
      <c r="AD915" s="8"/>
      <c r="AE915" s="8"/>
    </row>
    <row r="916">
      <c r="A916" s="12">
        <v>32.0</v>
      </c>
      <c r="B916" s="8" t="s">
        <v>306</v>
      </c>
      <c r="C916" s="8" t="s">
        <v>827</v>
      </c>
      <c r="I916" s="10" t="s">
        <v>1644</v>
      </c>
      <c r="J916" s="13" t="s">
        <v>905</v>
      </c>
      <c r="K916" s="13" t="s">
        <v>276</v>
      </c>
      <c r="L916" s="13" t="s">
        <v>1641</v>
      </c>
      <c r="M916" s="7" t="s">
        <v>253</v>
      </c>
      <c r="N916" s="7" t="s">
        <v>253</v>
      </c>
      <c r="O916" s="7" t="s">
        <v>254</v>
      </c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  <c r="AB916" s="8"/>
      <c r="AC916" s="8"/>
      <c r="AD916" s="8"/>
      <c r="AE916" s="8"/>
    </row>
    <row r="917">
      <c r="A917" s="12">
        <v>32.0</v>
      </c>
      <c r="B917" s="8" t="s">
        <v>306</v>
      </c>
      <c r="C917" s="8" t="s">
        <v>827</v>
      </c>
      <c r="I917" s="10" t="s">
        <v>1645</v>
      </c>
      <c r="J917" s="13" t="s">
        <v>908</v>
      </c>
      <c r="K917" s="13" t="s">
        <v>276</v>
      </c>
      <c r="L917" s="13" t="s">
        <v>1641</v>
      </c>
      <c r="M917" s="7" t="s">
        <v>253</v>
      </c>
      <c r="N917" s="7" t="s">
        <v>253</v>
      </c>
      <c r="O917" s="7" t="s">
        <v>254</v>
      </c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  <c r="AB917" s="8"/>
      <c r="AC917" s="8"/>
      <c r="AD917" s="8"/>
      <c r="AE917" s="8"/>
    </row>
    <row r="918">
      <c r="A918" s="12">
        <v>32.0</v>
      </c>
      <c r="B918" s="8" t="s">
        <v>306</v>
      </c>
      <c r="C918" s="8" t="s">
        <v>827</v>
      </c>
      <c r="I918" s="10" t="s">
        <v>887</v>
      </c>
      <c r="J918" s="13" t="s">
        <v>902</v>
      </c>
      <c r="K918" s="13" t="s">
        <v>276</v>
      </c>
      <c r="L918" s="13" t="s">
        <v>1641</v>
      </c>
      <c r="M918" s="7" t="s">
        <v>253</v>
      </c>
      <c r="N918" s="7" t="s">
        <v>253</v>
      </c>
      <c r="O918" s="7" t="s">
        <v>254</v>
      </c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  <c r="AB918" s="8"/>
      <c r="AC918" s="8"/>
      <c r="AD918" s="8"/>
      <c r="AE918" s="8"/>
    </row>
    <row r="919">
      <c r="A919" s="12">
        <v>32.0</v>
      </c>
      <c r="B919" s="8" t="s">
        <v>306</v>
      </c>
      <c r="C919" s="8" t="s">
        <v>827</v>
      </c>
      <c r="I919" s="10" t="s">
        <v>1582</v>
      </c>
      <c r="J919" s="13" t="s">
        <v>905</v>
      </c>
      <c r="K919" s="13" t="s">
        <v>276</v>
      </c>
      <c r="L919" s="13" t="s">
        <v>1641</v>
      </c>
      <c r="M919" s="7" t="s">
        <v>253</v>
      </c>
      <c r="N919" s="7" t="s">
        <v>253</v>
      </c>
      <c r="O919" s="7" t="s">
        <v>254</v>
      </c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  <c r="AB919" s="8"/>
      <c r="AC919" s="8"/>
      <c r="AD919" s="8"/>
      <c r="AE919" s="8"/>
    </row>
    <row r="920">
      <c r="A920" s="12">
        <v>32.0</v>
      </c>
      <c r="B920" s="8" t="s">
        <v>306</v>
      </c>
      <c r="C920" s="8" t="s">
        <v>827</v>
      </c>
      <c r="I920" s="10" t="s">
        <v>1647</v>
      </c>
      <c r="J920" s="13" t="s">
        <v>908</v>
      </c>
      <c r="K920" s="13" t="s">
        <v>276</v>
      </c>
      <c r="L920" s="13" t="s">
        <v>1641</v>
      </c>
      <c r="M920" s="7" t="s">
        <v>253</v>
      </c>
      <c r="N920" s="7" t="s">
        <v>253</v>
      </c>
      <c r="O920" s="7" t="s">
        <v>254</v>
      </c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  <c r="AB920" s="8"/>
      <c r="AC920" s="8"/>
      <c r="AD920" s="8"/>
      <c r="AE920" s="8"/>
    </row>
    <row r="921">
      <c r="A921" s="12">
        <v>32.0</v>
      </c>
      <c r="B921" s="8" t="s">
        <v>306</v>
      </c>
      <c r="C921" s="8" t="s">
        <v>827</v>
      </c>
      <c r="I921" s="10" t="s">
        <v>1425</v>
      </c>
      <c r="J921" s="13" t="s">
        <v>902</v>
      </c>
      <c r="K921" s="13" t="s">
        <v>276</v>
      </c>
      <c r="L921" s="13" t="s">
        <v>1641</v>
      </c>
      <c r="M921" s="7" t="s">
        <v>253</v>
      </c>
      <c r="N921" s="7" t="s">
        <v>253</v>
      </c>
      <c r="O921" s="7" t="s">
        <v>254</v>
      </c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  <c r="AB921" s="8"/>
      <c r="AC921" s="8"/>
      <c r="AD921" s="8"/>
      <c r="AE921" s="8"/>
    </row>
    <row r="922">
      <c r="A922" s="12">
        <v>32.0</v>
      </c>
      <c r="B922" s="8" t="s">
        <v>306</v>
      </c>
      <c r="C922" s="8" t="s">
        <v>827</v>
      </c>
      <c r="I922" s="10" t="s">
        <v>1648</v>
      </c>
      <c r="J922" s="13" t="s">
        <v>905</v>
      </c>
      <c r="K922" s="13" t="s">
        <v>276</v>
      </c>
      <c r="L922" s="13" t="s">
        <v>1641</v>
      </c>
      <c r="M922" s="7" t="s">
        <v>253</v>
      </c>
      <c r="N922" s="7" t="s">
        <v>253</v>
      </c>
      <c r="O922" s="7" t="s">
        <v>254</v>
      </c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  <c r="AB922" s="8"/>
      <c r="AC922" s="8"/>
      <c r="AD922" s="8"/>
      <c r="AE922" s="8"/>
    </row>
    <row r="923">
      <c r="A923" s="12">
        <v>32.0</v>
      </c>
      <c r="B923" s="8" t="s">
        <v>306</v>
      </c>
      <c r="C923" s="8" t="s">
        <v>827</v>
      </c>
      <c r="I923" s="10" t="s">
        <v>1195</v>
      </c>
      <c r="J923" s="13" t="s">
        <v>908</v>
      </c>
      <c r="K923" s="13" t="s">
        <v>276</v>
      </c>
      <c r="L923" s="13" t="s">
        <v>1641</v>
      </c>
      <c r="M923" s="7" t="s">
        <v>253</v>
      </c>
      <c r="N923" s="7" t="s">
        <v>253</v>
      </c>
      <c r="O923" s="7" t="s">
        <v>254</v>
      </c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  <c r="AB923" s="8"/>
      <c r="AC923" s="8"/>
      <c r="AD923" s="8"/>
      <c r="AE923" s="8"/>
    </row>
    <row r="924">
      <c r="A924" s="12">
        <v>32.0</v>
      </c>
      <c r="B924" s="8" t="s">
        <v>306</v>
      </c>
      <c r="C924" s="8" t="s">
        <v>827</v>
      </c>
      <c r="I924" s="10" t="s">
        <v>1583</v>
      </c>
      <c r="J924" s="13" t="s">
        <v>902</v>
      </c>
      <c r="K924" s="13" t="s">
        <v>276</v>
      </c>
      <c r="L924" s="13" t="s">
        <v>1641</v>
      </c>
      <c r="M924" s="7" t="s">
        <v>253</v>
      </c>
      <c r="N924" s="7" t="s">
        <v>253</v>
      </c>
      <c r="O924" s="7" t="s">
        <v>254</v>
      </c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  <c r="AB924" s="8"/>
      <c r="AC924" s="8"/>
      <c r="AD924" s="8"/>
      <c r="AE924" s="8"/>
    </row>
    <row r="925">
      <c r="A925" s="12">
        <v>32.0</v>
      </c>
      <c r="B925" s="8" t="s">
        <v>306</v>
      </c>
      <c r="C925" s="8" t="s">
        <v>827</v>
      </c>
      <c r="I925" s="10" t="s">
        <v>928</v>
      </c>
      <c r="J925" s="13" t="s">
        <v>905</v>
      </c>
      <c r="K925" s="13" t="s">
        <v>276</v>
      </c>
      <c r="L925" s="13" t="s">
        <v>1641</v>
      </c>
      <c r="M925" s="7" t="s">
        <v>253</v>
      </c>
      <c r="N925" s="7" t="s">
        <v>253</v>
      </c>
      <c r="O925" s="7" t="s">
        <v>254</v>
      </c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  <c r="AB925" s="8"/>
      <c r="AC925" s="8"/>
      <c r="AD925" s="8"/>
      <c r="AE925" s="8"/>
    </row>
    <row r="926">
      <c r="A926" s="12">
        <v>32.0</v>
      </c>
      <c r="B926" s="8" t="s">
        <v>306</v>
      </c>
      <c r="C926" s="8" t="s">
        <v>827</v>
      </c>
      <c r="I926" s="10" t="s">
        <v>310</v>
      </c>
      <c r="J926" s="13" t="s">
        <v>908</v>
      </c>
      <c r="K926" s="13" t="s">
        <v>276</v>
      </c>
      <c r="L926" s="13" t="s">
        <v>1641</v>
      </c>
      <c r="M926" s="7" t="s">
        <v>253</v>
      </c>
      <c r="N926" s="7" t="s">
        <v>253</v>
      </c>
      <c r="O926" s="7" t="s">
        <v>254</v>
      </c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  <c r="AB926" s="8"/>
      <c r="AC926" s="8"/>
      <c r="AD926" s="8"/>
      <c r="AE926" s="8"/>
    </row>
    <row r="927">
      <c r="A927" s="12">
        <v>32.0</v>
      </c>
      <c r="B927" s="8" t="s">
        <v>306</v>
      </c>
      <c r="C927" s="8" t="s">
        <v>827</v>
      </c>
      <c r="I927" s="10" t="s">
        <v>884</v>
      </c>
      <c r="J927" s="13" t="s">
        <v>902</v>
      </c>
      <c r="K927" s="13" t="s">
        <v>276</v>
      </c>
      <c r="L927" s="13" t="s">
        <v>1641</v>
      </c>
      <c r="M927" s="7" t="s">
        <v>253</v>
      </c>
      <c r="N927" s="7" t="s">
        <v>253</v>
      </c>
      <c r="O927" s="7" t="s">
        <v>254</v>
      </c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  <c r="AB927" s="8"/>
      <c r="AC927" s="8"/>
      <c r="AD927" s="8"/>
      <c r="AE927" s="8"/>
    </row>
    <row r="928">
      <c r="A928" s="12">
        <v>32.0</v>
      </c>
      <c r="B928" s="8" t="s">
        <v>306</v>
      </c>
      <c r="C928" s="8" t="s">
        <v>827</v>
      </c>
      <c r="I928" s="10" t="s">
        <v>1651</v>
      </c>
      <c r="J928" s="13" t="s">
        <v>905</v>
      </c>
      <c r="K928" s="13" t="s">
        <v>276</v>
      </c>
      <c r="L928" s="13" t="s">
        <v>1641</v>
      </c>
      <c r="M928" s="7" t="s">
        <v>253</v>
      </c>
      <c r="N928" s="7" t="s">
        <v>253</v>
      </c>
      <c r="O928" s="7" t="s">
        <v>254</v>
      </c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  <c r="AB928" s="8"/>
      <c r="AC928" s="8"/>
      <c r="AD928" s="8"/>
      <c r="AE928" s="8"/>
    </row>
    <row r="929">
      <c r="A929" s="12">
        <v>32.0</v>
      </c>
      <c r="B929" s="8" t="s">
        <v>306</v>
      </c>
      <c r="C929" s="8" t="s">
        <v>827</v>
      </c>
      <c r="I929" s="10" t="s">
        <v>1652</v>
      </c>
      <c r="J929" s="13" t="s">
        <v>908</v>
      </c>
      <c r="K929" s="13" t="s">
        <v>276</v>
      </c>
      <c r="L929" s="13" t="s">
        <v>1641</v>
      </c>
      <c r="M929" s="7" t="s">
        <v>253</v>
      </c>
      <c r="N929" s="7" t="s">
        <v>253</v>
      </c>
      <c r="O929" s="7" t="s">
        <v>254</v>
      </c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  <c r="AB929" s="8"/>
      <c r="AC929" s="8"/>
      <c r="AD929" s="8"/>
      <c r="AE929" s="8"/>
    </row>
    <row r="930">
      <c r="A930" s="12">
        <v>32.0</v>
      </c>
      <c r="B930" s="8" t="s">
        <v>306</v>
      </c>
      <c r="C930" s="8" t="s">
        <v>827</v>
      </c>
      <c r="I930" s="10" t="s">
        <v>940</v>
      </c>
      <c r="J930" s="13" t="s">
        <v>902</v>
      </c>
      <c r="K930" s="13" t="s">
        <v>276</v>
      </c>
      <c r="L930" s="13" t="s">
        <v>1641</v>
      </c>
      <c r="M930" s="7" t="s">
        <v>253</v>
      </c>
      <c r="N930" s="7" t="s">
        <v>253</v>
      </c>
      <c r="O930" s="7" t="s">
        <v>254</v>
      </c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  <c r="AB930" s="8"/>
      <c r="AC930" s="8"/>
      <c r="AD930" s="8"/>
      <c r="AE930" s="8"/>
    </row>
    <row r="931">
      <c r="A931" s="12">
        <v>32.0</v>
      </c>
      <c r="B931" s="8" t="s">
        <v>306</v>
      </c>
      <c r="C931" s="8" t="s">
        <v>827</v>
      </c>
      <c r="I931" s="10" t="s">
        <v>850</v>
      </c>
      <c r="J931" s="13" t="s">
        <v>905</v>
      </c>
      <c r="K931" s="13" t="s">
        <v>276</v>
      </c>
      <c r="L931" s="13" t="s">
        <v>1641</v>
      </c>
      <c r="M931" s="7" t="s">
        <v>253</v>
      </c>
      <c r="N931" s="7" t="s">
        <v>253</v>
      </c>
      <c r="O931" s="7" t="s">
        <v>254</v>
      </c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  <c r="AB931" s="8"/>
      <c r="AC931" s="8"/>
      <c r="AD931" s="8"/>
      <c r="AE931" s="8"/>
    </row>
    <row r="932">
      <c r="A932" s="12">
        <v>32.0</v>
      </c>
      <c r="B932" s="8" t="s">
        <v>306</v>
      </c>
      <c r="C932" s="8" t="s">
        <v>827</v>
      </c>
      <c r="I932" s="10" t="s">
        <v>1260</v>
      </c>
      <c r="J932" s="13" t="s">
        <v>908</v>
      </c>
      <c r="K932" s="13" t="s">
        <v>276</v>
      </c>
      <c r="L932" s="13" t="s">
        <v>1707</v>
      </c>
      <c r="M932" s="7" t="s">
        <v>253</v>
      </c>
      <c r="N932" s="7" t="s">
        <v>253</v>
      </c>
      <c r="O932" s="7" t="s">
        <v>254</v>
      </c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  <c r="AB932" s="8"/>
      <c r="AC932" s="8"/>
      <c r="AD932" s="8"/>
      <c r="AE932" s="8"/>
    </row>
    <row r="933">
      <c r="A933" s="12">
        <v>32.0</v>
      </c>
      <c r="B933" s="8" t="s">
        <v>306</v>
      </c>
      <c r="C933" s="8" t="s">
        <v>827</v>
      </c>
      <c r="I933" s="10" t="s">
        <v>336</v>
      </c>
      <c r="J933" s="13" t="s">
        <v>902</v>
      </c>
      <c r="K933" s="13" t="s">
        <v>276</v>
      </c>
      <c r="L933" s="13" t="s">
        <v>1716</v>
      </c>
      <c r="M933" s="7" t="s">
        <v>253</v>
      </c>
      <c r="N933" s="7" t="s">
        <v>253</v>
      </c>
      <c r="O933" s="7" t="s">
        <v>254</v>
      </c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  <c r="AB933" s="8"/>
      <c r="AC933" s="8"/>
      <c r="AD933" s="8"/>
      <c r="AE933" s="8"/>
    </row>
    <row r="934">
      <c r="A934" s="12">
        <v>32.0</v>
      </c>
      <c r="B934" s="8" t="s">
        <v>306</v>
      </c>
      <c r="C934" s="8" t="s">
        <v>827</v>
      </c>
      <c r="I934" s="10" t="s">
        <v>313</v>
      </c>
      <c r="J934" s="13" t="s">
        <v>905</v>
      </c>
      <c r="K934" s="13" t="s">
        <v>276</v>
      </c>
      <c r="L934" s="13" t="s">
        <v>1641</v>
      </c>
      <c r="M934" s="7" t="s">
        <v>253</v>
      </c>
      <c r="N934" s="7" t="s">
        <v>253</v>
      </c>
      <c r="O934" s="7" t="s">
        <v>254</v>
      </c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  <c r="AB934" s="8"/>
      <c r="AC934" s="8"/>
      <c r="AD934" s="8"/>
      <c r="AE934" s="8"/>
    </row>
    <row r="935">
      <c r="A935" s="12">
        <v>32.0</v>
      </c>
      <c r="B935" s="8" t="s">
        <v>306</v>
      </c>
      <c r="C935" s="8" t="s">
        <v>827</v>
      </c>
      <c r="I935" s="10" t="s">
        <v>1654</v>
      </c>
      <c r="J935" s="13" t="s">
        <v>908</v>
      </c>
      <c r="K935" s="13" t="s">
        <v>276</v>
      </c>
      <c r="L935" s="13" t="s">
        <v>1641</v>
      </c>
      <c r="M935" s="7" t="s">
        <v>253</v>
      </c>
      <c r="N935" s="7" t="s">
        <v>253</v>
      </c>
      <c r="O935" s="7" t="s">
        <v>254</v>
      </c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  <c r="AB935" s="8"/>
      <c r="AC935" s="8"/>
      <c r="AD935" s="8"/>
      <c r="AE935" s="8"/>
    </row>
    <row r="936">
      <c r="A936" s="12">
        <v>32.0</v>
      </c>
      <c r="B936" s="8" t="s">
        <v>306</v>
      </c>
      <c r="C936" s="8" t="s">
        <v>827</v>
      </c>
      <c r="I936" s="10" t="s">
        <v>1655</v>
      </c>
      <c r="J936" s="13" t="s">
        <v>902</v>
      </c>
      <c r="K936" s="13" t="s">
        <v>276</v>
      </c>
      <c r="L936" s="13" t="s">
        <v>1641</v>
      </c>
      <c r="M936" s="7" t="s">
        <v>253</v>
      </c>
      <c r="N936" s="7" t="s">
        <v>253</v>
      </c>
      <c r="O936" s="7" t="s">
        <v>254</v>
      </c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  <c r="AB936" s="8"/>
      <c r="AC936" s="8"/>
      <c r="AD936" s="8"/>
      <c r="AE936" s="8"/>
    </row>
    <row r="937">
      <c r="A937" s="12">
        <v>32.0</v>
      </c>
      <c r="B937" s="8" t="s">
        <v>306</v>
      </c>
      <c r="C937" s="8" t="s">
        <v>827</v>
      </c>
      <c r="I937" s="10" t="s">
        <v>1658</v>
      </c>
      <c r="J937" s="13" t="s">
        <v>905</v>
      </c>
      <c r="K937" s="13" t="s">
        <v>276</v>
      </c>
      <c r="L937" s="13" t="s">
        <v>1641</v>
      </c>
      <c r="M937" s="7" t="s">
        <v>253</v>
      </c>
      <c r="N937" s="7" t="s">
        <v>253</v>
      </c>
      <c r="O937" s="7" t="s">
        <v>254</v>
      </c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  <c r="AB937" s="8"/>
      <c r="AC937" s="8"/>
      <c r="AD937" s="8"/>
      <c r="AE937" s="8"/>
    </row>
    <row r="938">
      <c r="A938" s="12">
        <v>32.0</v>
      </c>
      <c r="B938" s="8" t="s">
        <v>306</v>
      </c>
      <c r="C938" s="8" t="s">
        <v>827</v>
      </c>
      <c r="I938" s="10" t="s">
        <v>436</v>
      </c>
      <c r="J938" s="13" t="s">
        <v>908</v>
      </c>
      <c r="K938" s="13" t="s">
        <v>276</v>
      </c>
      <c r="L938" s="13" t="s">
        <v>1641</v>
      </c>
      <c r="M938" s="7" t="s">
        <v>253</v>
      </c>
      <c r="N938" s="7" t="s">
        <v>253</v>
      </c>
      <c r="O938" s="7" t="s">
        <v>254</v>
      </c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  <c r="AB938" s="8"/>
      <c r="AC938" s="8"/>
      <c r="AD938" s="8"/>
      <c r="AE938" s="8"/>
    </row>
    <row r="939">
      <c r="A939" s="12">
        <v>32.0</v>
      </c>
      <c r="B939" s="8" t="s">
        <v>306</v>
      </c>
      <c r="C939" s="8" t="s">
        <v>827</v>
      </c>
      <c r="I939" s="10" t="s">
        <v>1588</v>
      </c>
      <c r="J939" s="13" t="s">
        <v>902</v>
      </c>
      <c r="K939" s="13" t="s">
        <v>276</v>
      </c>
      <c r="L939" s="13" t="s">
        <v>1641</v>
      </c>
      <c r="M939" s="7" t="s">
        <v>253</v>
      </c>
      <c r="N939" s="7" t="s">
        <v>253</v>
      </c>
      <c r="O939" s="7" t="s">
        <v>254</v>
      </c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  <c r="AB939" s="8"/>
      <c r="AC939" s="8"/>
      <c r="AD939" s="8"/>
      <c r="AE939" s="8"/>
    </row>
    <row r="940">
      <c r="A940" s="12">
        <v>32.0</v>
      </c>
      <c r="B940" s="8" t="s">
        <v>306</v>
      </c>
      <c r="C940" s="8" t="s">
        <v>827</v>
      </c>
      <c r="I940" s="10" t="s">
        <v>1268</v>
      </c>
      <c r="J940" s="13" t="s">
        <v>905</v>
      </c>
      <c r="K940" s="13" t="s">
        <v>276</v>
      </c>
      <c r="L940" s="13" t="s">
        <v>1716</v>
      </c>
      <c r="M940" s="7" t="s">
        <v>253</v>
      </c>
      <c r="N940" s="7" t="s">
        <v>253</v>
      </c>
      <c r="O940" s="7" t="s">
        <v>254</v>
      </c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  <c r="AB940" s="8"/>
      <c r="AC940" s="8"/>
      <c r="AD940" s="8"/>
      <c r="AE940" s="8"/>
    </row>
    <row r="941">
      <c r="A941" s="12">
        <v>32.0</v>
      </c>
      <c r="B941" s="8" t="s">
        <v>306</v>
      </c>
      <c r="C941" s="8" t="s">
        <v>827</v>
      </c>
      <c r="I941" s="10" t="s">
        <v>894</v>
      </c>
      <c r="J941" s="13" t="s">
        <v>908</v>
      </c>
      <c r="K941" s="13" t="s">
        <v>276</v>
      </c>
      <c r="L941" s="13" t="s">
        <v>1717</v>
      </c>
      <c r="M941" s="7" t="s">
        <v>253</v>
      </c>
      <c r="N941" s="7" t="s">
        <v>253</v>
      </c>
      <c r="O941" s="7" t="s">
        <v>254</v>
      </c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  <c r="AB941" s="8"/>
      <c r="AC941" s="8"/>
      <c r="AD941" s="8"/>
      <c r="AE941" s="8"/>
    </row>
    <row r="942">
      <c r="A942" s="12">
        <v>32.0</v>
      </c>
      <c r="B942" s="8" t="s">
        <v>306</v>
      </c>
      <c r="C942" s="8" t="s">
        <v>827</v>
      </c>
      <c r="I942" s="10" t="s">
        <v>1670</v>
      </c>
      <c r="J942" s="13" t="s">
        <v>902</v>
      </c>
      <c r="K942" s="13" t="s">
        <v>276</v>
      </c>
      <c r="L942" s="13" t="s">
        <v>1641</v>
      </c>
      <c r="M942" s="7" t="s">
        <v>253</v>
      </c>
      <c r="N942" s="7" t="s">
        <v>253</v>
      </c>
      <c r="O942" s="7" t="s">
        <v>254</v>
      </c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  <c r="AB942" s="8"/>
      <c r="AC942" s="8"/>
      <c r="AD942" s="8"/>
      <c r="AE942" s="8"/>
    </row>
    <row r="943">
      <c r="A943" s="12">
        <v>32.0</v>
      </c>
      <c r="B943" s="8" t="s">
        <v>306</v>
      </c>
      <c r="C943" s="8" t="s">
        <v>827</v>
      </c>
      <c r="I943" s="10" t="s">
        <v>864</v>
      </c>
      <c r="J943" s="13" t="s">
        <v>905</v>
      </c>
      <c r="K943" s="13" t="s">
        <v>276</v>
      </c>
      <c r="L943" s="13" t="s">
        <v>1641</v>
      </c>
      <c r="M943" s="7" t="s">
        <v>253</v>
      </c>
      <c r="N943" s="7" t="s">
        <v>253</v>
      </c>
      <c r="O943" s="7" t="s">
        <v>254</v>
      </c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  <c r="AB943" s="8"/>
      <c r="AC943" s="8"/>
      <c r="AD943" s="8"/>
      <c r="AE943" s="8"/>
    </row>
    <row r="944">
      <c r="A944" s="12">
        <v>32.0</v>
      </c>
      <c r="B944" s="8" t="s">
        <v>306</v>
      </c>
      <c r="C944" s="8" t="s">
        <v>827</v>
      </c>
      <c r="I944" s="10" t="s">
        <v>899</v>
      </c>
      <c r="J944" s="13" t="s">
        <v>908</v>
      </c>
      <c r="K944" s="13" t="s">
        <v>276</v>
      </c>
      <c r="L944" s="13" t="s">
        <v>1641</v>
      </c>
      <c r="M944" s="7" t="s">
        <v>253</v>
      </c>
      <c r="N944" s="7" t="s">
        <v>253</v>
      </c>
      <c r="O944" s="7" t="s">
        <v>254</v>
      </c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  <c r="AB944" s="8"/>
      <c r="AC944" s="8"/>
      <c r="AD944" s="8"/>
      <c r="AE944" s="8"/>
    </row>
    <row r="945">
      <c r="A945" s="12">
        <v>32.0</v>
      </c>
      <c r="B945" s="8" t="s">
        <v>306</v>
      </c>
      <c r="C945" s="8" t="s">
        <v>827</v>
      </c>
      <c r="I945" s="10" t="s">
        <v>1676</v>
      </c>
      <c r="J945" s="13" t="s">
        <v>902</v>
      </c>
      <c r="K945" s="13" t="s">
        <v>276</v>
      </c>
      <c r="L945" s="13" t="s">
        <v>1641</v>
      </c>
      <c r="M945" s="7" t="s">
        <v>253</v>
      </c>
      <c r="N945" s="7" t="s">
        <v>253</v>
      </c>
      <c r="O945" s="7" t="s">
        <v>254</v>
      </c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  <c r="AB945" s="8"/>
      <c r="AC945" s="8"/>
      <c r="AD945" s="8"/>
      <c r="AE945" s="8"/>
    </row>
    <row r="946">
      <c r="A946" s="12">
        <v>32.0</v>
      </c>
      <c r="B946" s="8" t="s">
        <v>306</v>
      </c>
      <c r="C946" s="8" t="s">
        <v>827</v>
      </c>
      <c r="I946" s="10" t="s">
        <v>936</v>
      </c>
      <c r="J946" s="13" t="s">
        <v>905</v>
      </c>
      <c r="K946" s="13" t="s">
        <v>276</v>
      </c>
      <c r="L946" s="13" t="s">
        <v>1641</v>
      </c>
      <c r="M946" s="7" t="s">
        <v>253</v>
      </c>
      <c r="N946" s="7" t="s">
        <v>253</v>
      </c>
      <c r="O946" s="7" t="s">
        <v>254</v>
      </c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  <c r="AB946" s="8"/>
      <c r="AC946" s="8"/>
      <c r="AD946" s="8"/>
      <c r="AE946" s="8"/>
    </row>
    <row r="947">
      <c r="A947" s="12">
        <v>32.0</v>
      </c>
      <c r="B947" s="8" t="s">
        <v>306</v>
      </c>
      <c r="C947" s="8" t="s">
        <v>827</v>
      </c>
      <c r="I947" s="10" t="s">
        <v>1677</v>
      </c>
      <c r="J947" s="13" t="s">
        <v>908</v>
      </c>
      <c r="K947" s="13" t="s">
        <v>276</v>
      </c>
      <c r="L947" s="13" t="s">
        <v>1641</v>
      </c>
      <c r="M947" s="7" t="s">
        <v>253</v>
      </c>
      <c r="N947" s="7" t="s">
        <v>253</v>
      </c>
      <c r="O947" s="7" t="s">
        <v>254</v>
      </c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  <c r="AB947" s="8"/>
      <c r="AC947" s="8"/>
      <c r="AD947" s="8"/>
      <c r="AE947" s="8"/>
    </row>
    <row r="948">
      <c r="A948" s="12">
        <v>32.0</v>
      </c>
      <c r="B948" s="8" t="s">
        <v>306</v>
      </c>
      <c r="C948" s="8" t="s">
        <v>827</v>
      </c>
      <c r="I948" s="10" t="s">
        <v>1455</v>
      </c>
      <c r="J948" s="13" t="s">
        <v>902</v>
      </c>
      <c r="K948" s="13" t="s">
        <v>276</v>
      </c>
      <c r="L948" s="13" t="s">
        <v>1641</v>
      </c>
      <c r="M948" s="7" t="s">
        <v>253</v>
      </c>
      <c r="N948" s="7" t="s">
        <v>253</v>
      </c>
      <c r="O948" s="7" t="s">
        <v>254</v>
      </c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  <c r="AB948" s="8"/>
      <c r="AC948" s="8"/>
      <c r="AD948" s="8"/>
      <c r="AE948" s="8"/>
    </row>
    <row r="949">
      <c r="A949" s="12">
        <v>32.0</v>
      </c>
      <c r="B949" s="8" t="s">
        <v>306</v>
      </c>
      <c r="C949" s="8" t="s">
        <v>827</v>
      </c>
      <c r="I949" s="10" t="s">
        <v>1690</v>
      </c>
      <c r="J949" s="13" t="s">
        <v>905</v>
      </c>
      <c r="K949" s="13" t="s">
        <v>276</v>
      </c>
      <c r="L949" s="13" t="s">
        <v>1641</v>
      </c>
      <c r="M949" s="7" t="s">
        <v>253</v>
      </c>
      <c r="N949" s="7" t="s">
        <v>253</v>
      </c>
      <c r="O949" s="7" t="s">
        <v>254</v>
      </c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  <c r="AB949" s="8"/>
      <c r="AC949" s="8"/>
      <c r="AD949" s="8"/>
      <c r="AE949" s="8"/>
    </row>
    <row r="950">
      <c r="A950" s="12">
        <v>32.0</v>
      </c>
      <c r="B950" s="8" t="s">
        <v>306</v>
      </c>
      <c r="C950" s="8" t="s">
        <v>827</v>
      </c>
      <c r="I950" s="10" t="s">
        <v>302</v>
      </c>
      <c r="J950" s="13" t="s">
        <v>908</v>
      </c>
      <c r="K950" s="13" t="s">
        <v>276</v>
      </c>
      <c r="L950" s="13" t="s">
        <v>1641</v>
      </c>
      <c r="M950" s="7" t="s">
        <v>253</v>
      </c>
      <c r="N950" s="7" t="s">
        <v>253</v>
      </c>
      <c r="O950" s="7" t="s">
        <v>254</v>
      </c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  <c r="AB950" s="8"/>
      <c r="AC950" s="8"/>
      <c r="AD950" s="8"/>
      <c r="AE950" s="8"/>
    </row>
    <row r="951">
      <c r="A951" s="12">
        <v>32.0</v>
      </c>
      <c r="B951" s="8" t="s">
        <v>306</v>
      </c>
      <c r="C951" s="8" t="s">
        <v>827</v>
      </c>
      <c r="I951" s="10" t="s">
        <v>1691</v>
      </c>
      <c r="J951" s="13" t="s">
        <v>902</v>
      </c>
      <c r="K951" s="13" t="s">
        <v>276</v>
      </c>
      <c r="L951" s="13" t="s">
        <v>1641</v>
      </c>
      <c r="M951" s="7" t="s">
        <v>253</v>
      </c>
      <c r="N951" s="7" t="s">
        <v>253</v>
      </c>
      <c r="O951" s="7" t="s">
        <v>254</v>
      </c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  <c r="AB951" s="8"/>
      <c r="AC951" s="8"/>
      <c r="AD951" s="8"/>
      <c r="AE951" s="8"/>
    </row>
    <row r="952">
      <c r="A952" s="12">
        <v>32.0</v>
      </c>
      <c r="B952" s="8" t="s">
        <v>306</v>
      </c>
      <c r="C952" s="8" t="s">
        <v>827</v>
      </c>
      <c r="I952" s="10" t="s">
        <v>291</v>
      </c>
      <c r="J952" s="13" t="s">
        <v>905</v>
      </c>
      <c r="K952" s="13" t="s">
        <v>276</v>
      </c>
      <c r="L952" s="13" t="s">
        <v>1641</v>
      </c>
      <c r="M952" s="7" t="s">
        <v>253</v>
      </c>
      <c r="N952" s="7" t="s">
        <v>253</v>
      </c>
      <c r="O952" s="7" t="s">
        <v>254</v>
      </c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  <c r="AB952" s="8"/>
      <c r="AC952" s="8"/>
      <c r="AD952" s="8"/>
      <c r="AE952" s="8"/>
    </row>
    <row r="953">
      <c r="A953" s="12">
        <v>32.0</v>
      </c>
      <c r="B953" s="8" t="s">
        <v>306</v>
      </c>
      <c r="C953" s="8" t="s">
        <v>827</v>
      </c>
      <c r="I953" s="10" t="s">
        <v>944</v>
      </c>
      <c r="J953" s="13" t="s">
        <v>908</v>
      </c>
      <c r="K953" s="13" t="s">
        <v>276</v>
      </c>
      <c r="L953" s="13" t="s">
        <v>1641</v>
      </c>
      <c r="M953" s="7" t="s">
        <v>253</v>
      </c>
      <c r="N953" s="7" t="s">
        <v>253</v>
      </c>
      <c r="O953" s="7" t="s">
        <v>254</v>
      </c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  <c r="AB953" s="8"/>
      <c r="AC953" s="8"/>
      <c r="AD953" s="8"/>
      <c r="AE953" s="8"/>
    </row>
    <row r="954">
      <c r="A954" s="12">
        <v>32.0</v>
      </c>
      <c r="B954" s="8" t="s">
        <v>306</v>
      </c>
      <c r="C954" s="8" t="s">
        <v>827</v>
      </c>
      <c r="I954" s="10" t="s">
        <v>1692</v>
      </c>
      <c r="J954" s="13" t="s">
        <v>902</v>
      </c>
      <c r="K954" s="13" t="s">
        <v>276</v>
      </c>
      <c r="L954" s="13" t="s">
        <v>1641</v>
      </c>
      <c r="M954" s="7" t="s">
        <v>253</v>
      </c>
      <c r="N954" s="7" t="s">
        <v>253</v>
      </c>
      <c r="O954" s="7" t="s">
        <v>254</v>
      </c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  <c r="AB954" s="8"/>
      <c r="AC954" s="8"/>
      <c r="AD954" s="8"/>
      <c r="AE954" s="8"/>
    </row>
    <row r="955">
      <c r="A955" s="12">
        <v>32.0</v>
      </c>
      <c r="B955" s="8" t="s">
        <v>306</v>
      </c>
      <c r="C955" s="8" t="s">
        <v>827</v>
      </c>
      <c r="I955" s="10" t="s">
        <v>1693</v>
      </c>
      <c r="J955" s="13" t="s">
        <v>905</v>
      </c>
      <c r="K955" s="13" t="s">
        <v>276</v>
      </c>
      <c r="L955" s="13" t="s">
        <v>1641</v>
      </c>
      <c r="M955" s="7" t="s">
        <v>253</v>
      </c>
      <c r="N955" s="7" t="s">
        <v>253</v>
      </c>
      <c r="O955" s="7" t="s">
        <v>254</v>
      </c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  <c r="AB955" s="8"/>
      <c r="AC955" s="8"/>
      <c r="AD955" s="8"/>
      <c r="AE955" s="8"/>
    </row>
    <row r="956">
      <c r="A956" s="12">
        <v>32.0</v>
      </c>
      <c r="B956" s="8" t="s">
        <v>306</v>
      </c>
      <c r="C956" s="8" t="s">
        <v>827</v>
      </c>
      <c r="I956" s="10" t="s">
        <v>869</v>
      </c>
      <c r="J956" s="13" t="s">
        <v>908</v>
      </c>
      <c r="K956" s="13" t="s">
        <v>276</v>
      </c>
      <c r="L956" s="13" t="s">
        <v>1641</v>
      </c>
      <c r="M956" s="7" t="s">
        <v>253</v>
      </c>
      <c r="N956" s="7" t="s">
        <v>253</v>
      </c>
      <c r="O956" s="7" t="s">
        <v>254</v>
      </c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  <c r="AB956" s="8"/>
      <c r="AC956" s="8"/>
      <c r="AD956" s="8"/>
      <c r="AE956" s="8"/>
    </row>
    <row r="957">
      <c r="A957" s="12">
        <v>32.0</v>
      </c>
      <c r="B957" s="8" t="s">
        <v>306</v>
      </c>
      <c r="C957" s="8" t="s">
        <v>827</v>
      </c>
      <c r="I957" s="10" t="s">
        <v>862</v>
      </c>
      <c r="J957" s="13" t="s">
        <v>902</v>
      </c>
      <c r="K957" s="13" t="s">
        <v>276</v>
      </c>
      <c r="L957" s="13" t="s">
        <v>1641</v>
      </c>
      <c r="M957" s="7" t="s">
        <v>253</v>
      </c>
      <c r="N957" s="7" t="s">
        <v>253</v>
      </c>
      <c r="O957" s="7" t="s">
        <v>254</v>
      </c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  <c r="AB957" s="8"/>
      <c r="AC957" s="8"/>
      <c r="AD957" s="8"/>
      <c r="AE957" s="8"/>
    </row>
    <row r="958">
      <c r="A958" s="12">
        <v>32.0</v>
      </c>
      <c r="B958" s="8" t="s">
        <v>306</v>
      </c>
      <c r="C958" s="8" t="s">
        <v>827</v>
      </c>
      <c r="I958" s="10" t="s">
        <v>1277</v>
      </c>
      <c r="J958" s="13" t="s">
        <v>905</v>
      </c>
      <c r="K958" s="13" t="s">
        <v>276</v>
      </c>
      <c r="L958" s="13" t="s">
        <v>1641</v>
      </c>
      <c r="M958" s="7" t="s">
        <v>253</v>
      </c>
      <c r="N958" s="7" t="s">
        <v>253</v>
      </c>
      <c r="O958" s="7" t="s">
        <v>254</v>
      </c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  <c r="AB958" s="8"/>
      <c r="AC958" s="8"/>
      <c r="AD958" s="8"/>
      <c r="AE958" s="8"/>
    </row>
    <row r="959">
      <c r="A959" s="12">
        <v>32.0</v>
      </c>
      <c r="B959" s="8" t="s">
        <v>306</v>
      </c>
      <c r="C959" s="8" t="s">
        <v>827</v>
      </c>
      <c r="I959" s="10" t="s">
        <v>896</v>
      </c>
      <c r="J959" s="13" t="s">
        <v>908</v>
      </c>
      <c r="K959" s="13" t="s">
        <v>276</v>
      </c>
      <c r="L959" s="13" t="s">
        <v>1641</v>
      </c>
      <c r="M959" s="7" t="s">
        <v>253</v>
      </c>
      <c r="N959" s="7" t="s">
        <v>253</v>
      </c>
      <c r="O959" s="7" t="s">
        <v>254</v>
      </c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  <c r="AB959" s="8"/>
      <c r="AC959" s="8"/>
      <c r="AD959" s="8"/>
      <c r="AE959" s="8"/>
    </row>
    <row r="960">
      <c r="A960" s="12">
        <v>32.0</v>
      </c>
      <c r="B960" s="8" t="s">
        <v>306</v>
      </c>
      <c r="C960" s="8" t="s">
        <v>827</v>
      </c>
      <c r="I960" s="10" t="s">
        <v>1694</v>
      </c>
      <c r="J960" s="13" t="s">
        <v>902</v>
      </c>
      <c r="K960" s="13" t="s">
        <v>276</v>
      </c>
      <c r="L960" s="13" t="s">
        <v>1641</v>
      </c>
      <c r="M960" s="7" t="s">
        <v>253</v>
      </c>
      <c r="N960" s="7" t="s">
        <v>253</v>
      </c>
      <c r="O960" s="7" t="s">
        <v>254</v>
      </c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  <c r="AB960" s="8"/>
      <c r="AC960" s="8"/>
      <c r="AD960" s="8"/>
      <c r="AE960" s="8"/>
    </row>
    <row r="961">
      <c r="A961" s="12">
        <v>32.0</v>
      </c>
      <c r="B961" s="8" t="s">
        <v>306</v>
      </c>
      <c r="C961" s="8" t="s">
        <v>827</v>
      </c>
      <c r="I961" s="10" t="s">
        <v>877</v>
      </c>
      <c r="J961" s="13" t="s">
        <v>905</v>
      </c>
      <c r="K961" s="13" t="s">
        <v>276</v>
      </c>
      <c r="L961" s="13" t="s">
        <v>1641</v>
      </c>
      <c r="M961" s="7" t="s">
        <v>253</v>
      </c>
      <c r="N961" s="7" t="s">
        <v>253</v>
      </c>
      <c r="O961" s="7" t="s">
        <v>254</v>
      </c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  <c r="AB961" s="8"/>
      <c r="AC961" s="8"/>
      <c r="AD961" s="8"/>
      <c r="AE961" s="8"/>
    </row>
    <row r="962">
      <c r="A962" s="12">
        <v>32.0</v>
      </c>
      <c r="B962" s="8" t="s">
        <v>306</v>
      </c>
      <c r="C962" s="8" t="s">
        <v>827</v>
      </c>
      <c r="I962" s="10" t="s">
        <v>1695</v>
      </c>
      <c r="J962" s="13" t="s">
        <v>908</v>
      </c>
      <c r="K962" s="13" t="s">
        <v>276</v>
      </c>
      <c r="L962" s="13" t="s">
        <v>1641</v>
      </c>
      <c r="M962" s="7" t="s">
        <v>253</v>
      </c>
      <c r="N962" s="7" t="s">
        <v>253</v>
      </c>
      <c r="O962" s="7" t="s">
        <v>254</v>
      </c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  <c r="AB962" s="8"/>
      <c r="AC962" s="8"/>
      <c r="AD962" s="8"/>
      <c r="AE962" s="8"/>
    </row>
    <row r="963">
      <c r="A963" s="12">
        <v>32.0</v>
      </c>
      <c r="B963" s="8" t="s">
        <v>306</v>
      </c>
      <c r="C963" s="8" t="s">
        <v>827</v>
      </c>
      <c r="I963" s="10" t="s">
        <v>924</v>
      </c>
      <c r="J963" s="13" t="s">
        <v>902</v>
      </c>
      <c r="K963" s="13" t="s">
        <v>276</v>
      </c>
      <c r="L963" s="13" t="s">
        <v>1641</v>
      </c>
      <c r="M963" s="7" t="s">
        <v>253</v>
      </c>
      <c r="N963" s="7" t="s">
        <v>253</v>
      </c>
      <c r="O963" s="7" t="s">
        <v>254</v>
      </c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  <c r="AB963" s="8"/>
      <c r="AC963" s="8"/>
      <c r="AD963" s="8"/>
      <c r="AE963" s="8"/>
    </row>
    <row r="964">
      <c r="A964" s="12">
        <v>32.0</v>
      </c>
      <c r="B964" s="8" t="s">
        <v>306</v>
      </c>
      <c r="C964" s="8" t="s">
        <v>827</v>
      </c>
      <c r="I964" s="10" t="s">
        <v>1484</v>
      </c>
      <c r="J964" s="13" t="s">
        <v>905</v>
      </c>
      <c r="K964" s="13" t="s">
        <v>276</v>
      </c>
      <c r="L964" s="13" t="s">
        <v>1641</v>
      </c>
      <c r="M964" s="7" t="s">
        <v>253</v>
      </c>
      <c r="N964" s="7" t="s">
        <v>253</v>
      </c>
      <c r="O964" s="7" t="s">
        <v>254</v>
      </c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  <c r="AB964" s="8"/>
      <c r="AC964" s="8"/>
      <c r="AD964" s="8"/>
      <c r="AE964" s="8"/>
    </row>
    <row r="965">
      <c r="A965" s="12">
        <v>32.0</v>
      </c>
      <c r="B965" s="8" t="s">
        <v>306</v>
      </c>
      <c r="C965" s="8" t="s">
        <v>827</v>
      </c>
      <c r="I965" s="10" t="s">
        <v>948</v>
      </c>
      <c r="J965" s="13" t="s">
        <v>908</v>
      </c>
      <c r="K965" s="13" t="s">
        <v>276</v>
      </c>
      <c r="L965" s="13" t="s">
        <v>1641</v>
      </c>
      <c r="M965" s="7" t="s">
        <v>253</v>
      </c>
      <c r="N965" s="7" t="s">
        <v>253</v>
      </c>
      <c r="O965" s="7" t="s">
        <v>254</v>
      </c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  <c r="AB965" s="8"/>
      <c r="AC965" s="8"/>
      <c r="AD965" s="8"/>
      <c r="AE965" s="8"/>
    </row>
    <row r="966">
      <c r="A966" s="12">
        <v>32.0</v>
      </c>
      <c r="B966" s="8" t="s">
        <v>306</v>
      </c>
      <c r="C966" s="8" t="s">
        <v>827</v>
      </c>
      <c r="I966" s="10" t="s">
        <v>873</v>
      </c>
      <c r="J966" s="13" t="s">
        <v>902</v>
      </c>
      <c r="K966" s="13" t="s">
        <v>276</v>
      </c>
      <c r="L966" s="13" t="s">
        <v>1641</v>
      </c>
      <c r="M966" s="7" t="s">
        <v>253</v>
      </c>
      <c r="N966" s="7" t="s">
        <v>253</v>
      </c>
      <c r="O966" s="7" t="s">
        <v>254</v>
      </c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  <c r="AB966" s="8"/>
      <c r="AC966" s="8"/>
      <c r="AD966" s="8"/>
      <c r="AE966" s="8"/>
    </row>
    <row r="967">
      <c r="A967" s="12">
        <v>32.0</v>
      </c>
      <c r="B967" s="8" t="s">
        <v>306</v>
      </c>
      <c r="C967" s="8" t="s">
        <v>827</v>
      </c>
      <c r="I967" s="10" t="s">
        <v>1617</v>
      </c>
      <c r="J967" s="13" t="s">
        <v>905</v>
      </c>
      <c r="K967" s="13" t="s">
        <v>276</v>
      </c>
      <c r="L967" s="13" t="s">
        <v>1641</v>
      </c>
      <c r="M967" s="7" t="s">
        <v>253</v>
      </c>
      <c r="N967" s="7" t="s">
        <v>253</v>
      </c>
      <c r="O967" s="7" t="s">
        <v>254</v>
      </c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  <c r="AB967" s="8"/>
      <c r="AC967" s="8"/>
      <c r="AD967" s="8"/>
      <c r="AE967" s="8"/>
    </row>
    <row r="968">
      <c r="A968" s="12">
        <v>32.0</v>
      </c>
      <c r="B968" s="8" t="s">
        <v>306</v>
      </c>
      <c r="C968" s="8" t="s">
        <v>827</v>
      </c>
      <c r="I968" s="10" t="s">
        <v>891</v>
      </c>
      <c r="J968" s="13" t="s">
        <v>908</v>
      </c>
      <c r="K968" s="13" t="s">
        <v>276</v>
      </c>
      <c r="L968" s="13" t="s">
        <v>1716</v>
      </c>
      <c r="M968" s="7" t="s">
        <v>253</v>
      </c>
      <c r="N968" s="7" t="s">
        <v>253</v>
      </c>
      <c r="O968" s="7" t="s">
        <v>254</v>
      </c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  <c r="AB968" s="8"/>
      <c r="AC968" s="8"/>
      <c r="AD968" s="8"/>
      <c r="AE968" s="8"/>
    </row>
    <row r="969">
      <c r="A969" s="12">
        <v>32.0</v>
      </c>
      <c r="B969" s="8" t="s">
        <v>306</v>
      </c>
      <c r="C969" s="8" t="s">
        <v>827</v>
      </c>
      <c r="I969" s="10" t="s">
        <v>906</v>
      </c>
      <c r="J969" s="13" t="s">
        <v>902</v>
      </c>
      <c r="K969" s="13" t="s">
        <v>276</v>
      </c>
      <c r="L969" s="13" t="s">
        <v>1641</v>
      </c>
      <c r="M969" s="7" t="s">
        <v>253</v>
      </c>
      <c r="N969" s="7" t="s">
        <v>253</v>
      </c>
      <c r="O969" s="7" t="s">
        <v>254</v>
      </c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  <c r="AB969" s="8"/>
      <c r="AC969" s="8"/>
      <c r="AD969" s="8"/>
      <c r="AE969" s="8"/>
    </row>
    <row r="970">
      <c r="A970" s="12">
        <v>32.0</v>
      </c>
      <c r="B970" s="8" t="s">
        <v>306</v>
      </c>
      <c r="C970" s="8" t="s">
        <v>827</v>
      </c>
      <c r="I970" s="10" t="s">
        <v>881</v>
      </c>
      <c r="J970" s="13" t="s">
        <v>905</v>
      </c>
      <c r="K970" s="13" t="s">
        <v>276</v>
      </c>
      <c r="L970" s="13" t="s">
        <v>1641</v>
      </c>
      <c r="M970" s="7" t="s">
        <v>253</v>
      </c>
      <c r="N970" s="7" t="s">
        <v>253</v>
      </c>
      <c r="O970" s="7" t="s">
        <v>254</v>
      </c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  <c r="AB970" s="8"/>
      <c r="AC970" s="8"/>
      <c r="AD970" s="8"/>
      <c r="AE970" s="8"/>
    </row>
    <row r="971">
      <c r="A971" s="12">
        <v>32.0</v>
      </c>
      <c r="B971" s="8" t="s">
        <v>306</v>
      </c>
      <c r="C971" s="8" t="s">
        <v>827</v>
      </c>
      <c r="I971" s="10" t="s">
        <v>1696</v>
      </c>
      <c r="J971" s="13" t="s">
        <v>908</v>
      </c>
      <c r="K971" s="13" t="s">
        <v>276</v>
      </c>
      <c r="L971" s="13" t="s">
        <v>1716</v>
      </c>
      <c r="M971" s="7" t="s">
        <v>253</v>
      </c>
      <c r="N971" s="7" t="s">
        <v>253</v>
      </c>
      <c r="O971" s="7" t="s">
        <v>254</v>
      </c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  <c r="AB971" s="8"/>
      <c r="AC971" s="8"/>
      <c r="AD971" s="8"/>
      <c r="AE971" s="8"/>
    </row>
    <row r="972">
      <c r="A972" s="12">
        <v>32.0</v>
      </c>
      <c r="B972" s="8" t="s">
        <v>306</v>
      </c>
      <c r="C972" s="8" t="s">
        <v>827</v>
      </c>
      <c r="I972" s="10" t="s">
        <v>1305</v>
      </c>
      <c r="J972" s="13" t="s">
        <v>902</v>
      </c>
      <c r="K972" s="13" t="s">
        <v>276</v>
      </c>
      <c r="L972" s="13" t="s">
        <v>1641</v>
      </c>
      <c r="M972" s="7" t="s">
        <v>253</v>
      </c>
      <c r="N972" s="7" t="s">
        <v>253</v>
      </c>
      <c r="O972" s="7" t="s">
        <v>254</v>
      </c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  <c r="AB972" s="8"/>
      <c r="AC972" s="8"/>
      <c r="AD972" s="8"/>
      <c r="AE972" s="8"/>
    </row>
    <row r="973">
      <c r="A973" s="12">
        <v>32.0</v>
      </c>
      <c r="B973" s="8" t="s">
        <v>306</v>
      </c>
      <c r="C973" s="8" t="s">
        <v>827</v>
      </c>
      <c r="I973" s="10" t="s">
        <v>295</v>
      </c>
      <c r="J973" s="13" t="s">
        <v>905</v>
      </c>
      <c r="K973" s="13" t="s">
        <v>276</v>
      </c>
      <c r="L973" s="13" t="s">
        <v>1641</v>
      </c>
      <c r="M973" s="7" t="s">
        <v>253</v>
      </c>
      <c r="N973" s="7" t="s">
        <v>253</v>
      </c>
      <c r="O973" s="7" t="s">
        <v>254</v>
      </c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  <c r="AB973" s="8"/>
      <c r="AC973" s="8"/>
      <c r="AD973" s="8"/>
      <c r="AE973" s="8"/>
    </row>
    <row r="974">
      <c r="A974" s="12">
        <v>32.0</v>
      </c>
      <c r="B974" s="8" t="s">
        <v>306</v>
      </c>
      <c r="C974" s="8" t="s">
        <v>827</v>
      </c>
      <c r="I974" s="10" t="s">
        <v>1697</v>
      </c>
      <c r="J974" s="13" t="s">
        <v>908</v>
      </c>
      <c r="K974" s="13" t="s">
        <v>276</v>
      </c>
      <c r="L974" s="13" t="s">
        <v>1641</v>
      </c>
      <c r="M974" s="7" t="s">
        <v>253</v>
      </c>
      <c r="N974" s="7" t="s">
        <v>253</v>
      </c>
      <c r="O974" s="7" t="s">
        <v>254</v>
      </c>
      <c r="P974" s="13" t="s">
        <v>300</v>
      </c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  <c r="AB974" s="8"/>
      <c r="AC974" s="8"/>
      <c r="AD974" s="8"/>
      <c r="AE974" s="8"/>
    </row>
    <row r="975">
      <c r="A975" s="12">
        <v>32.0</v>
      </c>
      <c r="B975" s="8" t="s">
        <v>306</v>
      </c>
      <c r="C975" s="8" t="s">
        <v>827</v>
      </c>
      <c r="I975" s="10" t="s">
        <v>845</v>
      </c>
      <c r="J975" s="13" t="s">
        <v>902</v>
      </c>
      <c r="K975" s="13" t="s">
        <v>276</v>
      </c>
      <c r="L975" s="13" t="s">
        <v>1641</v>
      </c>
      <c r="M975" s="7" t="s">
        <v>253</v>
      </c>
      <c r="N975" s="7" t="s">
        <v>253</v>
      </c>
      <c r="O975" s="7" t="s">
        <v>254</v>
      </c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  <c r="AB975" s="8"/>
      <c r="AC975" s="8"/>
      <c r="AD975" s="8"/>
      <c r="AE975" s="8"/>
    </row>
    <row r="976">
      <c r="A976" s="12">
        <v>32.0</v>
      </c>
      <c r="B976" s="8" t="s">
        <v>306</v>
      </c>
      <c r="C976" s="8" t="s">
        <v>827</v>
      </c>
      <c r="I976" s="10" t="s">
        <v>824</v>
      </c>
      <c r="J976" s="13" t="s">
        <v>905</v>
      </c>
      <c r="K976" s="13" t="s">
        <v>276</v>
      </c>
      <c r="L976" s="13" t="s">
        <v>1641</v>
      </c>
      <c r="M976" s="7" t="s">
        <v>253</v>
      </c>
      <c r="N976" s="7" t="s">
        <v>253</v>
      </c>
      <c r="O976" s="7" t="s">
        <v>254</v>
      </c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  <c r="AB976" s="8"/>
      <c r="AC976" s="8"/>
      <c r="AD976" s="8"/>
      <c r="AE976" s="8"/>
    </row>
    <row r="977">
      <c r="A977" s="12">
        <v>32.0</v>
      </c>
      <c r="B977" s="8" t="s">
        <v>306</v>
      </c>
      <c r="C977" s="8" t="s">
        <v>827</v>
      </c>
      <c r="I977" s="10" t="s">
        <v>1698</v>
      </c>
      <c r="J977" s="13" t="s">
        <v>908</v>
      </c>
      <c r="K977" s="13" t="s">
        <v>276</v>
      </c>
      <c r="L977" s="13" t="s">
        <v>1716</v>
      </c>
      <c r="M977" s="7" t="s">
        <v>253</v>
      </c>
      <c r="N977" s="7" t="s">
        <v>253</v>
      </c>
      <c r="O977" s="7" t="s">
        <v>254</v>
      </c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  <c r="AB977" s="8"/>
      <c r="AC977" s="8"/>
      <c r="AD977" s="8"/>
      <c r="AE977" s="8"/>
    </row>
    <row r="978">
      <c r="A978" s="12">
        <v>32.0</v>
      </c>
      <c r="B978" s="8" t="s">
        <v>306</v>
      </c>
      <c r="C978" s="8" t="s">
        <v>827</v>
      </c>
      <c r="I978" s="10" t="s">
        <v>918</v>
      </c>
      <c r="J978" s="13" t="s">
        <v>902</v>
      </c>
      <c r="K978" s="13" t="s">
        <v>276</v>
      </c>
      <c r="L978" s="13" t="s">
        <v>1641</v>
      </c>
      <c r="M978" s="7" t="s">
        <v>253</v>
      </c>
      <c r="N978" s="7" t="s">
        <v>253</v>
      </c>
      <c r="O978" s="7" t="s">
        <v>254</v>
      </c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  <c r="AB978" s="8"/>
      <c r="AC978" s="8"/>
      <c r="AD978" s="8"/>
      <c r="AE978" s="8"/>
    </row>
    <row r="979">
      <c r="A979" s="12">
        <v>32.0</v>
      </c>
      <c r="B979" s="8" t="s">
        <v>306</v>
      </c>
      <c r="C979" s="8" t="s">
        <v>827</v>
      </c>
      <c r="I979" s="10" t="s">
        <v>1699</v>
      </c>
      <c r="J979" s="13" t="s">
        <v>905</v>
      </c>
      <c r="K979" s="13" t="s">
        <v>276</v>
      </c>
      <c r="L979" s="13" t="s">
        <v>1641</v>
      </c>
      <c r="M979" s="7" t="s">
        <v>253</v>
      </c>
      <c r="N979" s="7" t="s">
        <v>253</v>
      </c>
      <c r="O979" s="7" t="s">
        <v>254</v>
      </c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  <c r="AB979" s="8"/>
      <c r="AC979" s="8"/>
      <c r="AD979" s="8"/>
      <c r="AE979" s="8"/>
    </row>
    <row r="980">
      <c r="A980" s="12">
        <v>32.0</v>
      </c>
      <c r="B980" s="8" t="s">
        <v>306</v>
      </c>
      <c r="C980" s="8" t="s">
        <v>827</v>
      </c>
      <c r="I980" s="10" t="s">
        <v>1312</v>
      </c>
      <c r="J980" s="13" t="s">
        <v>908</v>
      </c>
      <c r="K980" s="13" t="s">
        <v>276</v>
      </c>
      <c r="L980" s="13" t="s">
        <v>1641</v>
      </c>
      <c r="M980" s="7" t="s">
        <v>253</v>
      </c>
      <c r="N980" s="7" t="s">
        <v>253</v>
      </c>
      <c r="O980" s="7" t="s">
        <v>254</v>
      </c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  <c r="AB980" s="8"/>
      <c r="AC980" s="8"/>
      <c r="AD980" s="8"/>
      <c r="AE980" s="8"/>
    </row>
    <row r="981">
      <c r="A981" s="12">
        <v>32.0</v>
      </c>
      <c r="B981" s="8" t="s">
        <v>306</v>
      </c>
      <c r="C981" s="8" t="s">
        <v>827</v>
      </c>
      <c r="I981" s="10" t="s">
        <v>1700</v>
      </c>
      <c r="J981" s="13" t="s">
        <v>902</v>
      </c>
      <c r="K981" s="13" t="s">
        <v>276</v>
      </c>
      <c r="L981" s="13" t="s">
        <v>1641</v>
      </c>
      <c r="M981" s="7" t="s">
        <v>253</v>
      </c>
      <c r="N981" s="7" t="s">
        <v>253</v>
      </c>
      <c r="O981" s="7" t="s">
        <v>254</v>
      </c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  <c r="AB981" s="8"/>
      <c r="AC981" s="8"/>
      <c r="AD981" s="8"/>
      <c r="AE981" s="8"/>
    </row>
    <row r="982">
      <c r="A982" s="12">
        <v>32.0</v>
      </c>
      <c r="B982" s="8" t="s">
        <v>306</v>
      </c>
      <c r="C982" s="8" t="s">
        <v>827</v>
      </c>
      <c r="I982" s="10" t="s">
        <v>647</v>
      </c>
      <c r="J982" s="13" t="s">
        <v>905</v>
      </c>
      <c r="K982" s="13" t="s">
        <v>276</v>
      </c>
      <c r="L982" s="13" t="s">
        <v>1641</v>
      </c>
      <c r="M982" s="7" t="s">
        <v>253</v>
      </c>
      <c r="N982" s="7" t="s">
        <v>253</v>
      </c>
      <c r="O982" s="7" t="s">
        <v>254</v>
      </c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  <c r="AB982" s="8"/>
      <c r="AC982" s="8"/>
      <c r="AD982" s="8"/>
      <c r="AE982" s="8"/>
    </row>
    <row r="983">
      <c r="A983" s="12">
        <v>33.0</v>
      </c>
      <c r="B983" s="8" t="s">
        <v>310</v>
      </c>
      <c r="C983" s="8" t="s">
        <v>827</v>
      </c>
      <c r="D983" s="25">
        <f>IF(COUNTIF($B$2:$B983,$B983)&gt;1,"",COUNTIF($B$2:$B$2505,$B983))</f>
        <v>77</v>
      </c>
      <c r="E983" s="25">
        <f>IF(COUNTIF($B$2:$B983,$B983)&gt;1,"",COUNTIFS($B$2:$B$2505,$B983,$K$2:$K$2505,"PHÙ HỢP CAO"))</f>
        <v>3</v>
      </c>
      <c r="F983" s="25">
        <f>IF(COUNTIF($B$2:$B983,$B983)&gt;1,"",COUNTIFS($B$2:$B$2505,$B983,$K$2:$K$2505,"CÓ THỂ ĐI"))</f>
        <v>2</v>
      </c>
      <c r="G983" s="25">
        <f>IF(COUNTIF($B$2:$B983,$B983)&gt;1,"",COUNTIFS($B$2:$B$2505,$B983,$K$2:$K$2505,"CẦN SOÁT"))</f>
        <v>72</v>
      </c>
      <c r="H983" s="26" t="str">
        <f>IFERROR(__xludf.DUMMYFUNCTION("IF(COUNTIF($B$2:$B983,$B983)&gt;1,"""",IFERROR(TEXTJOIN(CHAR(10),TRUE,BYROW(QUERY({$B$2:$B$2505,$J$2:$J$2505},""select Col2, count(Col2) where Col1 = '""&amp;$B983&amp;""' group by Col2 order by count(Col2) desc label count(Col2) ''"",0),LAMBDA(r,INDEX(r,1,1)&amp;"" – "&amp;"""&amp;INDEX(r,1,2)&amp;"" link""))),""""))"),"cách hủy thẻ tín dụng – 39 link
hủy thẻ tín dụng – 38 link")</f>
        <v>cách hủy thẻ tín dụng – 39 link
hủy thẻ tín dụng – 38 link</v>
      </c>
      <c r="I983" s="10" t="s">
        <v>914</v>
      </c>
      <c r="J983" s="13" t="s">
        <v>916</v>
      </c>
      <c r="K983" s="13" t="s">
        <v>251</v>
      </c>
      <c r="L983" s="13" t="s">
        <v>1718</v>
      </c>
      <c r="M983" s="7" t="s">
        <v>253</v>
      </c>
      <c r="N983" s="7" t="s">
        <v>253</v>
      </c>
      <c r="O983" s="7" t="s">
        <v>254</v>
      </c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  <c r="AB983" s="8"/>
      <c r="AC983" s="8"/>
      <c r="AD983" s="8"/>
      <c r="AE983" s="8"/>
    </row>
    <row r="984">
      <c r="A984" s="12">
        <v>33.0</v>
      </c>
      <c r="B984" s="8" t="s">
        <v>310</v>
      </c>
      <c r="C984" s="8" t="s">
        <v>827</v>
      </c>
      <c r="I984" s="10" t="s">
        <v>918</v>
      </c>
      <c r="J984" s="13" t="s">
        <v>920</v>
      </c>
      <c r="K984" s="13" t="s">
        <v>251</v>
      </c>
      <c r="L984" s="13" t="s">
        <v>1719</v>
      </c>
      <c r="M984" s="7" t="s">
        <v>253</v>
      </c>
      <c r="N984" s="7" t="s">
        <v>253</v>
      </c>
      <c r="O984" s="7" t="s">
        <v>254</v>
      </c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  <c r="AB984" s="8"/>
      <c r="AC984" s="8"/>
      <c r="AD984" s="8"/>
      <c r="AE984" s="8"/>
    </row>
    <row r="985">
      <c r="A985" s="12">
        <v>33.0</v>
      </c>
      <c r="B985" s="8" t="s">
        <v>310</v>
      </c>
      <c r="C985" s="8" t="s">
        <v>827</v>
      </c>
      <c r="I985" s="10" t="s">
        <v>921</v>
      </c>
      <c r="J985" s="13" t="s">
        <v>916</v>
      </c>
      <c r="K985" s="13" t="s">
        <v>251</v>
      </c>
      <c r="L985" s="13" t="s">
        <v>1720</v>
      </c>
      <c r="M985" s="7" t="s">
        <v>253</v>
      </c>
      <c r="N985" s="7" t="s">
        <v>253</v>
      </c>
      <c r="O985" s="7" t="s">
        <v>254</v>
      </c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  <c r="AB985" s="8"/>
      <c r="AC985" s="8"/>
      <c r="AD985" s="8"/>
      <c r="AE985" s="8"/>
    </row>
    <row r="986">
      <c r="A986" s="12">
        <v>33.0</v>
      </c>
      <c r="B986" s="8" t="s">
        <v>310</v>
      </c>
      <c r="C986" s="8" t="s">
        <v>827</v>
      </c>
      <c r="I986" s="10" t="s">
        <v>924</v>
      </c>
      <c r="J986" s="13" t="s">
        <v>920</v>
      </c>
      <c r="K986" s="13" t="s">
        <v>272</v>
      </c>
      <c r="L986" s="13" t="s">
        <v>1721</v>
      </c>
      <c r="M986" s="7" t="s">
        <v>253</v>
      </c>
      <c r="N986" s="7" t="s">
        <v>253</v>
      </c>
      <c r="O986" s="7" t="s">
        <v>254</v>
      </c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  <c r="AB986" s="8"/>
      <c r="AC986" s="8"/>
      <c r="AD986" s="8"/>
      <c r="AE986" s="8"/>
    </row>
    <row r="987">
      <c r="A987" s="12">
        <v>33.0</v>
      </c>
      <c r="B987" s="8" t="s">
        <v>310</v>
      </c>
      <c r="C987" s="8" t="s">
        <v>827</v>
      </c>
      <c r="I987" s="10" t="s">
        <v>928</v>
      </c>
      <c r="J987" s="13" t="s">
        <v>916</v>
      </c>
      <c r="K987" s="13" t="s">
        <v>272</v>
      </c>
      <c r="L987" s="13" t="s">
        <v>1722</v>
      </c>
      <c r="M987" s="7" t="s">
        <v>253</v>
      </c>
      <c r="N987" s="7" t="s">
        <v>253</v>
      </c>
      <c r="O987" s="7" t="s">
        <v>254</v>
      </c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  <c r="AB987" s="8"/>
      <c r="AC987" s="8"/>
      <c r="AD987" s="8"/>
      <c r="AE987" s="8"/>
    </row>
    <row r="988">
      <c r="A988" s="12">
        <v>33.0</v>
      </c>
      <c r="B988" s="8" t="s">
        <v>310</v>
      </c>
      <c r="C988" s="8" t="s">
        <v>827</v>
      </c>
      <c r="I988" s="10" t="s">
        <v>521</v>
      </c>
      <c r="J988" s="13" t="s">
        <v>920</v>
      </c>
      <c r="K988" s="13" t="s">
        <v>276</v>
      </c>
      <c r="L988" s="13" t="s">
        <v>1641</v>
      </c>
      <c r="M988" s="7" t="s">
        <v>253</v>
      </c>
      <c r="N988" s="7" t="s">
        <v>253</v>
      </c>
      <c r="O988" s="7" t="s">
        <v>254</v>
      </c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  <c r="AB988" s="8"/>
      <c r="AC988" s="8"/>
      <c r="AD988" s="8"/>
      <c r="AE988" s="8"/>
    </row>
    <row r="989">
      <c r="A989" s="12">
        <v>33.0</v>
      </c>
      <c r="B989" s="8" t="s">
        <v>310</v>
      </c>
      <c r="C989" s="8" t="s">
        <v>827</v>
      </c>
      <c r="I989" s="10" t="s">
        <v>1190</v>
      </c>
      <c r="J989" s="13" t="s">
        <v>916</v>
      </c>
      <c r="K989" s="13" t="s">
        <v>276</v>
      </c>
      <c r="L989" s="13" t="s">
        <v>1641</v>
      </c>
      <c r="M989" s="7" t="s">
        <v>253</v>
      </c>
      <c r="N989" s="7" t="s">
        <v>253</v>
      </c>
      <c r="O989" s="7" t="s">
        <v>254</v>
      </c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  <c r="AB989" s="8"/>
      <c r="AC989" s="8"/>
      <c r="AD989" s="8"/>
      <c r="AE989" s="8"/>
    </row>
    <row r="990">
      <c r="A990" s="12">
        <v>33.0</v>
      </c>
      <c r="B990" s="8" t="s">
        <v>310</v>
      </c>
      <c r="C990" s="8" t="s">
        <v>827</v>
      </c>
      <c r="I990" s="10" t="s">
        <v>1251</v>
      </c>
      <c r="J990" s="13" t="s">
        <v>920</v>
      </c>
      <c r="K990" s="13" t="s">
        <v>276</v>
      </c>
      <c r="L990" s="13" t="s">
        <v>1641</v>
      </c>
      <c r="M990" s="7" t="s">
        <v>253</v>
      </c>
      <c r="N990" s="7" t="s">
        <v>253</v>
      </c>
      <c r="O990" s="7" t="s">
        <v>254</v>
      </c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  <c r="AB990" s="8"/>
      <c r="AC990" s="8"/>
      <c r="AD990" s="8"/>
      <c r="AE990" s="8"/>
    </row>
    <row r="991">
      <c r="A991" s="12">
        <v>33.0</v>
      </c>
      <c r="B991" s="8" t="s">
        <v>310</v>
      </c>
      <c r="C991" s="8" t="s">
        <v>827</v>
      </c>
      <c r="I991" s="10" t="s">
        <v>897</v>
      </c>
      <c r="J991" s="13" t="s">
        <v>916</v>
      </c>
      <c r="K991" s="13" t="s">
        <v>276</v>
      </c>
      <c r="L991" s="13" t="s">
        <v>1641</v>
      </c>
      <c r="M991" s="7" t="s">
        <v>253</v>
      </c>
      <c r="N991" s="7" t="s">
        <v>253</v>
      </c>
      <c r="O991" s="7" t="s">
        <v>254</v>
      </c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  <c r="AB991" s="8"/>
      <c r="AC991" s="8"/>
      <c r="AD991" s="8"/>
      <c r="AE991" s="8"/>
    </row>
    <row r="992">
      <c r="A992" s="12">
        <v>33.0</v>
      </c>
      <c r="B992" s="8" t="s">
        <v>310</v>
      </c>
      <c r="C992" s="8" t="s">
        <v>827</v>
      </c>
      <c r="I992" s="10" t="s">
        <v>909</v>
      </c>
      <c r="J992" s="13" t="s">
        <v>920</v>
      </c>
      <c r="K992" s="13" t="s">
        <v>276</v>
      </c>
      <c r="L992" s="13" t="s">
        <v>1723</v>
      </c>
      <c r="M992" s="7" t="s">
        <v>253</v>
      </c>
      <c r="N992" s="7" t="s">
        <v>253</v>
      </c>
      <c r="O992" s="7" t="s">
        <v>254</v>
      </c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  <c r="AB992" s="8"/>
      <c r="AC992" s="8"/>
      <c r="AD992" s="8"/>
      <c r="AE992" s="8"/>
    </row>
    <row r="993">
      <c r="A993" s="12">
        <v>33.0</v>
      </c>
      <c r="B993" s="8" t="s">
        <v>310</v>
      </c>
      <c r="C993" s="8" t="s">
        <v>827</v>
      </c>
      <c r="I993" s="10" t="s">
        <v>1643</v>
      </c>
      <c r="J993" s="13" t="s">
        <v>916</v>
      </c>
      <c r="K993" s="13" t="s">
        <v>276</v>
      </c>
      <c r="L993" s="13" t="s">
        <v>1641</v>
      </c>
      <c r="M993" s="7" t="s">
        <v>253</v>
      </c>
      <c r="N993" s="7" t="s">
        <v>253</v>
      </c>
      <c r="O993" s="7" t="s">
        <v>254</v>
      </c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  <c r="AB993" s="8"/>
      <c r="AC993" s="8"/>
      <c r="AD993" s="8"/>
      <c r="AE993" s="8"/>
    </row>
    <row r="994">
      <c r="A994" s="12">
        <v>33.0</v>
      </c>
      <c r="B994" s="8" t="s">
        <v>310</v>
      </c>
      <c r="C994" s="8" t="s">
        <v>827</v>
      </c>
      <c r="I994" s="10" t="s">
        <v>1644</v>
      </c>
      <c r="J994" s="13" t="s">
        <v>920</v>
      </c>
      <c r="K994" s="13" t="s">
        <v>276</v>
      </c>
      <c r="L994" s="13" t="s">
        <v>1641</v>
      </c>
      <c r="M994" s="7" t="s">
        <v>253</v>
      </c>
      <c r="N994" s="7" t="s">
        <v>253</v>
      </c>
      <c r="O994" s="7" t="s">
        <v>254</v>
      </c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  <c r="AB994" s="8"/>
      <c r="AC994" s="8"/>
      <c r="AD994" s="8"/>
      <c r="AE994" s="8"/>
    </row>
    <row r="995">
      <c r="A995" s="12">
        <v>33.0</v>
      </c>
      <c r="B995" s="8" t="s">
        <v>310</v>
      </c>
      <c r="C995" s="8" t="s">
        <v>827</v>
      </c>
      <c r="I995" s="10" t="s">
        <v>1645</v>
      </c>
      <c r="J995" s="13" t="s">
        <v>916</v>
      </c>
      <c r="K995" s="13" t="s">
        <v>276</v>
      </c>
      <c r="L995" s="13" t="s">
        <v>1641</v>
      </c>
      <c r="M995" s="7" t="s">
        <v>253</v>
      </c>
      <c r="N995" s="7" t="s">
        <v>253</v>
      </c>
      <c r="O995" s="7" t="s">
        <v>254</v>
      </c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  <c r="AB995" s="8"/>
      <c r="AC995" s="8"/>
      <c r="AD995" s="8"/>
      <c r="AE995" s="8"/>
    </row>
    <row r="996">
      <c r="A996" s="12">
        <v>33.0</v>
      </c>
      <c r="B996" s="8" t="s">
        <v>310</v>
      </c>
      <c r="C996" s="8" t="s">
        <v>827</v>
      </c>
      <c r="I996" s="10" t="s">
        <v>887</v>
      </c>
      <c r="J996" s="13" t="s">
        <v>920</v>
      </c>
      <c r="K996" s="13" t="s">
        <v>276</v>
      </c>
      <c r="L996" s="13" t="s">
        <v>1641</v>
      </c>
      <c r="M996" s="7" t="s">
        <v>253</v>
      </c>
      <c r="N996" s="7" t="s">
        <v>253</v>
      </c>
      <c r="O996" s="7" t="s">
        <v>254</v>
      </c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  <c r="AB996" s="8"/>
      <c r="AC996" s="8"/>
      <c r="AD996" s="8"/>
      <c r="AE996" s="8"/>
    </row>
    <row r="997">
      <c r="A997" s="12">
        <v>33.0</v>
      </c>
      <c r="B997" s="8" t="s">
        <v>310</v>
      </c>
      <c r="C997" s="8" t="s">
        <v>827</v>
      </c>
      <c r="I997" s="10" t="s">
        <v>1582</v>
      </c>
      <c r="J997" s="13" t="s">
        <v>916</v>
      </c>
      <c r="K997" s="13" t="s">
        <v>276</v>
      </c>
      <c r="L997" s="13" t="s">
        <v>1641</v>
      </c>
      <c r="M997" s="7" t="s">
        <v>253</v>
      </c>
      <c r="N997" s="7" t="s">
        <v>253</v>
      </c>
      <c r="O997" s="7" t="s">
        <v>254</v>
      </c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  <c r="AB997" s="8"/>
      <c r="AC997" s="8"/>
      <c r="AD997" s="8"/>
      <c r="AE997" s="8"/>
    </row>
    <row r="998">
      <c r="A998" s="12">
        <v>33.0</v>
      </c>
      <c r="B998" s="8" t="s">
        <v>310</v>
      </c>
      <c r="C998" s="8" t="s">
        <v>827</v>
      </c>
      <c r="I998" s="10" t="s">
        <v>1647</v>
      </c>
      <c r="J998" s="13" t="s">
        <v>920</v>
      </c>
      <c r="K998" s="13" t="s">
        <v>276</v>
      </c>
      <c r="L998" s="13" t="s">
        <v>1641</v>
      </c>
      <c r="M998" s="7" t="s">
        <v>253</v>
      </c>
      <c r="N998" s="7" t="s">
        <v>253</v>
      </c>
      <c r="O998" s="7" t="s">
        <v>254</v>
      </c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  <c r="AB998" s="8"/>
      <c r="AC998" s="8"/>
      <c r="AD998" s="8"/>
      <c r="AE998" s="8"/>
    </row>
    <row r="999">
      <c r="A999" s="12">
        <v>33.0</v>
      </c>
      <c r="B999" s="8" t="s">
        <v>310</v>
      </c>
      <c r="C999" s="8" t="s">
        <v>827</v>
      </c>
      <c r="I999" s="10" t="s">
        <v>1425</v>
      </c>
      <c r="J999" s="13" t="s">
        <v>916</v>
      </c>
      <c r="K999" s="13" t="s">
        <v>276</v>
      </c>
      <c r="L999" s="13" t="s">
        <v>1641</v>
      </c>
      <c r="M999" s="7" t="s">
        <v>253</v>
      </c>
      <c r="N999" s="7" t="s">
        <v>253</v>
      </c>
      <c r="O999" s="7" t="s">
        <v>254</v>
      </c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  <c r="AB999" s="8"/>
      <c r="AC999" s="8"/>
      <c r="AD999" s="8"/>
      <c r="AE999" s="8"/>
    </row>
    <row r="1000">
      <c r="A1000" s="12">
        <v>33.0</v>
      </c>
      <c r="B1000" s="8" t="s">
        <v>310</v>
      </c>
      <c r="C1000" s="8" t="s">
        <v>827</v>
      </c>
      <c r="I1000" s="10" t="s">
        <v>1648</v>
      </c>
      <c r="J1000" s="13" t="s">
        <v>920</v>
      </c>
      <c r="K1000" s="13" t="s">
        <v>276</v>
      </c>
      <c r="L1000" s="13" t="s">
        <v>1641</v>
      </c>
      <c r="M1000" s="7" t="s">
        <v>253</v>
      </c>
      <c r="N1000" s="7" t="s">
        <v>253</v>
      </c>
      <c r="O1000" s="7" t="s">
        <v>254</v>
      </c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  <c r="AB1000" s="8"/>
      <c r="AC1000" s="8"/>
      <c r="AD1000" s="8"/>
      <c r="AE1000" s="8"/>
    </row>
    <row r="1001">
      <c r="A1001" s="12">
        <v>33.0</v>
      </c>
      <c r="B1001" s="8" t="s">
        <v>310</v>
      </c>
      <c r="C1001" s="8" t="s">
        <v>827</v>
      </c>
      <c r="I1001" s="10" t="s">
        <v>1195</v>
      </c>
      <c r="J1001" s="13" t="s">
        <v>916</v>
      </c>
      <c r="K1001" s="13" t="s">
        <v>276</v>
      </c>
      <c r="L1001" s="13" t="s">
        <v>1641</v>
      </c>
      <c r="M1001" s="7" t="s">
        <v>253</v>
      </c>
      <c r="N1001" s="7" t="s">
        <v>253</v>
      </c>
      <c r="O1001" s="7" t="s">
        <v>254</v>
      </c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  <c r="AA1001" s="8"/>
      <c r="AB1001" s="8"/>
      <c r="AC1001" s="8"/>
      <c r="AD1001" s="8"/>
      <c r="AE1001" s="8"/>
    </row>
    <row r="1002">
      <c r="A1002" s="12">
        <v>33.0</v>
      </c>
      <c r="B1002" s="8" t="s">
        <v>310</v>
      </c>
      <c r="C1002" s="8" t="s">
        <v>827</v>
      </c>
      <c r="I1002" s="10" t="s">
        <v>1583</v>
      </c>
      <c r="J1002" s="13" t="s">
        <v>920</v>
      </c>
      <c r="K1002" s="13" t="s">
        <v>276</v>
      </c>
      <c r="L1002" s="13" t="s">
        <v>1641</v>
      </c>
      <c r="M1002" s="7" t="s">
        <v>253</v>
      </c>
      <c r="N1002" s="7" t="s">
        <v>253</v>
      </c>
      <c r="O1002" s="7" t="s">
        <v>254</v>
      </c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  <c r="AA1002" s="8"/>
      <c r="AB1002" s="8"/>
      <c r="AC1002" s="8"/>
      <c r="AD1002" s="8"/>
      <c r="AE1002" s="8"/>
    </row>
    <row r="1003">
      <c r="A1003" s="12">
        <v>33.0</v>
      </c>
      <c r="B1003" s="8" t="s">
        <v>310</v>
      </c>
      <c r="C1003" s="8" t="s">
        <v>827</v>
      </c>
      <c r="I1003" s="10" t="s">
        <v>884</v>
      </c>
      <c r="J1003" s="13" t="s">
        <v>916</v>
      </c>
      <c r="K1003" s="13" t="s">
        <v>276</v>
      </c>
      <c r="L1003" s="13" t="s">
        <v>1641</v>
      </c>
      <c r="M1003" s="7" t="s">
        <v>253</v>
      </c>
      <c r="N1003" s="7" t="s">
        <v>253</v>
      </c>
      <c r="O1003" s="7" t="s">
        <v>254</v>
      </c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  <c r="AA1003" s="8"/>
      <c r="AB1003" s="8"/>
      <c r="AC1003" s="8"/>
      <c r="AD1003" s="8"/>
      <c r="AE1003" s="8"/>
    </row>
    <row r="1004">
      <c r="A1004" s="12">
        <v>33.0</v>
      </c>
      <c r="B1004" s="8" t="s">
        <v>310</v>
      </c>
      <c r="C1004" s="8" t="s">
        <v>827</v>
      </c>
      <c r="I1004" s="10" t="s">
        <v>1651</v>
      </c>
      <c r="J1004" s="13" t="s">
        <v>920</v>
      </c>
      <c r="K1004" s="13" t="s">
        <v>276</v>
      </c>
      <c r="L1004" s="13" t="s">
        <v>1641</v>
      </c>
      <c r="M1004" s="7" t="s">
        <v>253</v>
      </c>
      <c r="N1004" s="7" t="s">
        <v>253</v>
      </c>
      <c r="O1004" s="7" t="s">
        <v>254</v>
      </c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  <c r="AA1004" s="8"/>
      <c r="AB1004" s="8"/>
      <c r="AC1004" s="8"/>
      <c r="AD1004" s="8"/>
      <c r="AE1004" s="8"/>
    </row>
    <row r="1005">
      <c r="A1005" s="12">
        <v>33.0</v>
      </c>
      <c r="B1005" s="8" t="s">
        <v>310</v>
      </c>
      <c r="C1005" s="8" t="s">
        <v>827</v>
      </c>
      <c r="I1005" s="10" t="s">
        <v>1652</v>
      </c>
      <c r="J1005" s="13" t="s">
        <v>916</v>
      </c>
      <c r="K1005" s="13" t="s">
        <v>276</v>
      </c>
      <c r="L1005" s="13" t="s">
        <v>1641</v>
      </c>
      <c r="M1005" s="7" t="s">
        <v>253</v>
      </c>
      <c r="N1005" s="7" t="s">
        <v>253</v>
      </c>
      <c r="O1005" s="7" t="s">
        <v>254</v>
      </c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  <c r="AA1005" s="8"/>
      <c r="AB1005" s="8"/>
      <c r="AC1005" s="8"/>
      <c r="AD1005" s="8"/>
      <c r="AE1005" s="8"/>
    </row>
    <row r="1006">
      <c r="A1006" s="12">
        <v>33.0</v>
      </c>
      <c r="B1006" s="8" t="s">
        <v>310</v>
      </c>
      <c r="C1006" s="8" t="s">
        <v>827</v>
      </c>
      <c r="I1006" s="10" t="s">
        <v>940</v>
      </c>
      <c r="J1006" s="13" t="s">
        <v>920</v>
      </c>
      <c r="K1006" s="13" t="s">
        <v>276</v>
      </c>
      <c r="L1006" s="13" t="s">
        <v>1641</v>
      </c>
      <c r="M1006" s="7" t="s">
        <v>253</v>
      </c>
      <c r="N1006" s="7" t="s">
        <v>253</v>
      </c>
      <c r="O1006" s="7" t="s">
        <v>254</v>
      </c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  <c r="AA1006" s="8"/>
      <c r="AB1006" s="8"/>
      <c r="AC1006" s="8"/>
      <c r="AD1006" s="8"/>
      <c r="AE1006" s="8"/>
    </row>
    <row r="1007">
      <c r="A1007" s="12">
        <v>33.0</v>
      </c>
      <c r="B1007" s="8" t="s">
        <v>310</v>
      </c>
      <c r="C1007" s="8" t="s">
        <v>827</v>
      </c>
      <c r="I1007" s="10" t="s">
        <v>850</v>
      </c>
      <c r="J1007" s="13" t="s">
        <v>916</v>
      </c>
      <c r="K1007" s="13" t="s">
        <v>276</v>
      </c>
      <c r="L1007" s="13" t="s">
        <v>1641</v>
      </c>
      <c r="M1007" s="7" t="s">
        <v>253</v>
      </c>
      <c r="N1007" s="7" t="s">
        <v>253</v>
      </c>
      <c r="O1007" s="7" t="s">
        <v>254</v>
      </c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  <c r="AA1007" s="8"/>
      <c r="AB1007" s="8"/>
      <c r="AC1007" s="8"/>
      <c r="AD1007" s="8"/>
      <c r="AE1007" s="8"/>
    </row>
    <row r="1008">
      <c r="A1008" s="12">
        <v>33.0</v>
      </c>
      <c r="B1008" s="8" t="s">
        <v>310</v>
      </c>
      <c r="C1008" s="8" t="s">
        <v>827</v>
      </c>
      <c r="I1008" s="10" t="s">
        <v>336</v>
      </c>
      <c r="J1008" s="13" t="s">
        <v>920</v>
      </c>
      <c r="K1008" s="13" t="s">
        <v>276</v>
      </c>
      <c r="L1008" s="13" t="s">
        <v>1641</v>
      </c>
      <c r="M1008" s="7" t="s">
        <v>253</v>
      </c>
      <c r="N1008" s="7" t="s">
        <v>253</v>
      </c>
      <c r="O1008" s="7" t="s">
        <v>254</v>
      </c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  <c r="AA1008" s="8"/>
      <c r="AB1008" s="8"/>
      <c r="AC1008" s="8"/>
      <c r="AD1008" s="8"/>
      <c r="AE1008" s="8"/>
    </row>
    <row r="1009">
      <c r="A1009" s="12">
        <v>33.0</v>
      </c>
      <c r="B1009" s="8" t="s">
        <v>310</v>
      </c>
      <c r="C1009" s="8" t="s">
        <v>827</v>
      </c>
      <c r="I1009" s="10" t="s">
        <v>313</v>
      </c>
      <c r="J1009" s="13" t="s">
        <v>916</v>
      </c>
      <c r="K1009" s="13" t="s">
        <v>276</v>
      </c>
      <c r="L1009" s="13" t="s">
        <v>1641</v>
      </c>
      <c r="M1009" s="7" t="s">
        <v>253</v>
      </c>
      <c r="N1009" s="7" t="s">
        <v>253</v>
      </c>
      <c r="O1009" s="7" t="s">
        <v>254</v>
      </c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  <c r="AA1009" s="8"/>
      <c r="AB1009" s="8"/>
      <c r="AC1009" s="8"/>
      <c r="AD1009" s="8"/>
      <c r="AE1009" s="8"/>
    </row>
    <row r="1010">
      <c r="A1010" s="12">
        <v>33.0</v>
      </c>
      <c r="B1010" s="8" t="s">
        <v>310</v>
      </c>
      <c r="C1010" s="8" t="s">
        <v>827</v>
      </c>
      <c r="I1010" s="10" t="s">
        <v>1654</v>
      </c>
      <c r="J1010" s="13" t="s">
        <v>920</v>
      </c>
      <c r="K1010" s="13" t="s">
        <v>276</v>
      </c>
      <c r="L1010" s="13" t="s">
        <v>1641</v>
      </c>
      <c r="M1010" s="7" t="s">
        <v>253</v>
      </c>
      <c r="N1010" s="7" t="s">
        <v>253</v>
      </c>
      <c r="O1010" s="7" t="s">
        <v>254</v>
      </c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  <c r="AA1010" s="8"/>
      <c r="AB1010" s="8"/>
      <c r="AC1010" s="8"/>
      <c r="AD1010" s="8"/>
      <c r="AE1010" s="8"/>
    </row>
    <row r="1011">
      <c r="A1011" s="12">
        <v>33.0</v>
      </c>
      <c r="B1011" s="8" t="s">
        <v>310</v>
      </c>
      <c r="C1011" s="8" t="s">
        <v>827</v>
      </c>
      <c r="I1011" s="10" t="s">
        <v>1655</v>
      </c>
      <c r="J1011" s="13" t="s">
        <v>916</v>
      </c>
      <c r="K1011" s="13" t="s">
        <v>276</v>
      </c>
      <c r="L1011" s="13" t="s">
        <v>1641</v>
      </c>
      <c r="M1011" s="7" t="s">
        <v>253</v>
      </c>
      <c r="N1011" s="7" t="s">
        <v>253</v>
      </c>
      <c r="O1011" s="7" t="s">
        <v>254</v>
      </c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  <c r="AA1011" s="8"/>
      <c r="AB1011" s="8"/>
      <c r="AC1011" s="8"/>
      <c r="AD1011" s="8"/>
      <c r="AE1011" s="8"/>
    </row>
    <row r="1012">
      <c r="A1012" s="12">
        <v>33.0</v>
      </c>
      <c r="B1012" s="8" t="s">
        <v>310</v>
      </c>
      <c r="C1012" s="8" t="s">
        <v>827</v>
      </c>
      <c r="I1012" s="10" t="s">
        <v>1658</v>
      </c>
      <c r="J1012" s="13" t="s">
        <v>920</v>
      </c>
      <c r="K1012" s="13" t="s">
        <v>276</v>
      </c>
      <c r="L1012" s="13" t="s">
        <v>1641</v>
      </c>
      <c r="M1012" s="7" t="s">
        <v>253</v>
      </c>
      <c r="N1012" s="7" t="s">
        <v>253</v>
      </c>
      <c r="O1012" s="7" t="s">
        <v>254</v>
      </c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  <c r="AA1012" s="8"/>
      <c r="AB1012" s="8"/>
      <c r="AC1012" s="8"/>
      <c r="AD1012" s="8"/>
      <c r="AE1012" s="8"/>
    </row>
    <row r="1013">
      <c r="A1013" s="12">
        <v>33.0</v>
      </c>
      <c r="B1013" s="8" t="s">
        <v>310</v>
      </c>
      <c r="C1013" s="8" t="s">
        <v>827</v>
      </c>
      <c r="I1013" s="10" t="s">
        <v>872</v>
      </c>
      <c r="J1013" s="13" t="s">
        <v>916</v>
      </c>
      <c r="K1013" s="13" t="s">
        <v>276</v>
      </c>
      <c r="L1013" s="13" t="s">
        <v>1641</v>
      </c>
      <c r="M1013" s="7" t="s">
        <v>253</v>
      </c>
      <c r="N1013" s="7" t="s">
        <v>253</v>
      </c>
      <c r="O1013" s="7" t="s">
        <v>254</v>
      </c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  <c r="AA1013" s="8"/>
      <c r="AB1013" s="8"/>
      <c r="AC1013" s="8"/>
      <c r="AD1013" s="8"/>
      <c r="AE1013" s="8"/>
    </row>
    <row r="1014">
      <c r="A1014" s="12">
        <v>33.0</v>
      </c>
      <c r="B1014" s="8" t="s">
        <v>310</v>
      </c>
      <c r="C1014" s="8" t="s">
        <v>827</v>
      </c>
      <c r="I1014" s="10" t="s">
        <v>436</v>
      </c>
      <c r="J1014" s="13" t="s">
        <v>920</v>
      </c>
      <c r="K1014" s="13" t="s">
        <v>276</v>
      </c>
      <c r="L1014" s="13" t="s">
        <v>1641</v>
      </c>
      <c r="M1014" s="7" t="s">
        <v>253</v>
      </c>
      <c r="N1014" s="7" t="s">
        <v>253</v>
      </c>
      <c r="O1014" s="7" t="s">
        <v>254</v>
      </c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  <c r="AA1014" s="8"/>
      <c r="AB1014" s="8"/>
      <c r="AC1014" s="8"/>
      <c r="AD1014" s="8"/>
      <c r="AE1014" s="8"/>
    </row>
    <row r="1015">
      <c r="A1015" s="12">
        <v>33.0</v>
      </c>
      <c r="B1015" s="8" t="s">
        <v>310</v>
      </c>
      <c r="C1015" s="8" t="s">
        <v>827</v>
      </c>
      <c r="I1015" s="10" t="s">
        <v>1588</v>
      </c>
      <c r="J1015" s="13" t="s">
        <v>916</v>
      </c>
      <c r="K1015" s="13" t="s">
        <v>276</v>
      </c>
      <c r="L1015" s="13" t="s">
        <v>1641</v>
      </c>
      <c r="M1015" s="7" t="s">
        <v>253</v>
      </c>
      <c r="N1015" s="7" t="s">
        <v>253</v>
      </c>
      <c r="O1015" s="7" t="s">
        <v>254</v>
      </c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  <c r="AA1015" s="8"/>
      <c r="AB1015" s="8"/>
      <c r="AC1015" s="8"/>
      <c r="AD1015" s="8"/>
      <c r="AE1015" s="8"/>
    </row>
    <row r="1016">
      <c r="A1016" s="12">
        <v>33.0</v>
      </c>
      <c r="B1016" s="8" t="s">
        <v>310</v>
      </c>
      <c r="C1016" s="8" t="s">
        <v>827</v>
      </c>
      <c r="I1016" s="10" t="s">
        <v>1268</v>
      </c>
      <c r="J1016" s="13" t="s">
        <v>920</v>
      </c>
      <c r="K1016" s="13" t="s">
        <v>276</v>
      </c>
      <c r="L1016" s="13" t="s">
        <v>1641</v>
      </c>
      <c r="M1016" s="7" t="s">
        <v>253</v>
      </c>
      <c r="N1016" s="7" t="s">
        <v>253</v>
      </c>
      <c r="O1016" s="7" t="s">
        <v>254</v>
      </c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  <c r="AA1016" s="8"/>
      <c r="AB1016" s="8"/>
      <c r="AC1016" s="8"/>
      <c r="AD1016" s="8"/>
      <c r="AE1016" s="8"/>
    </row>
    <row r="1017">
      <c r="A1017" s="12">
        <v>33.0</v>
      </c>
      <c r="B1017" s="8" t="s">
        <v>310</v>
      </c>
      <c r="C1017" s="8" t="s">
        <v>827</v>
      </c>
      <c r="I1017" s="10" t="s">
        <v>894</v>
      </c>
      <c r="J1017" s="13" t="s">
        <v>916</v>
      </c>
      <c r="K1017" s="13" t="s">
        <v>276</v>
      </c>
      <c r="L1017" s="13" t="s">
        <v>1641</v>
      </c>
      <c r="M1017" s="7" t="s">
        <v>253</v>
      </c>
      <c r="N1017" s="7" t="s">
        <v>253</v>
      </c>
      <c r="O1017" s="7" t="s">
        <v>254</v>
      </c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  <c r="AA1017" s="8"/>
      <c r="AB1017" s="8"/>
      <c r="AC1017" s="8"/>
      <c r="AD1017" s="8"/>
      <c r="AE1017" s="8"/>
    </row>
    <row r="1018">
      <c r="A1018" s="12">
        <v>33.0</v>
      </c>
      <c r="B1018" s="8" t="s">
        <v>310</v>
      </c>
      <c r="C1018" s="8" t="s">
        <v>827</v>
      </c>
      <c r="I1018" s="10" t="s">
        <v>1670</v>
      </c>
      <c r="J1018" s="13" t="s">
        <v>920</v>
      </c>
      <c r="K1018" s="13" t="s">
        <v>276</v>
      </c>
      <c r="L1018" s="13" t="s">
        <v>1641</v>
      </c>
      <c r="M1018" s="7" t="s">
        <v>253</v>
      </c>
      <c r="N1018" s="7" t="s">
        <v>253</v>
      </c>
      <c r="O1018" s="7" t="s">
        <v>254</v>
      </c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  <c r="AA1018" s="8"/>
      <c r="AB1018" s="8"/>
      <c r="AC1018" s="8"/>
      <c r="AD1018" s="8"/>
      <c r="AE1018" s="8"/>
    </row>
    <row r="1019">
      <c r="A1019" s="12">
        <v>33.0</v>
      </c>
      <c r="B1019" s="8" t="s">
        <v>310</v>
      </c>
      <c r="C1019" s="8" t="s">
        <v>827</v>
      </c>
      <c r="I1019" s="10" t="s">
        <v>864</v>
      </c>
      <c r="J1019" s="13" t="s">
        <v>916</v>
      </c>
      <c r="K1019" s="13" t="s">
        <v>276</v>
      </c>
      <c r="L1019" s="13" t="s">
        <v>1641</v>
      </c>
      <c r="M1019" s="7" t="s">
        <v>253</v>
      </c>
      <c r="N1019" s="7" t="s">
        <v>253</v>
      </c>
      <c r="O1019" s="7" t="s">
        <v>254</v>
      </c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  <c r="AA1019" s="8"/>
      <c r="AB1019" s="8"/>
      <c r="AC1019" s="8"/>
      <c r="AD1019" s="8"/>
      <c r="AE1019" s="8"/>
    </row>
    <row r="1020">
      <c r="A1020" s="12">
        <v>33.0</v>
      </c>
      <c r="B1020" s="8" t="s">
        <v>310</v>
      </c>
      <c r="C1020" s="8" t="s">
        <v>827</v>
      </c>
      <c r="I1020" s="10" t="s">
        <v>899</v>
      </c>
      <c r="J1020" s="13" t="s">
        <v>920</v>
      </c>
      <c r="K1020" s="13" t="s">
        <v>276</v>
      </c>
      <c r="L1020" s="13" t="s">
        <v>1641</v>
      </c>
      <c r="M1020" s="7" t="s">
        <v>253</v>
      </c>
      <c r="N1020" s="7" t="s">
        <v>253</v>
      </c>
      <c r="O1020" s="7" t="s">
        <v>254</v>
      </c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  <c r="AA1020" s="8"/>
      <c r="AB1020" s="8"/>
      <c r="AC1020" s="8"/>
      <c r="AD1020" s="8"/>
      <c r="AE1020" s="8"/>
    </row>
    <row r="1021">
      <c r="A1021" s="12">
        <v>33.0</v>
      </c>
      <c r="B1021" s="8" t="s">
        <v>310</v>
      </c>
      <c r="C1021" s="8" t="s">
        <v>827</v>
      </c>
      <c r="I1021" s="10" t="s">
        <v>1676</v>
      </c>
      <c r="J1021" s="13" t="s">
        <v>916</v>
      </c>
      <c r="K1021" s="13" t="s">
        <v>276</v>
      </c>
      <c r="L1021" s="13" t="s">
        <v>1641</v>
      </c>
      <c r="M1021" s="7" t="s">
        <v>253</v>
      </c>
      <c r="N1021" s="7" t="s">
        <v>253</v>
      </c>
      <c r="O1021" s="7" t="s">
        <v>254</v>
      </c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  <c r="AA1021" s="8"/>
      <c r="AB1021" s="8"/>
      <c r="AC1021" s="8"/>
      <c r="AD1021" s="8"/>
      <c r="AE1021" s="8"/>
    </row>
    <row r="1022">
      <c r="A1022" s="12">
        <v>33.0</v>
      </c>
      <c r="B1022" s="8" t="s">
        <v>310</v>
      </c>
      <c r="C1022" s="8" t="s">
        <v>827</v>
      </c>
      <c r="I1022" s="10" t="s">
        <v>936</v>
      </c>
      <c r="J1022" s="13" t="s">
        <v>920</v>
      </c>
      <c r="K1022" s="13" t="s">
        <v>276</v>
      </c>
      <c r="L1022" s="13" t="s">
        <v>1641</v>
      </c>
      <c r="M1022" s="7" t="s">
        <v>253</v>
      </c>
      <c r="N1022" s="7" t="s">
        <v>253</v>
      </c>
      <c r="O1022" s="7" t="s">
        <v>254</v>
      </c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  <c r="AA1022" s="8"/>
      <c r="AB1022" s="8"/>
      <c r="AC1022" s="8"/>
      <c r="AD1022" s="8"/>
      <c r="AE1022" s="8"/>
    </row>
    <row r="1023">
      <c r="A1023" s="12">
        <v>33.0</v>
      </c>
      <c r="B1023" s="8" t="s">
        <v>310</v>
      </c>
      <c r="C1023" s="8" t="s">
        <v>827</v>
      </c>
      <c r="I1023" s="10" t="s">
        <v>1677</v>
      </c>
      <c r="J1023" s="13" t="s">
        <v>916</v>
      </c>
      <c r="K1023" s="13" t="s">
        <v>276</v>
      </c>
      <c r="L1023" s="13" t="s">
        <v>1641</v>
      </c>
      <c r="M1023" s="7" t="s">
        <v>253</v>
      </c>
      <c r="N1023" s="7" t="s">
        <v>253</v>
      </c>
      <c r="O1023" s="7" t="s">
        <v>254</v>
      </c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  <c r="AA1023" s="8"/>
      <c r="AB1023" s="8"/>
      <c r="AC1023" s="8"/>
      <c r="AD1023" s="8"/>
      <c r="AE1023" s="8"/>
    </row>
    <row r="1024">
      <c r="A1024" s="12">
        <v>33.0</v>
      </c>
      <c r="B1024" s="8" t="s">
        <v>310</v>
      </c>
      <c r="C1024" s="8" t="s">
        <v>827</v>
      </c>
      <c r="I1024" s="10" t="s">
        <v>597</v>
      </c>
      <c r="J1024" s="13" t="s">
        <v>920</v>
      </c>
      <c r="K1024" s="13" t="s">
        <v>276</v>
      </c>
      <c r="L1024" s="13" t="s">
        <v>1641</v>
      </c>
      <c r="M1024" s="7" t="s">
        <v>253</v>
      </c>
      <c r="N1024" s="7" t="s">
        <v>253</v>
      </c>
      <c r="O1024" s="7" t="s">
        <v>254</v>
      </c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  <c r="AA1024" s="8"/>
      <c r="AB1024" s="8"/>
      <c r="AC1024" s="8"/>
      <c r="AD1024" s="8"/>
      <c r="AE1024" s="8"/>
    </row>
    <row r="1025">
      <c r="A1025" s="12">
        <v>33.0</v>
      </c>
      <c r="B1025" s="8" t="s">
        <v>310</v>
      </c>
      <c r="C1025" s="8" t="s">
        <v>827</v>
      </c>
      <c r="I1025" s="10" t="s">
        <v>1455</v>
      </c>
      <c r="J1025" s="13" t="s">
        <v>916</v>
      </c>
      <c r="K1025" s="13" t="s">
        <v>276</v>
      </c>
      <c r="L1025" s="13" t="s">
        <v>1641</v>
      </c>
      <c r="M1025" s="7" t="s">
        <v>253</v>
      </c>
      <c r="N1025" s="7" t="s">
        <v>253</v>
      </c>
      <c r="O1025" s="7" t="s">
        <v>254</v>
      </c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  <c r="AA1025" s="8"/>
      <c r="AB1025" s="8"/>
      <c r="AC1025" s="8"/>
      <c r="AD1025" s="8"/>
      <c r="AE1025" s="8"/>
    </row>
    <row r="1026">
      <c r="A1026" s="12">
        <v>33.0</v>
      </c>
      <c r="B1026" s="8" t="s">
        <v>310</v>
      </c>
      <c r="C1026" s="8" t="s">
        <v>827</v>
      </c>
      <c r="I1026" s="10" t="s">
        <v>1690</v>
      </c>
      <c r="J1026" s="13" t="s">
        <v>920</v>
      </c>
      <c r="K1026" s="13" t="s">
        <v>276</v>
      </c>
      <c r="L1026" s="13" t="s">
        <v>1641</v>
      </c>
      <c r="M1026" s="7" t="s">
        <v>253</v>
      </c>
      <c r="N1026" s="7" t="s">
        <v>253</v>
      </c>
      <c r="O1026" s="7" t="s">
        <v>254</v>
      </c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  <c r="AA1026" s="8"/>
      <c r="AB1026" s="8"/>
      <c r="AC1026" s="8"/>
      <c r="AD1026" s="8"/>
      <c r="AE1026" s="8"/>
    </row>
    <row r="1027">
      <c r="A1027" s="12">
        <v>33.0</v>
      </c>
      <c r="B1027" s="8" t="s">
        <v>310</v>
      </c>
      <c r="C1027" s="8" t="s">
        <v>827</v>
      </c>
      <c r="I1027" s="10" t="s">
        <v>302</v>
      </c>
      <c r="J1027" s="13" t="s">
        <v>916</v>
      </c>
      <c r="K1027" s="13" t="s">
        <v>276</v>
      </c>
      <c r="L1027" s="13" t="s">
        <v>1641</v>
      </c>
      <c r="M1027" s="7" t="s">
        <v>253</v>
      </c>
      <c r="N1027" s="7" t="s">
        <v>253</v>
      </c>
      <c r="O1027" s="7" t="s">
        <v>254</v>
      </c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  <c r="AA1027" s="8"/>
      <c r="AB1027" s="8"/>
      <c r="AC1027" s="8"/>
      <c r="AD1027" s="8"/>
      <c r="AE1027" s="8"/>
    </row>
    <row r="1028">
      <c r="A1028" s="12">
        <v>33.0</v>
      </c>
      <c r="B1028" s="8" t="s">
        <v>310</v>
      </c>
      <c r="C1028" s="8" t="s">
        <v>827</v>
      </c>
      <c r="I1028" s="10" t="s">
        <v>1691</v>
      </c>
      <c r="J1028" s="13" t="s">
        <v>920</v>
      </c>
      <c r="K1028" s="13" t="s">
        <v>276</v>
      </c>
      <c r="L1028" s="13" t="s">
        <v>1641</v>
      </c>
      <c r="M1028" s="7" t="s">
        <v>253</v>
      </c>
      <c r="N1028" s="7" t="s">
        <v>253</v>
      </c>
      <c r="O1028" s="7" t="s">
        <v>254</v>
      </c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  <c r="AA1028" s="8"/>
      <c r="AB1028" s="8"/>
      <c r="AC1028" s="8"/>
      <c r="AD1028" s="8"/>
      <c r="AE1028" s="8"/>
    </row>
    <row r="1029">
      <c r="A1029" s="12">
        <v>33.0</v>
      </c>
      <c r="B1029" s="8" t="s">
        <v>310</v>
      </c>
      <c r="C1029" s="8" t="s">
        <v>827</v>
      </c>
      <c r="I1029" s="10" t="s">
        <v>291</v>
      </c>
      <c r="J1029" s="13" t="s">
        <v>916</v>
      </c>
      <c r="K1029" s="13" t="s">
        <v>276</v>
      </c>
      <c r="L1029" s="13" t="s">
        <v>1641</v>
      </c>
      <c r="M1029" s="7" t="s">
        <v>253</v>
      </c>
      <c r="N1029" s="7" t="s">
        <v>253</v>
      </c>
      <c r="O1029" s="7" t="s">
        <v>254</v>
      </c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  <c r="AA1029" s="8"/>
      <c r="AB1029" s="8"/>
      <c r="AC1029" s="8"/>
      <c r="AD1029" s="8"/>
      <c r="AE1029" s="8"/>
    </row>
    <row r="1030">
      <c r="A1030" s="12">
        <v>33.0</v>
      </c>
      <c r="B1030" s="8" t="s">
        <v>310</v>
      </c>
      <c r="C1030" s="8" t="s">
        <v>827</v>
      </c>
      <c r="I1030" s="10" t="s">
        <v>944</v>
      </c>
      <c r="J1030" s="13" t="s">
        <v>920</v>
      </c>
      <c r="K1030" s="13" t="s">
        <v>276</v>
      </c>
      <c r="L1030" s="13" t="s">
        <v>1641</v>
      </c>
      <c r="M1030" s="7" t="s">
        <v>253</v>
      </c>
      <c r="N1030" s="7" t="s">
        <v>253</v>
      </c>
      <c r="O1030" s="7" t="s">
        <v>254</v>
      </c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  <c r="AA1030" s="8"/>
      <c r="AB1030" s="8"/>
      <c r="AC1030" s="8"/>
      <c r="AD1030" s="8"/>
      <c r="AE1030" s="8"/>
    </row>
    <row r="1031">
      <c r="A1031" s="12">
        <v>33.0</v>
      </c>
      <c r="B1031" s="8" t="s">
        <v>310</v>
      </c>
      <c r="C1031" s="8" t="s">
        <v>827</v>
      </c>
      <c r="I1031" s="10" t="s">
        <v>1692</v>
      </c>
      <c r="J1031" s="13" t="s">
        <v>916</v>
      </c>
      <c r="K1031" s="13" t="s">
        <v>276</v>
      </c>
      <c r="L1031" s="13" t="s">
        <v>1641</v>
      </c>
      <c r="M1031" s="7" t="s">
        <v>253</v>
      </c>
      <c r="N1031" s="7" t="s">
        <v>253</v>
      </c>
      <c r="O1031" s="7" t="s">
        <v>254</v>
      </c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  <c r="AA1031" s="8"/>
      <c r="AB1031" s="8"/>
      <c r="AC1031" s="8"/>
      <c r="AD1031" s="8"/>
      <c r="AE1031" s="8"/>
    </row>
    <row r="1032">
      <c r="A1032" s="12">
        <v>33.0</v>
      </c>
      <c r="B1032" s="8" t="s">
        <v>310</v>
      </c>
      <c r="C1032" s="8" t="s">
        <v>827</v>
      </c>
      <c r="I1032" s="10" t="s">
        <v>1693</v>
      </c>
      <c r="J1032" s="13" t="s">
        <v>920</v>
      </c>
      <c r="K1032" s="13" t="s">
        <v>276</v>
      </c>
      <c r="L1032" s="13" t="s">
        <v>1641</v>
      </c>
      <c r="M1032" s="7" t="s">
        <v>253</v>
      </c>
      <c r="N1032" s="7" t="s">
        <v>253</v>
      </c>
      <c r="O1032" s="7" t="s">
        <v>254</v>
      </c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  <c r="AA1032" s="8"/>
      <c r="AB1032" s="8"/>
      <c r="AC1032" s="8"/>
      <c r="AD1032" s="8"/>
      <c r="AE1032" s="8"/>
    </row>
    <row r="1033">
      <c r="A1033" s="12">
        <v>33.0</v>
      </c>
      <c r="B1033" s="8" t="s">
        <v>310</v>
      </c>
      <c r="C1033" s="8" t="s">
        <v>827</v>
      </c>
      <c r="I1033" s="10" t="s">
        <v>869</v>
      </c>
      <c r="J1033" s="13" t="s">
        <v>916</v>
      </c>
      <c r="K1033" s="13" t="s">
        <v>276</v>
      </c>
      <c r="L1033" s="13" t="s">
        <v>1641</v>
      </c>
      <c r="M1033" s="7" t="s">
        <v>253</v>
      </c>
      <c r="N1033" s="7" t="s">
        <v>253</v>
      </c>
      <c r="O1033" s="7" t="s">
        <v>254</v>
      </c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  <c r="AA1033" s="8"/>
      <c r="AB1033" s="8"/>
      <c r="AC1033" s="8"/>
      <c r="AD1033" s="8"/>
      <c r="AE1033" s="8"/>
    </row>
    <row r="1034">
      <c r="A1034" s="12">
        <v>33.0</v>
      </c>
      <c r="B1034" s="8" t="s">
        <v>310</v>
      </c>
      <c r="C1034" s="8" t="s">
        <v>827</v>
      </c>
      <c r="I1034" s="10" t="s">
        <v>911</v>
      </c>
      <c r="J1034" s="13" t="s">
        <v>920</v>
      </c>
      <c r="K1034" s="13" t="s">
        <v>276</v>
      </c>
      <c r="L1034" s="13" t="s">
        <v>1641</v>
      </c>
      <c r="M1034" s="7" t="s">
        <v>253</v>
      </c>
      <c r="N1034" s="7" t="s">
        <v>253</v>
      </c>
      <c r="O1034" s="7" t="s">
        <v>254</v>
      </c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  <c r="AA1034" s="8"/>
      <c r="AB1034" s="8"/>
      <c r="AC1034" s="8"/>
      <c r="AD1034" s="8"/>
      <c r="AE1034" s="8"/>
    </row>
    <row r="1035">
      <c r="A1035" s="12">
        <v>33.0</v>
      </c>
      <c r="B1035" s="8" t="s">
        <v>310</v>
      </c>
      <c r="C1035" s="8" t="s">
        <v>827</v>
      </c>
      <c r="I1035" s="10" t="s">
        <v>862</v>
      </c>
      <c r="J1035" s="13" t="s">
        <v>916</v>
      </c>
      <c r="K1035" s="13" t="s">
        <v>276</v>
      </c>
      <c r="L1035" s="13" t="s">
        <v>1641</v>
      </c>
      <c r="M1035" s="7" t="s">
        <v>253</v>
      </c>
      <c r="N1035" s="7" t="s">
        <v>253</v>
      </c>
      <c r="O1035" s="7" t="s">
        <v>254</v>
      </c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  <c r="AA1035" s="8"/>
      <c r="AB1035" s="8"/>
      <c r="AC1035" s="8"/>
      <c r="AD1035" s="8"/>
      <c r="AE1035" s="8"/>
    </row>
    <row r="1036">
      <c r="A1036" s="12">
        <v>33.0</v>
      </c>
      <c r="B1036" s="8" t="s">
        <v>310</v>
      </c>
      <c r="C1036" s="8" t="s">
        <v>827</v>
      </c>
      <c r="I1036" s="10" t="s">
        <v>1277</v>
      </c>
      <c r="J1036" s="13" t="s">
        <v>920</v>
      </c>
      <c r="K1036" s="13" t="s">
        <v>276</v>
      </c>
      <c r="L1036" s="13" t="s">
        <v>1641</v>
      </c>
      <c r="M1036" s="7" t="s">
        <v>253</v>
      </c>
      <c r="N1036" s="7" t="s">
        <v>253</v>
      </c>
      <c r="O1036" s="7" t="s">
        <v>254</v>
      </c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  <c r="AA1036" s="8"/>
      <c r="AB1036" s="8"/>
      <c r="AC1036" s="8"/>
      <c r="AD1036" s="8"/>
      <c r="AE1036" s="8"/>
    </row>
    <row r="1037">
      <c r="A1037" s="12">
        <v>33.0</v>
      </c>
      <c r="B1037" s="8" t="s">
        <v>310</v>
      </c>
      <c r="C1037" s="8" t="s">
        <v>827</v>
      </c>
      <c r="I1037" s="10" t="s">
        <v>896</v>
      </c>
      <c r="J1037" s="13" t="s">
        <v>916</v>
      </c>
      <c r="K1037" s="13" t="s">
        <v>276</v>
      </c>
      <c r="L1037" s="13" t="s">
        <v>1641</v>
      </c>
      <c r="M1037" s="7" t="s">
        <v>253</v>
      </c>
      <c r="N1037" s="7" t="s">
        <v>253</v>
      </c>
      <c r="O1037" s="7" t="s">
        <v>254</v>
      </c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  <c r="AA1037" s="8"/>
      <c r="AB1037" s="8"/>
      <c r="AC1037" s="8"/>
      <c r="AD1037" s="8"/>
      <c r="AE1037" s="8"/>
    </row>
    <row r="1038">
      <c r="A1038" s="12">
        <v>33.0</v>
      </c>
      <c r="B1038" s="8" t="s">
        <v>310</v>
      </c>
      <c r="C1038" s="8" t="s">
        <v>827</v>
      </c>
      <c r="I1038" s="10" t="s">
        <v>1694</v>
      </c>
      <c r="J1038" s="13" t="s">
        <v>920</v>
      </c>
      <c r="K1038" s="13" t="s">
        <v>276</v>
      </c>
      <c r="L1038" s="13" t="s">
        <v>1641</v>
      </c>
      <c r="M1038" s="7" t="s">
        <v>253</v>
      </c>
      <c r="N1038" s="7" t="s">
        <v>253</v>
      </c>
      <c r="O1038" s="7" t="s">
        <v>254</v>
      </c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  <c r="AA1038" s="8"/>
      <c r="AB1038" s="8"/>
      <c r="AC1038" s="8"/>
      <c r="AD1038" s="8"/>
      <c r="AE1038" s="8"/>
    </row>
    <row r="1039">
      <c r="A1039" s="12">
        <v>33.0</v>
      </c>
      <c r="B1039" s="8" t="s">
        <v>310</v>
      </c>
      <c r="C1039" s="8" t="s">
        <v>827</v>
      </c>
      <c r="I1039" s="10" t="s">
        <v>877</v>
      </c>
      <c r="J1039" s="13" t="s">
        <v>916</v>
      </c>
      <c r="K1039" s="13" t="s">
        <v>276</v>
      </c>
      <c r="L1039" s="13" t="s">
        <v>1641</v>
      </c>
      <c r="M1039" s="7" t="s">
        <v>253</v>
      </c>
      <c r="N1039" s="7" t="s">
        <v>253</v>
      </c>
      <c r="O1039" s="7" t="s">
        <v>254</v>
      </c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  <c r="AA1039" s="8"/>
      <c r="AB1039" s="8"/>
      <c r="AC1039" s="8"/>
      <c r="AD1039" s="8"/>
      <c r="AE1039" s="8"/>
    </row>
    <row r="1040">
      <c r="A1040" s="12">
        <v>33.0</v>
      </c>
      <c r="B1040" s="8" t="s">
        <v>310</v>
      </c>
      <c r="C1040" s="8" t="s">
        <v>827</v>
      </c>
      <c r="I1040" s="10" t="s">
        <v>1695</v>
      </c>
      <c r="J1040" s="13" t="s">
        <v>920</v>
      </c>
      <c r="K1040" s="13" t="s">
        <v>276</v>
      </c>
      <c r="L1040" s="13" t="s">
        <v>1641</v>
      </c>
      <c r="M1040" s="7" t="s">
        <v>253</v>
      </c>
      <c r="N1040" s="7" t="s">
        <v>253</v>
      </c>
      <c r="O1040" s="7" t="s">
        <v>254</v>
      </c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  <c r="AA1040" s="8"/>
      <c r="AB1040" s="8"/>
      <c r="AC1040" s="8"/>
      <c r="AD1040" s="8"/>
      <c r="AE1040" s="8"/>
    </row>
    <row r="1041">
      <c r="A1041" s="12">
        <v>33.0</v>
      </c>
      <c r="B1041" s="8" t="s">
        <v>310</v>
      </c>
      <c r="C1041" s="8" t="s">
        <v>827</v>
      </c>
      <c r="I1041" s="10" t="s">
        <v>1484</v>
      </c>
      <c r="J1041" s="13" t="s">
        <v>916</v>
      </c>
      <c r="K1041" s="13" t="s">
        <v>276</v>
      </c>
      <c r="L1041" s="13" t="s">
        <v>1641</v>
      </c>
      <c r="M1041" s="7" t="s">
        <v>253</v>
      </c>
      <c r="N1041" s="7" t="s">
        <v>253</v>
      </c>
      <c r="O1041" s="7" t="s">
        <v>254</v>
      </c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  <c r="AA1041" s="8"/>
      <c r="AB1041" s="8"/>
      <c r="AC1041" s="8"/>
      <c r="AD1041" s="8"/>
      <c r="AE1041" s="8"/>
    </row>
    <row r="1042">
      <c r="A1042" s="12">
        <v>33.0</v>
      </c>
      <c r="B1042" s="8" t="s">
        <v>310</v>
      </c>
      <c r="C1042" s="8" t="s">
        <v>827</v>
      </c>
      <c r="I1042" s="10" t="s">
        <v>948</v>
      </c>
      <c r="J1042" s="13" t="s">
        <v>920</v>
      </c>
      <c r="K1042" s="13" t="s">
        <v>276</v>
      </c>
      <c r="L1042" s="13" t="s">
        <v>1641</v>
      </c>
      <c r="M1042" s="7" t="s">
        <v>253</v>
      </c>
      <c r="N1042" s="7" t="s">
        <v>253</v>
      </c>
      <c r="O1042" s="7" t="s">
        <v>254</v>
      </c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  <c r="AA1042" s="8"/>
      <c r="AB1042" s="8"/>
      <c r="AC1042" s="8"/>
      <c r="AD1042" s="8"/>
      <c r="AE1042" s="8"/>
    </row>
    <row r="1043">
      <c r="A1043" s="12">
        <v>33.0</v>
      </c>
      <c r="B1043" s="8" t="s">
        <v>310</v>
      </c>
      <c r="C1043" s="8" t="s">
        <v>827</v>
      </c>
      <c r="I1043" s="10" t="s">
        <v>873</v>
      </c>
      <c r="J1043" s="13" t="s">
        <v>916</v>
      </c>
      <c r="K1043" s="13" t="s">
        <v>276</v>
      </c>
      <c r="L1043" s="13" t="s">
        <v>1641</v>
      </c>
      <c r="M1043" s="7" t="s">
        <v>253</v>
      </c>
      <c r="N1043" s="7" t="s">
        <v>253</v>
      </c>
      <c r="O1043" s="7" t="s">
        <v>254</v>
      </c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  <c r="AA1043" s="8"/>
      <c r="AB1043" s="8"/>
      <c r="AC1043" s="8"/>
      <c r="AD1043" s="8"/>
      <c r="AE1043" s="8"/>
    </row>
    <row r="1044">
      <c r="A1044" s="12">
        <v>33.0</v>
      </c>
      <c r="B1044" s="8" t="s">
        <v>310</v>
      </c>
      <c r="C1044" s="8" t="s">
        <v>827</v>
      </c>
      <c r="I1044" s="10" t="s">
        <v>1617</v>
      </c>
      <c r="J1044" s="13" t="s">
        <v>920</v>
      </c>
      <c r="K1044" s="13" t="s">
        <v>276</v>
      </c>
      <c r="L1044" s="13" t="s">
        <v>1641</v>
      </c>
      <c r="M1044" s="7" t="s">
        <v>253</v>
      </c>
      <c r="N1044" s="7" t="s">
        <v>253</v>
      </c>
      <c r="O1044" s="7" t="s">
        <v>254</v>
      </c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  <c r="AA1044" s="8"/>
      <c r="AB1044" s="8"/>
      <c r="AC1044" s="8"/>
      <c r="AD1044" s="8"/>
      <c r="AE1044" s="8"/>
    </row>
    <row r="1045">
      <c r="A1045" s="12">
        <v>33.0</v>
      </c>
      <c r="B1045" s="8" t="s">
        <v>310</v>
      </c>
      <c r="C1045" s="8" t="s">
        <v>827</v>
      </c>
      <c r="I1045" s="10" t="s">
        <v>891</v>
      </c>
      <c r="J1045" s="13" t="s">
        <v>916</v>
      </c>
      <c r="K1045" s="13" t="s">
        <v>276</v>
      </c>
      <c r="L1045" s="13" t="s">
        <v>1641</v>
      </c>
      <c r="M1045" s="7" t="s">
        <v>253</v>
      </c>
      <c r="N1045" s="7" t="s">
        <v>253</v>
      </c>
      <c r="O1045" s="7" t="s">
        <v>254</v>
      </c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  <c r="AA1045" s="8"/>
      <c r="AB1045" s="8"/>
      <c r="AC1045" s="8"/>
      <c r="AD1045" s="8"/>
      <c r="AE1045" s="8"/>
    </row>
    <row r="1046">
      <c r="A1046" s="12">
        <v>33.0</v>
      </c>
      <c r="B1046" s="8" t="s">
        <v>310</v>
      </c>
      <c r="C1046" s="8" t="s">
        <v>827</v>
      </c>
      <c r="I1046" s="10" t="s">
        <v>906</v>
      </c>
      <c r="J1046" s="13" t="s">
        <v>920</v>
      </c>
      <c r="K1046" s="13" t="s">
        <v>276</v>
      </c>
      <c r="L1046" s="13" t="s">
        <v>1641</v>
      </c>
      <c r="M1046" s="7" t="s">
        <v>253</v>
      </c>
      <c r="N1046" s="7" t="s">
        <v>253</v>
      </c>
      <c r="O1046" s="7" t="s">
        <v>254</v>
      </c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  <c r="AA1046" s="8"/>
      <c r="AB1046" s="8"/>
      <c r="AC1046" s="8"/>
      <c r="AD1046" s="8"/>
      <c r="AE1046" s="8"/>
    </row>
    <row r="1047">
      <c r="A1047" s="12">
        <v>33.0</v>
      </c>
      <c r="B1047" s="8" t="s">
        <v>310</v>
      </c>
      <c r="C1047" s="8" t="s">
        <v>827</v>
      </c>
      <c r="I1047" s="10" t="s">
        <v>881</v>
      </c>
      <c r="J1047" s="13" t="s">
        <v>916</v>
      </c>
      <c r="K1047" s="13" t="s">
        <v>276</v>
      </c>
      <c r="L1047" s="13" t="s">
        <v>1641</v>
      </c>
      <c r="M1047" s="7" t="s">
        <v>253</v>
      </c>
      <c r="N1047" s="7" t="s">
        <v>253</v>
      </c>
      <c r="O1047" s="7" t="s">
        <v>254</v>
      </c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  <c r="AA1047" s="8"/>
      <c r="AB1047" s="8"/>
      <c r="AC1047" s="8"/>
      <c r="AD1047" s="8"/>
      <c r="AE1047" s="8"/>
    </row>
    <row r="1048">
      <c r="A1048" s="12">
        <v>33.0</v>
      </c>
      <c r="B1048" s="8" t="s">
        <v>310</v>
      </c>
      <c r="C1048" s="8" t="s">
        <v>827</v>
      </c>
      <c r="I1048" s="10" t="s">
        <v>1696</v>
      </c>
      <c r="J1048" s="13" t="s">
        <v>920</v>
      </c>
      <c r="K1048" s="13" t="s">
        <v>276</v>
      </c>
      <c r="L1048" s="13" t="s">
        <v>1641</v>
      </c>
      <c r="M1048" s="7" t="s">
        <v>253</v>
      </c>
      <c r="N1048" s="7" t="s">
        <v>253</v>
      </c>
      <c r="O1048" s="7" t="s">
        <v>254</v>
      </c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  <c r="AA1048" s="8"/>
      <c r="AB1048" s="8"/>
      <c r="AC1048" s="8"/>
      <c r="AD1048" s="8"/>
      <c r="AE1048" s="8"/>
    </row>
    <row r="1049">
      <c r="A1049" s="12">
        <v>33.0</v>
      </c>
      <c r="B1049" s="8" t="s">
        <v>310</v>
      </c>
      <c r="C1049" s="8" t="s">
        <v>827</v>
      </c>
      <c r="I1049" s="10" t="s">
        <v>1305</v>
      </c>
      <c r="J1049" s="13" t="s">
        <v>916</v>
      </c>
      <c r="K1049" s="13" t="s">
        <v>276</v>
      </c>
      <c r="L1049" s="13" t="s">
        <v>1641</v>
      </c>
      <c r="M1049" s="7" t="s">
        <v>253</v>
      </c>
      <c r="N1049" s="7" t="s">
        <v>253</v>
      </c>
      <c r="O1049" s="7" t="s">
        <v>254</v>
      </c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  <c r="AA1049" s="8"/>
      <c r="AB1049" s="8"/>
      <c r="AC1049" s="8"/>
      <c r="AD1049" s="8"/>
      <c r="AE1049" s="8"/>
    </row>
    <row r="1050">
      <c r="A1050" s="12">
        <v>33.0</v>
      </c>
      <c r="B1050" s="8" t="s">
        <v>310</v>
      </c>
      <c r="C1050" s="8" t="s">
        <v>827</v>
      </c>
      <c r="I1050" s="10" t="s">
        <v>295</v>
      </c>
      <c r="J1050" s="13" t="s">
        <v>920</v>
      </c>
      <c r="K1050" s="13" t="s">
        <v>276</v>
      </c>
      <c r="L1050" s="13" t="s">
        <v>1641</v>
      </c>
      <c r="M1050" s="7" t="s">
        <v>253</v>
      </c>
      <c r="N1050" s="7" t="s">
        <v>253</v>
      </c>
      <c r="O1050" s="7" t="s">
        <v>254</v>
      </c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  <c r="AA1050" s="8"/>
      <c r="AB1050" s="8"/>
      <c r="AC1050" s="8"/>
      <c r="AD1050" s="8"/>
      <c r="AE1050" s="8"/>
    </row>
    <row r="1051">
      <c r="A1051" s="12">
        <v>33.0</v>
      </c>
      <c r="B1051" s="8" t="s">
        <v>310</v>
      </c>
      <c r="C1051" s="8" t="s">
        <v>827</v>
      </c>
      <c r="I1051" s="10" t="s">
        <v>1697</v>
      </c>
      <c r="J1051" s="13" t="s">
        <v>916</v>
      </c>
      <c r="K1051" s="13" t="s">
        <v>276</v>
      </c>
      <c r="L1051" s="13" t="s">
        <v>1641</v>
      </c>
      <c r="M1051" s="7" t="s">
        <v>253</v>
      </c>
      <c r="N1051" s="7" t="s">
        <v>253</v>
      </c>
      <c r="O1051" s="7" t="s">
        <v>254</v>
      </c>
      <c r="P1051" s="13" t="s">
        <v>300</v>
      </c>
      <c r="Q1051" s="8"/>
      <c r="R1051" s="8"/>
      <c r="S1051" s="8"/>
      <c r="T1051" s="8"/>
      <c r="U1051" s="8"/>
      <c r="V1051" s="8"/>
      <c r="W1051" s="8"/>
      <c r="X1051" s="8"/>
      <c r="Y1051" s="8"/>
      <c r="Z1051" s="8"/>
      <c r="AA1051" s="8"/>
      <c r="AB1051" s="8"/>
      <c r="AC1051" s="8"/>
      <c r="AD1051" s="8"/>
      <c r="AE1051" s="8"/>
    </row>
    <row r="1052">
      <c r="A1052" s="12">
        <v>33.0</v>
      </c>
      <c r="B1052" s="8" t="s">
        <v>310</v>
      </c>
      <c r="C1052" s="8" t="s">
        <v>827</v>
      </c>
      <c r="I1052" s="10" t="s">
        <v>845</v>
      </c>
      <c r="J1052" s="13" t="s">
        <v>920</v>
      </c>
      <c r="K1052" s="13" t="s">
        <v>276</v>
      </c>
      <c r="L1052" s="13" t="s">
        <v>1641</v>
      </c>
      <c r="M1052" s="7" t="s">
        <v>253</v>
      </c>
      <c r="N1052" s="7" t="s">
        <v>253</v>
      </c>
      <c r="O1052" s="7" t="s">
        <v>254</v>
      </c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  <c r="AA1052" s="8"/>
      <c r="AB1052" s="8"/>
      <c r="AC1052" s="8"/>
      <c r="AD1052" s="8"/>
      <c r="AE1052" s="8"/>
    </row>
    <row r="1053">
      <c r="A1053" s="12">
        <v>33.0</v>
      </c>
      <c r="B1053" s="8" t="s">
        <v>310</v>
      </c>
      <c r="C1053" s="8" t="s">
        <v>827</v>
      </c>
      <c r="I1053" s="10" t="s">
        <v>824</v>
      </c>
      <c r="J1053" s="13" t="s">
        <v>916</v>
      </c>
      <c r="K1053" s="13" t="s">
        <v>276</v>
      </c>
      <c r="L1053" s="13" t="s">
        <v>1641</v>
      </c>
      <c r="M1053" s="7" t="s">
        <v>253</v>
      </c>
      <c r="N1053" s="7" t="s">
        <v>253</v>
      </c>
      <c r="O1053" s="7" t="s">
        <v>254</v>
      </c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  <c r="AA1053" s="8"/>
      <c r="AB1053" s="8"/>
      <c r="AC1053" s="8"/>
      <c r="AD1053" s="8"/>
      <c r="AE1053" s="8"/>
    </row>
    <row r="1054">
      <c r="A1054" s="12">
        <v>33.0</v>
      </c>
      <c r="B1054" s="8" t="s">
        <v>310</v>
      </c>
      <c r="C1054" s="8" t="s">
        <v>827</v>
      </c>
      <c r="I1054" s="10" t="s">
        <v>1698</v>
      </c>
      <c r="J1054" s="13" t="s">
        <v>920</v>
      </c>
      <c r="K1054" s="13" t="s">
        <v>276</v>
      </c>
      <c r="L1054" s="13" t="s">
        <v>1641</v>
      </c>
      <c r="M1054" s="7" t="s">
        <v>253</v>
      </c>
      <c r="N1054" s="7" t="s">
        <v>253</v>
      </c>
      <c r="O1054" s="7" t="s">
        <v>254</v>
      </c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  <c r="AA1054" s="8"/>
      <c r="AB1054" s="8"/>
      <c r="AC1054" s="8"/>
      <c r="AD1054" s="8"/>
      <c r="AE1054" s="8"/>
    </row>
    <row r="1055">
      <c r="A1055" s="12">
        <v>33.0</v>
      </c>
      <c r="B1055" s="8" t="s">
        <v>310</v>
      </c>
      <c r="C1055" s="8" t="s">
        <v>827</v>
      </c>
      <c r="I1055" s="10" t="s">
        <v>1699</v>
      </c>
      <c r="J1055" s="13" t="s">
        <v>916</v>
      </c>
      <c r="K1055" s="13" t="s">
        <v>276</v>
      </c>
      <c r="L1055" s="13" t="s">
        <v>1641</v>
      </c>
      <c r="M1055" s="7" t="s">
        <v>253</v>
      </c>
      <c r="N1055" s="7" t="s">
        <v>253</v>
      </c>
      <c r="O1055" s="7" t="s">
        <v>254</v>
      </c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  <c r="AA1055" s="8"/>
      <c r="AB1055" s="8"/>
      <c r="AC1055" s="8"/>
      <c r="AD1055" s="8"/>
      <c r="AE1055" s="8"/>
    </row>
    <row r="1056">
      <c r="A1056" s="12">
        <v>33.0</v>
      </c>
      <c r="B1056" s="8" t="s">
        <v>310</v>
      </c>
      <c r="C1056" s="8" t="s">
        <v>827</v>
      </c>
      <c r="I1056" s="10" t="s">
        <v>1312</v>
      </c>
      <c r="J1056" s="13" t="s">
        <v>920</v>
      </c>
      <c r="K1056" s="13" t="s">
        <v>276</v>
      </c>
      <c r="L1056" s="13" t="s">
        <v>1641</v>
      </c>
      <c r="M1056" s="7" t="s">
        <v>253</v>
      </c>
      <c r="N1056" s="7" t="s">
        <v>253</v>
      </c>
      <c r="O1056" s="7" t="s">
        <v>254</v>
      </c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  <c r="AA1056" s="8"/>
      <c r="AB1056" s="8"/>
      <c r="AC1056" s="8"/>
      <c r="AD1056" s="8"/>
      <c r="AE1056" s="8"/>
    </row>
    <row r="1057">
      <c r="A1057" s="12">
        <v>33.0</v>
      </c>
      <c r="B1057" s="8" t="s">
        <v>310</v>
      </c>
      <c r="C1057" s="8" t="s">
        <v>827</v>
      </c>
      <c r="I1057" s="10" t="s">
        <v>306</v>
      </c>
      <c r="J1057" s="13" t="s">
        <v>916</v>
      </c>
      <c r="K1057" s="13" t="s">
        <v>276</v>
      </c>
      <c r="L1057" s="13" t="s">
        <v>1641</v>
      </c>
      <c r="M1057" s="7" t="s">
        <v>253</v>
      </c>
      <c r="N1057" s="7" t="s">
        <v>253</v>
      </c>
      <c r="O1057" s="7" t="s">
        <v>254</v>
      </c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  <c r="AA1057" s="8"/>
      <c r="AB1057" s="8"/>
      <c r="AC1057" s="8"/>
      <c r="AD1057" s="8"/>
      <c r="AE1057" s="8"/>
    </row>
    <row r="1058">
      <c r="A1058" s="12">
        <v>33.0</v>
      </c>
      <c r="B1058" s="8" t="s">
        <v>310</v>
      </c>
      <c r="C1058" s="8" t="s">
        <v>827</v>
      </c>
      <c r="I1058" s="10" t="s">
        <v>1700</v>
      </c>
      <c r="J1058" s="13" t="s">
        <v>920</v>
      </c>
      <c r="K1058" s="13" t="s">
        <v>276</v>
      </c>
      <c r="L1058" s="13" t="s">
        <v>1641</v>
      </c>
      <c r="M1058" s="7" t="s">
        <v>253</v>
      </c>
      <c r="N1058" s="7" t="s">
        <v>253</v>
      </c>
      <c r="O1058" s="7" t="s">
        <v>254</v>
      </c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  <c r="AA1058" s="8"/>
      <c r="AB1058" s="8"/>
      <c r="AC1058" s="8"/>
      <c r="AD1058" s="8"/>
      <c r="AE1058" s="8"/>
    </row>
    <row r="1059">
      <c r="A1059" s="12">
        <v>33.0</v>
      </c>
      <c r="B1059" s="8" t="s">
        <v>310</v>
      </c>
      <c r="C1059" s="8" t="s">
        <v>827</v>
      </c>
      <c r="I1059" s="10" t="s">
        <v>647</v>
      </c>
      <c r="J1059" s="13" t="s">
        <v>916</v>
      </c>
      <c r="K1059" s="13" t="s">
        <v>276</v>
      </c>
      <c r="L1059" s="13" t="s">
        <v>1641</v>
      </c>
      <c r="M1059" s="7" t="s">
        <v>253</v>
      </c>
      <c r="N1059" s="7" t="s">
        <v>253</v>
      </c>
      <c r="O1059" s="7" t="s">
        <v>254</v>
      </c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  <c r="AA1059" s="8"/>
      <c r="AB1059" s="8"/>
      <c r="AC1059" s="8"/>
      <c r="AD1059" s="8"/>
      <c r="AE1059" s="8"/>
    </row>
    <row r="1060">
      <c r="A1060" s="12">
        <v>34.0</v>
      </c>
      <c r="B1060" s="8" t="s">
        <v>312</v>
      </c>
      <c r="C1060" s="8" t="s">
        <v>827</v>
      </c>
      <c r="D1060" s="25">
        <f>IF(COUNTIF($B$2:$B1060,$B1060)&gt;1,"",COUNTIF($B$2:$B$2505,$B1060))</f>
        <v>35</v>
      </c>
      <c r="E1060" s="25">
        <f>IF(COUNTIF($B$2:$B1060,$B1060)&gt;1,"",COUNTIFS($B$2:$B$2505,$B1060,$K$2:$K$2505,"PHÙ HỢP CAO"))</f>
        <v>1</v>
      </c>
      <c r="F1060" s="25">
        <f>IF(COUNTIF($B$2:$B1060,$B1060)&gt;1,"",COUNTIFS($B$2:$B$2505,$B1060,$K$2:$K$2505,"CÓ THỂ ĐI"))</f>
        <v>4</v>
      </c>
      <c r="G1060" s="25">
        <f>IF(COUNTIF($B$2:$B1060,$B1060)&gt;1,"",COUNTIFS($B$2:$B$2505,$B1060,$K$2:$K$2505,"CẦN SOÁT"))</f>
        <v>30</v>
      </c>
      <c r="H1060" s="26" t="str">
        <f>IFERROR(__xludf.DUMMYFUNCTION("IF(COUNTIF($B$2:$B1060,$B1060)&gt;1,"""",IFERROR(TEXTJOIN(CHAR(10),TRUE,BYROW(QUERY({$B$2:$B$2505,$J$2:$J$2505},""select Col2, count(Col2) where Col1 = '""&amp;$B1060&amp;""' group by Col2 order by count(Col2) desc label count(Col2) ''"",0),LAMBDA(r,INDEX(r,1,1)&amp;"" "&amp;"– ""&amp;INDEX(r,1,2)&amp;"" link""))),""""))"),"xếp hạng tín dụng – 18 link
xếp hạng tín dụng cá nhân – 17 link")</f>
        <v>xếp hạng tín dụng – 18 link
xếp hạng tín dụng cá nhân – 17 link</v>
      </c>
      <c r="I1060" s="10" t="s">
        <v>832</v>
      </c>
      <c r="J1060" s="13" t="s">
        <v>931</v>
      </c>
      <c r="K1060" s="13" t="s">
        <v>251</v>
      </c>
      <c r="L1060" s="13" t="s">
        <v>1724</v>
      </c>
      <c r="M1060" s="7" t="s">
        <v>253</v>
      </c>
      <c r="N1060" s="7" t="s">
        <v>253</v>
      </c>
      <c r="O1060" s="7" t="s">
        <v>254</v>
      </c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  <c r="AA1060" s="8"/>
      <c r="AB1060" s="8"/>
      <c r="AC1060" s="8"/>
      <c r="AD1060" s="8"/>
      <c r="AE1060" s="8"/>
    </row>
    <row r="1061">
      <c r="A1061" s="12">
        <v>34.0</v>
      </c>
      <c r="B1061" s="8" t="s">
        <v>312</v>
      </c>
      <c r="C1061" s="8" t="s">
        <v>827</v>
      </c>
      <c r="I1061" s="10" t="s">
        <v>849</v>
      </c>
      <c r="J1061" s="13" t="s">
        <v>933</v>
      </c>
      <c r="K1061" s="13" t="s">
        <v>272</v>
      </c>
      <c r="L1061" s="13" t="s">
        <v>1725</v>
      </c>
      <c r="M1061" s="7" t="s">
        <v>253</v>
      </c>
      <c r="N1061" s="7" t="s">
        <v>253</v>
      </c>
      <c r="O1061" s="7" t="s">
        <v>254</v>
      </c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  <c r="AA1061" s="8"/>
      <c r="AB1061" s="8"/>
      <c r="AC1061" s="8"/>
      <c r="AD1061" s="8"/>
      <c r="AE1061" s="8"/>
    </row>
    <row r="1062">
      <c r="A1062" s="12">
        <v>34.0</v>
      </c>
      <c r="B1062" s="8" t="s">
        <v>312</v>
      </c>
      <c r="C1062" s="8" t="s">
        <v>827</v>
      </c>
      <c r="I1062" s="10" t="s">
        <v>934</v>
      </c>
      <c r="J1062" s="13" t="s">
        <v>931</v>
      </c>
      <c r="K1062" s="13" t="s">
        <v>272</v>
      </c>
      <c r="L1062" s="13" t="s">
        <v>1726</v>
      </c>
      <c r="M1062" s="7" t="s">
        <v>253</v>
      </c>
      <c r="N1062" s="7" t="s">
        <v>253</v>
      </c>
      <c r="O1062" s="7" t="s">
        <v>254</v>
      </c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  <c r="AA1062" s="8"/>
      <c r="AB1062" s="8"/>
      <c r="AC1062" s="8"/>
      <c r="AD1062" s="8"/>
      <c r="AE1062" s="8"/>
    </row>
    <row r="1063">
      <c r="A1063" s="12">
        <v>34.0</v>
      </c>
      <c r="B1063" s="8" t="s">
        <v>312</v>
      </c>
      <c r="C1063" s="8" t="s">
        <v>827</v>
      </c>
      <c r="I1063" s="10" t="s">
        <v>1727</v>
      </c>
      <c r="J1063" s="13" t="s">
        <v>933</v>
      </c>
      <c r="K1063" s="13" t="s">
        <v>272</v>
      </c>
      <c r="L1063" s="13" t="s">
        <v>1728</v>
      </c>
      <c r="M1063" s="7" t="s">
        <v>253</v>
      </c>
      <c r="N1063" s="7" t="s">
        <v>253</v>
      </c>
      <c r="O1063" s="7" t="s">
        <v>254</v>
      </c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  <c r="AA1063" s="8"/>
      <c r="AB1063" s="8"/>
      <c r="AC1063" s="8"/>
      <c r="AD1063" s="8"/>
      <c r="AE1063" s="8"/>
    </row>
    <row r="1064">
      <c r="A1064" s="12">
        <v>34.0</v>
      </c>
      <c r="B1064" s="8" t="s">
        <v>312</v>
      </c>
      <c r="C1064" s="8" t="s">
        <v>827</v>
      </c>
      <c r="I1064" s="10" t="s">
        <v>1514</v>
      </c>
      <c r="J1064" s="13" t="s">
        <v>931</v>
      </c>
      <c r="K1064" s="13" t="s">
        <v>272</v>
      </c>
      <c r="L1064" s="13" t="s">
        <v>1729</v>
      </c>
      <c r="M1064" s="7" t="s">
        <v>253</v>
      </c>
      <c r="N1064" s="7" t="s">
        <v>253</v>
      </c>
      <c r="O1064" s="7" t="s">
        <v>254</v>
      </c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  <c r="AA1064" s="8"/>
      <c r="AB1064" s="8"/>
      <c r="AC1064" s="8"/>
      <c r="AD1064" s="8"/>
      <c r="AE1064" s="8"/>
    </row>
    <row r="1065">
      <c r="A1065" s="12">
        <v>34.0</v>
      </c>
      <c r="B1065" s="8" t="s">
        <v>312</v>
      </c>
      <c r="C1065" s="8" t="s">
        <v>827</v>
      </c>
      <c r="I1065" s="10" t="s">
        <v>1730</v>
      </c>
      <c r="J1065" s="13" t="s">
        <v>933</v>
      </c>
      <c r="K1065" s="13" t="s">
        <v>276</v>
      </c>
      <c r="L1065" s="13" t="s">
        <v>1731</v>
      </c>
      <c r="M1065" s="7" t="s">
        <v>253</v>
      </c>
      <c r="N1065" s="7" t="s">
        <v>253</v>
      </c>
      <c r="O1065" s="7" t="s">
        <v>254</v>
      </c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  <c r="AA1065" s="8"/>
      <c r="AB1065" s="8"/>
      <c r="AC1065" s="8"/>
      <c r="AD1065" s="8"/>
      <c r="AE1065" s="8"/>
    </row>
    <row r="1066">
      <c r="A1066" s="12">
        <v>34.0</v>
      </c>
      <c r="B1066" s="8" t="s">
        <v>312</v>
      </c>
      <c r="C1066" s="8" t="s">
        <v>827</v>
      </c>
      <c r="I1066" s="10" t="s">
        <v>1519</v>
      </c>
      <c r="J1066" s="13" t="s">
        <v>931</v>
      </c>
      <c r="K1066" s="13" t="s">
        <v>276</v>
      </c>
      <c r="L1066" s="13" t="s">
        <v>1610</v>
      </c>
      <c r="M1066" s="7" t="s">
        <v>253</v>
      </c>
      <c r="N1066" s="7" t="s">
        <v>253</v>
      </c>
      <c r="O1066" s="7" t="s">
        <v>254</v>
      </c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  <c r="AA1066" s="8"/>
      <c r="AB1066" s="8"/>
      <c r="AC1066" s="8"/>
      <c r="AD1066" s="8"/>
      <c r="AE1066" s="8"/>
    </row>
    <row r="1067">
      <c r="A1067" s="12">
        <v>34.0</v>
      </c>
      <c r="B1067" s="8" t="s">
        <v>312</v>
      </c>
      <c r="C1067" s="8" t="s">
        <v>827</v>
      </c>
      <c r="I1067" s="10" t="s">
        <v>841</v>
      </c>
      <c r="J1067" s="13" t="s">
        <v>933</v>
      </c>
      <c r="K1067" s="13" t="s">
        <v>276</v>
      </c>
      <c r="L1067" s="13" t="s">
        <v>1732</v>
      </c>
      <c r="M1067" s="7" t="s">
        <v>253</v>
      </c>
      <c r="N1067" s="7" t="s">
        <v>253</v>
      </c>
      <c r="O1067" s="7" t="s">
        <v>254</v>
      </c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  <c r="AA1067" s="8"/>
      <c r="AB1067" s="8"/>
      <c r="AC1067" s="8"/>
      <c r="AD1067" s="8"/>
      <c r="AE1067" s="8"/>
    </row>
    <row r="1068">
      <c r="A1068" s="12">
        <v>34.0</v>
      </c>
      <c r="B1068" s="8" t="s">
        <v>312</v>
      </c>
      <c r="C1068" s="8" t="s">
        <v>827</v>
      </c>
      <c r="I1068" s="10" t="s">
        <v>828</v>
      </c>
      <c r="J1068" s="13" t="s">
        <v>931</v>
      </c>
      <c r="K1068" s="13" t="s">
        <v>276</v>
      </c>
      <c r="L1068" s="13" t="s">
        <v>1733</v>
      </c>
      <c r="M1068" s="7" t="s">
        <v>253</v>
      </c>
      <c r="N1068" s="7" t="s">
        <v>253</v>
      </c>
      <c r="O1068" s="7" t="s">
        <v>254</v>
      </c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  <c r="AA1068" s="8"/>
      <c r="AB1068" s="8"/>
      <c r="AC1068" s="8"/>
      <c r="AD1068" s="8"/>
      <c r="AE1068" s="8"/>
    </row>
    <row r="1069">
      <c r="A1069" s="12">
        <v>34.0</v>
      </c>
      <c r="B1069" s="8" t="s">
        <v>312</v>
      </c>
      <c r="C1069" s="8" t="s">
        <v>827</v>
      </c>
      <c r="I1069" s="10" t="s">
        <v>374</v>
      </c>
      <c r="J1069" s="13" t="s">
        <v>933</v>
      </c>
      <c r="K1069" s="13" t="s">
        <v>276</v>
      </c>
      <c r="L1069" s="13" t="s">
        <v>1611</v>
      </c>
      <c r="M1069" s="7" t="s">
        <v>253</v>
      </c>
      <c r="N1069" s="7" t="s">
        <v>253</v>
      </c>
      <c r="O1069" s="7" t="s">
        <v>254</v>
      </c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  <c r="AA1069" s="8"/>
      <c r="AB1069" s="8"/>
      <c r="AC1069" s="8"/>
      <c r="AD1069" s="8"/>
      <c r="AE1069" s="8"/>
    </row>
    <row r="1070">
      <c r="A1070" s="12">
        <v>34.0</v>
      </c>
      <c r="B1070" s="8" t="s">
        <v>312</v>
      </c>
      <c r="C1070" s="8" t="s">
        <v>827</v>
      </c>
      <c r="I1070" s="10" t="s">
        <v>1612</v>
      </c>
      <c r="J1070" s="13" t="s">
        <v>931</v>
      </c>
      <c r="K1070" s="13" t="s">
        <v>276</v>
      </c>
      <c r="L1070" s="13" t="s">
        <v>1613</v>
      </c>
      <c r="M1070" s="7" t="s">
        <v>253</v>
      </c>
      <c r="N1070" s="7" t="s">
        <v>253</v>
      </c>
      <c r="O1070" s="7" t="s">
        <v>254</v>
      </c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  <c r="AA1070" s="8"/>
      <c r="AB1070" s="8"/>
      <c r="AC1070" s="8"/>
      <c r="AD1070" s="8"/>
      <c r="AE1070" s="8"/>
    </row>
    <row r="1071">
      <c r="A1071" s="12">
        <v>34.0</v>
      </c>
      <c r="B1071" s="8" t="s">
        <v>312</v>
      </c>
      <c r="C1071" s="8" t="s">
        <v>827</v>
      </c>
      <c r="I1071" s="10" t="s">
        <v>376</v>
      </c>
      <c r="J1071" s="13" t="s">
        <v>933</v>
      </c>
      <c r="K1071" s="13" t="s">
        <v>276</v>
      </c>
      <c r="L1071" s="13" t="s">
        <v>1613</v>
      </c>
      <c r="M1071" s="7" t="s">
        <v>253</v>
      </c>
      <c r="N1071" s="7" t="s">
        <v>253</v>
      </c>
      <c r="O1071" s="7" t="s">
        <v>254</v>
      </c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  <c r="AA1071" s="8"/>
      <c r="AB1071" s="8"/>
      <c r="AC1071" s="8"/>
      <c r="AD1071" s="8"/>
      <c r="AE1071" s="8"/>
    </row>
    <row r="1072">
      <c r="A1072" s="12">
        <v>34.0</v>
      </c>
      <c r="B1072" s="8" t="s">
        <v>312</v>
      </c>
      <c r="C1072" s="8" t="s">
        <v>827</v>
      </c>
      <c r="I1072" s="10" t="s">
        <v>1465</v>
      </c>
      <c r="J1072" s="13" t="s">
        <v>931</v>
      </c>
      <c r="K1072" s="13" t="s">
        <v>276</v>
      </c>
      <c r="L1072" s="13" t="s">
        <v>1614</v>
      </c>
      <c r="M1072" s="7" t="s">
        <v>253</v>
      </c>
      <c r="N1072" s="7" t="s">
        <v>253</v>
      </c>
      <c r="O1072" s="7" t="s">
        <v>254</v>
      </c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  <c r="AA1072" s="8"/>
      <c r="AB1072" s="8"/>
      <c r="AC1072" s="8"/>
      <c r="AD1072" s="8"/>
      <c r="AE1072" s="8"/>
    </row>
    <row r="1073">
      <c r="A1073" s="12">
        <v>34.0</v>
      </c>
      <c r="B1073" s="8" t="s">
        <v>312</v>
      </c>
      <c r="C1073" s="8" t="s">
        <v>827</v>
      </c>
      <c r="I1073" s="10" t="s">
        <v>940</v>
      </c>
      <c r="J1073" s="13" t="s">
        <v>933</v>
      </c>
      <c r="K1073" s="13" t="s">
        <v>276</v>
      </c>
      <c r="L1073" s="13" t="s">
        <v>1614</v>
      </c>
      <c r="M1073" s="7" t="s">
        <v>253</v>
      </c>
      <c r="N1073" s="7" t="s">
        <v>253</v>
      </c>
      <c r="O1073" s="7" t="s">
        <v>254</v>
      </c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  <c r="AA1073" s="8"/>
      <c r="AB1073" s="8"/>
      <c r="AC1073" s="8"/>
      <c r="AD1073" s="8"/>
      <c r="AE1073" s="8"/>
    </row>
    <row r="1074">
      <c r="A1074" s="12">
        <v>34.0</v>
      </c>
      <c r="B1074" s="8" t="s">
        <v>312</v>
      </c>
      <c r="C1074" s="8" t="s">
        <v>827</v>
      </c>
      <c r="I1074" s="10" t="s">
        <v>1262</v>
      </c>
      <c r="J1074" s="13" t="s">
        <v>931</v>
      </c>
      <c r="K1074" s="13" t="s">
        <v>276</v>
      </c>
      <c r="L1074" s="13" t="s">
        <v>1731</v>
      </c>
      <c r="M1074" s="7" t="s">
        <v>253</v>
      </c>
      <c r="N1074" s="7" t="s">
        <v>253</v>
      </c>
      <c r="O1074" s="7" t="s">
        <v>254</v>
      </c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  <c r="AA1074" s="8"/>
      <c r="AB1074" s="8"/>
      <c r="AC1074" s="8"/>
      <c r="AD1074" s="8"/>
      <c r="AE1074" s="8"/>
    </row>
    <row r="1075">
      <c r="A1075" s="12">
        <v>34.0</v>
      </c>
      <c r="B1075" s="8" t="s">
        <v>312</v>
      </c>
      <c r="C1075" s="8" t="s">
        <v>827</v>
      </c>
      <c r="I1075" s="10" t="s">
        <v>1116</v>
      </c>
      <c r="J1075" s="13" t="s">
        <v>933</v>
      </c>
      <c r="K1075" s="13" t="s">
        <v>276</v>
      </c>
      <c r="L1075" s="13" t="s">
        <v>1613</v>
      </c>
      <c r="M1075" s="7" t="s">
        <v>253</v>
      </c>
      <c r="N1075" s="7" t="s">
        <v>253</v>
      </c>
      <c r="O1075" s="7" t="s">
        <v>254</v>
      </c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  <c r="AA1075" s="8"/>
      <c r="AB1075" s="8"/>
      <c r="AC1075" s="8"/>
      <c r="AD1075" s="8"/>
      <c r="AE1075" s="8"/>
    </row>
    <row r="1076">
      <c r="A1076" s="12">
        <v>34.0</v>
      </c>
      <c r="B1076" s="8" t="s">
        <v>312</v>
      </c>
      <c r="C1076" s="8" t="s">
        <v>827</v>
      </c>
      <c r="I1076" s="10" t="s">
        <v>1142</v>
      </c>
      <c r="J1076" s="13" t="s">
        <v>931</v>
      </c>
      <c r="K1076" s="13" t="s">
        <v>276</v>
      </c>
      <c r="L1076" s="13" t="s">
        <v>1731</v>
      </c>
      <c r="M1076" s="7" t="s">
        <v>253</v>
      </c>
      <c r="N1076" s="7" t="s">
        <v>253</v>
      </c>
      <c r="O1076" s="7" t="s">
        <v>254</v>
      </c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  <c r="AA1076" s="8"/>
      <c r="AB1076" s="8"/>
      <c r="AC1076" s="8"/>
      <c r="AD1076" s="8"/>
      <c r="AE1076" s="8"/>
    </row>
    <row r="1077">
      <c r="A1077" s="12">
        <v>34.0</v>
      </c>
      <c r="B1077" s="8" t="s">
        <v>312</v>
      </c>
      <c r="C1077" s="8" t="s">
        <v>827</v>
      </c>
      <c r="I1077" s="10" t="s">
        <v>936</v>
      </c>
      <c r="J1077" s="13" t="s">
        <v>933</v>
      </c>
      <c r="K1077" s="13" t="s">
        <v>276</v>
      </c>
      <c r="L1077" s="13" t="s">
        <v>1613</v>
      </c>
      <c r="M1077" s="7" t="s">
        <v>253</v>
      </c>
      <c r="N1077" s="7" t="s">
        <v>253</v>
      </c>
      <c r="O1077" s="7" t="s">
        <v>254</v>
      </c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  <c r="AA1077" s="8"/>
      <c r="AB1077" s="8"/>
      <c r="AC1077" s="8"/>
      <c r="AD1077" s="8"/>
      <c r="AE1077" s="8"/>
    </row>
    <row r="1078">
      <c r="A1078" s="12">
        <v>34.0</v>
      </c>
      <c r="B1078" s="8" t="s">
        <v>312</v>
      </c>
      <c r="C1078" s="8" t="s">
        <v>827</v>
      </c>
      <c r="I1078" s="10" t="s">
        <v>1615</v>
      </c>
      <c r="J1078" s="13" t="s">
        <v>931</v>
      </c>
      <c r="K1078" s="13" t="s">
        <v>276</v>
      </c>
      <c r="L1078" s="13" t="s">
        <v>1616</v>
      </c>
      <c r="M1078" s="7" t="s">
        <v>253</v>
      </c>
      <c r="N1078" s="7" t="s">
        <v>253</v>
      </c>
      <c r="O1078" s="7" t="s">
        <v>254</v>
      </c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  <c r="AA1078" s="8"/>
      <c r="AB1078" s="8"/>
      <c r="AC1078" s="8"/>
      <c r="AD1078" s="8"/>
      <c r="AE1078" s="8"/>
    </row>
    <row r="1079">
      <c r="A1079" s="12">
        <v>34.0</v>
      </c>
      <c r="B1079" s="8" t="s">
        <v>312</v>
      </c>
      <c r="C1079" s="8" t="s">
        <v>827</v>
      </c>
      <c r="I1079" s="10" t="s">
        <v>334</v>
      </c>
      <c r="J1079" s="13" t="s">
        <v>933</v>
      </c>
      <c r="K1079" s="13" t="s">
        <v>276</v>
      </c>
      <c r="L1079" s="13" t="s">
        <v>1731</v>
      </c>
      <c r="M1079" s="7" t="s">
        <v>253</v>
      </c>
      <c r="N1079" s="7" t="s">
        <v>253</v>
      </c>
      <c r="O1079" s="7" t="s">
        <v>254</v>
      </c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  <c r="AA1079" s="8"/>
      <c r="AB1079" s="8"/>
      <c r="AC1079" s="8"/>
      <c r="AD1079" s="8"/>
      <c r="AE1079" s="8"/>
    </row>
    <row r="1080">
      <c r="A1080" s="12">
        <v>34.0</v>
      </c>
      <c r="B1080" s="8" t="s">
        <v>312</v>
      </c>
      <c r="C1080" s="8" t="s">
        <v>827</v>
      </c>
      <c r="I1080" s="10" t="s">
        <v>837</v>
      </c>
      <c r="J1080" s="13" t="s">
        <v>931</v>
      </c>
      <c r="K1080" s="13" t="s">
        <v>276</v>
      </c>
      <c r="L1080" s="13" t="s">
        <v>1734</v>
      </c>
      <c r="M1080" s="7" t="s">
        <v>253</v>
      </c>
      <c r="N1080" s="7" t="s">
        <v>253</v>
      </c>
      <c r="O1080" s="7" t="s">
        <v>254</v>
      </c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  <c r="AA1080" s="8"/>
      <c r="AB1080" s="8"/>
      <c r="AC1080" s="8"/>
      <c r="AD1080" s="8"/>
      <c r="AE1080" s="8"/>
    </row>
    <row r="1081">
      <c r="A1081" s="12">
        <v>34.0</v>
      </c>
      <c r="B1081" s="8" t="s">
        <v>312</v>
      </c>
      <c r="C1081" s="8" t="s">
        <v>827</v>
      </c>
      <c r="I1081" s="10" t="s">
        <v>291</v>
      </c>
      <c r="J1081" s="13" t="s">
        <v>933</v>
      </c>
      <c r="K1081" s="13" t="s">
        <v>276</v>
      </c>
      <c r="L1081" s="13" t="s">
        <v>1735</v>
      </c>
      <c r="M1081" s="7" t="s">
        <v>253</v>
      </c>
      <c r="N1081" s="7" t="s">
        <v>253</v>
      </c>
      <c r="O1081" s="7" t="s">
        <v>254</v>
      </c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  <c r="AA1081" s="8"/>
      <c r="AB1081" s="8"/>
      <c r="AC1081" s="8"/>
      <c r="AD1081" s="8"/>
      <c r="AE1081" s="8"/>
    </row>
    <row r="1082">
      <c r="A1082" s="12">
        <v>34.0</v>
      </c>
      <c r="B1082" s="8" t="s">
        <v>312</v>
      </c>
      <c r="C1082" s="8" t="s">
        <v>827</v>
      </c>
      <c r="I1082" s="10" t="s">
        <v>924</v>
      </c>
      <c r="J1082" s="13" t="s">
        <v>931</v>
      </c>
      <c r="K1082" s="13" t="s">
        <v>276</v>
      </c>
      <c r="L1082" s="13" t="s">
        <v>1613</v>
      </c>
      <c r="M1082" s="7" t="s">
        <v>253</v>
      </c>
      <c r="N1082" s="7" t="s">
        <v>253</v>
      </c>
      <c r="O1082" s="7" t="s">
        <v>254</v>
      </c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  <c r="AA1082" s="8"/>
      <c r="AB1082" s="8"/>
      <c r="AC1082" s="8"/>
      <c r="AD1082" s="8"/>
      <c r="AE1082" s="8"/>
    </row>
    <row r="1083">
      <c r="A1083" s="12">
        <v>34.0</v>
      </c>
      <c r="B1083" s="8" t="s">
        <v>312</v>
      </c>
      <c r="C1083" s="8" t="s">
        <v>827</v>
      </c>
      <c r="I1083" s="10" t="s">
        <v>1484</v>
      </c>
      <c r="J1083" s="13" t="s">
        <v>933</v>
      </c>
      <c r="K1083" s="13" t="s">
        <v>276</v>
      </c>
      <c r="L1083" s="13" t="s">
        <v>1611</v>
      </c>
      <c r="M1083" s="7" t="s">
        <v>253</v>
      </c>
      <c r="N1083" s="7" t="s">
        <v>253</v>
      </c>
      <c r="O1083" s="7" t="s">
        <v>254</v>
      </c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  <c r="AA1083" s="8"/>
      <c r="AB1083" s="8"/>
      <c r="AC1083" s="8"/>
      <c r="AD1083" s="8"/>
      <c r="AE1083" s="8"/>
    </row>
    <row r="1084">
      <c r="A1084" s="12">
        <v>34.0</v>
      </c>
      <c r="B1084" s="8" t="s">
        <v>312</v>
      </c>
      <c r="C1084" s="8" t="s">
        <v>827</v>
      </c>
      <c r="I1084" s="10" t="s">
        <v>948</v>
      </c>
      <c r="J1084" s="13" t="s">
        <v>931</v>
      </c>
      <c r="K1084" s="13" t="s">
        <v>276</v>
      </c>
      <c r="L1084" s="13" t="s">
        <v>1613</v>
      </c>
      <c r="M1084" s="7" t="s">
        <v>253</v>
      </c>
      <c r="N1084" s="7" t="s">
        <v>253</v>
      </c>
      <c r="O1084" s="7" t="s">
        <v>254</v>
      </c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  <c r="AA1084" s="8"/>
      <c r="AB1084" s="8"/>
      <c r="AC1084" s="8"/>
      <c r="AD1084" s="8"/>
      <c r="AE1084" s="8"/>
    </row>
    <row r="1085">
      <c r="A1085" s="12">
        <v>34.0</v>
      </c>
      <c r="B1085" s="8" t="s">
        <v>312</v>
      </c>
      <c r="C1085" s="8" t="s">
        <v>827</v>
      </c>
      <c r="I1085" s="10" t="s">
        <v>1617</v>
      </c>
      <c r="J1085" s="13" t="s">
        <v>933</v>
      </c>
      <c r="K1085" s="13" t="s">
        <v>276</v>
      </c>
      <c r="L1085" s="13" t="s">
        <v>1610</v>
      </c>
      <c r="M1085" s="7" t="s">
        <v>253</v>
      </c>
      <c r="N1085" s="7" t="s">
        <v>253</v>
      </c>
      <c r="O1085" s="7" t="s">
        <v>254</v>
      </c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  <c r="AA1085" s="8"/>
      <c r="AB1085" s="8"/>
      <c r="AC1085" s="8"/>
      <c r="AD1085" s="8"/>
      <c r="AE1085" s="8"/>
    </row>
    <row r="1086">
      <c r="A1086" s="12">
        <v>34.0</v>
      </c>
      <c r="B1086" s="8" t="s">
        <v>312</v>
      </c>
      <c r="C1086" s="8" t="s">
        <v>827</v>
      </c>
      <c r="I1086" s="10" t="s">
        <v>337</v>
      </c>
      <c r="J1086" s="13" t="s">
        <v>931</v>
      </c>
      <c r="K1086" s="13" t="s">
        <v>276</v>
      </c>
      <c r="L1086" s="13" t="s">
        <v>1610</v>
      </c>
      <c r="M1086" s="7" t="s">
        <v>253</v>
      </c>
      <c r="N1086" s="7" t="s">
        <v>253</v>
      </c>
      <c r="O1086" s="7" t="s">
        <v>254</v>
      </c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  <c r="AA1086" s="8"/>
      <c r="AB1086" s="8"/>
      <c r="AC1086" s="8"/>
      <c r="AD1086" s="8"/>
      <c r="AE1086" s="8"/>
    </row>
    <row r="1087">
      <c r="A1087" s="12">
        <v>34.0</v>
      </c>
      <c r="B1087" s="8" t="s">
        <v>312</v>
      </c>
      <c r="C1087" s="8" t="s">
        <v>827</v>
      </c>
      <c r="I1087" s="10" t="s">
        <v>1487</v>
      </c>
      <c r="J1087" s="13" t="s">
        <v>933</v>
      </c>
      <c r="K1087" s="13" t="s">
        <v>276</v>
      </c>
      <c r="L1087" s="13" t="s">
        <v>1736</v>
      </c>
      <c r="M1087" s="7" t="s">
        <v>253</v>
      </c>
      <c r="N1087" s="7" t="s">
        <v>253</v>
      </c>
      <c r="O1087" s="7" t="s">
        <v>254</v>
      </c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  <c r="AA1087" s="8"/>
      <c r="AB1087" s="8"/>
      <c r="AC1087" s="8"/>
      <c r="AD1087" s="8"/>
      <c r="AE1087" s="8"/>
    </row>
    <row r="1088">
      <c r="A1088" s="12">
        <v>34.0</v>
      </c>
      <c r="B1088" s="8" t="s">
        <v>312</v>
      </c>
      <c r="C1088" s="8" t="s">
        <v>827</v>
      </c>
      <c r="I1088" s="10" t="s">
        <v>1737</v>
      </c>
      <c r="J1088" s="13" t="s">
        <v>931</v>
      </c>
      <c r="K1088" s="13" t="s">
        <v>276</v>
      </c>
      <c r="L1088" s="13" t="s">
        <v>1731</v>
      </c>
      <c r="M1088" s="7" t="s">
        <v>253</v>
      </c>
      <c r="N1088" s="7" t="s">
        <v>253</v>
      </c>
      <c r="O1088" s="7" t="s">
        <v>254</v>
      </c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  <c r="AA1088" s="8"/>
      <c r="AB1088" s="8"/>
      <c r="AC1088" s="8"/>
      <c r="AD1088" s="8"/>
      <c r="AE1088" s="8"/>
    </row>
    <row r="1089">
      <c r="A1089" s="12">
        <v>34.0</v>
      </c>
      <c r="B1089" s="8" t="s">
        <v>312</v>
      </c>
      <c r="C1089" s="8" t="s">
        <v>827</v>
      </c>
      <c r="I1089" s="10" t="s">
        <v>1138</v>
      </c>
      <c r="J1089" s="13" t="s">
        <v>933</v>
      </c>
      <c r="K1089" s="13" t="s">
        <v>276</v>
      </c>
      <c r="L1089" s="13" t="s">
        <v>1738</v>
      </c>
      <c r="M1089" s="7" t="s">
        <v>253</v>
      </c>
      <c r="N1089" s="7" t="s">
        <v>253</v>
      </c>
      <c r="O1089" s="7" t="s">
        <v>254</v>
      </c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  <c r="AA1089" s="8"/>
      <c r="AB1089" s="8"/>
      <c r="AC1089" s="8"/>
      <c r="AD1089" s="8"/>
      <c r="AE1089" s="8"/>
    </row>
    <row r="1090">
      <c r="A1090" s="12">
        <v>34.0</v>
      </c>
      <c r="B1090" s="8" t="s">
        <v>312</v>
      </c>
      <c r="C1090" s="8" t="s">
        <v>827</v>
      </c>
      <c r="I1090" s="10" t="s">
        <v>1475</v>
      </c>
      <c r="J1090" s="13" t="s">
        <v>931</v>
      </c>
      <c r="K1090" s="13" t="s">
        <v>276</v>
      </c>
      <c r="L1090" s="13" t="s">
        <v>1731</v>
      </c>
      <c r="M1090" s="7" t="s">
        <v>253</v>
      </c>
      <c r="N1090" s="7" t="s">
        <v>253</v>
      </c>
      <c r="O1090" s="7" t="s">
        <v>254</v>
      </c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  <c r="AA1090" s="8"/>
      <c r="AB1090" s="8"/>
      <c r="AC1090" s="8"/>
      <c r="AD1090" s="8"/>
      <c r="AE1090" s="8"/>
    </row>
    <row r="1091">
      <c r="A1091" s="12">
        <v>34.0</v>
      </c>
      <c r="B1091" s="8" t="s">
        <v>312</v>
      </c>
      <c r="C1091" s="8" t="s">
        <v>827</v>
      </c>
      <c r="I1091" s="10" t="s">
        <v>845</v>
      </c>
      <c r="J1091" s="13" t="s">
        <v>933</v>
      </c>
      <c r="K1091" s="13" t="s">
        <v>276</v>
      </c>
      <c r="L1091" s="13" t="s">
        <v>1613</v>
      </c>
      <c r="M1091" s="7" t="s">
        <v>253</v>
      </c>
      <c r="N1091" s="7" t="s">
        <v>253</v>
      </c>
      <c r="O1091" s="7" t="s">
        <v>254</v>
      </c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  <c r="AA1091" s="8"/>
      <c r="AB1091" s="8"/>
      <c r="AC1091" s="8"/>
      <c r="AD1091" s="8"/>
      <c r="AE1091" s="8"/>
    </row>
    <row r="1092">
      <c r="A1092" s="12">
        <v>34.0</v>
      </c>
      <c r="B1092" s="8" t="s">
        <v>312</v>
      </c>
      <c r="C1092" s="8" t="s">
        <v>827</v>
      </c>
      <c r="I1092" s="10" t="s">
        <v>1739</v>
      </c>
      <c r="J1092" s="13" t="s">
        <v>931</v>
      </c>
      <c r="K1092" s="13" t="s">
        <v>276</v>
      </c>
      <c r="L1092" s="13" t="s">
        <v>1731</v>
      </c>
      <c r="M1092" s="7" t="s">
        <v>253</v>
      </c>
      <c r="N1092" s="7" t="s">
        <v>253</v>
      </c>
      <c r="O1092" s="7" t="s">
        <v>254</v>
      </c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  <c r="AA1092" s="8"/>
      <c r="AB1092" s="8"/>
      <c r="AC1092" s="8"/>
      <c r="AD1092" s="8"/>
      <c r="AE1092" s="8"/>
    </row>
    <row r="1093">
      <c r="A1093" s="12">
        <v>34.0</v>
      </c>
      <c r="B1093" s="8" t="s">
        <v>312</v>
      </c>
      <c r="C1093" s="8" t="s">
        <v>827</v>
      </c>
      <c r="I1093" s="10" t="s">
        <v>1417</v>
      </c>
      <c r="J1093" s="13" t="s">
        <v>933</v>
      </c>
      <c r="K1093" s="13" t="s">
        <v>276</v>
      </c>
      <c r="L1093" s="13" t="s">
        <v>1731</v>
      </c>
      <c r="M1093" s="7" t="s">
        <v>253</v>
      </c>
      <c r="N1093" s="7" t="s">
        <v>253</v>
      </c>
      <c r="O1093" s="7" t="s">
        <v>254</v>
      </c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  <c r="AA1093" s="8"/>
      <c r="AB1093" s="8"/>
      <c r="AC1093" s="8"/>
      <c r="AD1093" s="8"/>
      <c r="AE1093" s="8"/>
    </row>
    <row r="1094">
      <c r="A1094" s="12">
        <v>34.0</v>
      </c>
      <c r="B1094" s="8" t="s">
        <v>312</v>
      </c>
      <c r="C1094" s="8" t="s">
        <v>827</v>
      </c>
      <c r="I1094" s="10" t="s">
        <v>1740</v>
      </c>
      <c r="J1094" s="13" t="s">
        <v>931</v>
      </c>
      <c r="K1094" s="13" t="s">
        <v>276</v>
      </c>
      <c r="L1094" s="13" t="s">
        <v>1731</v>
      </c>
      <c r="M1094" s="7" t="s">
        <v>253</v>
      </c>
      <c r="N1094" s="7" t="s">
        <v>253</v>
      </c>
      <c r="O1094" s="7" t="s">
        <v>254</v>
      </c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  <c r="AA1094" s="8"/>
      <c r="AB1094" s="8"/>
      <c r="AC1094" s="8"/>
      <c r="AD1094" s="8"/>
      <c r="AE1094" s="8"/>
    </row>
    <row r="1095">
      <c r="A1095" s="12">
        <v>35.0</v>
      </c>
      <c r="B1095" s="8" t="s">
        <v>313</v>
      </c>
      <c r="C1095" s="8" t="s">
        <v>827</v>
      </c>
      <c r="D1095" s="25">
        <f>IF(COUNTIF($B$2:$B1095,$B1095)&gt;1,"",COUNTIF($B$2:$B$2505,$B1095))</f>
        <v>86</v>
      </c>
      <c r="E1095" s="25">
        <f>IF(COUNTIF($B$2:$B1095,$B1095)&gt;1,"",COUNTIFS($B$2:$B$2505,$B1095,$K$2:$K$2505,"PHÙ HỢP CAO"))</f>
        <v>5</v>
      </c>
      <c r="F1095" s="25">
        <f>IF(COUNTIF($B$2:$B1095,$B1095)&gt;1,"",COUNTIFS($B$2:$B$2505,$B1095,$K$2:$K$2505,"CÓ THỂ ĐI"))</f>
        <v>0</v>
      </c>
      <c r="G1095" s="25">
        <f>IF(COUNTIF($B$2:$B1095,$B1095)&gt;1,"",COUNTIFS($B$2:$B$2505,$B1095,$K$2:$K$2505,"CẦN SOÁT"))</f>
        <v>81</v>
      </c>
      <c r="H1095" s="26" t="str">
        <f>IFERROR(__xludf.DUMMYFUNCTION("IF(COUNTIF($B$2:$B1095,$B1095)&gt;1,"""",IFERROR(TEXTJOIN(CHAR(10),TRUE,BYROW(QUERY({$B$2:$B$2505,$J$2:$J$2505},""select Col2, count(Col2) where Col1 = '""&amp;$B1095&amp;""' group by Col2 order by count(Col2) desc label count(Col2) ''"",0),LAMBDA(r,INDEX(r,1,1)&amp;"" "&amp;"– ""&amp;INDEX(r,1,2)&amp;"" link""))),""""))"),"cách thanh toán thẻ tín dụng – 29 link
thanh toán dư nợ thẻ tín dụng – 29 link
trả nợ thẻ tín dụng – 28 link")</f>
        <v>cách thanh toán thẻ tín dụng – 29 link
thanh toán dư nợ thẻ tín dụng – 29 link
trả nợ thẻ tín dụng – 28 link</v>
      </c>
      <c r="I1095" s="10" t="s">
        <v>936</v>
      </c>
      <c r="J1095" s="13" t="s">
        <v>938</v>
      </c>
      <c r="K1095" s="13" t="s">
        <v>251</v>
      </c>
      <c r="L1095" s="13" t="s">
        <v>1741</v>
      </c>
      <c r="M1095" s="7" t="s">
        <v>253</v>
      </c>
      <c r="N1095" s="7" t="s">
        <v>253</v>
      </c>
      <c r="O1095" s="7" t="s">
        <v>254</v>
      </c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  <c r="AA1095" s="8"/>
      <c r="AB1095" s="8"/>
      <c r="AC1095" s="8"/>
      <c r="AD1095" s="8"/>
      <c r="AE1095" s="8"/>
    </row>
    <row r="1096">
      <c r="A1096" s="12">
        <v>35.0</v>
      </c>
      <c r="B1096" s="8" t="s">
        <v>313</v>
      </c>
      <c r="C1096" s="8" t="s">
        <v>827</v>
      </c>
      <c r="I1096" s="10" t="s">
        <v>940</v>
      </c>
      <c r="J1096" s="13" t="s">
        <v>942</v>
      </c>
      <c r="K1096" s="13" t="s">
        <v>251</v>
      </c>
      <c r="L1096" s="13" t="s">
        <v>1742</v>
      </c>
      <c r="M1096" s="7" t="s">
        <v>253</v>
      </c>
      <c r="N1096" s="7" t="s">
        <v>253</v>
      </c>
      <c r="O1096" s="7" t="s">
        <v>254</v>
      </c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  <c r="AA1096" s="8"/>
      <c r="AB1096" s="8"/>
      <c r="AC1096" s="8"/>
      <c r="AD1096" s="8"/>
      <c r="AE1096" s="8"/>
    </row>
    <row r="1097">
      <c r="A1097" s="12">
        <v>35.0</v>
      </c>
      <c r="B1097" s="8" t="s">
        <v>313</v>
      </c>
      <c r="C1097" s="8" t="s">
        <v>827</v>
      </c>
      <c r="I1097" s="10" t="s">
        <v>944</v>
      </c>
      <c r="J1097" s="13" t="s">
        <v>947</v>
      </c>
      <c r="K1097" s="13" t="s">
        <v>251</v>
      </c>
      <c r="L1097" s="13" t="s">
        <v>1743</v>
      </c>
      <c r="M1097" s="7" t="s">
        <v>253</v>
      </c>
      <c r="N1097" s="7" t="s">
        <v>253</v>
      </c>
      <c r="O1097" s="7" t="s">
        <v>254</v>
      </c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  <c r="AA1097" s="8"/>
      <c r="AB1097" s="8"/>
      <c r="AC1097" s="8"/>
      <c r="AD1097" s="8"/>
      <c r="AE1097" s="8"/>
    </row>
    <row r="1098">
      <c r="A1098" s="12">
        <v>35.0</v>
      </c>
      <c r="B1098" s="8" t="s">
        <v>313</v>
      </c>
      <c r="C1098" s="8" t="s">
        <v>827</v>
      </c>
      <c r="I1098" s="10" t="s">
        <v>948</v>
      </c>
      <c r="J1098" s="13" t="s">
        <v>938</v>
      </c>
      <c r="K1098" s="13" t="s">
        <v>251</v>
      </c>
      <c r="L1098" s="13" t="s">
        <v>1744</v>
      </c>
      <c r="M1098" s="7" t="s">
        <v>253</v>
      </c>
      <c r="N1098" s="7" t="s">
        <v>253</v>
      </c>
      <c r="O1098" s="7" t="s">
        <v>254</v>
      </c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  <c r="AA1098" s="8"/>
      <c r="AB1098" s="8"/>
      <c r="AC1098" s="8"/>
      <c r="AD1098" s="8"/>
      <c r="AE1098" s="8"/>
    </row>
    <row r="1099">
      <c r="A1099" s="12">
        <v>35.0</v>
      </c>
      <c r="B1099" s="8" t="s">
        <v>313</v>
      </c>
      <c r="C1099" s="8" t="s">
        <v>827</v>
      </c>
      <c r="I1099" s="10" t="s">
        <v>896</v>
      </c>
      <c r="J1099" s="13" t="s">
        <v>942</v>
      </c>
      <c r="K1099" s="13" t="s">
        <v>251</v>
      </c>
      <c r="L1099" s="13" t="s">
        <v>1745</v>
      </c>
      <c r="M1099" s="7" t="s">
        <v>253</v>
      </c>
      <c r="N1099" s="7" t="s">
        <v>253</v>
      </c>
      <c r="O1099" s="7" t="s">
        <v>254</v>
      </c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  <c r="AA1099" s="8"/>
      <c r="AB1099" s="8"/>
      <c r="AC1099" s="8"/>
      <c r="AD1099" s="8"/>
      <c r="AE1099" s="8"/>
    </row>
    <row r="1100">
      <c r="A1100" s="12">
        <v>35.0</v>
      </c>
      <c r="B1100" s="8" t="s">
        <v>313</v>
      </c>
      <c r="C1100" s="8" t="s">
        <v>827</v>
      </c>
      <c r="I1100" s="10" t="s">
        <v>1256</v>
      </c>
      <c r="J1100" s="13" t="s">
        <v>947</v>
      </c>
      <c r="K1100" s="13" t="s">
        <v>276</v>
      </c>
      <c r="L1100" s="13" t="s">
        <v>1746</v>
      </c>
      <c r="M1100" s="7" t="s">
        <v>253</v>
      </c>
      <c r="N1100" s="7" t="s">
        <v>253</v>
      </c>
      <c r="O1100" s="7" t="s">
        <v>254</v>
      </c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  <c r="AA1100" s="8"/>
      <c r="AB1100" s="8"/>
      <c r="AC1100" s="8"/>
      <c r="AD1100" s="8"/>
      <c r="AE1100" s="8"/>
    </row>
    <row r="1101">
      <c r="A1101" s="12">
        <v>35.0</v>
      </c>
      <c r="B1101" s="8" t="s">
        <v>313</v>
      </c>
      <c r="C1101" s="8" t="s">
        <v>827</v>
      </c>
      <c r="I1101" s="10" t="s">
        <v>521</v>
      </c>
      <c r="J1101" s="13" t="s">
        <v>938</v>
      </c>
      <c r="K1101" s="13" t="s">
        <v>276</v>
      </c>
      <c r="L1101" s="13" t="s">
        <v>1641</v>
      </c>
      <c r="M1101" s="7" t="s">
        <v>253</v>
      </c>
      <c r="N1101" s="7" t="s">
        <v>253</v>
      </c>
      <c r="O1101" s="7" t="s">
        <v>254</v>
      </c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  <c r="AA1101" s="8"/>
      <c r="AB1101" s="8"/>
      <c r="AC1101" s="8"/>
      <c r="AD1101" s="8"/>
      <c r="AE1101" s="8"/>
    </row>
    <row r="1102">
      <c r="A1102" s="12">
        <v>35.0</v>
      </c>
      <c r="B1102" s="8" t="s">
        <v>313</v>
      </c>
      <c r="C1102" s="8" t="s">
        <v>827</v>
      </c>
      <c r="I1102" s="10" t="s">
        <v>1190</v>
      </c>
      <c r="J1102" s="13" t="s">
        <v>942</v>
      </c>
      <c r="K1102" s="13" t="s">
        <v>276</v>
      </c>
      <c r="L1102" s="13" t="s">
        <v>1641</v>
      </c>
      <c r="M1102" s="7" t="s">
        <v>253</v>
      </c>
      <c r="N1102" s="7" t="s">
        <v>253</v>
      </c>
      <c r="O1102" s="7" t="s">
        <v>254</v>
      </c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  <c r="AA1102" s="8"/>
      <c r="AB1102" s="8"/>
      <c r="AC1102" s="8"/>
      <c r="AD1102" s="8"/>
      <c r="AE1102" s="8"/>
    </row>
    <row r="1103">
      <c r="A1103" s="12">
        <v>35.0</v>
      </c>
      <c r="B1103" s="8" t="s">
        <v>313</v>
      </c>
      <c r="C1103" s="8" t="s">
        <v>827</v>
      </c>
      <c r="I1103" s="10" t="s">
        <v>525</v>
      </c>
      <c r="J1103" s="13" t="s">
        <v>947</v>
      </c>
      <c r="K1103" s="13" t="s">
        <v>276</v>
      </c>
      <c r="L1103" s="13" t="s">
        <v>1276</v>
      </c>
      <c r="M1103" s="7" t="s">
        <v>253</v>
      </c>
      <c r="N1103" s="7" t="s">
        <v>253</v>
      </c>
      <c r="O1103" s="7" t="s">
        <v>254</v>
      </c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  <c r="AA1103" s="8"/>
      <c r="AB1103" s="8"/>
      <c r="AC1103" s="8"/>
      <c r="AD1103" s="8"/>
      <c r="AE1103" s="8"/>
    </row>
    <row r="1104">
      <c r="A1104" s="12">
        <v>35.0</v>
      </c>
      <c r="B1104" s="8" t="s">
        <v>313</v>
      </c>
      <c r="C1104" s="8" t="s">
        <v>827</v>
      </c>
      <c r="I1104" s="10" t="s">
        <v>1251</v>
      </c>
      <c r="J1104" s="13" t="s">
        <v>938</v>
      </c>
      <c r="K1104" s="13" t="s">
        <v>276</v>
      </c>
      <c r="L1104" s="13" t="s">
        <v>1641</v>
      </c>
      <c r="M1104" s="7" t="s">
        <v>253</v>
      </c>
      <c r="N1104" s="7" t="s">
        <v>253</v>
      </c>
      <c r="O1104" s="7" t="s">
        <v>254</v>
      </c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  <c r="AA1104" s="8"/>
      <c r="AB1104" s="8"/>
      <c r="AC1104" s="8"/>
      <c r="AD1104" s="8"/>
      <c r="AE1104" s="8"/>
    </row>
    <row r="1105">
      <c r="A1105" s="12">
        <v>35.0</v>
      </c>
      <c r="B1105" s="8" t="s">
        <v>313</v>
      </c>
      <c r="C1105" s="8" t="s">
        <v>827</v>
      </c>
      <c r="I1105" s="10" t="s">
        <v>897</v>
      </c>
      <c r="J1105" s="13" t="s">
        <v>942</v>
      </c>
      <c r="K1105" s="13" t="s">
        <v>276</v>
      </c>
      <c r="L1105" s="13" t="s">
        <v>1641</v>
      </c>
      <c r="M1105" s="7" t="s">
        <v>253</v>
      </c>
      <c r="N1105" s="7" t="s">
        <v>253</v>
      </c>
      <c r="O1105" s="7" t="s">
        <v>254</v>
      </c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  <c r="AA1105" s="8"/>
      <c r="AB1105" s="8"/>
      <c r="AC1105" s="8"/>
      <c r="AD1105" s="8"/>
      <c r="AE1105" s="8"/>
    </row>
    <row r="1106">
      <c r="A1106" s="12">
        <v>35.0</v>
      </c>
      <c r="B1106" s="8" t="s">
        <v>313</v>
      </c>
      <c r="C1106" s="8" t="s">
        <v>827</v>
      </c>
      <c r="I1106" s="10" t="s">
        <v>909</v>
      </c>
      <c r="J1106" s="13" t="s">
        <v>947</v>
      </c>
      <c r="K1106" s="13" t="s">
        <v>276</v>
      </c>
      <c r="L1106" s="13" t="s">
        <v>1641</v>
      </c>
      <c r="M1106" s="7" t="s">
        <v>253</v>
      </c>
      <c r="N1106" s="7" t="s">
        <v>253</v>
      </c>
      <c r="O1106" s="7" t="s">
        <v>254</v>
      </c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  <c r="AA1106" s="8"/>
      <c r="AB1106" s="8"/>
      <c r="AC1106" s="8"/>
      <c r="AD1106" s="8"/>
      <c r="AE1106" s="8"/>
    </row>
    <row r="1107">
      <c r="A1107" s="12">
        <v>35.0</v>
      </c>
      <c r="B1107" s="8" t="s">
        <v>313</v>
      </c>
      <c r="C1107" s="8" t="s">
        <v>827</v>
      </c>
      <c r="I1107" s="10" t="s">
        <v>1643</v>
      </c>
      <c r="J1107" s="13" t="s">
        <v>938</v>
      </c>
      <c r="K1107" s="13" t="s">
        <v>276</v>
      </c>
      <c r="L1107" s="13" t="s">
        <v>1641</v>
      </c>
      <c r="M1107" s="7" t="s">
        <v>253</v>
      </c>
      <c r="N1107" s="7" t="s">
        <v>253</v>
      </c>
      <c r="O1107" s="7" t="s">
        <v>254</v>
      </c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  <c r="AA1107" s="8"/>
      <c r="AB1107" s="8"/>
      <c r="AC1107" s="8"/>
      <c r="AD1107" s="8"/>
      <c r="AE1107" s="8"/>
    </row>
    <row r="1108">
      <c r="A1108" s="12">
        <v>35.0</v>
      </c>
      <c r="B1108" s="8" t="s">
        <v>313</v>
      </c>
      <c r="C1108" s="8" t="s">
        <v>827</v>
      </c>
      <c r="I1108" s="10" t="s">
        <v>1644</v>
      </c>
      <c r="J1108" s="13" t="s">
        <v>942</v>
      </c>
      <c r="K1108" s="13" t="s">
        <v>276</v>
      </c>
      <c r="L1108" s="13" t="s">
        <v>1641</v>
      </c>
      <c r="M1108" s="7" t="s">
        <v>253</v>
      </c>
      <c r="N1108" s="7" t="s">
        <v>253</v>
      </c>
      <c r="O1108" s="7" t="s">
        <v>254</v>
      </c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  <c r="AA1108" s="8"/>
      <c r="AB1108" s="8"/>
      <c r="AC1108" s="8"/>
      <c r="AD1108" s="8"/>
      <c r="AE1108" s="8"/>
    </row>
    <row r="1109">
      <c r="A1109" s="12">
        <v>35.0</v>
      </c>
      <c r="B1109" s="8" t="s">
        <v>313</v>
      </c>
      <c r="C1109" s="8" t="s">
        <v>827</v>
      </c>
      <c r="I1109" s="10" t="s">
        <v>1645</v>
      </c>
      <c r="J1109" s="13" t="s">
        <v>947</v>
      </c>
      <c r="K1109" s="13" t="s">
        <v>276</v>
      </c>
      <c r="L1109" s="13" t="s">
        <v>1641</v>
      </c>
      <c r="M1109" s="7" t="s">
        <v>253</v>
      </c>
      <c r="N1109" s="7" t="s">
        <v>253</v>
      </c>
      <c r="O1109" s="7" t="s">
        <v>254</v>
      </c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  <c r="AA1109" s="8"/>
      <c r="AB1109" s="8"/>
      <c r="AC1109" s="8"/>
      <c r="AD1109" s="8"/>
      <c r="AE1109" s="8"/>
    </row>
    <row r="1110">
      <c r="A1110" s="12">
        <v>35.0</v>
      </c>
      <c r="B1110" s="8" t="s">
        <v>313</v>
      </c>
      <c r="C1110" s="8" t="s">
        <v>827</v>
      </c>
      <c r="I1110" s="10" t="s">
        <v>887</v>
      </c>
      <c r="J1110" s="13" t="s">
        <v>938</v>
      </c>
      <c r="K1110" s="13" t="s">
        <v>276</v>
      </c>
      <c r="L1110" s="13" t="s">
        <v>1641</v>
      </c>
      <c r="M1110" s="7" t="s">
        <v>253</v>
      </c>
      <c r="N1110" s="7" t="s">
        <v>253</v>
      </c>
      <c r="O1110" s="7" t="s">
        <v>254</v>
      </c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  <c r="AA1110" s="8"/>
      <c r="AB1110" s="8"/>
      <c r="AC1110" s="8"/>
      <c r="AD1110" s="8"/>
      <c r="AE1110" s="8"/>
    </row>
    <row r="1111">
      <c r="A1111" s="12">
        <v>35.0</v>
      </c>
      <c r="B1111" s="8" t="s">
        <v>313</v>
      </c>
      <c r="C1111" s="8" t="s">
        <v>827</v>
      </c>
      <c r="I1111" s="10" t="s">
        <v>1582</v>
      </c>
      <c r="J1111" s="13" t="s">
        <v>942</v>
      </c>
      <c r="K1111" s="13" t="s">
        <v>276</v>
      </c>
      <c r="L1111" s="13" t="s">
        <v>1641</v>
      </c>
      <c r="M1111" s="7" t="s">
        <v>253</v>
      </c>
      <c r="N1111" s="7" t="s">
        <v>253</v>
      </c>
      <c r="O1111" s="7" t="s">
        <v>254</v>
      </c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  <c r="AA1111" s="8"/>
      <c r="AB1111" s="8"/>
      <c r="AC1111" s="8"/>
      <c r="AD1111" s="8"/>
      <c r="AE1111" s="8"/>
    </row>
    <row r="1112">
      <c r="A1112" s="12">
        <v>35.0</v>
      </c>
      <c r="B1112" s="8" t="s">
        <v>313</v>
      </c>
      <c r="C1112" s="8" t="s">
        <v>827</v>
      </c>
      <c r="I1112" s="10" t="s">
        <v>1647</v>
      </c>
      <c r="J1112" s="13" t="s">
        <v>947</v>
      </c>
      <c r="K1112" s="13" t="s">
        <v>276</v>
      </c>
      <c r="L1112" s="13" t="s">
        <v>1641</v>
      </c>
      <c r="M1112" s="7" t="s">
        <v>253</v>
      </c>
      <c r="N1112" s="7" t="s">
        <v>253</v>
      </c>
      <c r="O1112" s="7" t="s">
        <v>254</v>
      </c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  <c r="AA1112" s="8"/>
      <c r="AB1112" s="8"/>
      <c r="AC1112" s="8"/>
      <c r="AD1112" s="8"/>
      <c r="AE1112" s="8"/>
    </row>
    <row r="1113">
      <c r="A1113" s="12">
        <v>35.0</v>
      </c>
      <c r="B1113" s="8" t="s">
        <v>313</v>
      </c>
      <c r="C1113" s="8" t="s">
        <v>827</v>
      </c>
      <c r="I1113" s="10" t="s">
        <v>1425</v>
      </c>
      <c r="J1113" s="13" t="s">
        <v>938</v>
      </c>
      <c r="K1113" s="13" t="s">
        <v>276</v>
      </c>
      <c r="L1113" s="13" t="s">
        <v>1641</v>
      </c>
      <c r="M1113" s="7" t="s">
        <v>253</v>
      </c>
      <c r="N1113" s="7" t="s">
        <v>253</v>
      </c>
      <c r="O1113" s="7" t="s">
        <v>254</v>
      </c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  <c r="AA1113" s="8"/>
      <c r="AB1113" s="8"/>
      <c r="AC1113" s="8"/>
      <c r="AD1113" s="8"/>
      <c r="AE1113" s="8"/>
    </row>
    <row r="1114">
      <c r="A1114" s="12">
        <v>35.0</v>
      </c>
      <c r="B1114" s="8" t="s">
        <v>313</v>
      </c>
      <c r="C1114" s="8" t="s">
        <v>827</v>
      </c>
      <c r="I1114" s="10" t="s">
        <v>1648</v>
      </c>
      <c r="J1114" s="13" t="s">
        <v>942</v>
      </c>
      <c r="K1114" s="13" t="s">
        <v>276</v>
      </c>
      <c r="L1114" s="13" t="s">
        <v>1641</v>
      </c>
      <c r="M1114" s="7" t="s">
        <v>253</v>
      </c>
      <c r="N1114" s="7" t="s">
        <v>253</v>
      </c>
      <c r="O1114" s="7" t="s">
        <v>254</v>
      </c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  <c r="AA1114" s="8"/>
      <c r="AB1114" s="8"/>
      <c r="AC1114" s="8"/>
      <c r="AD1114" s="8"/>
      <c r="AE1114" s="8"/>
    </row>
    <row r="1115">
      <c r="A1115" s="12">
        <v>35.0</v>
      </c>
      <c r="B1115" s="8" t="s">
        <v>313</v>
      </c>
      <c r="C1115" s="8" t="s">
        <v>827</v>
      </c>
      <c r="I1115" s="10" t="s">
        <v>1195</v>
      </c>
      <c r="J1115" s="13" t="s">
        <v>947</v>
      </c>
      <c r="K1115" s="13" t="s">
        <v>276</v>
      </c>
      <c r="L1115" s="13" t="s">
        <v>1641</v>
      </c>
      <c r="M1115" s="7" t="s">
        <v>253</v>
      </c>
      <c r="N1115" s="7" t="s">
        <v>253</v>
      </c>
      <c r="O1115" s="7" t="s">
        <v>254</v>
      </c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  <c r="AA1115" s="8"/>
      <c r="AB1115" s="8"/>
      <c r="AC1115" s="8"/>
      <c r="AD1115" s="8"/>
      <c r="AE1115" s="8"/>
    </row>
    <row r="1116">
      <c r="A1116" s="12">
        <v>35.0</v>
      </c>
      <c r="B1116" s="8" t="s">
        <v>313</v>
      </c>
      <c r="C1116" s="8" t="s">
        <v>827</v>
      </c>
      <c r="I1116" s="10" t="s">
        <v>1583</v>
      </c>
      <c r="J1116" s="13" t="s">
        <v>938</v>
      </c>
      <c r="K1116" s="13" t="s">
        <v>276</v>
      </c>
      <c r="L1116" s="13" t="s">
        <v>1641</v>
      </c>
      <c r="M1116" s="7" t="s">
        <v>253</v>
      </c>
      <c r="N1116" s="7" t="s">
        <v>253</v>
      </c>
      <c r="O1116" s="7" t="s">
        <v>254</v>
      </c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  <c r="AA1116" s="8"/>
      <c r="AB1116" s="8"/>
      <c r="AC1116" s="8"/>
      <c r="AD1116" s="8"/>
      <c r="AE1116" s="8"/>
    </row>
    <row r="1117">
      <c r="A1117" s="12">
        <v>35.0</v>
      </c>
      <c r="B1117" s="8" t="s">
        <v>313</v>
      </c>
      <c r="C1117" s="8" t="s">
        <v>827</v>
      </c>
      <c r="I1117" s="10" t="s">
        <v>928</v>
      </c>
      <c r="J1117" s="13" t="s">
        <v>942</v>
      </c>
      <c r="K1117" s="13" t="s">
        <v>276</v>
      </c>
      <c r="L1117" s="13" t="s">
        <v>1641</v>
      </c>
      <c r="M1117" s="7" t="s">
        <v>253</v>
      </c>
      <c r="N1117" s="7" t="s">
        <v>253</v>
      </c>
      <c r="O1117" s="7" t="s">
        <v>254</v>
      </c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  <c r="AA1117" s="8"/>
      <c r="AB1117" s="8"/>
      <c r="AC1117" s="8"/>
      <c r="AD1117" s="8"/>
      <c r="AE1117" s="8"/>
    </row>
    <row r="1118">
      <c r="A1118" s="12">
        <v>35.0</v>
      </c>
      <c r="B1118" s="8" t="s">
        <v>313</v>
      </c>
      <c r="C1118" s="8" t="s">
        <v>827</v>
      </c>
      <c r="I1118" s="10" t="s">
        <v>310</v>
      </c>
      <c r="J1118" s="13" t="s">
        <v>947</v>
      </c>
      <c r="K1118" s="13" t="s">
        <v>276</v>
      </c>
      <c r="L1118" s="13" t="s">
        <v>1641</v>
      </c>
      <c r="M1118" s="7" t="s">
        <v>253</v>
      </c>
      <c r="N1118" s="7" t="s">
        <v>253</v>
      </c>
      <c r="O1118" s="7" t="s">
        <v>254</v>
      </c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  <c r="AA1118" s="8"/>
      <c r="AB1118" s="8"/>
      <c r="AC1118" s="8"/>
      <c r="AD1118" s="8"/>
      <c r="AE1118" s="8"/>
    </row>
    <row r="1119">
      <c r="A1119" s="12">
        <v>35.0</v>
      </c>
      <c r="B1119" s="8" t="s">
        <v>313</v>
      </c>
      <c r="C1119" s="8" t="s">
        <v>827</v>
      </c>
      <c r="I1119" s="10" t="s">
        <v>884</v>
      </c>
      <c r="J1119" s="13" t="s">
        <v>938</v>
      </c>
      <c r="K1119" s="13" t="s">
        <v>276</v>
      </c>
      <c r="L1119" s="13" t="s">
        <v>1641</v>
      </c>
      <c r="M1119" s="7" t="s">
        <v>253</v>
      </c>
      <c r="N1119" s="7" t="s">
        <v>253</v>
      </c>
      <c r="O1119" s="7" t="s">
        <v>254</v>
      </c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  <c r="AA1119" s="8"/>
      <c r="AB1119" s="8"/>
      <c r="AC1119" s="8"/>
      <c r="AD1119" s="8"/>
      <c r="AE1119" s="8"/>
    </row>
    <row r="1120">
      <c r="A1120" s="12">
        <v>35.0</v>
      </c>
      <c r="B1120" s="8" t="s">
        <v>313</v>
      </c>
      <c r="C1120" s="8" t="s">
        <v>827</v>
      </c>
      <c r="I1120" s="10" t="s">
        <v>1651</v>
      </c>
      <c r="J1120" s="13" t="s">
        <v>942</v>
      </c>
      <c r="K1120" s="13" t="s">
        <v>276</v>
      </c>
      <c r="L1120" s="13" t="s">
        <v>1641</v>
      </c>
      <c r="M1120" s="7" t="s">
        <v>253</v>
      </c>
      <c r="N1120" s="7" t="s">
        <v>253</v>
      </c>
      <c r="O1120" s="7" t="s">
        <v>254</v>
      </c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  <c r="AA1120" s="8"/>
      <c r="AB1120" s="8"/>
      <c r="AC1120" s="8"/>
      <c r="AD1120" s="8"/>
      <c r="AE1120" s="8"/>
    </row>
    <row r="1121">
      <c r="A1121" s="12">
        <v>35.0</v>
      </c>
      <c r="B1121" s="8" t="s">
        <v>313</v>
      </c>
      <c r="C1121" s="8" t="s">
        <v>827</v>
      </c>
      <c r="I1121" s="10" t="s">
        <v>1652</v>
      </c>
      <c r="J1121" s="13" t="s">
        <v>947</v>
      </c>
      <c r="K1121" s="13" t="s">
        <v>276</v>
      </c>
      <c r="L1121" s="13" t="s">
        <v>1641</v>
      </c>
      <c r="M1121" s="7" t="s">
        <v>253</v>
      </c>
      <c r="N1121" s="7" t="s">
        <v>253</v>
      </c>
      <c r="O1121" s="7" t="s">
        <v>254</v>
      </c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  <c r="AA1121" s="8"/>
      <c r="AB1121" s="8"/>
      <c r="AC1121" s="8"/>
      <c r="AD1121" s="8"/>
      <c r="AE1121" s="8"/>
    </row>
    <row r="1122">
      <c r="A1122" s="12">
        <v>35.0</v>
      </c>
      <c r="B1122" s="8" t="s">
        <v>313</v>
      </c>
      <c r="C1122" s="8" t="s">
        <v>827</v>
      </c>
      <c r="I1122" s="10" t="s">
        <v>850</v>
      </c>
      <c r="J1122" s="13" t="s">
        <v>938</v>
      </c>
      <c r="K1122" s="13" t="s">
        <v>276</v>
      </c>
      <c r="L1122" s="13" t="s">
        <v>1641</v>
      </c>
      <c r="M1122" s="7" t="s">
        <v>253</v>
      </c>
      <c r="N1122" s="7" t="s">
        <v>253</v>
      </c>
      <c r="O1122" s="7" t="s">
        <v>254</v>
      </c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  <c r="AA1122" s="8"/>
      <c r="AB1122" s="8"/>
      <c r="AC1122" s="8"/>
      <c r="AD1122" s="8"/>
      <c r="AE1122" s="8"/>
    </row>
    <row r="1123">
      <c r="A1123" s="12">
        <v>35.0</v>
      </c>
      <c r="B1123" s="8" t="s">
        <v>313</v>
      </c>
      <c r="C1123" s="8" t="s">
        <v>827</v>
      </c>
      <c r="I1123" s="10" t="s">
        <v>336</v>
      </c>
      <c r="J1123" s="13" t="s">
        <v>942</v>
      </c>
      <c r="K1123" s="13" t="s">
        <v>276</v>
      </c>
      <c r="L1123" s="13" t="s">
        <v>1641</v>
      </c>
      <c r="M1123" s="7" t="s">
        <v>253</v>
      </c>
      <c r="N1123" s="7" t="s">
        <v>253</v>
      </c>
      <c r="O1123" s="7" t="s">
        <v>254</v>
      </c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  <c r="AA1123" s="8"/>
      <c r="AB1123" s="8"/>
      <c r="AC1123" s="8"/>
      <c r="AD1123" s="8"/>
      <c r="AE1123" s="8"/>
    </row>
    <row r="1124">
      <c r="A1124" s="12">
        <v>35.0</v>
      </c>
      <c r="B1124" s="8" t="s">
        <v>313</v>
      </c>
      <c r="C1124" s="8" t="s">
        <v>827</v>
      </c>
      <c r="I1124" s="10" t="s">
        <v>1654</v>
      </c>
      <c r="J1124" s="13" t="s">
        <v>947</v>
      </c>
      <c r="K1124" s="13" t="s">
        <v>276</v>
      </c>
      <c r="L1124" s="13" t="s">
        <v>1641</v>
      </c>
      <c r="M1124" s="7" t="s">
        <v>253</v>
      </c>
      <c r="N1124" s="7" t="s">
        <v>253</v>
      </c>
      <c r="O1124" s="7" t="s">
        <v>254</v>
      </c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  <c r="AA1124" s="8"/>
      <c r="AB1124" s="8"/>
      <c r="AC1124" s="8"/>
      <c r="AD1124" s="8"/>
      <c r="AE1124" s="8"/>
    </row>
    <row r="1125">
      <c r="A1125" s="12">
        <v>35.0</v>
      </c>
      <c r="B1125" s="8" t="s">
        <v>313</v>
      </c>
      <c r="C1125" s="8" t="s">
        <v>827</v>
      </c>
      <c r="I1125" s="10" t="s">
        <v>1655</v>
      </c>
      <c r="J1125" s="13" t="s">
        <v>938</v>
      </c>
      <c r="K1125" s="13" t="s">
        <v>276</v>
      </c>
      <c r="L1125" s="13" t="s">
        <v>1641</v>
      </c>
      <c r="M1125" s="7" t="s">
        <v>253</v>
      </c>
      <c r="N1125" s="7" t="s">
        <v>253</v>
      </c>
      <c r="O1125" s="7" t="s">
        <v>254</v>
      </c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  <c r="AA1125" s="8"/>
      <c r="AB1125" s="8"/>
      <c r="AC1125" s="8"/>
      <c r="AD1125" s="8"/>
      <c r="AE1125" s="8"/>
    </row>
    <row r="1126">
      <c r="A1126" s="12">
        <v>35.0</v>
      </c>
      <c r="B1126" s="8" t="s">
        <v>313</v>
      </c>
      <c r="C1126" s="8" t="s">
        <v>827</v>
      </c>
      <c r="I1126" s="10" t="s">
        <v>623</v>
      </c>
      <c r="J1126" s="13" t="s">
        <v>942</v>
      </c>
      <c r="K1126" s="13" t="s">
        <v>276</v>
      </c>
      <c r="L1126" s="13" t="s">
        <v>1276</v>
      </c>
      <c r="M1126" s="7" t="s">
        <v>253</v>
      </c>
      <c r="N1126" s="7" t="s">
        <v>253</v>
      </c>
      <c r="O1126" s="7" t="s">
        <v>254</v>
      </c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  <c r="AA1126" s="8"/>
      <c r="AB1126" s="8"/>
      <c r="AC1126" s="8"/>
      <c r="AD1126" s="8"/>
      <c r="AE1126" s="8"/>
    </row>
    <row r="1127">
      <c r="A1127" s="12">
        <v>35.0</v>
      </c>
      <c r="B1127" s="8" t="s">
        <v>313</v>
      </c>
      <c r="C1127" s="8" t="s">
        <v>827</v>
      </c>
      <c r="I1127" s="10" t="s">
        <v>1658</v>
      </c>
      <c r="J1127" s="13" t="s">
        <v>947</v>
      </c>
      <c r="K1127" s="13" t="s">
        <v>276</v>
      </c>
      <c r="L1127" s="13" t="s">
        <v>1641</v>
      </c>
      <c r="M1127" s="7" t="s">
        <v>253</v>
      </c>
      <c r="N1127" s="7" t="s">
        <v>253</v>
      </c>
      <c r="O1127" s="7" t="s">
        <v>254</v>
      </c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  <c r="AA1127" s="8"/>
      <c r="AB1127" s="8"/>
      <c r="AC1127" s="8"/>
      <c r="AD1127" s="8"/>
      <c r="AE1127" s="8"/>
    </row>
    <row r="1128">
      <c r="A1128" s="12">
        <v>35.0</v>
      </c>
      <c r="B1128" s="8" t="s">
        <v>313</v>
      </c>
      <c r="C1128" s="8" t="s">
        <v>827</v>
      </c>
      <c r="I1128" s="10" t="s">
        <v>872</v>
      </c>
      <c r="J1128" s="13" t="s">
        <v>938</v>
      </c>
      <c r="K1128" s="13" t="s">
        <v>276</v>
      </c>
      <c r="L1128" s="13" t="s">
        <v>1641</v>
      </c>
      <c r="M1128" s="7" t="s">
        <v>253</v>
      </c>
      <c r="N1128" s="7" t="s">
        <v>253</v>
      </c>
      <c r="O1128" s="7" t="s">
        <v>254</v>
      </c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  <c r="AA1128" s="8"/>
      <c r="AB1128" s="8"/>
      <c r="AC1128" s="8"/>
      <c r="AD1128" s="8"/>
      <c r="AE1128" s="8"/>
    </row>
    <row r="1129">
      <c r="A1129" s="12">
        <v>35.0</v>
      </c>
      <c r="B1129" s="8" t="s">
        <v>313</v>
      </c>
      <c r="C1129" s="8" t="s">
        <v>827</v>
      </c>
      <c r="I1129" s="10" t="s">
        <v>436</v>
      </c>
      <c r="J1129" s="13" t="s">
        <v>942</v>
      </c>
      <c r="K1129" s="13" t="s">
        <v>276</v>
      </c>
      <c r="L1129" s="13" t="s">
        <v>1641</v>
      </c>
      <c r="M1129" s="7" t="s">
        <v>253</v>
      </c>
      <c r="N1129" s="7" t="s">
        <v>253</v>
      </c>
      <c r="O1129" s="7" t="s">
        <v>254</v>
      </c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  <c r="AA1129" s="8"/>
      <c r="AB1129" s="8"/>
      <c r="AC1129" s="8"/>
      <c r="AD1129" s="8"/>
      <c r="AE1129" s="8"/>
    </row>
    <row r="1130">
      <c r="A1130" s="12">
        <v>35.0</v>
      </c>
      <c r="B1130" s="8" t="s">
        <v>313</v>
      </c>
      <c r="C1130" s="8" t="s">
        <v>827</v>
      </c>
      <c r="I1130" s="10" t="s">
        <v>1588</v>
      </c>
      <c r="J1130" s="13" t="s">
        <v>947</v>
      </c>
      <c r="K1130" s="13" t="s">
        <v>276</v>
      </c>
      <c r="L1130" s="13" t="s">
        <v>1641</v>
      </c>
      <c r="M1130" s="7" t="s">
        <v>253</v>
      </c>
      <c r="N1130" s="7" t="s">
        <v>253</v>
      </c>
      <c r="O1130" s="7" t="s">
        <v>254</v>
      </c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  <c r="AA1130" s="8"/>
      <c r="AB1130" s="8"/>
      <c r="AC1130" s="8"/>
      <c r="AD1130" s="8"/>
      <c r="AE1130" s="8"/>
    </row>
    <row r="1131">
      <c r="A1131" s="12">
        <v>35.0</v>
      </c>
      <c r="B1131" s="8" t="s">
        <v>313</v>
      </c>
      <c r="C1131" s="8" t="s">
        <v>827</v>
      </c>
      <c r="I1131" s="10" t="s">
        <v>1268</v>
      </c>
      <c r="J1131" s="13" t="s">
        <v>938</v>
      </c>
      <c r="K1131" s="13" t="s">
        <v>276</v>
      </c>
      <c r="L1131" s="13" t="s">
        <v>1641</v>
      </c>
      <c r="M1131" s="7" t="s">
        <v>253</v>
      </c>
      <c r="N1131" s="7" t="s">
        <v>253</v>
      </c>
      <c r="O1131" s="7" t="s">
        <v>254</v>
      </c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  <c r="AA1131" s="8"/>
      <c r="AB1131" s="8"/>
      <c r="AC1131" s="8"/>
      <c r="AD1131" s="8"/>
      <c r="AE1131" s="8"/>
    </row>
    <row r="1132">
      <c r="A1132" s="12">
        <v>35.0</v>
      </c>
      <c r="B1132" s="8" t="s">
        <v>313</v>
      </c>
      <c r="C1132" s="8" t="s">
        <v>827</v>
      </c>
      <c r="I1132" s="10" t="s">
        <v>894</v>
      </c>
      <c r="J1132" s="13" t="s">
        <v>942</v>
      </c>
      <c r="K1132" s="13" t="s">
        <v>276</v>
      </c>
      <c r="L1132" s="13" t="s">
        <v>1641</v>
      </c>
      <c r="M1132" s="7" t="s">
        <v>253</v>
      </c>
      <c r="N1132" s="7" t="s">
        <v>253</v>
      </c>
      <c r="O1132" s="7" t="s">
        <v>254</v>
      </c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  <c r="AA1132" s="8"/>
      <c r="AB1132" s="8"/>
      <c r="AC1132" s="8"/>
      <c r="AD1132" s="8"/>
      <c r="AE1132" s="8"/>
    </row>
    <row r="1133">
      <c r="A1133" s="12">
        <v>35.0</v>
      </c>
      <c r="B1133" s="8" t="s">
        <v>313</v>
      </c>
      <c r="C1133" s="8" t="s">
        <v>827</v>
      </c>
      <c r="I1133" s="10" t="s">
        <v>1670</v>
      </c>
      <c r="J1133" s="13" t="s">
        <v>947</v>
      </c>
      <c r="K1133" s="13" t="s">
        <v>276</v>
      </c>
      <c r="L1133" s="13" t="s">
        <v>1641</v>
      </c>
      <c r="M1133" s="7" t="s">
        <v>253</v>
      </c>
      <c r="N1133" s="7" t="s">
        <v>253</v>
      </c>
      <c r="O1133" s="7" t="s">
        <v>254</v>
      </c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  <c r="AA1133" s="8"/>
      <c r="AB1133" s="8"/>
      <c r="AC1133" s="8"/>
      <c r="AD1133" s="8"/>
      <c r="AE1133" s="8"/>
    </row>
    <row r="1134">
      <c r="A1134" s="12">
        <v>35.0</v>
      </c>
      <c r="B1134" s="8" t="s">
        <v>313</v>
      </c>
      <c r="C1134" s="8" t="s">
        <v>827</v>
      </c>
      <c r="I1134" s="10" t="s">
        <v>864</v>
      </c>
      <c r="J1134" s="13" t="s">
        <v>938</v>
      </c>
      <c r="K1134" s="13" t="s">
        <v>276</v>
      </c>
      <c r="L1134" s="13" t="s">
        <v>1641</v>
      </c>
      <c r="M1134" s="7" t="s">
        <v>253</v>
      </c>
      <c r="N1134" s="7" t="s">
        <v>253</v>
      </c>
      <c r="O1134" s="7" t="s">
        <v>254</v>
      </c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  <c r="AA1134" s="8"/>
      <c r="AB1134" s="8"/>
      <c r="AC1134" s="8"/>
      <c r="AD1134" s="8"/>
      <c r="AE1134" s="8"/>
    </row>
    <row r="1135">
      <c r="A1135" s="12">
        <v>35.0</v>
      </c>
      <c r="B1135" s="8" t="s">
        <v>313</v>
      </c>
      <c r="C1135" s="8" t="s">
        <v>827</v>
      </c>
      <c r="I1135" s="10" t="s">
        <v>899</v>
      </c>
      <c r="J1135" s="13" t="s">
        <v>942</v>
      </c>
      <c r="K1135" s="13" t="s">
        <v>276</v>
      </c>
      <c r="L1135" s="13" t="s">
        <v>1641</v>
      </c>
      <c r="M1135" s="7" t="s">
        <v>253</v>
      </c>
      <c r="N1135" s="7" t="s">
        <v>253</v>
      </c>
      <c r="O1135" s="7" t="s">
        <v>254</v>
      </c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  <c r="AA1135" s="8"/>
      <c r="AB1135" s="8"/>
      <c r="AC1135" s="8"/>
      <c r="AD1135" s="8"/>
      <c r="AE1135" s="8"/>
    </row>
    <row r="1136">
      <c r="A1136" s="12">
        <v>35.0</v>
      </c>
      <c r="B1136" s="8" t="s">
        <v>313</v>
      </c>
      <c r="C1136" s="8" t="s">
        <v>827</v>
      </c>
      <c r="I1136" s="10" t="s">
        <v>1676</v>
      </c>
      <c r="J1136" s="13" t="s">
        <v>947</v>
      </c>
      <c r="K1136" s="13" t="s">
        <v>276</v>
      </c>
      <c r="L1136" s="13" t="s">
        <v>1641</v>
      </c>
      <c r="M1136" s="7" t="s">
        <v>253</v>
      </c>
      <c r="N1136" s="7" t="s">
        <v>253</v>
      </c>
      <c r="O1136" s="7" t="s">
        <v>254</v>
      </c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  <c r="AA1136" s="8"/>
      <c r="AB1136" s="8"/>
      <c r="AC1136" s="8"/>
      <c r="AD1136" s="8"/>
      <c r="AE1136" s="8"/>
    </row>
    <row r="1137">
      <c r="A1137" s="12">
        <v>35.0</v>
      </c>
      <c r="B1137" s="8" t="s">
        <v>313</v>
      </c>
      <c r="C1137" s="8" t="s">
        <v>827</v>
      </c>
      <c r="I1137" s="10" t="s">
        <v>1677</v>
      </c>
      <c r="J1137" s="13" t="s">
        <v>938</v>
      </c>
      <c r="K1137" s="13" t="s">
        <v>276</v>
      </c>
      <c r="L1137" s="13" t="s">
        <v>1641</v>
      </c>
      <c r="M1137" s="7" t="s">
        <v>253</v>
      </c>
      <c r="N1137" s="7" t="s">
        <v>253</v>
      </c>
      <c r="O1137" s="7" t="s">
        <v>254</v>
      </c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  <c r="AA1137" s="8"/>
      <c r="AB1137" s="8"/>
      <c r="AC1137" s="8"/>
      <c r="AD1137" s="8"/>
      <c r="AE1137" s="8"/>
    </row>
    <row r="1138">
      <c r="A1138" s="12">
        <v>35.0</v>
      </c>
      <c r="B1138" s="8" t="s">
        <v>313</v>
      </c>
      <c r="C1138" s="8" t="s">
        <v>827</v>
      </c>
      <c r="I1138" s="10" t="s">
        <v>597</v>
      </c>
      <c r="J1138" s="13" t="s">
        <v>942</v>
      </c>
      <c r="K1138" s="13" t="s">
        <v>276</v>
      </c>
      <c r="L1138" s="13" t="s">
        <v>1641</v>
      </c>
      <c r="M1138" s="7" t="s">
        <v>253</v>
      </c>
      <c r="N1138" s="7" t="s">
        <v>253</v>
      </c>
      <c r="O1138" s="7" t="s">
        <v>254</v>
      </c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  <c r="AA1138" s="8"/>
      <c r="AB1138" s="8"/>
      <c r="AC1138" s="8"/>
      <c r="AD1138" s="8"/>
      <c r="AE1138" s="8"/>
    </row>
    <row r="1139">
      <c r="A1139" s="12">
        <v>35.0</v>
      </c>
      <c r="B1139" s="8" t="s">
        <v>313</v>
      </c>
      <c r="C1139" s="8" t="s">
        <v>827</v>
      </c>
      <c r="I1139" s="10" t="s">
        <v>1455</v>
      </c>
      <c r="J1139" s="13" t="s">
        <v>947</v>
      </c>
      <c r="K1139" s="13" t="s">
        <v>276</v>
      </c>
      <c r="L1139" s="13" t="s">
        <v>1641</v>
      </c>
      <c r="M1139" s="7" t="s">
        <v>253</v>
      </c>
      <c r="N1139" s="7" t="s">
        <v>253</v>
      </c>
      <c r="O1139" s="7" t="s">
        <v>254</v>
      </c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  <c r="AA1139" s="8"/>
      <c r="AB1139" s="8"/>
      <c r="AC1139" s="8"/>
      <c r="AD1139" s="8"/>
      <c r="AE1139" s="8"/>
    </row>
    <row r="1140">
      <c r="A1140" s="12">
        <v>35.0</v>
      </c>
      <c r="B1140" s="8" t="s">
        <v>313</v>
      </c>
      <c r="C1140" s="8" t="s">
        <v>827</v>
      </c>
      <c r="I1140" s="10" t="s">
        <v>1690</v>
      </c>
      <c r="J1140" s="13" t="s">
        <v>938</v>
      </c>
      <c r="K1140" s="13" t="s">
        <v>276</v>
      </c>
      <c r="L1140" s="13" t="s">
        <v>1641</v>
      </c>
      <c r="M1140" s="7" t="s">
        <v>253</v>
      </c>
      <c r="N1140" s="7" t="s">
        <v>253</v>
      </c>
      <c r="O1140" s="7" t="s">
        <v>254</v>
      </c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  <c r="AA1140" s="8"/>
      <c r="AB1140" s="8"/>
      <c r="AC1140" s="8"/>
      <c r="AD1140" s="8"/>
      <c r="AE1140" s="8"/>
    </row>
    <row r="1141">
      <c r="A1141" s="12">
        <v>35.0</v>
      </c>
      <c r="B1141" s="8" t="s">
        <v>313</v>
      </c>
      <c r="C1141" s="8" t="s">
        <v>827</v>
      </c>
      <c r="I1141" s="10" t="s">
        <v>302</v>
      </c>
      <c r="J1141" s="13" t="s">
        <v>942</v>
      </c>
      <c r="K1141" s="13" t="s">
        <v>276</v>
      </c>
      <c r="L1141" s="13" t="s">
        <v>1641</v>
      </c>
      <c r="M1141" s="7" t="s">
        <v>253</v>
      </c>
      <c r="N1141" s="7" t="s">
        <v>253</v>
      </c>
      <c r="O1141" s="7" t="s">
        <v>254</v>
      </c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  <c r="AA1141" s="8"/>
      <c r="AB1141" s="8"/>
      <c r="AC1141" s="8"/>
      <c r="AD1141" s="8"/>
      <c r="AE1141" s="8"/>
    </row>
    <row r="1142">
      <c r="A1142" s="12">
        <v>35.0</v>
      </c>
      <c r="B1142" s="8" t="s">
        <v>313</v>
      </c>
      <c r="C1142" s="8" t="s">
        <v>827</v>
      </c>
      <c r="I1142" s="10" t="s">
        <v>1691</v>
      </c>
      <c r="J1142" s="13" t="s">
        <v>947</v>
      </c>
      <c r="K1142" s="13" t="s">
        <v>276</v>
      </c>
      <c r="L1142" s="13" t="s">
        <v>1641</v>
      </c>
      <c r="M1142" s="7" t="s">
        <v>253</v>
      </c>
      <c r="N1142" s="7" t="s">
        <v>253</v>
      </c>
      <c r="O1142" s="7" t="s">
        <v>254</v>
      </c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  <c r="AA1142" s="8"/>
      <c r="AB1142" s="8"/>
      <c r="AC1142" s="8"/>
      <c r="AD1142" s="8"/>
      <c r="AE1142" s="8"/>
    </row>
    <row r="1143">
      <c r="A1143" s="12">
        <v>35.0</v>
      </c>
      <c r="B1143" s="8" t="s">
        <v>313</v>
      </c>
      <c r="C1143" s="8" t="s">
        <v>827</v>
      </c>
      <c r="I1143" s="10" t="s">
        <v>291</v>
      </c>
      <c r="J1143" s="13" t="s">
        <v>938</v>
      </c>
      <c r="K1143" s="13" t="s">
        <v>276</v>
      </c>
      <c r="L1143" s="13" t="s">
        <v>1641</v>
      </c>
      <c r="M1143" s="7" t="s">
        <v>253</v>
      </c>
      <c r="N1143" s="7" t="s">
        <v>253</v>
      </c>
      <c r="O1143" s="7" t="s">
        <v>254</v>
      </c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  <c r="AA1143" s="8"/>
      <c r="AB1143" s="8"/>
      <c r="AC1143" s="8"/>
      <c r="AD1143" s="8"/>
      <c r="AE1143" s="8"/>
    </row>
    <row r="1144">
      <c r="A1144" s="12">
        <v>35.0</v>
      </c>
      <c r="B1144" s="8" t="s">
        <v>313</v>
      </c>
      <c r="C1144" s="8" t="s">
        <v>827</v>
      </c>
      <c r="I1144" s="10" t="s">
        <v>1692</v>
      </c>
      <c r="J1144" s="13" t="s">
        <v>942</v>
      </c>
      <c r="K1144" s="13" t="s">
        <v>276</v>
      </c>
      <c r="L1144" s="13" t="s">
        <v>1641</v>
      </c>
      <c r="M1144" s="7" t="s">
        <v>253</v>
      </c>
      <c r="N1144" s="7" t="s">
        <v>253</v>
      </c>
      <c r="O1144" s="7" t="s">
        <v>254</v>
      </c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  <c r="AA1144" s="8"/>
      <c r="AB1144" s="8"/>
      <c r="AC1144" s="8"/>
      <c r="AD1144" s="8"/>
      <c r="AE1144" s="8"/>
    </row>
    <row r="1145">
      <c r="A1145" s="12">
        <v>35.0</v>
      </c>
      <c r="B1145" s="8" t="s">
        <v>313</v>
      </c>
      <c r="C1145" s="8" t="s">
        <v>827</v>
      </c>
      <c r="I1145" s="10" t="s">
        <v>1693</v>
      </c>
      <c r="J1145" s="13" t="s">
        <v>947</v>
      </c>
      <c r="K1145" s="13" t="s">
        <v>276</v>
      </c>
      <c r="L1145" s="13" t="s">
        <v>1641</v>
      </c>
      <c r="M1145" s="7" t="s">
        <v>253</v>
      </c>
      <c r="N1145" s="7" t="s">
        <v>253</v>
      </c>
      <c r="O1145" s="7" t="s">
        <v>254</v>
      </c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  <c r="AA1145" s="8"/>
      <c r="AB1145" s="8"/>
      <c r="AC1145" s="8"/>
      <c r="AD1145" s="8"/>
      <c r="AE1145" s="8"/>
    </row>
    <row r="1146">
      <c r="A1146" s="12">
        <v>35.0</v>
      </c>
      <c r="B1146" s="8" t="s">
        <v>313</v>
      </c>
      <c r="C1146" s="8" t="s">
        <v>827</v>
      </c>
      <c r="I1146" s="10" t="s">
        <v>1747</v>
      </c>
      <c r="J1146" s="13" t="s">
        <v>938</v>
      </c>
      <c r="K1146" s="13" t="s">
        <v>276</v>
      </c>
      <c r="L1146" s="13" t="s">
        <v>1748</v>
      </c>
      <c r="M1146" s="7" t="s">
        <v>253</v>
      </c>
      <c r="N1146" s="7" t="s">
        <v>253</v>
      </c>
      <c r="O1146" s="7" t="s">
        <v>254</v>
      </c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  <c r="AA1146" s="8"/>
      <c r="AB1146" s="8"/>
      <c r="AC1146" s="8"/>
      <c r="AD1146" s="8"/>
      <c r="AE1146" s="8"/>
    </row>
    <row r="1147">
      <c r="A1147" s="12">
        <v>35.0</v>
      </c>
      <c r="B1147" s="8" t="s">
        <v>313</v>
      </c>
      <c r="C1147" s="8" t="s">
        <v>827</v>
      </c>
      <c r="I1147" s="10" t="s">
        <v>869</v>
      </c>
      <c r="J1147" s="13" t="s">
        <v>942</v>
      </c>
      <c r="K1147" s="13" t="s">
        <v>276</v>
      </c>
      <c r="L1147" s="13" t="s">
        <v>1641</v>
      </c>
      <c r="M1147" s="7" t="s">
        <v>253</v>
      </c>
      <c r="N1147" s="7" t="s">
        <v>253</v>
      </c>
      <c r="O1147" s="7" t="s">
        <v>254</v>
      </c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  <c r="AA1147" s="8"/>
      <c r="AB1147" s="8"/>
      <c r="AC1147" s="8"/>
      <c r="AD1147" s="8"/>
      <c r="AE1147" s="8"/>
    </row>
    <row r="1148">
      <c r="A1148" s="12">
        <v>35.0</v>
      </c>
      <c r="B1148" s="8" t="s">
        <v>313</v>
      </c>
      <c r="C1148" s="8" t="s">
        <v>827</v>
      </c>
      <c r="I1148" s="10" t="s">
        <v>911</v>
      </c>
      <c r="J1148" s="13" t="s">
        <v>947</v>
      </c>
      <c r="K1148" s="13" t="s">
        <v>276</v>
      </c>
      <c r="L1148" s="13" t="s">
        <v>1641</v>
      </c>
      <c r="M1148" s="7" t="s">
        <v>253</v>
      </c>
      <c r="N1148" s="7" t="s">
        <v>253</v>
      </c>
      <c r="O1148" s="7" t="s">
        <v>254</v>
      </c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  <c r="AA1148" s="8"/>
      <c r="AB1148" s="8"/>
      <c r="AC1148" s="8"/>
      <c r="AD1148" s="8"/>
      <c r="AE1148" s="8"/>
    </row>
    <row r="1149">
      <c r="A1149" s="12">
        <v>35.0</v>
      </c>
      <c r="B1149" s="8" t="s">
        <v>313</v>
      </c>
      <c r="C1149" s="8" t="s">
        <v>827</v>
      </c>
      <c r="I1149" s="10" t="s">
        <v>862</v>
      </c>
      <c r="J1149" s="13" t="s">
        <v>938</v>
      </c>
      <c r="K1149" s="13" t="s">
        <v>276</v>
      </c>
      <c r="L1149" s="13" t="s">
        <v>1641</v>
      </c>
      <c r="M1149" s="7" t="s">
        <v>253</v>
      </c>
      <c r="N1149" s="7" t="s">
        <v>253</v>
      </c>
      <c r="O1149" s="7" t="s">
        <v>254</v>
      </c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  <c r="AA1149" s="8"/>
      <c r="AB1149" s="8"/>
      <c r="AC1149" s="8"/>
      <c r="AD1149" s="8"/>
      <c r="AE1149" s="8"/>
    </row>
    <row r="1150">
      <c r="A1150" s="12">
        <v>35.0</v>
      </c>
      <c r="B1150" s="8" t="s">
        <v>313</v>
      </c>
      <c r="C1150" s="8" t="s">
        <v>827</v>
      </c>
      <c r="I1150" s="10" t="s">
        <v>1277</v>
      </c>
      <c r="J1150" s="13" t="s">
        <v>942</v>
      </c>
      <c r="K1150" s="13" t="s">
        <v>276</v>
      </c>
      <c r="L1150" s="13" t="s">
        <v>1641</v>
      </c>
      <c r="M1150" s="7" t="s">
        <v>253</v>
      </c>
      <c r="N1150" s="7" t="s">
        <v>253</v>
      </c>
      <c r="O1150" s="7" t="s">
        <v>254</v>
      </c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  <c r="AA1150" s="8"/>
      <c r="AB1150" s="8"/>
      <c r="AC1150" s="8"/>
      <c r="AD1150" s="8"/>
      <c r="AE1150" s="8"/>
    </row>
    <row r="1151">
      <c r="A1151" s="12">
        <v>35.0</v>
      </c>
      <c r="B1151" s="8" t="s">
        <v>313</v>
      </c>
      <c r="C1151" s="8" t="s">
        <v>827</v>
      </c>
      <c r="I1151" s="10" t="s">
        <v>1406</v>
      </c>
      <c r="J1151" s="13" t="s">
        <v>947</v>
      </c>
      <c r="K1151" s="13" t="s">
        <v>276</v>
      </c>
      <c r="L1151" s="13" t="s">
        <v>1748</v>
      </c>
      <c r="M1151" s="7" t="s">
        <v>253</v>
      </c>
      <c r="N1151" s="7" t="s">
        <v>253</v>
      </c>
      <c r="O1151" s="7" t="s">
        <v>254</v>
      </c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  <c r="AA1151" s="8"/>
      <c r="AB1151" s="8"/>
      <c r="AC1151" s="8"/>
      <c r="AD1151" s="8"/>
      <c r="AE1151" s="8"/>
    </row>
    <row r="1152">
      <c r="A1152" s="12">
        <v>35.0</v>
      </c>
      <c r="B1152" s="8" t="s">
        <v>313</v>
      </c>
      <c r="C1152" s="8" t="s">
        <v>827</v>
      </c>
      <c r="I1152" s="10" t="s">
        <v>1749</v>
      </c>
      <c r="J1152" s="13" t="s">
        <v>938</v>
      </c>
      <c r="K1152" s="13" t="s">
        <v>276</v>
      </c>
      <c r="L1152" s="13" t="s">
        <v>1748</v>
      </c>
      <c r="M1152" s="7" t="s">
        <v>253</v>
      </c>
      <c r="N1152" s="7" t="s">
        <v>253</v>
      </c>
      <c r="O1152" s="7" t="s">
        <v>254</v>
      </c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  <c r="AA1152" s="8"/>
      <c r="AB1152" s="8"/>
      <c r="AC1152" s="8"/>
      <c r="AD1152" s="8"/>
      <c r="AE1152" s="8"/>
    </row>
    <row r="1153">
      <c r="A1153" s="12">
        <v>35.0</v>
      </c>
      <c r="B1153" s="8" t="s">
        <v>313</v>
      </c>
      <c r="C1153" s="8" t="s">
        <v>827</v>
      </c>
      <c r="I1153" s="10" t="s">
        <v>1694</v>
      </c>
      <c r="J1153" s="13" t="s">
        <v>942</v>
      </c>
      <c r="K1153" s="13" t="s">
        <v>276</v>
      </c>
      <c r="L1153" s="13" t="s">
        <v>1641</v>
      </c>
      <c r="M1153" s="7" t="s">
        <v>253</v>
      </c>
      <c r="N1153" s="7" t="s">
        <v>253</v>
      </c>
      <c r="O1153" s="7" t="s">
        <v>254</v>
      </c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  <c r="AA1153" s="8"/>
      <c r="AB1153" s="8"/>
      <c r="AC1153" s="8"/>
      <c r="AD1153" s="8"/>
      <c r="AE1153" s="8"/>
    </row>
    <row r="1154">
      <c r="A1154" s="12">
        <v>35.0</v>
      </c>
      <c r="B1154" s="8" t="s">
        <v>313</v>
      </c>
      <c r="C1154" s="8" t="s">
        <v>827</v>
      </c>
      <c r="I1154" s="10" t="s">
        <v>877</v>
      </c>
      <c r="J1154" s="13" t="s">
        <v>947</v>
      </c>
      <c r="K1154" s="13" t="s">
        <v>276</v>
      </c>
      <c r="L1154" s="13" t="s">
        <v>1641</v>
      </c>
      <c r="M1154" s="7" t="s">
        <v>253</v>
      </c>
      <c r="N1154" s="7" t="s">
        <v>253</v>
      </c>
      <c r="O1154" s="7" t="s">
        <v>254</v>
      </c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  <c r="AA1154" s="8"/>
      <c r="AB1154" s="8"/>
      <c r="AC1154" s="8"/>
      <c r="AD1154" s="8"/>
      <c r="AE1154" s="8"/>
    </row>
    <row r="1155">
      <c r="A1155" s="12">
        <v>35.0</v>
      </c>
      <c r="B1155" s="8" t="s">
        <v>313</v>
      </c>
      <c r="C1155" s="8" t="s">
        <v>827</v>
      </c>
      <c r="I1155" s="10" t="s">
        <v>1695</v>
      </c>
      <c r="J1155" s="13" t="s">
        <v>938</v>
      </c>
      <c r="K1155" s="13" t="s">
        <v>276</v>
      </c>
      <c r="L1155" s="13" t="s">
        <v>1641</v>
      </c>
      <c r="M1155" s="7" t="s">
        <v>253</v>
      </c>
      <c r="N1155" s="7" t="s">
        <v>253</v>
      </c>
      <c r="O1155" s="7" t="s">
        <v>254</v>
      </c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  <c r="AA1155" s="8"/>
      <c r="AB1155" s="8"/>
      <c r="AC1155" s="8"/>
      <c r="AD1155" s="8"/>
      <c r="AE1155" s="8"/>
    </row>
    <row r="1156">
      <c r="A1156" s="12">
        <v>35.0</v>
      </c>
      <c r="B1156" s="8" t="s">
        <v>313</v>
      </c>
      <c r="C1156" s="8" t="s">
        <v>827</v>
      </c>
      <c r="I1156" s="10" t="s">
        <v>924</v>
      </c>
      <c r="J1156" s="13" t="s">
        <v>942</v>
      </c>
      <c r="K1156" s="13" t="s">
        <v>276</v>
      </c>
      <c r="L1156" s="13" t="s">
        <v>1641</v>
      </c>
      <c r="M1156" s="7" t="s">
        <v>253</v>
      </c>
      <c r="N1156" s="7" t="s">
        <v>253</v>
      </c>
      <c r="O1156" s="7" t="s">
        <v>254</v>
      </c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  <c r="AA1156" s="8"/>
      <c r="AB1156" s="8"/>
      <c r="AC1156" s="8"/>
      <c r="AD1156" s="8"/>
      <c r="AE1156" s="8"/>
    </row>
    <row r="1157">
      <c r="A1157" s="12">
        <v>35.0</v>
      </c>
      <c r="B1157" s="8" t="s">
        <v>313</v>
      </c>
      <c r="C1157" s="8" t="s">
        <v>827</v>
      </c>
      <c r="I1157" s="10" t="s">
        <v>1484</v>
      </c>
      <c r="J1157" s="13" t="s">
        <v>947</v>
      </c>
      <c r="K1157" s="13" t="s">
        <v>276</v>
      </c>
      <c r="L1157" s="13" t="s">
        <v>1641</v>
      </c>
      <c r="M1157" s="7" t="s">
        <v>253</v>
      </c>
      <c r="N1157" s="7" t="s">
        <v>253</v>
      </c>
      <c r="O1157" s="7" t="s">
        <v>254</v>
      </c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  <c r="AA1157" s="8"/>
      <c r="AB1157" s="8"/>
      <c r="AC1157" s="8"/>
      <c r="AD1157" s="8"/>
      <c r="AE1157" s="8"/>
    </row>
    <row r="1158">
      <c r="A1158" s="12">
        <v>35.0</v>
      </c>
      <c r="B1158" s="8" t="s">
        <v>313</v>
      </c>
      <c r="C1158" s="8" t="s">
        <v>827</v>
      </c>
      <c r="I1158" s="10" t="s">
        <v>345</v>
      </c>
      <c r="J1158" s="13" t="s">
        <v>938</v>
      </c>
      <c r="K1158" s="13" t="s">
        <v>276</v>
      </c>
      <c r="L1158" s="13" t="s">
        <v>1748</v>
      </c>
      <c r="M1158" s="7" t="s">
        <v>253</v>
      </c>
      <c r="N1158" s="7" t="s">
        <v>253</v>
      </c>
      <c r="O1158" s="7" t="s">
        <v>254</v>
      </c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  <c r="AA1158" s="8"/>
      <c r="AB1158" s="8"/>
      <c r="AC1158" s="8"/>
      <c r="AD1158" s="8"/>
      <c r="AE1158" s="8"/>
    </row>
    <row r="1159">
      <c r="A1159" s="12">
        <v>35.0</v>
      </c>
      <c r="B1159" s="8" t="s">
        <v>313</v>
      </c>
      <c r="C1159" s="8" t="s">
        <v>827</v>
      </c>
      <c r="I1159" s="10" t="s">
        <v>873</v>
      </c>
      <c r="J1159" s="13" t="s">
        <v>942</v>
      </c>
      <c r="K1159" s="13" t="s">
        <v>276</v>
      </c>
      <c r="L1159" s="13" t="s">
        <v>1641</v>
      </c>
      <c r="M1159" s="7" t="s">
        <v>253</v>
      </c>
      <c r="N1159" s="7" t="s">
        <v>253</v>
      </c>
      <c r="O1159" s="7" t="s">
        <v>254</v>
      </c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  <c r="AA1159" s="8"/>
      <c r="AB1159" s="8"/>
      <c r="AC1159" s="8"/>
      <c r="AD1159" s="8"/>
      <c r="AE1159" s="8"/>
    </row>
    <row r="1160">
      <c r="A1160" s="12">
        <v>35.0</v>
      </c>
      <c r="B1160" s="8" t="s">
        <v>313</v>
      </c>
      <c r="C1160" s="8" t="s">
        <v>827</v>
      </c>
      <c r="I1160" s="10" t="s">
        <v>1617</v>
      </c>
      <c r="J1160" s="13" t="s">
        <v>947</v>
      </c>
      <c r="K1160" s="13" t="s">
        <v>276</v>
      </c>
      <c r="L1160" s="13" t="s">
        <v>1641</v>
      </c>
      <c r="M1160" s="7" t="s">
        <v>253</v>
      </c>
      <c r="N1160" s="7" t="s">
        <v>253</v>
      </c>
      <c r="O1160" s="7" t="s">
        <v>254</v>
      </c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  <c r="AA1160" s="8"/>
      <c r="AB1160" s="8"/>
      <c r="AC1160" s="8"/>
      <c r="AD1160" s="8"/>
      <c r="AE1160" s="8"/>
    </row>
    <row r="1161">
      <c r="A1161" s="12">
        <v>35.0</v>
      </c>
      <c r="B1161" s="8" t="s">
        <v>313</v>
      </c>
      <c r="C1161" s="8" t="s">
        <v>827</v>
      </c>
      <c r="I1161" s="10" t="s">
        <v>891</v>
      </c>
      <c r="J1161" s="13" t="s">
        <v>938</v>
      </c>
      <c r="K1161" s="13" t="s">
        <v>276</v>
      </c>
      <c r="L1161" s="13" t="s">
        <v>1641</v>
      </c>
      <c r="M1161" s="7" t="s">
        <v>253</v>
      </c>
      <c r="N1161" s="7" t="s">
        <v>253</v>
      </c>
      <c r="O1161" s="7" t="s">
        <v>254</v>
      </c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  <c r="AA1161" s="8"/>
      <c r="AB1161" s="8"/>
      <c r="AC1161" s="8"/>
      <c r="AD1161" s="8"/>
      <c r="AE1161" s="8"/>
    </row>
    <row r="1162">
      <c r="A1162" s="12">
        <v>35.0</v>
      </c>
      <c r="B1162" s="8" t="s">
        <v>313</v>
      </c>
      <c r="C1162" s="8" t="s">
        <v>827</v>
      </c>
      <c r="I1162" s="10" t="s">
        <v>1514</v>
      </c>
      <c r="J1162" s="13" t="s">
        <v>942</v>
      </c>
      <c r="K1162" s="13" t="s">
        <v>276</v>
      </c>
      <c r="L1162" s="13" t="s">
        <v>1748</v>
      </c>
      <c r="M1162" s="7" t="s">
        <v>253</v>
      </c>
      <c r="N1162" s="7" t="s">
        <v>253</v>
      </c>
      <c r="O1162" s="7" t="s">
        <v>254</v>
      </c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  <c r="AA1162" s="8"/>
      <c r="AB1162" s="8"/>
      <c r="AC1162" s="8"/>
      <c r="AD1162" s="8"/>
      <c r="AE1162" s="8"/>
    </row>
    <row r="1163">
      <c r="A1163" s="12">
        <v>35.0</v>
      </c>
      <c r="B1163" s="8" t="s">
        <v>313</v>
      </c>
      <c r="C1163" s="8" t="s">
        <v>827</v>
      </c>
      <c r="I1163" s="10" t="s">
        <v>1462</v>
      </c>
      <c r="J1163" s="13" t="s">
        <v>947</v>
      </c>
      <c r="K1163" s="13" t="s">
        <v>276</v>
      </c>
      <c r="L1163" s="13" t="s">
        <v>1750</v>
      </c>
      <c r="M1163" s="7" t="s">
        <v>253</v>
      </c>
      <c r="N1163" s="7" t="s">
        <v>253</v>
      </c>
      <c r="O1163" s="7" t="s">
        <v>254</v>
      </c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  <c r="AA1163" s="8"/>
      <c r="AB1163" s="8"/>
      <c r="AC1163" s="8"/>
      <c r="AD1163" s="8"/>
      <c r="AE1163" s="8"/>
    </row>
    <row r="1164">
      <c r="A1164" s="12">
        <v>35.0</v>
      </c>
      <c r="B1164" s="8" t="s">
        <v>313</v>
      </c>
      <c r="C1164" s="8" t="s">
        <v>827</v>
      </c>
      <c r="I1164" s="10" t="s">
        <v>906</v>
      </c>
      <c r="J1164" s="13" t="s">
        <v>938</v>
      </c>
      <c r="K1164" s="13" t="s">
        <v>276</v>
      </c>
      <c r="L1164" s="13" t="s">
        <v>1641</v>
      </c>
      <c r="M1164" s="7" t="s">
        <v>253</v>
      </c>
      <c r="N1164" s="7" t="s">
        <v>253</v>
      </c>
      <c r="O1164" s="7" t="s">
        <v>254</v>
      </c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  <c r="AA1164" s="8"/>
      <c r="AB1164" s="8"/>
      <c r="AC1164" s="8"/>
      <c r="AD1164" s="8"/>
      <c r="AE1164" s="8"/>
    </row>
    <row r="1165">
      <c r="A1165" s="12">
        <v>35.0</v>
      </c>
      <c r="B1165" s="8" t="s">
        <v>313</v>
      </c>
      <c r="C1165" s="8" t="s">
        <v>827</v>
      </c>
      <c r="I1165" s="10" t="s">
        <v>881</v>
      </c>
      <c r="J1165" s="13" t="s">
        <v>942</v>
      </c>
      <c r="K1165" s="13" t="s">
        <v>276</v>
      </c>
      <c r="L1165" s="13" t="s">
        <v>1641</v>
      </c>
      <c r="M1165" s="7" t="s">
        <v>253</v>
      </c>
      <c r="N1165" s="7" t="s">
        <v>253</v>
      </c>
      <c r="O1165" s="7" t="s">
        <v>254</v>
      </c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  <c r="AA1165" s="8"/>
      <c r="AB1165" s="8"/>
      <c r="AC1165" s="8"/>
      <c r="AD1165" s="8"/>
      <c r="AE1165" s="8"/>
    </row>
    <row r="1166">
      <c r="A1166" s="12">
        <v>35.0</v>
      </c>
      <c r="B1166" s="8" t="s">
        <v>313</v>
      </c>
      <c r="C1166" s="8" t="s">
        <v>827</v>
      </c>
      <c r="I1166" s="10" t="s">
        <v>1696</v>
      </c>
      <c r="J1166" s="13" t="s">
        <v>947</v>
      </c>
      <c r="K1166" s="13" t="s">
        <v>276</v>
      </c>
      <c r="L1166" s="13" t="s">
        <v>1641</v>
      </c>
      <c r="M1166" s="7" t="s">
        <v>253</v>
      </c>
      <c r="N1166" s="7" t="s">
        <v>253</v>
      </c>
      <c r="O1166" s="7" t="s">
        <v>254</v>
      </c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  <c r="AA1166" s="8"/>
      <c r="AB1166" s="8"/>
      <c r="AC1166" s="8"/>
      <c r="AD1166" s="8"/>
      <c r="AE1166" s="8"/>
    </row>
    <row r="1167">
      <c r="A1167" s="12">
        <v>35.0</v>
      </c>
      <c r="B1167" s="8" t="s">
        <v>313</v>
      </c>
      <c r="C1167" s="8" t="s">
        <v>827</v>
      </c>
      <c r="I1167" s="10" t="s">
        <v>275</v>
      </c>
      <c r="J1167" s="13" t="s">
        <v>938</v>
      </c>
      <c r="K1167" s="13" t="s">
        <v>276</v>
      </c>
      <c r="L1167" s="13" t="s">
        <v>1276</v>
      </c>
      <c r="M1167" s="7" t="s">
        <v>253</v>
      </c>
      <c r="N1167" s="7" t="s">
        <v>253</v>
      </c>
      <c r="O1167" s="7" t="s">
        <v>254</v>
      </c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  <c r="AA1167" s="8"/>
      <c r="AB1167" s="8"/>
      <c r="AC1167" s="8"/>
      <c r="AD1167" s="8"/>
      <c r="AE1167" s="8"/>
    </row>
    <row r="1168">
      <c r="A1168" s="12">
        <v>35.0</v>
      </c>
      <c r="B1168" s="8" t="s">
        <v>313</v>
      </c>
      <c r="C1168" s="8" t="s">
        <v>827</v>
      </c>
      <c r="I1168" s="10" t="s">
        <v>1305</v>
      </c>
      <c r="J1168" s="13" t="s">
        <v>942</v>
      </c>
      <c r="K1168" s="13" t="s">
        <v>276</v>
      </c>
      <c r="L1168" s="13" t="s">
        <v>1641</v>
      </c>
      <c r="M1168" s="7" t="s">
        <v>253</v>
      </c>
      <c r="N1168" s="7" t="s">
        <v>253</v>
      </c>
      <c r="O1168" s="7" t="s">
        <v>254</v>
      </c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  <c r="AA1168" s="8"/>
      <c r="AB1168" s="8"/>
      <c r="AC1168" s="8"/>
      <c r="AD1168" s="8"/>
      <c r="AE1168" s="8"/>
    </row>
    <row r="1169">
      <c r="A1169" s="12">
        <v>35.0</v>
      </c>
      <c r="B1169" s="8" t="s">
        <v>313</v>
      </c>
      <c r="C1169" s="8" t="s">
        <v>827</v>
      </c>
      <c r="I1169" s="10" t="s">
        <v>295</v>
      </c>
      <c r="J1169" s="13" t="s">
        <v>947</v>
      </c>
      <c r="K1169" s="13" t="s">
        <v>276</v>
      </c>
      <c r="L1169" s="13" t="s">
        <v>1641</v>
      </c>
      <c r="M1169" s="7" t="s">
        <v>253</v>
      </c>
      <c r="N1169" s="7" t="s">
        <v>253</v>
      </c>
      <c r="O1169" s="7" t="s">
        <v>254</v>
      </c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  <c r="AA1169" s="8"/>
      <c r="AB1169" s="8"/>
      <c r="AC1169" s="8"/>
      <c r="AD1169" s="8"/>
      <c r="AE1169" s="8"/>
    </row>
    <row r="1170">
      <c r="A1170" s="12">
        <v>35.0</v>
      </c>
      <c r="B1170" s="8" t="s">
        <v>313</v>
      </c>
      <c r="C1170" s="8" t="s">
        <v>827</v>
      </c>
      <c r="I1170" s="10" t="s">
        <v>1697</v>
      </c>
      <c r="J1170" s="13" t="s">
        <v>938</v>
      </c>
      <c r="K1170" s="13" t="s">
        <v>276</v>
      </c>
      <c r="L1170" s="13" t="s">
        <v>1641</v>
      </c>
      <c r="M1170" s="7" t="s">
        <v>253</v>
      </c>
      <c r="N1170" s="7" t="s">
        <v>253</v>
      </c>
      <c r="O1170" s="7" t="s">
        <v>254</v>
      </c>
      <c r="P1170" s="13" t="s">
        <v>300</v>
      </c>
      <c r="Q1170" s="8"/>
      <c r="R1170" s="8"/>
      <c r="S1170" s="8"/>
      <c r="T1170" s="8"/>
      <c r="U1170" s="8"/>
      <c r="V1170" s="8"/>
      <c r="W1170" s="8"/>
      <c r="X1170" s="8"/>
      <c r="Y1170" s="8"/>
      <c r="Z1170" s="8"/>
      <c r="AA1170" s="8"/>
      <c r="AB1170" s="8"/>
      <c r="AC1170" s="8"/>
      <c r="AD1170" s="8"/>
      <c r="AE1170" s="8"/>
    </row>
    <row r="1171">
      <c r="A1171" s="12">
        <v>35.0</v>
      </c>
      <c r="B1171" s="8" t="s">
        <v>313</v>
      </c>
      <c r="C1171" s="8" t="s">
        <v>827</v>
      </c>
      <c r="I1171" s="10" t="s">
        <v>845</v>
      </c>
      <c r="J1171" s="13" t="s">
        <v>942</v>
      </c>
      <c r="K1171" s="13" t="s">
        <v>276</v>
      </c>
      <c r="L1171" s="13" t="s">
        <v>1641</v>
      </c>
      <c r="M1171" s="7" t="s">
        <v>253</v>
      </c>
      <c r="N1171" s="7" t="s">
        <v>253</v>
      </c>
      <c r="O1171" s="7" t="s">
        <v>254</v>
      </c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  <c r="AA1171" s="8"/>
      <c r="AB1171" s="8"/>
      <c r="AC1171" s="8"/>
      <c r="AD1171" s="8"/>
      <c r="AE1171" s="8"/>
    </row>
    <row r="1172">
      <c r="A1172" s="12">
        <v>35.0</v>
      </c>
      <c r="B1172" s="8" t="s">
        <v>313</v>
      </c>
      <c r="C1172" s="8" t="s">
        <v>827</v>
      </c>
      <c r="I1172" s="10" t="s">
        <v>913</v>
      </c>
      <c r="J1172" s="13" t="s">
        <v>947</v>
      </c>
      <c r="K1172" s="13" t="s">
        <v>276</v>
      </c>
      <c r="L1172" s="13" t="s">
        <v>1748</v>
      </c>
      <c r="M1172" s="7" t="s">
        <v>253</v>
      </c>
      <c r="N1172" s="7" t="s">
        <v>253</v>
      </c>
      <c r="O1172" s="7" t="s">
        <v>254</v>
      </c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  <c r="AA1172" s="8"/>
      <c r="AB1172" s="8"/>
      <c r="AC1172" s="8"/>
      <c r="AD1172" s="8"/>
      <c r="AE1172" s="8"/>
    </row>
    <row r="1173">
      <c r="A1173" s="12">
        <v>35.0</v>
      </c>
      <c r="B1173" s="8" t="s">
        <v>313</v>
      </c>
      <c r="C1173" s="8" t="s">
        <v>827</v>
      </c>
      <c r="I1173" s="10" t="s">
        <v>824</v>
      </c>
      <c r="J1173" s="13" t="s">
        <v>938</v>
      </c>
      <c r="K1173" s="13" t="s">
        <v>276</v>
      </c>
      <c r="L1173" s="13" t="s">
        <v>1641</v>
      </c>
      <c r="M1173" s="7" t="s">
        <v>253</v>
      </c>
      <c r="N1173" s="7" t="s">
        <v>253</v>
      </c>
      <c r="O1173" s="7" t="s">
        <v>254</v>
      </c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  <c r="AA1173" s="8"/>
      <c r="AB1173" s="8"/>
      <c r="AC1173" s="8"/>
      <c r="AD1173" s="8"/>
      <c r="AE1173" s="8"/>
    </row>
    <row r="1174">
      <c r="A1174" s="12">
        <v>35.0</v>
      </c>
      <c r="B1174" s="8" t="s">
        <v>313</v>
      </c>
      <c r="C1174" s="8" t="s">
        <v>827</v>
      </c>
      <c r="I1174" s="10" t="s">
        <v>1698</v>
      </c>
      <c r="J1174" s="13" t="s">
        <v>942</v>
      </c>
      <c r="K1174" s="13" t="s">
        <v>276</v>
      </c>
      <c r="L1174" s="13" t="s">
        <v>1641</v>
      </c>
      <c r="M1174" s="7" t="s">
        <v>253</v>
      </c>
      <c r="N1174" s="7" t="s">
        <v>253</v>
      </c>
      <c r="O1174" s="7" t="s">
        <v>254</v>
      </c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  <c r="AA1174" s="8"/>
      <c r="AB1174" s="8"/>
      <c r="AC1174" s="8"/>
      <c r="AD1174" s="8"/>
      <c r="AE1174" s="8"/>
    </row>
    <row r="1175">
      <c r="A1175" s="12">
        <v>35.0</v>
      </c>
      <c r="B1175" s="8" t="s">
        <v>313</v>
      </c>
      <c r="C1175" s="8" t="s">
        <v>827</v>
      </c>
      <c r="I1175" s="10" t="s">
        <v>918</v>
      </c>
      <c r="J1175" s="13" t="s">
        <v>947</v>
      </c>
      <c r="K1175" s="13" t="s">
        <v>276</v>
      </c>
      <c r="L1175" s="13" t="s">
        <v>1641</v>
      </c>
      <c r="M1175" s="7" t="s">
        <v>253</v>
      </c>
      <c r="N1175" s="7" t="s">
        <v>253</v>
      </c>
      <c r="O1175" s="7" t="s">
        <v>254</v>
      </c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  <c r="AA1175" s="8"/>
      <c r="AB1175" s="8"/>
      <c r="AC1175" s="8"/>
      <c r="AD1175" s="8"/>
      <c r="AE1175" s="8"/>
    </row>
    <row r="1176">
      <c r="A1176" s="12">
        <v>35.0</v>
      </c>
      <c r="B1176" s="8" t="s">
        <v>313</v>
      </c>
      <c r="C1176" s="8" t="s">
        <v>827</v>
      </c>
      <c r="I1176" s="10" t="s">
        <v>1699</v>
      </c>
      <c r="J1176" s="13" t="s">
        <v>938</v>
      </c>
      <c r="K1176" s="13" t="s">
        <v>276</v>
      </c>
      <c r="L1176" s="13" t="s">
        <v>1641</v>
      </c>
      <c r="M1176" s="7" t="s">
        <v>253</v>
      </c>
      <c r="N1176" s="7" t="s">
        <v>253</v>
      </c>
      <c r="O1176" s="7" t="s">
        <v>254</v>
      </c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  <c r="AA1176" s="8"/>
      <c r="AB1176" s="8"/>
      <c r="AC1176" s="8"/>
      <c r="AD1176" s="8"/>
      <c r="AE1176" s="8"/>
    </row>
    <row r="1177">
      <c r="A1177" s="12">
        <v>35.0</v>
      </c>
      <c r="B1177" s="8" t="s">
        <v>313</v>
      </c>
      <c r="C1177" s="8" t="s">
        <v>827</v>
      </c>
      <c r="I1177" s="10" t="s">
        <v>1312</v>
      </c>
      <c r="J1177" s="13" t="s">
        <v>942</v>
      </c>
      <c r="K1177" s="13" t="s">
        <v>276</v>
      </c>
      <c r="L1177" s="13" t="s">
        <v>1641</v>
      </c>
      <c r="M1177" s="7" t="s">
        <v>253</v>
      </c>
      <c r="N1177" s="7" t="s">
        <v>253</v>
      </c>
      <c r="O1177" s="7" t="s">
        <v>254</v>
      </c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  <c r="AA1177" s="8"/>
      <c r="AB1177" s="8"/>
      <c r="AC1177" s="8"/>
      <c r="AD1177" s="8"/>
      <c r="AE1177" s="8"/>
    </row>
    <row r="1178">
      <c r="A1178" s="12">
        <v>35.0</v>
      </c>
      <c r="B1178" s="8" t="s">
        <v>313</v>
      </c>
      <c r="C1178" s="8" t="s">
        <v>827</v>
      </c>
      <c r="I1178" s="10" t="s">
        <v>306</v>
      </c>
      <c r="J1178" s="13" t="s">
        <v>947</v>
      </c>
      <c r="K1178" s="13" t="s">
        <v>276</v>
      </c>
      <c r="L1178" s="13" t="s">
        <v>1641</v>
      </c>
      <c r="M1178" s="7" t="s">
        <v>253</v>
      </c>
      <c r="N1178" s="7" t="s">
        <v>253</v>
      </c>
      <c r="O1178" s="7" t="s">
        <v>254</v>
      </c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  <c r="AA1178" s="8"/>
      <c r="AB1178" s="8"/>
      <c r="AC1178" s="8"/>
      <c r="AD1178" s="8"/>
      <c r="AE1178" s="8"/>
    </row>
    <row r="1179">
      <c r="A1179" s="12">
        <v>35.0</v>
      </c>
      <c r="B1179" s="8" t="s">
        <v>313</v>
      </c>
      <c r="C1179" s="8" t="s">
        <v>827</v>
      </c>
      <c r="I1179" s="10" t="s">
        <v>1700</v>
      </c>
      <c r="J1179" s="13" t="s">
        <v>938</v>
      </c>
      <c r="K1179" s="13" t="s">
        <v>276</v>
      </c>
      <c r="L1179" s="13" t="s">
        <v>1641</v>
      </c>
      <c r="M1179" s="7" t="s">
        <v>253</v>
      </c>
      <c r="N1179" s="7" t="s">
        <v>253</v>
      </c>
      <c r="O1179" s="7" t="s">
        <v>254</v>
      </c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  <c r="AA1179" s="8"/>
      <c r="AB1179" s="8"/>
      <c r="AC1179" s="8"/>
      <c r="AD1179" s="8"/>
      <c r="AE1179" s="8"/>
    </row>
    <row r="1180">
      <c r="A1180" s="12">
        <v>35.0</v>
      </c>
      <c r="B1180" s="8" t="s">
        <v>313</v>
      </c>
      <c r="C1180" s="8" t="s">
        <v>827</v>
      </c>
      <c r="I1180" s="10" t="s">
        <v>647</v>
      </c>
      <c r="J1180" s="13" t="s">
        <v>942</v>
      </c>
      <c r="K1180" s="13" t="s">
        <v>276</v>
      </c>
      <c r="L1180" s="13" t="s">
        <v>1641</v>
      </c>
      <c r="M1180" s="7" t="s">
        <v>253</v>
      </c>
      <c r="N1180" s="7" t="s">
        <v>253</v>
      </c>
      <c r="O1180" s="7" t="s">
        <v>254</v>
      </c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  <c r="AA1180" s="8"/>
      <c r="AB1180" s="8"/>
      <c r="AC1180" s="8"/>
      <c r="AD1180" s="8"/>
      <c r="AE1180" s="8"/>
    </row>
    <row r="1181">
      <c r="A1181" s="12">
        <v>36.0</v>
      </c>
      <c r="B1181" s="8" t="s">
        <v>315</v>
      </c>
      <c r="C1181" s="8" t="s">
        <v>955</v>
      </c>
      <c r="D1181" s="25">
        <f>IF(COUNTIF($B$2:$B1181,$B1181)&gt;1,"",COUNTIF($B$2:$B$2505,$B1181))</f>
        <v>48</v>
      </c>
      <c r="E1181" s="25">
        <f>IF(COUNTIF($B$2:$B1181,$B1181)&gt;1,"",COUNTIFS($B$2:$B$2505,$B1181,$K$2:$K$2505,"PHÙ HỢP CAO"))</f>
        <v>4</v>
      </c>
      <c r="F1181" s="25">
        <f>IF(COUNTIF($B$2:$B1181,$B1181)&gt;1,"",COUNTIFS($B$2:$B$2505,$B1181,$K$2:$K$2505,"CÓ THỂ ĐI"))</f>
        <v>1</v>
      </c>
      <c r="G1181" s="25">
        <f>IF(COUNTIF($B$2:$B1181,$B1181)&gt;1,"",COUNTIFS($B$2:$B$2505,$B1181,$K$2:$K$2505,"CẦN SOÁT"))</f>
        <v>43</v>
      </c>
      <c r="H1181" s="26" t="str">
        <f>IFERROR(__xludf.DUMMYFUNCTION("IF(COUNTIF($B$2:$B1181,$B1181)&gt;1,"""",IFERROR(TEXTJOIN(CHAR(10),TRUE,BYROW(QUERY({$B$2:$B$2505,$J$2:$J$2505},""select Col2, count(Col2) where Col1 = '""&amp;$B1181&amp;""' group by Col2 order by count(Col2) desc label count(Col2) ''"",0),LAMBDA(r,INDEX(r,1,1)&amp;"" "&amp;"– ""&amp;INDEX(r,1,2)&amp;"" link""))),""""))"),"chứng chỉ tiền gửi – 24 link
chứng chỉ tiền gửi là gì – 24 link")</f>
        <v>chứng chỉ tiền gửi – 24 link
chứng chỉ tiền gửi là gì – 24 link</v>
      </c>
      <c r="I1181" s="10" t="s">
        <v>956</v>
      </c>
      <c r="J1181" s="13" t="s">
        <v>959</v>
      </c>
      <c r="K1181" s="13" t="s">
        <v>251</v>
      </c>
      <c r="L1181" s="13" t="s">
        <v>1751</v>
      </c>
      <c r="M1181" s="7" t="s">
        <v>253</v>
      </c>
      <c r="N1181" s="7" t="s">
        <v>253</v>
      </c>
      <c r="O1181" s="7" t="s">
        <v>254</v>
      </c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  <c r="AA1181" s="8"/>
      <c r="AB1181" s="8"/>
      <c r="AC1181" s="8"/>
      <c r="AD1181" s="8"/>
      <c r="AE1181" s="8"/>
    </row>
    <row r="1182">
      <c r="A1182" s="12">
        <v>36.0</v>
      </c>
      <c r="B1182" s="8" t="s">
        <v>315</v>
      </c>
      <c r="C1182" s="8" t="s">
        <v>955</v>
      </c>
      <c r="I1182" s="10" t="s">
        <v>961</v>
      </c>
      <c r="J1182" s="13" t="s">
        <v>965</v>
      </c>
      <c r="K1182" s="13" t="s">
        <v>251</v>
      </c>
      <c r="L1182" s="13" t="s">
        <v>1752</v>
      </c>
      <c r="M1182" s="7" t="s">
        <v>253</v>
      </c>
      <c r="N1182" s="7" t="s">
        <v>253</v>
      </c>
      <c r="O1182" s="7" t="s">
        <v>254</v>
      </c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  <c r="AA1182" s="8"/>
      <c r="AB1182" s="8"/>
      <c r="AC1182" s="8"/>
      <c r="AD1182" s="8"/>
      <c r="AE1182" s="8"/>
    </row>
    <row r="1183">
      <c r="A1183" s="12">
        <v>36.0</v>
      </c>
      <c r="B1183" s="8" t="s">
        <v>315</v>
      </c>
      <c r="C1183" s="8" t="s">
        <v>955</v>
      </c>
      <c r="I1183" s="10" t="s">
        <v>966</v>
      </c>
      <c r="J1183" s="13" t="s">
        <v>959</v>
      </c>
      <c r="K1183" s="13" t="s">
        <v>251</v>
      </c>
      <c r="L1183" s="13" t="s">
        <v>1753</v>
      </c>
      <c r="M1183" s="7" t="s">
        <v>253</v>
      </c>
      <c r="N1183" s="7" t="s">
        <v>253</v>
      </c>
      <c r="O1183" s="7" t="s">
        <v>254</v>
      </c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  <c r="AA1183" s="8"/>
      <c r="AB1183" s="8"/>
      <c r="AC1183" s="8"/>
      <c r="AD1183" s="8"/>
      <c r="AE1183" s="8"/>
    </row>
    <row r="1184">
      <c r="A1184" s="12">
        <v>36.0</v>
      </c>
      <c r="B1184" s="8" t="s">
        <v>315</v>
      </c>
      <c r="C1184" s="8" t="s">
        <v>955</v>
      </c>
      <c r="I1184" s="10" t="s">
        <v>968</v>
      </c>
      <c r="J1184" s="13" t="s">
        <v>965</v>
      </c>
      <c r="K1184" s="13" t="s">
        <v>251</v>
      </c>
      <c r="L1184" s="13" t="s">
        <v>1754</v>
      </c>
      <c r="M1184" s="7" t="s">
        <v>253</v>
      </c>
      <c r="N1184" s="7" t="s">
        <v>253</v>
      </c>
      <c r="O1184" s="7" t="s">
        <v>254</v>
      </c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  <c r="AA1184" s="8"/>
      <c r="AB1184" s="8"/>
      <c r="AC1184" s="8"/>
      <c r="AD1184" s="8"/>
      <c r="AE1184" s="8"/>
    </row>
    <row r="1185">
      <c r="A1185" s="12">
        <v>36.0</v>
      </c>
      <c r="B1185" s="8" t="s">
        <v>315</v>
      </c>
      <c r="C1185" s="8" t="s">
        <v>955</v>
      </c>
      <c r="I1185" s="10" t="s">
        <v>971</v>
      </c>
      <c r="J1185" s="13" t="s">
        <v>959</v>
      </c>
      <c r="K1185" s="13" t="s">
        <v>272</v>
      </c>
      <c r="L1185" s="13" t="s">
        <v>1755</v>
      </c>
      <c r="M1185" s="7" t="s">
        <v>253</v>
      </c>
      <c r="N1185" s="7" t="s">
        <v>253</v>
      </c>
      <c r="O1185" s="7" t="s">
        <v>254</v>
      </c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  <c r="AA1185" s="8"/>
      <c r="AB1185" s="8"/>
      <c r="AC1185" s="8"/>
      <c r="AD1185" s="8"/>
      <c r="AE1185" s="8"/>
    </row>
    <row r="1186">
      <c r="A1186" s="12">
        <v>36.0</v>
      </c>
      <c r="B1186" s="8" t="s">
        <v>315</v>
      </c>
      <c r="C1186" s="8" t="s">
        <v>955</v>
      </c>
      <c r="I1186" s="10" t="s">
        <v>1756</v>
      </c>
      <c r="J1186" s="13" t="s">
        <v>965</v>
      </c>
      <c r="K1186" s="13" t="s">
        <v>276</v>
      </c>
      <c r="L1186" s="13" t="s">
        <v>1757</v>
      </c>
      <c r="M1186" s="7" t="s">
        <v>253</v>
      </c>
      <c r="N1186" s="7" t="s">
        <v>253</v>
      </c>
      <c r="O1186" s="7" t="s">
        <v>254</v>
      </c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  <c r="AA1186" s="8"/>
      <c r="AB1186" s="8"/>
      <c r="AC1186" s="8"/>
      <c r="AD1186" s="8"/>
      <c r="AE1186" s="8"/>
    </row>
    <row r="1187">
      <c r="A1187" s="12">
        <v>36.0</v>
      </c>
      <c r="B1187" s="8" t="s">
        <v>315</v>
      </c>
      <c r="C1187" s="8" t="s">
        <v>955</v>
      </c>
      <c r="I1187" s="10" t="s">
        <v>1372</v>
      </c>
      <c r="J1187" s="13" t="s">
        <v>959</v>
      </c>
      <c r="K1187" s="13" t="s">
        <v>276</v>
      </c>
      <c r="L1187" s="13" t="s">
        <v>1758</v>
      </c>
      <c r="M1187" s="7" t="s">
        <v>253</v>
      </c>
      <c r="N1187" s="7" t="s">
        <v>253</v>
      </c>
      <c r="O1187" s="7" t="s">
        <v>254</v>
      </c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  <c r="AA1187" s="8"/>
      <c r="AB1187" s="8"/>
      <c r="AC1187" s="8"/>
      <c r="AD1187" s="8"/>
      <c r="AE1187" s="8"/>
    </row>
    <row r="1188">
      <c r="A1188" s="12">
        <v>36.0</v>
      </c>
      <c r="B1188" s="8" t="s">
        <v>315</v>
      </c>
      <c r="C1188" s="8" t="s">
        <v>955</v>
      </c>
      <c r="I1188" s="10" t="s">
        <v>1759</v>
      </c>
      <c r="J1188" s="13" t="s">
        <v>965</v>
      </c>
      <c r="K1188" s="13" t="s">
        <v>276</v>
      </c>
      <c r="L1188" s="13" t="s">
        <v>1758</v>
      </c>
      <c r="M1188" s="7" t="s">
        <v>253</v>
      </c>
      <c r="N1188" s="7" t="s">
        <v>253</v>
      </c>
      <c r="O1188" s="7" t="s">
        <v>254</v>
      </c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  <c r="AA1188" s="8"/>
      <c r="AB1188" s="8"/>
      <c r="AC1188" s="8"/>
      <c r="AD1188" s="8"/>
      <c r="AE1188" s="8"/>
    </row>
    <row r="1189">
      <c r="A1189" s="12">
        <v>36.0</v>
      </c>
      <c r="B1189" s="8" t="s">
        <v>315</v>
      </c>
      <c r="C1189" s="8" t="s">
        <v>955</v>
      </c>
      <c r="I1189" s="10" t="s">
        <v>1760</v>
      </c>
      <c r="J1189" s="13" t="s">
        <v>959</v>
      </c>
      <c r="K1189" s="13" t="s">
        <v>276</v>
      </c>
      <c r="L1189" s="13" t="s">
        <v>1758</v>
      </c>
      <c r="M1189" s="7" t="s">
        <v>253</v>
      </c>
      <c r="N1189" s="7" t="s">
        <v>253</v>
      </c>
      <c r="O1189" s="7" t="s">
        <v>254</v>
      </c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  <c r="AA1189" s="8"/>
      <c r="AB1189" s="8"/>
      <c r="AC1189" s="8"/>
      <c r="AD1189" s="8"/>
      <c r="AE1189" s="8"/>
    </row>
    <row r="1190">
      <c r="A1190" s="12">
        <v>36.0</v>
      </c>
      <c r="B1190" s="8" t="s">
        <v>315</v>
      </c>
      <c r="C1190" s="8" t="s">
        <v>955</v>
      </c>
      <c r="I1190" s="10" t="s">
        <v>1761</v>
      </c>
      <c r="J1190" s="13" t="s">
        <v>965</v>
      </c>
      <c r="K1190" s="13" t="s">
        <v>276</v>
      </c>
      <c r="L1190" s="13" t="s">
        <v>1758</v>
      </c>
      <c r="M1190" s="7" t="s">
        <v>253</v>
      </c>
      <c r="N1190" s="7" t="s">
        <v>253</v>
      </c>
      <c r="O1190" s="7" t="s">
        <v>254</v>
      </c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  <c r="AA1190" s="8"/>
      <c r="AB1190" s="8"/>
      <c r="AC1190" s="8"/>
      <c r="AD1190" s="8"/>
      <c r="AE1190" s="8"/>
    </row>
    <row r="1191">
      <c r="A1191" s="12">
        <v>36.0</v>
      </c>
      <c r="B1191" s="8" t="s">
        <v>315</v>
      </c>
      <c r="C1191" s="8" t="s">
        <v>955</v>
      </c>
      <c r="I1191" s="10" t="s">
        <v>1314</v>
      </c>
      <c r="J1191" s="13" t="s">
        <v>959</v>
      </c>
      <c r="K1191" s="13" t="s">
        <v>276</v>
      </c>
      <c r="L1191" s="13" t="s">
        <v>1758</v>
      </c>
      <c r="M1191" s="7" t="s">
        <v>253</v>
      </c>
      <c r="N1191" s="7" t="s">
        <v>253</v>
      </c>
      <c r="O1191" s="7" t="s">
        <v>254</v>
      </c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  <c r="AA1191" s="8"/>
      <c r="AB1191" s="8"/>
      <c r="AC1191" s="8"/>
      <c r="AD1191" s="8"/>
      <c r="AE1191" s="8"/>
    </row>
    <row r="1192">
      <c r="A1192" s="12">
        <v>36.0</v>
      </c>
      <c r="B1192" s="8" t="s">
        <v>315</v>
      </c>
      <c r="C1192" s="8" t="s">
        <v>955</v>
      </c>
      <c r="I1192" s="10" t="s">
        <v>1762</v>
      </c>
      <c r="J1192" s="13" t="s">
        <v>965</v>
      </c>
      <c r="K1192" s="13" t="s">
        <v>276</v>
      </c>
      <c r="L1192" s="13" t="s">
        <v>1763</v>
      </c>
      <c r="M1192" s="7" t="s">
        <v>253</v>
      </c>
      <c r="N1192" s="7" t="s">
        <v>253</v>
      </c>
      <c r="O1192" s="7" t="s">
        <v>254</v>
      </c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  <c r="AA1192" s="8"/>
      <c r="AB1192" s="8"/>
      <c r="AC1192" s="8"/>
      <c r="AD1192" s="8"/>
      <c r="AE1192" s="8"/>
    </row>
    <row r="1193">
      <c r="A1193" s="12">
        <v>36.0</v>
      </c>
      <c r="B1193" s="8" t="s">
        <v>315</v>
      </c>
      <c r="C1193" s="8" t="s">
        <v>955</v>
      </c>
      <c r="I1193" s="10" t="s">
        <v>1433</v>
      </c>
      <c r="J1193" s="13" t="s">
        <v>959</v>
      </c>
      <c r="K1193" s="13" t="s">
        <v>276</v>
      </c>
      <c r="L1193" s="13" t="s">
        <v>1758</v>
      </c>
      <c r="M1193" s="7" t="s">
        <v>253</v>
      </c>
      <c r="N1193" s="7" t="s">
        <v>253</v>
      </c>
      <c r="O1193" s="7" t="s">
        <v>254</v>
      </c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  <c r="AA1193" s="8"/>
      <c r="AB1193" s="8"/>
      <c r="AC1193" s="8"/>
      <c r="AD1193" s="8"/>
      <c r="AE1193" s="8"/>
    </row>
    <row r="1194">
      <c r="A1194" s="12">
        <v>36.0</v>
      </c>
      <c r="B1194" s="8" t="s">
        <v>315</v>
      </c>
      <c r="C1194" s="8" t="s">
        <v>955</v>
      </c>
      <c r="I1194" s="10" t="s">
        <v>1764</v>
      </c>
      <c r="J1194" s="13" t="s">
        <v>965</v>
      </c>
      <c r="K1194" s="13" t="s">
        <v>276</v>
      </c>
      <c r="L1194" s="13" t="s">
        <v>1757</v>
      </c>
      <c r="M1194" s="7" t="s">
        <v>253</v>
      </c>
      <c r="N1194" s="7" t="s">
        <v>253</v>
      </c>
      <c r="O1194" s="7" t="s">
        <v>254</v>
      </c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  <c r="AA1194" s="8"/>
      <c r="AB1194" s="8"/>
      <c r="AC1194" s="8"/>
      <c r="AD1194" s="8"/>
      <c r="AE1194" s="8"/>
    </row>
    <row r="1195">
      <c r="A1195" s="12">
        <v>36.0</v>
      </c>
      <c r="B1195" s="8" t="s">
        <v>315</v>
      </c>
      <c r="C1195" s="8" t="s">
        <v>955</v>
      </c>
      <c r="I1195" s="10" t="s">
        <v>1318</v>
      </c>
      <c r="J1195" s="13" t="s">
        <v>959</v>
      </c>
      <c r="K1195" s="13" t="s">
        <v>276</v>
      </c>
      <c r="L1195" s="13" t="s">
        <v>1758</v>
      </c>
      <c r="M1195" s="7" t="s">
        <v>253</v>
      </c>
      <c r="N1195" s="7" t="s">
        <v>253</v>
      </c>
      <c r="O1195" s="7" t="s">
        <v>254</v>
      </c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  <c r="AA1195" s="8"/>
      <c r="AB1195" s="8"/>
      <c r="AC1195" s="8"/>
      <c r="AD1195" s="8"/>
      <c r="AE1195" s="8"/>
    </row>
    <row r="1196">
      <c r="A1196" s="12">
        <v>36.0</v>
      </c>
      <c r="B1196" s="8" t="s">
        <v>315</v>
      </c>
      <c r="C1196" s="8" t="s">
        <v>955</v>
      </c>
      <c r="I1196" s="10" t="s">
        <v>354</v>
      </c>
      <c r="J1196" s="13" t="s">
        <v>965</v>
      </c>
      <c r="K1196" s="13" t="s">
        <v>276</v>
      </c>
      <c r="L1196" s="13" t="s">
        <v>1758</v>
      </c>
      <c r="M1196" s="7" t="s">
        <v>253</v>
      </c>
      <c r="N1196" s="7" t="s">
        <v>253</v>
      </c>
      <c r="O1196" s="7" t="s">
        <v>254</v>
      </c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  <c r="AA1196" s="8"/>
      <c r="AB1196" s="8"/>
      <c r="AC1196" s="8"/>
      <c r="AD1196" s="8"/>
      <c r="AE1196" s="8"/>
    </row>
    <row r="1197">
      <c r="A1197" s="12">
        <v>36.0</v>
      </c>
      <c r="B1197" s="8" t="s">
        <v>315</v>
      </c>
      <c r="C1197" s="8" t="s">
        <v>955</v>
      </c>
      <c r="I1197" s="10" t="s">
        <v>1765</v>
      </c>
      <c r="J1197" s="13" t="s">
        <v>959</v>
      </c>
      <c r="K1197" s="13" t="s">
        <v>276</v>
      </c>
      <c r="L1197" s="13" t="s">
        <v>1766</v>
      </c>
      <c r="M1197" s="7" t="s">
        <v>253</v>
      </c>
      <c r="N1197" s="7" t="s">
        <v>253</v>
      </c>
      <c r="O1197" s="7" t="s">
        <v>254</v>
      </c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  <c r="AA1197" s="8"/>
      <c r="AB1197" s="8"/>
      <c r="AC1197" s="8"/>
      <c r="AD1197" s="8"/>
      <c r="AE1197" s="8"/>
    </row>
    <row r="1198">
      <c r="A1198" s="12">
        <v>36.0</v>
      </c>
      <c r="B1198" s="8" t="s">
        <v>315</v>
      </c>
      <c r="C1198" s="8" t="s">
        <v>955</v>
      </c>
      <c r="I1198" s="10" t="s">
        <v>1389</v>
      </c>
      <c r="J1198" s="13" t="s">
        <v>965</v>
      </c>
      <c r="K1198" s="13" t="s">
        <v>276</v>
      </c>
      <c r="L1198" s="13" t="s">
        <v>1758</v>
      </c>
      <c r="M1198" s="7" t="s">
        <v>253</v>
      </c>
      <c r="N1198" s="7" t="s">
        <v>253</v>
      </c>
      <c r="O1198" s="7" t="s">
        <v>254</v>
      </c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  <c r="AA1198" s="8"/>
      <c r="AB1198" s="8"/>
      <c r="AC1198" s="8"/>
      <c r="AD1198" s="8"/>
      <c r="AE1198" s="8"/>
    </row>
    <row r="1199">
      <c r="A1199" s="12">
        <v>36.0</v>
      </c>
      <c r="B1199" s="8" t="s">
        <v>315</v>
      </c>
      <c r="C1199" s="8" t="s">
        <v>955</v>
      </c>
      <c r="I1199" s="10" t="s">
        <v>1767</v>
      </c>
      <c r="J1199" s="13" t="s">
        <v>959</v>
      </c>
      <c r="K1199" s="13" t="s">
        <v>276</v>
      </c>
      <c r="L1199" s="13" t="s">
        <v>1768</v>
      </c>
      <c r="M1199" s="7" t="s">
        <v>253</v>
      </c>
      <c r="N1199" s="7" t="s">
        <v>253</v>
      </c>
      <c r="O1199" s="7" t="s">
        <v>254</v>
      </c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  <c r="AA1199" s="8"/>
      <c r="AB1199" s="8"/>
      <c r="AC1199" s="8"/>
      <c r="AD1199" s="8"/>
      <c r="AE1199" s="8"/>
    </row>
    <row r="1200">
      <c r="A1200" s="12">
        <v>36.0</v>
      </c>
      <c r="B1200" s="8" t="s">
        <v>315</v>
      </c>
      <c r="C1200" s="8" t="s">
        <v>955</v>
      </c>
      <c r="I1200" s="10" t="s">
        <v>1397</v>
      </c>
      <c r="J1200" s="13" t="s">
        <v>965</v>
      </c>
      <c r="K1200" s="13" t="s">
        <v>276</v>
      </c>
      <c r="L1200" s="13" t="s">
        <v>1758</v>
      </c>
      <c r="M1200" s="7" t="s">
        <v>253</v>
      </c>
      <c r="N1200" s="7" t="s">
        <v>253</v>
      </c>
      <c r="O1200" s="7" t="s">
        <v>254</v>
      </c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  <c r="AA1200" s="8"/>
      <c r="AB1200" s="8"/>
      <c r="AC1200" s="8"/>
      <c r="AD1200" s="8"/>
      <c r="AE1200" s="8"/>
    </row>
    <row r="1201">
      <c r="A1201" s="12">
        <v>36.0</v>
      </c>
      <c r="B1201" s="8" t="s">
        <v>315</v>
      </c>
      <c r="C1201" s="8" t="s">
        <v>955</v>
      </c>
      <c r="I1201" s="10" t="s">
        <v>672</v>
      </c>
      <c r="J1201" s="13" t="s">
        <v>959</v>
      </c>
      <c r="K1201" s="13" t="s">
        <v>276</v>
      </c>
      <c r="L1201" s="13" t="s">
        <v>1758</v>
      </c>
      <c r="M1201" s="7" t="s">
        <v>253</v>
      </c>
      <c r="N1201" s="7" t="s">
        <v>253</v>
      </c>
      <c r="O1201" s="7" t="s">
        <v>254</v>
      </c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  <c r="AA1201" s="8"/>
      <c r="AB1201" s="8"/>
      <c r="AC1201" s="8"/>
      <c r="AD1201" s="8"/>
      <c r="AE1201" s="8"/>
    </row>
    <row r="1202">
      <c r="A1202" s="12">
        <v>36.0</v>
      </c>
      <c r="B1202" s="8" t="s">
        <v>315</v>
      </c>
      <c r="C1202" s="8" t="s">
        <v>955</v>
      </c>
      <c r="I1202" s="10" t="s">
        <v>1769</v>
      </c>
      <c r="J1202" s="13" t="s">
        <v>965</v>
      </c>
      <c r="K1202" s="13" t="s">
        <v>276</v>
      </c>
      <c r="L1202" s="13" t="s">
        <v>1766</v>
      </c>
      <c r="M1202" s="7" t="s">
        <v>253</v>
      </c>
      <c r="N1202" s="7" t="s">
        <v>253</v>
      </c>
      <c r="O1202" s="7" t="s">
        <v>254</v>
      </c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  <c r="AA1202" s="8"/>
      <c r="AB1202" s="8"/>
      <c r="AC1202" s="8"/>
      <c r="AD1202" s="8"/>
      <c r="AE1202" s="8"/>
    </row>
    <row r="1203">
      <c r="A1203" s="12">
        <v>36.0</v>
      </c>
      <c r="B1203" s="8" t="s">
        <v>315</v>
      </c>
      <c r="C1203" s="8" t="s">
        <v>955</v>
      </c>
      <c r="I1203" s="10" t="s">
        <v>1309</v>
      </c>
      <c r="J1203" s="13" t="s">
        <v>959</v>
      </c>
      <c r="K1203" s="13" t="s">
        <v>276</v>
      </c>
      <c r="L1203" s="13" t="s">
        <v>1758</v>
      </c>
      <c r="M1203" s="7" t="s">
        <v>253</v>
      </c>
      <c r="N1203" s="7" t="s">
        <v>253</v>
      </c>
      <c r="O1203" s="7" t="s">
        <v>254</v>
      </c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  <c r="AA1203" s="8"/>
      <c r="AB1203" s="8"/>
      <c r="AC1203" s="8"/>
      <c r="AD1203" s="8"/>
      <c r="AE1203" s="8"/>
    </row>
    <row r="1204">
      <c r="A1204" s="12">
        <v>36.0</v>
      </c>
      <c r="B1204" s="8" t="s">
        <v>315</v>
      </c>
      <c r="C1204" s="8" t="s">
        <v>955</v>
      </c>
      <c r="I1204" s="10" t="s">
        <v>1770</v>
      </c>
      <c r="J1204" s="13" t="s">
        <v>965</v>
      </c>
      <c r="K1204" s="13" t="s">
        <v>276</v>
      </c>
      <c r="L1204" s="13" t="s">
        <v>1757</v>
      </c>
      <c r="M1204" s="7" t="s">
        <v>253</v>
      </c>
      <c r="N1204" s="7" t="s">
        <v>253</v>
      </c>
      <c r="O1204" s="7" t="s">
        <v>254</v>
      </c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  <c r="AA1204" s="8"/>
      <c r="AB1204" s="8"/>
      <c r="AC1204" s="8"/>
      <c r="AD1204" s="8"/>
      <c r="AE1204" s="8"/>
    </row>
    <row r="1205">
      <c r="A1205" s="12">
        <v>36.0</v>
      </c>
      <c r="B1205" s="8" t="s">
        <v>315</v>
      </c>
      <c r="C1205" s="8" t="s">
        <v>955</v>
      </c>
      <c r="I1205" s="10" t="s">
        <v>407</v>
      </c>
      <c r="J1205" s="13" t="s">
        <v>959</v>
      </c>
      <c r="K1205" s="13" t="s">
        <v>276</v>
      </c>
      <c r="L1205" s="13" t="s">
        <v>1757</v>
      </c>
      <c r="M1205" s="7" t="s">
        <v>253</v>
      </c>
      <c r="N1205" s="7" t="s">
        <v>253</v>
      </c>
      <c r="O1205" s="7" t="s">
        <v>254</v>
      </c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  <c r="AA1205" s="8"/>
      <c r="AB1205" s="8"/>
      <c r="AC1205" s="8"/>
      <c r="AD1205" s="8"/>
      <c r="AE1205" s="8"/>
    </row>
    <row r="1206">
      <c r="A1206" s="12">
        <v>36.0</v>
      </c>
      <c r="B1206" s="8" t="s">
        <v>315</v>
      </c>
      <c r="C1206" s="8" t="s">
        <v>955</v>
      </c>
      <c r="I1206" s="10" t="s">
        <v>1428</v>
      </c>
      <c r="J1206" s="13" t="s">
        <v>965</v>
      </c>
      <c r="K1206" s="13" t="s">
        <v>276</v>
      </c>
      <c r="L1206" s="13" t="s">
        <v>1758</v>
      </c>
      <c r="M1206" s="7" t="s">
        <v>253</v>
      </c>
      <c r="N1206" s="7" t="s">
        <v>253</v>
      </c>
      <c r="O1206" s="7" t="s">
        <v>254</v>
      </c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  <c r="AA1206" s="8"/>
      <c r="AB1206" s="8"/>
      <c r="AC1206" s="8"/>
      <c r="AD1206" s="8"/>
      <c r="AE1206" s="8"/>
    </row>
    <row r="1207">
      <c r="A1207" s="12">
        <v>36.0</v>
      </c>
      <c r="B1207" s="8" t="s">
        <v>315</v>
      </c>
      <c r="C1207" s="8" t="s">
        <v>955</v>
      </c>
      <c r="I1207" s="10" t="s">
        <v>1331</v>
      </c>
      <c r="J1207" s="13" t="s">
        <v>959</v>
      </c>
      <c r="K1207" s="13" t="s">
        <v>276</v>
      </c>
      <c r="L1207" s="13" t="s">
        <v>1768</v>
      </c>
      <c r="M1207" s="7" t="s">
        <v>253</v>
      </c>
      <c r="N1207" s="7" t="s">
        <v>253</v>
      </c>
      <c r="O1207" s="7" t="s">
        <v>254</v>
      </c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  <c r="AA1207" s="8"/>
      <c r="AB1207" s="8"/>
      <c r="AC1207" s="8"/>
      <c r="AD1207" s="8"/>
      <c r="AE1207" s="8"/>
    </row>
    <row r="1208">
      <c r="A1208" s="12">
        <v>36.0</v>
      </c>
      <c r="B1208" s="8" t="s">
        <v>315</v>
      </c>
      <c r="C1208" s="8" t="s">
        <v>955</v>
      </c>
      <c r="I1208" s="10" t="s">
        <v>363</v>
      </c>
      <c r="J1208" s="13" t="s">
        <v>965</v>
      </c>
      <c r="K1208" s="13" t="s">
        <v>276</v>
      </c>
      <c r="L1208" s="13" t="s">
        <v>1758</v>
      </c>
      <c r="M1208" s="7" t="s">
        <v>253</v>
      </c>
      <c r="N1208" s="7" t="s">
        <v>253</v>
      </c>
      <c r="O1208" s="7" t="s">
        <v>254</v>
      </c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  <c r="AA1208" s="8"/>
      <c r="AB1208" s="8"/>
      <c r="AC1208" s="8"/>
      <c r="AD1208" s="8"/>
      <c r="AE1208" s="8"/>
    </row>
    <row r="1209">
      <c r="A1209" s="12">
        <v>36.0</v>
      </c>
      <c r="B1209" s="8" t="s">
        <v>315</v>
      </c>
      <c r="C1209" s="8" t="s">
        <v>955</v>
      </c>
      <c r="I1209" s="10" t="s">
        <v>979</v>
      </c>
      <c r="J1209" s="13" t="s">
        <v>959</v>
      </c>
      <c r="K1209" s="13" t="s">
        <v>276</v>
      </c>
      <c r="L1209" s="13" t="s">
        <v>1763</v>
      </c>
      <c r="M1209" s="7" t="s">
        <v>253</v>
      </c>
      <c r="N1209" s="7" t="s">
        <v>253</v>
      </c>
      <c r="O1209" s="7" t="s">
        <v>254</v>
      </c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  <c r="AA1209" s="8"/>
      <c r="AB1209" s="8"/>
      <c r="AC1209" s="8"/>
      <c r="AD1209" s="8"/>
      <c r="AE1209" s="8"/>
    </row>
    <row r="1210">
      <c r="A1210" s="12">
        <v>36.0</v>
      </c>
      <c r="B1210" s="8" t="s">
        <v>315</v>
      </c>
      <c r="C1210" s="8" t="s">
        <v>955</v>
      </c>
      <c r="I1210" s="10" t="s">
        <v>356</v>
      </c>
      <c r="J1210" s="13" t="s">
        <v>965</v>
      </c>
      <c r="K1210" s="13" t="s">
        <v>276</v>
      </c>
      <c r="L1210" s="13" t="s">
        <v>1758</v>
      </c>
      <c r="M1210" s="7" t="s">
        <v>253</v>
      </c>
      <c r="N1210" s="7" t="s">
        <v>253</v>
      </c>
      <c r="O1210" s="7" t="s">
        <v>254</v>
      </c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  <c r="AA1210" s="8"/>
      <c r="AB1210" s="8"/>
      <c r="AC1210" s="8"/>
      <c r="AD1210" s="8"/>
      <c r="AE1210" s="8"/>
    </row>
    <row r="1211">
      <c r="A1211" s="12">
        <v>36.0</v>
      </c>
      <c r="B1211" s="8" t="s">
        <v>315</v>
      </c>
      <c r="C1211" s="8" t="s">
        <v>955</v>
      </c>
      <c r="I1211" s="10" t="s">
        <v>1771</v>
      </c>
      <c r="J1211" s="13" t="s">
        <v>959</v>
      </c>
      <c r="K1211" s="13" t="s">
        <v>276</v>
      </c>
      <c r="L1211" s="13" t="s">
        <v>1766</v>
      </c>
      <c r="M1211" s="7" t="s">
        <v>253</v>
      </c>
      <c r="N1211" s="7" t="s">
        <v>253</v>
      </c>
      <c r="O1211" s="7" t="s">
        <v>254</v>
      </c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  <c r="AA1211" s="8"/>
      <c r="AB1211" s="8"/>
      <c r="AC1211" s="8"/>
      <c r="AD1211" s="8"/>
      <c r="AE1211" s="8"/>
    </row>
    <row r="1212">
      <c r="A1212" s="12">
        <v>36.0</v>
      </c>
      <c r="B1212" s="8" t="s">
        <v>315</v>
      </c>
      <c r="C1212" s="8" t="s">
        <v>955</v>
      </c>
      <c r="I1212" s="10" t="s">
        <v>987</v>
      </c>
      <c r="J1212" s="13" t="s">
        <v>965</v>
      </c>
      <c r="K1212" s="13" t="s">
        <v>276</v>
      </c>
      <c r="L1212" s="13" t="s">
        <v>1763</v>
      </c>
      <c r="M1212" s="7" t="s">
        <v>253</v>
      </c>
      <c r="N1212" s="7" t="s">
        <v>253</v>
      </c>
      <c r="O1212" s="7" t="s">
        <v>254</v>
      </c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  <c r="AA1212" s="8"/>
      <c r="AB1212" s="8"/>
      <c r="AC1212" s="8"/>
      <c r="AD1212" s="8"/>
      <c r="AE1212" s="8"/>
    </row>
    <row r="1213">
      <c r="A1213" s="12">
        <v>36.0</v>
      </c>
      <c r="B1213" s="8" t="s">
        <v>315</v>
      </c>
      <c r="C1213" s="8" t="s">
        <v>955</v>
      </c>
      <c r="I1213" s="10" t="s">
        <v>890</v>
      </c>
      <c r="J1213" s="13" t="s">
        <v>959</v>
      </c>
      <c r="K1213" s="13" t="s">
        <v>276</v>
      </c>
      <c r="L1213" s="13" t="s">
        <v>1758</v>
      </c>
      <c r="M1213" s="7" t="s">
        <v>253</v>
      </c>
      <c r="N1213" s="7" t="s">
        <v>253</v>
      </c>
      <c r="O1213" s="7" t="s">
        <v>254</v>
      </c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  <c r="AA1213" s="8"/>
      <c r="AB1213" s="8"/>
      <c r="AC1213" s="8"/>
      <c r="AD1213" s="8"/>
      <c r="AE1213" s="8"/>
    </row>
    <row r="1214">
      <c r="A1214" s="12">
        <v>36.0</v>
      </c>
      <c r="B1214" s="8" t="s">
        <v>315</v>
      </c>
      <c r="C1214" s="8" t="s">
        <v>955</v>
      </c>
      <c r="I1214" s="10" t="s">
        <v>1399</v>
      </c>
      <c r="J1214" s="13" t="s">
        <v>965</v>
      </c>
      <c r="K1214" s="13" t="s">
        <v>276</v>
      </c>
      <c r="L1214" s="13" t="s">
        <v>1758</v>
      </c>
      <c r="M1214" s="7" t="s">
        <v>253</v>
      </c>
      <c r="N1214" s="7" t="s">
        <v>253</v>
      </c>
      <c r="O1214" s="7" t="s">
        <v>254</v>
      </c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  <c r="AA1214" s="8"/>
      <c r="AB1214" s="8"/>
      <c r="AC1214" s="8"/>
      <c r="AD1214" s="8"/>
      <c r="AE1214" s="8"/>
    </row>
    <row r="1215">
      <c r="A1215" s="12">
        <v>36.0</v>
      </c>
      <c r="B1215" s="8" t="s">
        <v>315</v>
      </c>
      <c r="C1215" s="8" t="s">
        <v>955</v>
      </c>
      <c r="I1215" s="10" t="s">
        <v>766</v>
      </c>
      <c r="J1215" s="13" t="s">
        <v>959</v>
      </c>
      <c r="K1215" s="13" t="s">
        <v>276</v>
      </c>
      <c r="L1215" s="13" t="s">
        <v>1758</v>
      </c>
      <c r="M1215" s="7" t="s">
        <v>253</v>
      </c>
      <c r="N1215" s="7" t="s">
        <v>253</v>
      </c>
      <c r="O1215" s="7" t="s">
        <v>254</v>
      </c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  <c r="AA1215" s="8"/>
      <c r="AB1215" s="8"/>
      <c r="AC1215" s="8"/>
      <c r="AD1215" s="8"/>
      <c r="AE1215" s="8"/>
    </row>
    <row r="1216">
      <c r="A1216" s="12">
        <v>36.0</v>
      </c>
      <c r="B1216" s="8" t="s">
        <v>315</v>
      </c>
      <c r="C1216" s="8" t="s">
        <v>955</v>
      </c>
      <c r="I1216" s="10" t="s">
        <v>410</v>
      </c>
      <c r="J1216" s="13" t="s">
        <v>965</v>
      </c>
      <c r="K1216" s="13" t="s">
        <v>276</v>
      </c>
      <c r="L1216" s="13" t="s">
        <v>1763</v>
      </c>
      <c r="M1216" s="7" t="s">
        <v>253</v>
      </c>
      <c r="N1216" s="7" t="s">
        <v>253</v>
      </c>
      <c r="O1216" s="7" t="s">
        <v>254</v>
      </c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  <c r="AA1216" s="8"/>
      <c r="AB1216" s="8"/>
      <c r="AC1216" s="8"/>
      <c r="AD1216" s="8"/>
      <c r="AE1216" s="8"/>
    </row>
    <row r="1217">
      <c r="A1217" s="12">
        <v>36.0</v>
      </c>
      <c r="B1217" s="8" t="s">
        <v>315</v>
      </c>
      <c r="C1217" s="8" t="s">
        <v>955</v>
      </c>
      <c r="I1217" s="10" t="s">
        <v>1392</v>
      </c>
      <c r="J1217" s="13" t="s">
        <v>959</v>
      </c>
      <c r="K1217" s="13" t="s">
        <v>276</v>
      </c>
      <c r="L1217" s="13" t="s">
        <v>1758</v>
      </c>
      <c r="M1217" s="7" t="s">
        <v>253</v>
      </c>
      <c r="N1217" s="7" t="s">
        <v>253</v>
      </c>
      <c r="O1217" s="7" t="s">
        <v>254</v>
      </c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  <c r="AA1217" s="8"/>
      <c r="AB1217" s="8"/>
      <c r="AC1217" s="8"/>
      <c r="AD1217" s="8"/>
      <c r="AE1217" s="8"/>
    </row>
    <row r="1218">
      <c r="A1218" s="12">
        <v>36.0</v>
      </c>
      <c r="B1218" s="8" t="s">
        <v>315</v>
      </c>
      <c r="C1218" s="8" t="s">
        <v>955</v>
      </c>
      <c r="I1218" s="10" t="s">
        <v>1395</v>
      </c>
      <c r="J1218" s="13" t="s">
        <v>965</v>
      </c>
      <c r="K1218" s="13" t="s">
        <v>276</v>
      </c>
      <c r="L1218" s="13" t="s">
        <v>1758</v>
      </c>
      <c r="M1218" s="7" t="s">
        <v>253</v>
      </c>
      <c r="N1218" s="7" t="s">
        <v>253</v>
      </c>
      <c r="O1218" s="7" t="s">
        <v>254</v>
      </c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  <c r="AA1218" s="8"/>
      <c r="AB1218" s="8"/>
      <c r="AC1218" s="8"/>
      <c r="AD1218" s="8"/>
      <c r="AE1218" s="8"/>
    </row>
    <row r="1219">
      <c r="A1219" s="12">
        <v>36.0</v>
      </c>
      <c r="B1219" s="8" t="s">
        <v>315</v>
      </c>
      <c r="C1219" s="8" t="s">
        <v>955</v>
      </c>
      <c r="I1219" s="10" t="s">
        <v>1351</v>
      </c>
      <c r="J1219" s="13" t="s">
        <v>959</v>
      </c>
      <c r="K1219" s="13" t="s">
        <v>276</v>
      </c>
      <c r="L1219" s="13" t="s">
        <v>1758</v>
      </c>
      <c r="M1219" s="7" t="s">
        <v>253</v>
      </c>
      <c r="N1219" s="7" t="s">
        <v>253</v>
      </c>
      <c r="O1219" s="7" t="s">
        <v>254</v>
      </c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  <c r="AA1219" s="8"/>
      <c r="AB1219" s="8"/>
      <c r="AC1219" s="8"/>
      <c r="AD1219" s="8"/>
      <c r="AE1219" s="8"/>
    </row>
    <row r="1220">
      <c r="A1220" s="12">
        <v>36.0</v>
      </c>
      <c r="B1220" s="8" t="s">
        <v>315</v>
      </c>
      <c r="C1220" s="8" t="s">
        <v>955</v>
      </c>
      <c r="I1220" s="10" t="s">
        <v>317</v>
      </c>
      <c r="J1220" s="13" t="s">
        <v>965</v>
      </c>
      <c r="K1220" s="13" t="s">
        <v>276</v>
      </c>
      <c r="L1220" s="13" t="s">
        <v>1763</v>
      </c>
      <c r="M1220" s="7" t="s">
        <v>253</v>
      </c>
      <c r="N1220" s="7" t="s">
        <v>253</v>
      </c>
      <c r="O1220" s="7" t="s">
        <v>254</v>
      </c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  <c r="AA1220" s="8"/>
      <c r="AB1220" s="8"/>
      <c r="AC1220" s="8"/>
      <c r="AD1220" s="8"/>
      <c r="AE1220" s="8"/>
    </row>
    <row r="1221">
      <c r="A1221" s="12">
        <v>36.0</v>
      </c>
      <c r="B1221" s="8" t="s">
        <v>315</v>
      </c>
      <c r="C1221" s="8" t="s">
        <v>955</v>
      </c>
      <c r="I1221" s="10" t="s">
        <v>1772</v>
      </c>
      <c r="J1221" s="13" t="s">
        <v>959</v>
      </c>
      <c r="K1221" s="13" t="s">
        <v>276</v>
      </c>
      <c r="L1221" s="13" t="s">
        <v>1758</v>
      </c>
      <c r="M1221" s="7" t="s">
        <v>253</v>
      </c>
      <c r="N1221" s="7" t="s">
        <v>253</v>
      </c>
      <c r="O1221" s="7" t="s">
        <v>254</v>
      </c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  <c r="AA1221" s="8"/>
      <c r="AB1221" s="8"/>
      <c r="AC1221" s="8"/>
      <c r="AD1221" s="8"/>
      <c r="AE1221" s="8"/>
    </row>
    <row r="1222">
      <c r="A1222" s="12">
        <v>36.0</v>
      </c>
      <c r="B1222" s="8" t="s">
        <v>315</v>
      </c>
      <c r="C1222" s="8" t="s">
        <v>955</v>
      </c>
      <c r="I1222" s="10" t="s">
        <v>1598</v>
      </c>
      <c r="J1222" s="13" t="s">
        <v>965</v>
      </c>
      <c r="K1222" s="13" t="s">
        <v>276</v>
      </c>
      <c r="L1222" s="13" t="s">
        <v>1766</v>
      </c>
      <c r="M1222" s="7" t="s">
        <v>253</v>
      </c>
      <c r="N1222" s="7" t="s">
        <v>253</v>
      </c>
      <c r="O1222" s="7" t="s">
        <v>254</v>
      </c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  <c r="AA1222" s="8"/>
      <c r="AB1222" s="8"/>
      <c r="AC1222" s="8"/>
      <c r="AD1222" s="8"/>
      <c r="AE1222" s="8"/>
    </row>
    <row r="1223">
      <c r="A1223" s="12">
        <v>36.0</v>
      </c>
      <c r="B1223" s="8" t="s">
        <v>315</v>
      </c>
      <c r="C1223" s="8" t="s">
        <v>955</v>
      </c>
      <c r="I1223" s="10" t="s">
        <v>1325</v>
      </c>
      <c r="J1223" s="13" t="s">
        <v>959</v>
      </c>
      <c r="K1223" s="13" t="s">
        <v>276</v>
      </c>
      <c r="L1223" s="13" t="s">
        <v>1758</v>
      </c>
      <c r="M1223" s="7" t="s">
        <v>253</v>
      </c>
      <c r="N1223" s="7" t="s">
        <v>253</v>
      </c>
      <c r="O1223" s="7" t="s">
        <v>254</v>
      </c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  <c r="AA1223" s="8"/>
      <c r="AB1223" s="8"/>
      <c r="AC1223" s="8"/>
      <c r="AD1223" s="8"/>
      <c r="AE1223" s="8"/>
    </row>
    <row r="1224">
      <c r="A1224" s="12">
        <v>36.0</v>
      </c>
      <c r="B1224" s="8" t="s">
        <v>315</v>
      </c>
      <c r="C1224" s="8" t="s">
        <v>955</v>
      </c>
      <c r="I1224" s="10" t="s">
        <v>983</v>
      </c>
      <c r="J1224" s="13" t="s">
        <v>965</v>
      </c>
      <c r="K1224" s="13" t="s">
        <v>276</v>
      </c>
      <c r="L1224" s="13" t="s">
        <v>1763</v>
      </c>
      <c r="M1224" s="7" t="s">
        <v>253</v>
      </c>
      <c r="N1224" s="7" t="s">
        <v>253</v>
      </c>
      <c r="O1224" s="7" t="s">
        <v>254</v>
      </c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  <c r="AA1224" s="8"/>
      <c r="AB1224" s="8"/>
      <c r="AC1224" s="8"/>
      <c r="AD1224" s="8"/>
      <c r="AE1224" s="8"/>
    </row>
    <row r="1225">
      <c r="A1225" s="12">
        <v>36.0</v>
      </c>
      <c r="B1225" s="8" t="s">
        <v>315</v>
      </c>
      <c r="C1225" s="8" t="s">
        <v>955</v>
      </c>
      <c r="I1225" s="10" t="s">
        <v>1773</v>
      </c>
      <c r="J1225" s="13" t="s">
        <v>959</v>
      </c>
      <c r="K1225" s="13" t="s">
        <v>276</v>
      </c>
      <c r="L1225" s="13" t="s">
        <v>1758</v>
      </c>
      <c r="M1225" s="7" t="s">
        <v>253</v>
      </c>
      <c r="N1225" s="7" t="s">
        <v>253</v>
      </c>
      <c r="O1225" s="7" t="s">
        <v>254</v>
      </c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  <c r="AA1225" s="8"/>
      <c r="AB1225" s="8"/>
      <c r="AC1225" s="8"/>
      <c r="AD1225" s="8"/>
      <c r="AE1225" s="8"/>
    </row>
    <row r="1226">
      <c r="A1226" s="12">
        <v>36.0</v>
      </c>
      <c r="B1226" s="8" t="s">
        <v>315</v>
      </c>
      <c r="C1226" s="8" t="s">
        <v>955</v>
      </c>
      <c r="I1226" s="10" t="s">
        <v>412</v>
      </c>
      <c r="J1226" s="13" t="s">
        <v>965</v>
      </c>
      <c r="K1226" s="13" t="s">
        <v>276</v>
      </c>
      <c r="L1226" s="13" t="s">
        <v>1758</v>
      </c>
      <c r="M1226" s="7" t="s">
        <v>253</v>
      </c>
      <c r="N1226" s="7" t="s">
        <v>253</v>
      </c>
      <c r="O1226" s="7" t="s">
        <v>254</v>
      </c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  <c r="AA1226" s="8"/>
      <c r="AB1226" s="8"/>
      <c r="AC1226" s="8"/>
      <c r="AD1226" s="8"/>
      <c r="AE1226" s="8"/>
    </row>
    <row r="1227">
      <c r="A1227" s="12">
        <v>36.0</v>
      </c>
      <c r="B1227" s="8" t="s">
        <v>315</v>
      </c>
      <c r="C1227" s="8" t="s">
        <v>955</v>
      </c>
      <c r="I1227" s="10" t="s">
        <v>1017</v>
      </c>
      <c r="J1227" s="13" t="s">
        <v>959</v>
      </c>
      <c r="K1227" s="13" t="s">
        <v>276</v>
      </c>
      <c r="L1227" s="13" t="s">
        <v>1758</v>
      </c>
      <c r="M1227" s="7" t="s">
        <v>253</v>
      </c>
      <c r="N1227" s="7" t="s">
        <v>253</v>
      </c>
      <c r="O1227" s="7" t="s">
        <v>254</v>
      </c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  <c r="AA1227" s="8"/>
      <c r="AB1227" s="8"/>
      <c r="AC1227" s="8"/>
      <c r="AD1227" s="8"/>
      <c r="AE1227" s="8"/>
    </row>
    <row r="1228">
      <c r="A1228" s="12">
        <v>36.0</v>
      </c>
      <c r="B1228" s="8" t="s">
        <v>315</v>
      </c>
      <c r="C1228" s="8" t="s">
        <v>955</v>
      </c>
      <c r="I1228" s="10" t="s">
        <v>1774</v>
      </c>
      <c r="J1228" s="13" t="s">
        <v>965</v>
      </c>
      <c r="K1228" s="13" t="s">
        <v>276</v>
      </c>
      <c r="L1228" s="13" t="s">
        <v>1758</v>
      </c>
      <c r="M1228" s="7" t="s">
        <v>253</v>
      </c>
      <c r="N1228" s="7" t="s">
        <v>253</v>
      </c>
      <c r="O1228" s="7" t="s">
        <v>254</v>
      </c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  <c r="AA1228" s="8"/>
      <c r="AB1228" s="8"/>
      <c r="AC1228" s="8"/>
      <c r="AD1228" s="8"/>
      <c r="AE1228" s="8"/>
    </row>
    <row r="1229">
      <c r="A1229" s="12">
        <v>37.0</v>
      </c>
      <c r="B1229" s="8" t="s">
        <v>317</v>
      </c>
      <c r="C1229" s="8" t="s">
        <v>955</v>
      </c>
      <c r="D1229" s="25">
        <f>IF(COUNTIF($B$2:$B1229,$B1229)&gt;1,"",COUNTIF($B$2:$B$2505,$B1229))</f>
        <v>14</v>
      </c>
      <c r="E1229" s="25">
        <f>IF(COUNTIF($B$2:$B1229,$B1229)&gt;1,"",COUNTIFS($B$2:$B$2505,$B1229,$K$2:$K$2505,"PHÙ HỢP CAO"))</f>
        <v>1</v>
      </c>
      <c r="F1229" s="25">
        <f>IF(COUNTIF($B$2:$B1229,$B1229)&gt;1,"",COUNTIFS($B$2:$B$2505,$B1229,$K$2:$K$2505,"CÓ THỂ ĐI"))</f>
        <v>4</v>
      </c>
      <c r="G1229" s="25">
        <f>IF(COUNTIF($B$2:$B1229,$B1229)&gt;1,"",COUNTIFS($B$2:$B$2505,$B1229,$K$2:$K$2505,"CẦN SOÁT"))</f>
        <v>9</v>
      </c>
      <c r="H1229" s="26" t="str">
        <f>IFERROR(__xludf.DUMMYFUNCTION("IF(COUNTIF($B$2:$B1229,$B1229)&gt;1,"""",IFERROR(TEXTJOIN(CHAR(10),TRUE,BYROW(QUERY({$B$2:$B$2505,$J$2:$J$2505},""select Col2, count(Col2) where Col1 = '""&amp;$B1229&amp;""' group by Col2 order by count(Col2) desc label count(Col2) ''"",0),LAMBDA(r,INDEX(r,1,1)&amp;"" "&amp;"– ""&amp;INDEX(r,1,2)&amp;"" link""))),""""))"),"lãi suất chứng chỉ tiền gửi – 5 link
lãi suất chứng chỉ tiền gửi các ngân hàng – 5 link
lợi suất chứng chỉ tiền gửi – 4 link")</f>
        <v>lãi suất chứng chỉ tiền gửi – 5 link
lãi suất chứng chỉ tiền gửi các ngân hàng – 5 link
lợi suất chứng chỉ tiền gửi – 4 link</v>
      </c>
      <c r="I1229" s="10" t="s">
        <v>410</v>
      </c>
      <c r="J1229" s="13" t="s">
        <v>978</v>
      </c>
      <c r="K1229" s="13" t="s">
        <v>251</v>
      </c>
      <c r="L1229" s="13" t="s">
        <v>1775</v>
      </c>
      <c r="M1229" s="7" t="s">
        <v>253</v>
      </c>
      <c r="N1229" s="7" t="s">
        <v>253</v>
      </c>
      <c r="O1229" s="7" t="s">
        <v>254</v>
      </c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  <c r="AA1229" s="8"/>
      <c r="AB1229" s="8"/>
      <c r="AC1229" s="8"/>
      <c r="AD1229" s="8"/>
      <c r="AE1229" s="8"/>
    </row>
    <row r="1230">
      <c r="A1230" s="12">
        <v>37.0</v>
      </c>
      <c r="B1230" s="8" t="s">
        <v>317</v>
      </c>
      <c r="C1230" s="8" t="s">
        <v>955</v>
      </c>
      <c r="I1230" s="10" t="s">
        <v>979</v>
      </c>
      <c r="J1230" s="13" t="s">
        <v>981</v>
      </c>
      <c r="K1230" s="13" t="s">
        <v>272</v>
      </c>
      <c r="L1230" s="13" t="s">
        <v>1776</v>
      </c>
      <c r="M1230" s="7" t="s">
        <v>253</v>
      </c>
      <c r="N1230" s="7" t="s">
        <v>253</v>
      </c>
      <c r="O1230" s="7" t="s">
        <v>254</v>
      </c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  <c r="AA1230" s="8"/>
      <c r="AB1230" s="8"/>
      <c r="AC1230" s="8"/>
      <c r="AD1230" s="8"/>
      <c r="AE1230" s="8"/>
    </row>
    <row r="1231">
      <c r="A1231" s="12">
        <v>37.0</v>
      </c>
      <c r="B1231" s="8" t="s">
        <v>317</v>
      </c>
      <c r="C1231" s="8" t="s">
        <v>955</v>
      </c>
      <c r="I1231" s="10" t="s">
        <v>983</v>
      </c>
      <c r="J1231" s="13" t="s">
        <v>986</v>
      </c>
      <c r="K1231" s="13" t="s">
        <v>272</v>
      </c>
      <c r="L1231" s="13" t="s">
        <v>1777</v>
      </c>
      <c r="M1231" s="7" t="s">
        <v>253</v>
      </c>
      <c r="N1231" s="7" t="s">
        <v>253</v>
      </c>
      <c r="O1231" s="7" t="s">
        <v>254</v>
      </c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  <c r="AA1231" s="8"/>
      <c r="AB1231" s="8"/>
      <c r="AC1231" s="8"/>
      <c r="AD1231" s="8"/>
      <c r="AE1231" s="8"/>
    </row>
    <row r="1232">
      <c r="A1232" s="12">
        <v>37.0</v>
      </c>
      <c r="B1232" s="8" t="s">
        <v>317</v>
      </c>
      <c r="C1232" s="8" t="s">
        <v>955</v>
      </c>
      <c r="I1232" s="10" t="s">
        <v>987</v>
      </c>
      <c r="J1232" s="13" t="s">
        <v>978</v>
      </c>
      <c r="K1232" s="13" t="s">
        <v>272</v>
      </c>
      <c r="L1232" s="13" t="s">
        <v>1778</v>
      </c>
      <c r="M1232" s="7" t="s">
        <v>253</v>
      </c>
      <c r="N1232" s="7" t="s">
        <v>253</v>
      </c>
      <c r="O1232" s="7" t="s">
        <v>254</v>
      </c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  <c r="AA1232" s="8"/>
      <c r="AB1232" s="8"/>
      <c r="AC1232" s="8"/>
      <c r="AD1232" s="8"/>
      <c r="AE1232" s="8"/>
    </row>
    <row r="1233">
      <c r="A1233" s="12">
        <v>37.0</v>
      </c>
      <c r="B1233" s="8" t="s">
        <v>317</v>
      </c>
      <c r="C1233" s="8" t="s">
        <v>955</v>
      </c>
      <c r="I1233" s="10" t="s">
        <v>1762</v>
      </c>
      <c r="J1233" s="13" t="s">
        <v>981</v>
      </c>
      <c r="K1233" s="13" t="s">
        <v>272</v>
      </c>
      <c r="L1233" s="13" t="s">
        <v>1779</v>
      </c>
      <c r="M1233" s="7" t="s">
        <v>253</v>
      </c>
      <c r="N1233" s="7" t="s">
        <v>253</v>
      </c>
      <c r="O1233" s="7" t="s">
        <v>254</v>
      </c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  <c r="AA1233" s="8"/>
      <c r="AB1233" s="8"/>
      <c r="AC1233" s="8"/>
      <c r="AD1233" s="8"/>
      <c r="AE1233" s="8"/>
    </row>
    <row r="1234">
      <c r="A1234" s="12">
        <v>37.0</v>
      </c>
      <c r="B1234" s="8" t="s">
        <v>317</v>
      </c>
      <c r="C1234" s="8" t="s">
        <v>955</v>
      </c>
      <c r="I1234" s="10" t="s">
        <v>315</v>
      </c>
      <c r="J1234" s="13" t="s">
        <v>986</v>
      </c>
      <c r="K1234" s="13" t="s">
        <v>276</v>
      </c>
      <c r="L1234" s="13" t="s">
        <v>1763</v>
      </c>
      <c r="M1234" s="7" t="s">
        <v>253</v>
      </c>
      <c r="N1234" s="7" t="s">
        <v>253</v>
      </c>
      <c r="O1234" s="7" t="s">
        <v>254</v>
      </c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  <c r="AA1234" s="8"/>
      <c r="AB1234" s="8"/>
      <c r="AC1234" s="8"/>
      <c r="AD1234" s="8"/>
      <c r="AE1234" s="8"/>
    </row>
    <row r="1235">
      <c r="A1235" s="12">
        <v>37.0</v>
      </c>
      <c r="B1235" s="8" t="s">
        <v>317</v>
      </c>
      <c r="C1235" s="8" t="s">
        <v>955</v>
      </c>
      <c r="I1235" s="10" t="s">
        <v>354</v>
      </c>
      <c r="J1235" s="13" t="s">
        <v>978</v>
      </c>
      <c r="K1235" s="13" t="s">
        <v>276</v>
      </c>
      <c r="L1235" s="13" t="s">
        <v>1780</v>
      </c>
      <c r="M1235" s="7" t="s">
        <v>253</v>
      </c>
      <c r="N1235" s="7" t="s">
        <v>253</v>
      </c>
      <c r="O1235" s="7" t="s">
        <v>254</v>
      </c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  <c r="AA1235" s="8"/>
      <c r="AB1235" s="8"/>
      <c r="AC1235" s="8"/>
      <c r="AD1235" s="8"/>
      <c r="AE1235" s="8"/>
    </row>
    <row r="1236">
      <c r="A1236" s="12">
        <v>37.0</v>
      </c>
      <c r="B1236" s="8" t="s">
        <v>317</v>
      </c>
      <c r="C1236" s="8" t="s">
        <v>955</v>
      </c>
      <c r="I1236" s="10" t="s">
        <v>966</v>
      </c>
      <c r="J1236" s="13" t="s">
        <v>981</v>
      </c>
      <c r="K1236" s="13" t="s">
        <v>276</v>
      </c>
      <c r="L1236" s="13" t="s">
        <v>1763</v>
      </c>
      <c r="M1236" s="7" t="s">
        <v>253</v>
      </c>
      <c r="N1236" s="7" t="s">
        <v>253</v>
      </c>
      <c r="O1236" s="7" t="s">
        <v>254</v>
      </c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  <c r="AA1236" s="8"/>
      <c r="AB1236" s="8"/>
      <c r="AC1236" s="8"/>
      <c r="AD1236" s="8"/>
      <c r="AE1236" s="8"/>
    </row>
    <row r="1237">
      <c r="A1237" s="12">
        <v>37.0</v>
      </c>
      <c r="B1237" s="8" t="s">
        <v>317</v>
      </c>
      <c r="C1237" s="8" t="s">
        <v>955</v>
      </c>
      <c r="I1237" s="10" t="s">
        <v>1769</v>
      </c>
      <c r="J1237" s="13" t="s">
        <v>986</v>
      </c>
      <c r="K1237" s="13" t="s">
        <v>276</v>
      </c>
      <c r="L1237" s="13" t="s">
        <v>1780</v>
      </c>
      <c r="M1237" s="7" t="s">
        <v>253</v>
      </c>
      <c r="N1237" s="7" t="s">
        <v>253</v>
      </c>
      <c r="O1237" s="7" t="s">
        <v>254</v>
      </c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  <c r="AA1237" s="8"/>
      <c r="AB1237" s="8"/>
      <c r="AC1237" s="8"/>
      <c r="AD1237" s="8"/>
      <c r="AE1237" s="8"/>
    </row>
    <row r="1238">
      <c r="A1238" s="12">
        <v>37.0</v>
      </c>
      <c r="B1238" s="8" t="s">
        <v>317</v>
      </c>
      <c r="C1238" s="8" t="s">
        <v>955</v>
      </c>
      <c r="I1238" s="10" t="s">
        <v>356</v>
      </c>
      <c r="J1238" s="13" t="s">
        <v>978</v>
      </c>
      <c r="K1238" s="13" t="s">
        <v>276</v>
      </c>
      <c r="L1238" s="13" t="s">
        <v>1780</v>
      </c>
      <c r="M1238" s="7" t="s">
        <v>253</v>
      </c>
      <c r="N1238" s="7" t="s">
        <v>253</v>
      </c>
      <c r="O1238" s="7" t="s">
        <v>254</v>
      </c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  <c r="AA1238" s="8"/>
      <c r="AB1238" s="8"/>
      <c r="AC1238" s="8"/>
      <c r="AD1238" s="8"/>
      <c r="AE1238" s="8"/>
    </row>
    <row r="1239">
      <c r="A1239" s="12">
        <v>37.0</v>
      </c>
      <c r="B1239" s="8" t="s">
        <v>317</v>
      </c>
      <c r="C1239" s="8" t="s">
        <v>955</v>
      </c>
      <c r="I1239" s="10" t="s">
        <v>1771</v>
      </c>
      <c r="J1239" s="13" t="s">
        <v>981</v>
      </c>
      <c r="K1239" s="13" t="s">
        <v>276</v>
      </c>
      <c r="L1239" s="13" t="s">
        <v>1780</v>
      </c>
      <c r="M1239" s="7" t="s">
        <v>253</v>
      </c>
      <c r="N1239" s="7" t="s">
        <v>253</v>
      </c>
      <c r="O1239" s="7" t="s">
        <v>254</v>
      </c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  <c r="AA1239" s="8"/>
      <c r="AB1239" s="8"/>
      <c r="AC1239" s="8"/>
      <c r="AD1239" s="8"/>
      <c r="AE1239" s="8"/>
    </row>
    <row r="1240">
      <c r="A1240" s="12">
        <v>37.0</v>
      </c>
      <c r="B1240" s="8" t="s">
        <v>317</v>
      </c>
      <c r="C1240" s="8" t="s">
        <v>955</v>
      </c>
      <c r="I1240" s="10" t="s">
        <v>956</v>
      </c>
      <c r="J1240" s="13" t="s">
        <v>986</v>
      </c>
      <c r="K1240" s="13" t="s">
        <v>276</v>
      </c>
      <c r="L1240" s="13" t="s">
        <v>1763</v>
      </c>
      <c r="M1240" s="7" t="s">
        <v>253</v>
      </c>
      <c r="N1240" s="7" t="s">
        <v>253</v>
      </c>
      <c r="O1240" s="7" t="s">
        <v>254</v>
      </c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  <c r="AA1240" s="8"/>
      <c r="AB1240" s="8"/>
      <c r="AC1240" s="8"/>
      <c r="AD1240" s="8"/>
      <c r="AE1240" s="8"/>
    </row>
    <row r="1241">
      <c r="A1241" s="12">
        <v>37.0</v>
      </c>
      <c r="B1241" s="8" t="s">
        <v>317</v>
      </c>
      <c r="C1241" s="8" t="s">
        <v>955</v>
      </c>
      <c r="I1241" s="10" t="s">
        <v>961</v>
      </c>
      <c r="J1241" s="13" t="s">
        <v>978</v>
      </c>
      <c r="K1241" s="13" t="s">
        <v>276</v>
      </c>
      <c r="L1241" s="13" t="s">
        <v>1763</v>
      </c>
      <c r="M1241" s="7" t="s">
        <v>253</v>
      </c>
      <c r="N1241" s="7" t="s">
        <v>253</v>
      </c>
      <c r="O1241" s="7" t="s">
        <v>254</v>
      </c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  <c r="AA1241" s="8"/>
      <c r="AB1241" s="8"/>
      <c r="AC1241" s="8"/>
      <c r="AD1241" s="8"/>
      <c r="AE1241" s="8"/>
    </row>
    <row r="1242">
      <c r="A1242" s="12">
        <v>37.0</v>
      </c>
      <c r="B1242" s="8" t="s">
        <v>317</v>
      </c>
      <c r="C1242" s="8" t="s">
        <v>955</v>
      </c>
      <c r="I1242" s="10" t="s">
        <v>968</v>
      </c>
      <c r="J1242" s="13" t="s">
        <v>981</v>
      </c>
      <c r="K1242" s="13" t="s">
        <v>276</v>
      </c>
      <c r="L1242" s="13" t="s">
        <v>1763</v>
      </c>
      <c r="M1242" s="7" t="s">
        <v>253</v>
      </c>
      <c r="N1242" s="7" t="s">
        <v>253</v>
      </c>
      <c r="O1242" s="7" t="s">
        <v>254</v>
      </c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  <c r="AA1242" s="8"/>
      <c r="AB1242" s="8"/>
      <c r="AC1242" s="8"/>
      <c r="AD1242" s="8"/>
      <c r="AE1242" s="8"/>
    </row>
    <row r="1243">
      <c r="A1243" s="12">
        <v>38.0</v>
      </c>
      <c r="B1243" s="8" t="s">
        <v>319</v>
      </c>
      <c r="C1243" s="8" t="s">
        <v>992</v>
      </c>
      <c r="D1243" s="25">
        <f>IF(COUNTIF($B$2:$B1243,$B1243)&gt;1,"",COUNTIF($B$2:$B$2505,$B1243))</f>
        <v>20</v>
      </c>
      <c r="E1243" s="25">
        <f>IF(COUNTIF($B$2:$B1243,$B1243)&gt;1,"",COUNTIFS($B$2:$B$2505,$B1243,$K$2:$K$2505,"PHÙ HỢP CAO"))</f>
        <v>4</v>
      </c>
      <c r="F1243" s="25">
        <f>IF(COUNTIF($B$2:$B1243,$B1243)&gt;1,"",COUNTIFS($B$2:$B$2505,$B1243,$K$2:$K$2505,"CÓ THỂ ĐI"))</f>
        <v>0</v>
      </c>
      <c r="G1243" s="25">
        <f>IF(COUNTIF($B$2:$B1243,$B1243)&gt;1,"",COUNTIFS($B$2:$B$2505,$B1243,$K$2:$K$2505,"CẦN SOÁT"))</f>
        <v>16</v>
      </c>
      <c r="H1243" s="26" t="str">
        <f>IFERROR(__xludf.DUMMYFUNCTION("IF(COUNTIF($B$2:$B1243,$B1243)&gt;1,"""",IFERROR(TEXTJOIN(CHAR(10),TRUE,BYROW(QUERY({$B$2:$B$2505,$J$2:$J$2505},""select Col2, count(Col2) where Col1 = '""&amp;$B1243&amp;""' group by Col2 order by count(Col2) desc label count(Col2) ''"",0),LAMBDA(r,INDEX(r,1,1)&amp;"" "&amp;"– ""&amp;INDEX(r,1,2)&amp;"" link""))),""""))"),"1 Tệ bằng bao nhiêu tiền Việt – 10 link
tỷ giá Nhân dân tệ – 10 link")</f>
        <v>1 Tệ bằng bao nhiêu tiền Việt – 10 link
tỷ giá Nhân dân tệ – 10 link</v>
      </c>
      <c r="I1243" s="10" t="s">
        <v>993</v>
      </c>
      <c r="J1243" s="13" t="s">
        <v>996</v>
      </c>
      <c r="K1243" s="13" t="s">
        <v>251</v>
      </c>
      <c r="L1243" s="13" t="s">
        <v>1781</v>
      </c>
      <c r="M1243" s="7" t="s">
        <v>253</v>
      </c>
      <c r="N1243" s="7" t="s">
        <v>253</v>
      </c>
      <c r="O1243" s="7" t="s">
        <v>254</v>
      </c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  <c r="AA1243" s="8"/>
      <c r="AB1243" s="8"/>
      <c r="AC1243" s="8"/>
      <c r="AD1243" s="8"/>
      <c r="AE1243" s="8"/>
    </row>
    <row r="1244">
      <c r="A1244" s="12">
        <v>38.0</v>
      </c>
      <c r="B1244" s="8" t="s">
        <v>319</v>
      </c>
      <c r="C1244" s="8" t="s">
        <v>992</v>
      </c>
      <c r="I1244" s="10" t="s">
        <v>997</v>
      </c>
      <c r="J1244" s="13" t="s">
        <v>1000</v>
      </c>
      <c r="K1244" s="13" t="s">
        <v>251</v>
      </c>
      <c r="L1244" s="13" t="s">
        <v>1782</v>
      </c>
      <c r="M1244" s="7" t="s">
        <v>253</v>
      </c>
      <c r="N1244" s="7" t="s">
        <v>253</v>
      </c>
      <c r="O1244" s="7" t="s">
        <v>254</v>
      </c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  <c r="AA1244" s="8"/>
      <c r="AB1244" s="8"/>
      <c r="AC1244" s="8"/>
      <c r="AD1244" s="8"/>
      <c r="AE1244" s="8"/>
    </row>
    <row r="1245">
      <c r="A1245" s="12">
        <v>38.0</v>
      </c>
      <c r="B1245" s="8" t="s">
        <v>319</v>
      </c>
      <c r="C1245" s="8" t="s">
        <v>992</v>
      </c>
      <c r="I1245" s="10" t="s">
        <v>1001</v>
      </c>
      <c r="J1245" s="13" t="s">
        <v>996</v>
      </c>
      <c r="K1245" s="13" t="s">
        <v>251</v>
      </c>
      <c r="L1245" s="13" t="s">
        <v>1783</v>
      </c>
      <c r="M1245" s="7" t="s">
        <v>253</v>
      </c>
      <c r="N1245" s="7" t="s">
        <v>253</v>
      </c>
      <c r="O1245" s="7" t="s">
        <v>254</v>
      </c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  <c r="AA1245" s="8"/>
      <c r="AB1245" s="8"/>
      <c r="AC1245" s="8"/>
      <c r="AD1245" s="8"/>
      <c r="AE1245" s="8"/>
    </row>
    <row r="1246">
      <c r="A1246" s="12">
        <v>38.0</v>
      </c>
      <c r="B1246" s="8" t="s">
        <v>319</v>
      </c>
      <c r="C1246" s="8" t="s">
        <v>992</v>
      </c>
      <c r="I1246" s="10" t="s">
        <v>1004</v>
      </c>
      <c r="J1246" s="13" t="s">
        <v>1000</v>
      </c>
      <c r="K1246" s="13" t="s">
        <v>251</v>
      </c>
      <c r="L1246" s="13" t="s">
        <v>1784</v>
      </c>
      <c r="M1246" s="7" t="s">
        <v>253</v>
      </c>
      <c r="N1246" s="7" t="s">
        <v>253</v>
      </c>
      <c r="O1246" s="7" t="s">
        <v>254</v>
      </c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  <c r="AA1246" s="8"/>
      <c r="AB1246" s="8"/>
      <c r="AC1246" s="8"/>
      <c r="AD1246" s="8"/>
      <c r="AE1246" s="8"/>
    </row>
    <row r="1247">
      <c r="A1247" s="12">
        <v>38.0</v>
      </c>
      <c r="B1247" s="8" t="s">
        <v>319</v>
      </c>
      <c r="C1247" s="8" t="s">
        <v>992</v>
      </c>
      <c r="I1247" s="10" t="s">
        <v>890</v>
      </c>
      <c r="J1247" s="13" t="s">
        <v>996</v>
      </c>
      <c r="K1247" s="13" t="s">
        <v>276</v>
      </c>
      <c r="L1247" s="13" t="s">
        <v>1785</v>
      </c>
      <c r="M1247" s="7" t="s">
        <v>253</v>
      </c>
      <c r="N1247" s="7" t="s">
        <v>253</v>
      </c>
      <c r="O1247" s="7" t="s">
        <v>254</v>
      </c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  <c r="AA1247" s="8"/>
      <c r="AB1247" s="8"/>
      <c r="AC1247" s="8"/>
      <c r="AD1247" s="8"/>
      <c r="AE1247" s="8"/>
    </row>
    <row r="1248">
      <c r="A1248" s="12">
        <v>38.0</v>
      </c>
      <c r="B1248" s="8" t="s">
        <v>319</v>
      </c>
      <c r="C1248" s="8" t="s">
        <v>992</v>
      </c>
      <c r="I1248" s="10" t="s">
        <v>1018</v>
      </c>
      <c r="J1248" s="13" t="s">
        <v>1000</v>
      </c>
      <c r="K1248" s="13" t="s">
        <v>276</v>
      </c>
      <c r="L1248" s="13" t="s">
        <v>1785</v>
      </c>
      <c r="M1248" s="7" t="s">
        <v>253</v>
      </c>
      <c r="N1248" s="7" t="s">
        <v>253</v>
      </c>
      <c r="O1248" s="7" t="s">
        <v>254</v>
      </c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  <c r="AA1248" s="8"/>
      <c r="AB1248" s="8"/>
      <c r="AC1248" s="8"/>
      <c r="AD1248" s="8"/>
      <c r="AE1248" s="8"/>
    </row>
    <row r="1249">
      <c r="A1249" s="12">
        <v>38.0</v>
      </c>
      <c r="B1249" s="8" t="s">
        <v>319</v>
      </c>
      <c r="C1249" s="8" t="s">
        <v>992</v>
      </c>
      <c r="I1249" s="10" t="s">
        <v>1063</v>
      </c>
      <c r="J1249" s="13" t="s">
        <v>996</v>
      </c>
      <c r="K1249" s="13" t="s">
        <v>276</v>
      </c>
      <c r="L1249" s="13" t="s">
        <v>1785</v>
      </c>
      <c r="M1249" s="7" t="s">
        <v>253</v>
      </c>
      <c r="N1249" s="7" t="s">
        <v>253</v>
      </c>
      <c r="O1249" s="7" t="s">
        <v>254</v>
      </c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  <c r="AA1249" s="8"/>
      <c r="AB1249" s="8"/>
      <c r="AC1249" s="8"/>
      <c r="AD1249" s="8"/>
      <c r="AE1249" s="8"/>
    </row>
    <row r="1250">
      <c r="A1250" s="12">
        <v>38.0</v>
      </c>
      <c r="B1250" s="8" t="s">
        <v>319</v>
      </c>
      <c r="C1250" s="8" t="s">
        <v>992</v>
      </c>
      <c r="I1250" s="10" t="s">
        <v>1058</v>
      </c>
      <c r="J1250" s="13" t="s">
        <v>1000</v>
      </c>
      <c r="K1250" s="13" t="s">
        <v>276</v>
      </c>
      <c r="L1250" s="13" t="s">
        <v>1785</v>
      </c>
      <c r="M1250" s="7" t="s">
        <v>253</v>
      </c>
      <c r="N1250" s="7" t="s">
        <v>253</v>
      </c>
      <c r="O1250" s="7" t="s">
        <v>254</v>
      </c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  <c r="AA1250" s="8"/>
      <c r="AB1250" s="8"/>
      <c r="AC1250" s="8"/>
      <c r="AD1250" s="8"/>
      <c r="AE1250" s="8"/>
    </row>
    <row r="1251">
      <c r="A1251" s="12">
        <v>38.0</v>
      </c>
      <c r="B1251" s="8" t="s">
        <v>319</v>
      </c>
      <c r="C1251" s="8" t="s">
        <v>992</v>
      </c>
      <c r="I1251" s="10" t="s">
        <v>647</v>
      </c>
      <c r="J1251" s="13" t="s">
        <v>996</v>
      </c>
      <c r="K1251" s="13" t="s">
        <v>276</v>
      </c>
      <c r="L1251" s="13" t="s">
        <v>1785</v>
      </c>
      <c r="M1251" s="7" t="s">
        <v>253</v>
      </c>
      <c r="N1251" s="7" t="s">
        <v>253</v>
      </c>
      <c r="O1251" s="7" t="s">
        <v>254</v>
      </c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  <c r="AA1251" s="8"/>
      <c r="AB1251" s="8"/>
      <c r="AC1251" s="8"/>
      <c r="AD1251" s="8"/>
      <c r="AE1251" s="8"/>
    </row>
    <row r="1252">
      <c r="A1252" s="12">
        <v>38.0</v>
      </c>
      <c r="B1252" s="8" t="s">
        <v>319</v>
      </c>
      <c r="C1252" s="8" t="s">
        <v>992</v>
      </c>
      <c r="I1252" s="10" t="s">
        <v>1080</v>
      </c>
      <c r="J1252" s="13" t="s">
        <v>1000</v>
      </c>
      <c r="K1252" s="13" t="s">
        <v>276</v>
      </c>
      <c r="L1252" s="13" t="s">
        <v>1785</v>
      </c>
      <c r="M1252" s="7" t="s">
        <v>253</v>
      </c>
      <c r="N1252" s="7" t="s">
        <v>253</v>
      </c>
      <c r="O1252" s="7" t="s">
        <v>254</v>
      </c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  <c r="AA1252" s="8"/>
      <c r="AB1252" s="8"/>
      <c r="AC1252" s="8"/>
      <c r="AD1252" s="8"/>
      <c r="AE1252" s="8"/>
    </row>
    <row r="1253">
      <c r="A1253" s="12">
        <v>38.0</v>
      </c>
      <c r="B1253" s="8" t="s">
        <v>319</v>
      </c>
      <c r="C1253" s="8" t="s">
        <v>992</v>
      </c>
      <c r="I1253" s="10" t="s">
        <v>1786</v>
      </c>
      <c r="J1253" s="13" t="s">
        <v>996</v>
      </c>
      <c r="K1253" s="13" t="s">
        <v>276</v>
      </c>
      <c r="L1253" s="13" t="s">
        <v>1785</v>
      </c>
      <c r="M1253" s="7" t="s">
        <v>253</v>
      </c>
      <c r="N1253" s="7" t="s">
        <v>253</v>
      </c>
      <c r="O1253" s="7" t="s">
        <v>254</v>
      </c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  <c r="AA1253" s="8"/>
      <c r="AB1253" s="8"/>
      <c r="AC1253" s="8"/>
      <c r="AD1253" s="8"/>
      <c r="AE1253" s="8"/>
    </row>
    <row r="1254">
      <c r="A1254" s="12">
        <v>38.0</v>
      </c>
      <c r="B1254" s="8" t="s">
        <v>319</v>
      </c>
      <c r="C1254" s="8" t="s">
        <v>992</v>
      </c>
      <c r="I1254" s="10" t="s">
        <v>1033</v>
      </c>
      <c r="J1254" s="13" t="s">
        <v>1000</v>
      </c>
      <c r="K1254" s="13" t="s">
        <v>276</v>
      </c>
      <c r="L1254" s="13" t="s">
        <v>1785</v>
      </c>
      <c r="M1254" s="7" t="s">
        <v>253</v>
      </c>
      <c r="N1254" s="7" t="s">
        <v>253</v>
      </c>
      <c r="O1254" s="7" t="s">
        <v>254</v>
      </c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  <c r="AA1254" s="8"/>
      <c r="AB1254" s="8"/>
      <c r="AC1254" s="8"/>
      <c r="AD1254" s="8"/>
      <c r="AE1254" s="8"/>
    </row>
    <row r="1255">
      <c r="A1255" s="12">
        <v>38.0</v>
      </c>
      <c r="B1255" s="8" t="s">
        <v>319</v>
      </c>
      <c r="C1255" s="8" t="s">
        <v>992</v>
      </c>
      <c r="I1255" s="10" t="s">
        <v>332</v>
      </c>
      <c r="J1255" s="13" t="s">
        <v>996</v>
      </c>
      <c r="K1255" s="13" t="s">
        <v>276</v>
      </c>
      <c r="L1255" s="13" t="s">
        <v>1787</v>
      </c>
      <c r="M1255" s="7" t="s">
        <v>253</v>
      </c>
      <c r="N1255" s="7" t="s">
        <v>253</v>
      </c>
      <c r="O1255" s="7" t="s">
        <v>254</v>
      </c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  <c r="AA1255" s="8"/>
      <c r="AB1255" s="8"/>
      <c r="AC1255" s="8"/>
      <c r="AD1255" s="8"/>
      <c r="AE1255" s="8"/>
    </row>
    <row r="1256">
      <c r="A1256" s="12">
        <v>38.0</v>
      </c>
      <c r="B1256" s="8" t="s">
        <v>319</v>
      </c>
      <c r="C1256" s="8" t="s">
        <v>992</v>
      </c>
      <c r="I1256" s="10" t="s">
        <v>414</v>
      </c>
      <c r="J1256" s="13" t="s">
        <v>1000</v>
      </c>
      <c r="K1256" s="13" t="s">
        <v>276</v>
      </c>
      <c r="L1256" s="13" t="s">
        <v>1785</v>
      </c>
      <c r="M1256" s="7" t="s">
        <v>253</v>
      </c>
      <c r="N1256" s="7" t="s">
        <v>253</v>
      </c>
      <c r="O1256" s="7" t="s">
        <v>254</v>
      </c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  <c r="AA1256" s="8"/>
      <c r="AB1256" s="8"/>
      <c r="AC1256" s="8"/>
      <c r="AD1256" s="8"/>
      <c r="AE1256" s="8"/>
    </row>
    <row r="1257">
      <c r="A1257" s="12">
        <v>38.0</v>
      </c>
      <c r="B1257" s="8" t="s">
        <v>319</v>
      </c>
      <c r="C1257" s="8" t="s">
        <v>992</v>
      </c>
      <c r="I1257" s="10" t="s">
        <v>1788</v>
      </c>
      <c r="J1257" s="13" t="s">
        <v>996</v>
      </c>
      <c r="K1257" s="13" t="s">
        <v>276</v>
      </c>
      <c r="L1257" s="13" t="s">
        <v>1785</v>
      </c>
      <c r="M1257" s="7" t="s">
        <v>253</v>
      </c>
      <c r="N1257" s="7" t="s">
        <v>253</v>
      </c>
      <c r="O1257" s="7" t="s">
        <v>254</v>
      </c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  <c r="AA1257" s="8"/>
      <c r="AB1257" s="8"/>
      <c r="AC1257" s="8"/>
      <c r="AD1257" s="8"/>
      <c r="AE1257" s="8"/>
    </row>
    <row r="1258">
      <c r="A1258" s="12">
        <v>38.0</v>
      </c>
      <c r="B1258" s="8" t="s">
        <v>319</v>
      </c>
      <c r="C1258" s="8" t="s">
        <v>992</v>
      </c>
      <c r="I1258" s="10" t="s">
        <v>1027</v>
      </c>
      <c r="J1258" s="13" t="s">
        <v>1000</v>
      </c>
      <c r="K1258" s="13" t="s">
        <v>276</v>
      </c>
      <c r="L1258" s="13" t="s">
        <v>1785</v>
      </c>
      <c r="M1258" s="7" t="s">
        <v>253</v>
      </c>
      <c r="N1258" s="7" t="s">
        <v>253</v>
      </c>
      <c r="O1258" s="7" t="s">
        <v>254</v>
      </c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  <c r="AA1258" s="8"/>
      <c r="AB1258" s="8"/>
      <c r="AC1258" s="8"/>
      <c r="AD1258" s="8"/>
      <c r="AE1258" s="8"/>
    </row>
    <row r="1259">
      <c r="A1259" s="12">
        <v>38.0</v>
      </c>
      <c r="B1259" s="8" t="s">
        <v>319</v>
      </c>
      <c r="C1259" s="8" t="s">
        <v>992</v>
      </c>
      <c r="I1259" s="10" t="s">
        <v>331</v>
      </c>
      <c r="J1259" s="13" t="s">
        <v>996</v>
      </c>
      <c r="K1259" s="13" t="s">
        <v>276</v>
      </c>
      <c r="L1259" s="13" t="s">
        <v>1785</v>
      </c>
      <c r="M1259" s="7" t="s">
        <v>253</v>
      </c>
      <c r="N1259" s="7" t="s">
        <v>253</v>
      </c>
      <c r="O1259" s="7" t="s">
        <v>254</v>
      </c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  <c r="AA1259" s="8"/>
      <c r="AB1259" s="8"/>
      <c r="AC1259" s="8"/>
      <c r="AD1259" s="8"/>
      <c r="AE1259" s="8"/>
    </row>
    <row r="1260">
      <c r="A1260" s="12">
        <v>38.0</v>
      </c>
      <c r="B1260" s="8" t="s">
        <v>319</v>
      </c>
      <c r="C1260" s="8" t="s">
        <v>992</v>
      </c>
      <c r="I1260" s="10" t="s">
        <v>326</v>
      </c>
      <c r="J1260" s="13" t="s">
        <v>1000</v>
      </c>
      <c r="K1260" s="13" t="s">
        <v>276</v>
      </c>
      <c r="L1260" s="13" t="s">
        <v>1785</v>
      </c>
      <c r="M1260" s="7" t="s">
        <v>253</v>
      </c>
      <c r="N1260" s="7" t="s">
        <v>253</v>
      </c>
      <c r="O1260" s="7" t="s">
        <v>254</v>
      </c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  <c r="AA1260" s="8"/>
      <c r="AB1260" s="8"/>
      <c r="AC1260" s="8"/>
      <c r="AD1260" s="8"/>
      <c r="AE1260" s="8"/>
    </row>
    <row r="1261">
      <c r="A1261" s="12">
        <v>38.0</v>
      </c>
      <c r="B1261" s="8" t="s">
        <v>319</v>
      </c>
      <c r="C1261" s="8" t="s">
        <v>992</v>
      </c>
      <c r="I1261" s="10" t="s">
        <v>923</v>
      </c>
      <c r="J1261" s="13" t="s">
        <v>996</v>
      </c>
      <c r="K1261" s="13" t="s">
        <v>276</v>
      </c>
      <c r="L1261" s="13" t="s">
        <v>1785</v>
      </c>
      <c r="M1261" s="7" t="s">
        <v>253</v>
      </c>
      <c r="N1261" s="7" t="s">
        <v>253</v>
      </c>
      <c r="O1261" s="7" t="s">
        <v>254</v>
      </c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  <c r="AA1261" s="8"/>
      <c r="AB1261" s="8"/>
      <c r="AC1261" s="8"/>
      <c r="AD1261" s="8"/>
      <c r="AE1261" s="8"/>
    </row>
    <row r="1262">
      <c r="A1262" s="12">
        <v>38.0</v>
      </c>
      <c r="B1262" s="8" t="s">
        <v>319</v>
      </c>
      <c r="C1262" s="8" t="s">
        <v>992</v>
      </c>
      <c r="I1262" s="10" t="s">
        <v>927</v>
      </c>
      <c r="J1262" s="13" t="s">
        <v>1000</v>
      </c>
      <c r="K1262" s="13" t="s">
        <v>276</v>
      </c>
      <c r="L1262" s="13" t="s">
        <v>1785</v>
      </c>
      <c r="M1262" s="7" t="s">
        <v>253</v>
      </c>
      <c r="N1262" s="7" t="s">
        <v>253</v>
      </c>
      <c r="O1262" s="7" t="s">
        <v>254</v>
      </c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  <c r="AA1262" s="8"/>
      <c r="AB1262" s="8"/>
      <c r="AC1262" s="8"/>
      <c r="AD1262" s="8"/>
      <c r="AE1262" s="8"/>
    </row>
    <row r="1263">
      <c r="A1263" s="12">
        <v>39.0</v>
      </c>
      <c r="B1263" s="8" t="s">
        <v>320</v>
      </c>
      <c r="C1263" s="8" t="s">
        <v>992</v>
      </c>
      <c r="D1263" s="25">
        <f>IF(COUNTIF($B$2:$B1263,$B1263)&gt;1,"",COUNTIF($B$2:$B$2505,$B1263))</f>
        <v>12</v>
      </c>
      <c r="E1263" s="25">
        <f>IF(COUNTIF($B$2:$B1263,$B1263)&gt;1,"",COUNTIFS($B$2:$B$2505,$B1263,$K$2:$K$2505,"PHÙ HỢP CAO"))</f>
        <v>3</v>
      </c>
      <c r="F1263" s="25">
        <f>IF(COUNTIF($B$2:$B1263,$B1263)&gt;1,"",COUNTIFS($B$2:$B$2505,$B1263,$K$2:$K$2505,"CÓ THỂ ĐI"))</f>
        <v>2</v>
      </c>
      <c r="G1263" s="25">
        <f>IF(COUNTIF($B$2:$B1263,$B1263)&gt;1,"",COUNTIFS($B$2:$B$2505,$B1263,$K$2:$K$2505,"CẦN SOÁT"))</f>
        <v>7</v>
      </c>
      <c r="H1263" s="26" t="str">
        <f>IFERROR(__xludf.DUMMYFUNCTION("IF(COUNTIF($B$2:$B1263,$B1263)&gt;1,"""",IFERROR(TEXTJOIN(CHAR(10),TRUE,BYROW(QUERY({$B$2:$B$2505,$J$2:$J$2505},""select Col2, count(Col2) where Col1 = '""&amp;$B1263&amp;""' group by Col2 order by count(Col2) desc label count(Col2) ''"",0),LAMBDA(r,INDEX(r,1,1)&amp;"" "&amp;"– ""&amp;INDEX(r,1,2)&amp;"" link""))),""""))"),"1 đô bằng bao nhiêu tiền Việt – 4 link
1 đô la Mỹ bằng bao nhiêu tiền Việt – 4 link
tỷ giá USD/VND – 4 link")</f>
        <v>1 đô bằng bao nhiêu tiền Việt – 4 link
1 đô la Mỹ bằng bao nhiêu tiền Việt – 4 link
tỷ giá USD/VND – 4 link</v>
      </c>
      <c r="I1263" s="10" t="s">
        <v>1006</v>
      </c>
      <c r="J1263" s="13" t="s">
        <v>1008</v>
      </c>
      <c r="K1263" s="13" t="s">
        <v>251</v>
      </c>
      <c r="L1263" s="13" t="s">
        <v>1789</v>
      </c>
      <c r="M1263" s="7" t="s">
        <v>253</v>
      </c>
      <c r="N1263" s="7" t="s">
        <v>253</v>
      </c>
      <c r="O1263" s="7" t="s">
        <v>254</v>
      </c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  <c r="AA1263" s="8"/>
      <c r="AB1263" s="8"/>
      <c r="AC1263" s="8"/>
      <c r="AD1263" s="8"/>
      <c r="AE1263" s="8"/>
    </row>
    <row r="1264">
      <c r="A1264" s="12">
        <v>39.0</v>
      </c>
      <c r="B1264" s="8" t="s">
        <v>320</v>
      </c>
      <c r="C1264" s="8" t="s">
        <v>992</v>
      </c>
      <c r="I1264" s="10" t="s">
        <v>1010</v>
      </c>
      <c r="J1264" s="13" t="s">
        <v>1012</v>
      </c>
      <c r="K1264" s="13" t="s">
        <v>251</v>
      </c>
      <c r="L1264" s="13" t="s">
        <v>1790</v>
      </c>
      <c r="M1264" s="7" t="s">
        <v>253</v>
      </c>
      <c r="N1264" s="7" t="s">
        <v>253</v>
      </c>
      <c r="O1264" s="7" t="s">
        <v>254</v>
      </c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  <c r="AA1264" s="8"/>
      <c r="AB1264" s="8"/>
      <c r="AC1264" s="8"/>
      <c r="AD1264" s="8"/>
      <c r="AE1264" s="8"/>
    </row>
    <row r="1265">
      <c r="A1265" s="12">
        <v>39.0</v>
      </c>
      <c r="B1265" s="8" t="s">
        <v>320</v>
      </c>
      <c r="C1265" s="8" t="s">
        <v>992</v>
      </c>
      <c r="I1265" s="10" t="s">
        <v>1014</v>
      </c>
      <c r="J1265" s="13" t="s">
        <v>1016</v>
      </c>
      <c r="K1265" s="13" t="s">
        <v>251</v>
      </c>
      <c r="L1265" s="13" t="s">
        <v>1791</v>
      </c>
      <c r="M1265" s="7" t="s">
        <v>253</v>
      </c>
      <c r="N1265" s="7" t="s">
        <v>253</v>
      </c>
      <c r="O1265" s="7" t="s">
        <v>254</v>
      </c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  <c r="AA1265" s="8"/>
      <c r="AB1265" s="8"/>
      <c r="AC1265" s="8"/>
      <c r="AD1265" s="8"/>
      <c r="AE1265" s="8"/>
    </row>
    <row r="1266">
      <c r="A1266" s="12">
        <v>39.0</v>
      </c>
      <c r="B1266" s="8" t="s">
        <v>320</v>
      </c>
      <c r="C1266" s="8" t="s">
        <v>992</v>
      </c>
      <c r="I1266" s="10" t="s">
        <v>1017</v>
      </c>
      <c r="J1266" s="13" t="s">
        <v>1008</v>
      </c>
      <c r="K1266" s="13" t="s">
        <v>272</v>
      </c>
      <c r="L1266" s="13" t="s">
        <v>1792</v>
      </c>
      <c r="M1266" s="7" t="s">
        <v>253</v>
      </c>
      <c r="N1266" s="7" t="s">
        <v>253</v>
      </c>
      <c r="O1266" s="7" t="s">
        <v>254</v>
      </c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  <c r="AA1266" s="8"/>
      <c r="AB1266" s="8"/>
      <c r="AC1266" s="8"/>
      <c r="AD1266" s="8"/>
      <c r="AE1266" s="8"/>
    </row>
    <row r="1267">
      <c r="A1267" s="12">
        <v>39.0</v>
      </c>
      <c r="B1267" s="8" t="s">
        <v>320</v>
      </c>
      <c r="C1267" s="8" t="s">
        <v>992</v>
      </c>
      <c r="I1267" s="10" t="s">
        <v>1020</v>
      </c>
      <c r="J1267" s="13" t="s">
        <v>1012</v>
      </c>
      <c r="K1267" s="13" t="s">
        <v>272</v>
      </c>
      <c r="L1267" s="13" t="s">
        <v>1793</v>
      </c>
      <c r="M1267" s="7" t="s">
        <v>253</v>
      </c>
      <c r="N1267" s="7" t="s">
        <v>253</v>
      </c>
      <c r="O1267" s="7" t="s">
        <v>254</v>
      </c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  <c r="AA1267" s="8"/>
      <c r="AB1267" s="8"/>
      <c r="AC1267" s="8"/>
      <c r="AD1267" s="8"/>
      <c r="AE1267" s="8"/>
    </row>
    <row r="1268">
      <c r="A1268" s="12">
        <v>39.0</v>
      </c>
      <c r="B1268" s="8" t="s">
        <v>320</v>
      </c>
      <c r="C1268" s="8" t="s">
        <v>992</v>
      </c>
      <c r="I1268" s="10" t="s">
        <v>1794</v>
      </c>
      <c r="J1268" s="13" t="s">
        <v>1016</v>
      </c>
      <c r="K1268" s="13" t="s">
        <v>276</v>
      </c>
      <c r="L1268" s="13" t="s">
        <v>1795</v>
      </c>
      <c r="M1268" s="7" t="s">
        <v>253</v>
      </c>
      <c r="N1268" s="7" t="s">
        <v>253</v>
      </c>
      <c r="O1268" s="7" t="s">
        <v>254</v>
      </c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  <c r="AA1268" s="8"/>
      <c r="AB1268" s="8"/>
      <c r="AC1268" s="8"/>
      <c r="AD1268" s="8"/>
      <c r="AE1268" s="8"/>
    </row>
    <row r="1269">
      <c r="A1269" s="12">
        <v>39.0</v>
      </c>
      <c r="B1269" s="8" t="s">
        <v>320</v>
      </c>
      <c r="C1269" s="8" t="s">
        <v>992</v>
      </c>
      <c r="I1269" s="10" t="s">
        <v>1063</v>
      </c>
      <c r="J1269" s="13" t="s">
        <v>1008</v>
      </c>
      <c r="K1269" s="13" t="s">
        <v>276</v>
      </c>
      <c r="L1269" s="13" t="s">
        <v>1795</v>
      </c>
      <c r="M1269" s="7" t="s">
        <v>253</v>
      </c>
      <c r="N1269" s="7" t="s">
        <v>253</v>
      </c>
      <c r="O1269" s="7" t="s">
        <v>254</v>
      </c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  <c r="AA1269" s="8"/>
      <c r="AB1269" s="8"/>
      <c r="AC1269" s="8"/>
      <c r="AD1269" s="8"/>
      <c r="AE1269" s="8"/>
    </row>
    <row r="1270">
      <c r="A1270" s="12">
        <v>39.0</v>
      </c>
      <c r="B1270" s="8" t="s">
        <v>320</v>
      </c>
      <c r="C1270" s="8" t="s">
        <v>992</v>
      </c>
      <c r="I1270" s="10" t="s">
        <v>1023</v>
      </c>
      <c r="J1270" s="13" t="s">
        <v>1012</v>
      </c>
      <c r="K1270" s="13" t="s">
        <v>276</v>
      </c>
      <c r="L1270" s="13" t="s">
        <v>1795</v>
      </c>
      <c r="M1270" s="7" t="s">
        <v>253</v>
      </c>
      <c r="N1270" s="7" t="s">
        <v>253</v>
      </c>
      <c r="O1270" s="7" t="s">
        <v>254</v>
      </c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  <c r="AA1270" s="8"/>
      <c r="AB1270" s="8"/>
      <c r="AC1270" s="8"/>
      <c r="AD1270" s="8"/>
      <c r="AE1270" s="8"/>
    </row>
    <row r="1271">
      <c r="A1271" s="12">
        <v>39.0</v>
      </c>
      <c r="B1271" s="8" t="s">
        <v>320</v>
      </c>
      <c r="C1271" s="8" t="s">
        <v>992</v>
      </c>
      <c r="I1271" s="10" t="s">
        <v>1774</v>
      </c>
      <c r="J1271" s="13" t="s">
        <v>1016</v>
      </c>
      <c r="K1271" s="13" t="s">
        <v>276</v>
      </c>
      <c r="L1271" s="13" t="s">
        <v>1796</v>
      </c>
      <c r="M1271" s="7" t="s">
        <v>253</v>
      </c>
      <c r="N1271" s="7" t="s">
        <v>253</v>
      </c>
      <c r="O1271" s="7" t="s">
        <v>254</v>
      </c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  <c r="AA1271" s="8"/>
      <c r="AB1271" s="8"/>
      <c r="AC1271" s="8"/>
      <c r="AD1271" s="8"/>
      <c r="AE1271" s="8"/>
    </row>
    <row r="1272">
      <c r="A1272" s="12">
        <v>39.0</v>
      </c>
      <c r="B1272" s="8" t="s">
        <v>320</v>
      </c>
      <c r="C1272" s="8" t="s">
        <v>992</v>
      </c>
      <c r="I1272" s="10" t="s">
        <v>333</v>
      </c>
      <c r="J1272" s="13" t="s">
        <v>1008</v>
      </c>
      <c r="K1272" s="13" t="s">
        <v>276</v>
      </c>
      <c r="L1272" s="13" t="s">
        <v>1797</v>
      </c>
      <c r="M1272" s="7" t="s">
        <v>253</v>
      </c>
      <c r="N1272" s="7" t="s">
        <v>253</v>
      </c>
      <c r="O1272" s="7" t="s">
        <v>254</v>
      </c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  <c r="AA1272" s="8"/>
      <c r="AB1272" s="8"/>
      <c r="AC1272" s="8"/>
      <c r="AD1272" s="8"/>
      <c r="AE1272" s="8"/>
    </row>
    <row r="1273">
      <c r="A1273" s="12">
        <v>39.0</v>
      </c>
      <c r="B1273" s="8" t="s">
        <v>320</v>
      </c>
      <c r="C1273" s="8" t="s">
        <v>992</v>
      </c>
      <c r="I1273" s="10" t="s">
        <v>1051</v>
      </c>
      <c r="J1273" s="13" t="s">
        <v>1012</v>
      </c>
      <c r="K1273" s="13" t="s">
        <v>276</v>
      </c>
      <c r="L1273" s="13" t="s">
        <v>1798</v>
      </c>
      <c r="M1273" s="7" t="s">
        <v>253</v>
      </c>
      <c r="N1273" s="7" t="s">
        <v>253</v>
      </c>
      <c r="O1273" s="7" t="s">
        <v>254</v>
      </c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  <c r="AA1273" s="8"/>
      <c r="AB1273" s="8"/>
      <c r="AC1273" s="8"/>
      <c r="AD1273" s="8"/>
      <c r="AE1273" s="8"/>
    </row>
    <row r="1274">
      <c r="A1274" s="12">
        <v>39.0</v>
      </c>
      <c r="B1274" s="8" t="s">
        <v>320</v>
      </c>
      <c r="C1274" s="8" t="s">
        <v>992</v>
      </c>
      <c r="I1274" s="10" t="s">
        <v>330</v>
      </c>
      <c r="J1274" s="13" t="s">
        <v>1016</v>
      </c>
      <c r="K1274" s="13" t="s">
        <v>276</v>
      </c>
      <c r="L1274" s="13" t="s">
        <v>1799</v>
      </c>
      <c r="M1274" s="7" t="s">
        <v>253</v>
      </c>
      <c r="N1274" s="7" t="s">
        <v>253</v>
      </c>
      <c r="O1274" s="7" t="s">
        <v>254</v>
      </c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  <c r="AA1274" s="8"/>
      <c r="AB1274" s="8"/>
      <c r="AC1274" s="8"/>
      <c r="AD1274" s="8"/>
      <c r="AE1274" s="8"/>
    </row>
    <row r="1275">
      <c r="A1275" s="12">
        <v>40.0</v>
      </c>
      <c r="B1275" s="8" t="s">
        <v>322</v>
      </c>
      <c r="C1275" s="8" t="s">
        <v>992</v>
      </c>
      <c r="D1275" s="25">
        <f>IF(COUNTIF($B$2:$B1275,$B1275)&gt;1,"",COUNTIF($B$2:$B$2505,$B1275))</f>
        <v>8</v>
      </c>
      <c r="E1275" s="25">
        <f>IF(COUNTIF($B$2:$B1275,$B1275)&gt;1,"",COUNTIFS($B$2:$B$2505,$B1275,$K$2:$K$2505,"PHÙ HỢP CAO"))</f>
        <v>4</v>
      </c>
      <c r="F1275" s="25">
        <f>IF(COUNTIF($B$2:$B1275,$B1275)&gt;1,"",COUNTIFS($B$2:$B$2505,$B1275,$K$2:$K$2505,"CÓ THỂ ĐI"))</f>
        <v>1</v>
      </c>
      <c r="G1275" s="25">
        <f>IF(COUNTIF($B$2:$B1275,$B1275)&gt;1,"",COUNTIFS($B$2:$B$2505,$B1275,$K$2:$K$2505,"CẦN SOÁT"))</f>
        <v>3</v>
      </c>
      <c r="H1275" s="26" t="str">
        <f>IFERROR(__xludf.DUMMYFUNCTION("IF(COUNTIF($B$2:$B1275,$B1275)&gt;1,"""",IFERROR(TEXTJOIN(CHAR(10),TRUE,BYROW(QUERY({$B$2:$B$2505,$J$2:$J$2505},""select Col2, count(Col2) where Col1 = '""&amp;$B1275&amp;""' group by Col2 order by count(Col2) desc label count(Col2) ''"",0),LAMBDA(r,INDEX(r,1,1)&amp;"" "&amp;"– ""&amp;INDEX(r,1,2)&amp;"" link""))),""""))"),"tiền Nhật – 4 link
tiền Yên Nhật – 4 link")</f>
        <v>tiền Nhật – 4 link
tiền Yên Nhật – 4 link</v>
      </c>
      <c r="I1275" s="10" t="s">
        <v>1024</v>
      </c>
      <c r="J1275" s="13" t="s">
        <v>1026</v>
      </c>
      <c r="K1275" s="13" t="s">
        <v>251</v>
      </c>
      <c r="L1275" s="13" t="s">
        <v>1800</v>
      </c>
      <c r="M1275" s="7" t="s">
        <v>253</v>
      </c>
      <c r="N1275" s="7" t="s">
        <v>253</v>
      </c>
      <c r="O1275" s="7" t="s">
        <v>254</v>
      </c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  <c r="AA1275" s="8"/>
      <c r="AB1275" s="8"/>
      <c r="AC1275" s="8"/>
      <c r="AD1275" s="8"/>
      <c r="AE1275" s="8"/>
    </row>
    <row r="1276">
      <c r="A1276" s="12">
        <v>40.0</v>
      </c>
      <c r="B1276" s="8" t="s">
        <v>322</v>
      </c>
      <c r="C1276" s="8" t="s">
        <v>992</v>
      </c>
      <c r="I1276" s="10" t="s">
        <v>1027</v>
      </c>
      <c r="J1276" s="13" t="s">
        <v>1030</v>
      </c>
      <c r="K1276" s="13" t="s">
        <v>251</v>
      </c>
      <c r="L1276" s="13" t="s">
        <v>1801</v>
      </c>
      <c r="M1276" s="7" t="s">
        <v>253</v>
      </c>
      <c r="N1276" s="7" t="s">
        <v>253</v>
      </c>
      <c r="O1276" s="7" t="s">
        <v>254</v>
      </c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  <c r="AA1276" s="8"/>
      <c r="AB1276" s="8"/>
      <c r="AC1276" s="8"/>
      <c r="AD1276" s="8"/>
      <c r="AE1276" s="8"/>
    </row>
    <row r="1277">
      <c r="A1277" s="12">
        <v>40.0</v>
      </c>
      <c r="B1277" s="8" t="s">
        <v>322</v>
      </c>
      <c r="C1277" s="8" t="s">
        <v>992</v>
      </c>
      <c r="I1277" s="10" t="s">
        <v>323</v>
      </c>
      <c r="J1277" s="13" t="s">
        <v>1026</v>
      </c>
      <c r="K1277" s="13" t="s">
        <v>251</v>
      </c>
      <c r="L1277" s="13" t="s">
        <v>1802</v>
      </c>
      <c r="M1277" s="7" t="s">
        <v>253</v>
      </c>
      <c r="N1277" s="7" t="s">
        <v>253</v>
      </c>
      <c r="O1277" s="7" t="s">
        <v>254</v>
      </c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  <c r="AA1277" s="8"/>
      <c r="AB1277" s="8"/>
      <c r="AC1277" s="8"/>
      <c r="AD1277" s="8"/>
      <c r="AE1277" s="8"/>
    </row>
    <row r="1278">
      <c r="A1278" s="12">
        <v>40.0</v>
      </c>
      <c r="B1278" s="8" t="s">
        <v>322</v>
      </c>
      <c r="C1278" s="8" t="s">
        <v>992</v>
      </c>
      <c r="I1278" s="10" t="s">
        <v>328</v>
      </c>
      <c r="J1278" s="13" t="s">
        <v>1030</v>
      </c>
      <c r="K1278" s="13" t="s">
        <v>251</v>
      </c>
      <c r="L1278" s="13" t="s">
        <v>1803</v>
      </c>
      <c r="M1278" s="7" t="s">
        <v>253</v>
      </c>
      <c r="N1278" s="7" t="s">
        <v>253</v>
      </c>
      <c r="O1278" s="7" t="s">
        <v>254</v>
      </c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  <c r="AA1278" s="8"/>
      <c r="AB1278" s="8"/>
      <c r="AC1278" s="8"/>
      <c r="AD1278" s="8"/>
      <c r="AE1278" s="8"/>
    </row>
    <row r="1279">
      <c r="A1279" s="12">
        <v>40.0</v>
      </c>
      <c r="B1279" s="8" t="s">
        <v>322</v>
      </c>
      <c r="C1279" s="8" t="s">
        <v>992</v>
      </c>
      <c r="I1279" s="10" t="s">
        <v>1804</v>
      </c>
      <c r="J1279" s="13" t="s">
        <v>1026</v>
      </c>
      <c r="K1279" s="13" t="s">
        <v>272</v>
      </c>
      <c r="L1279" s="13" t="s">
        <v>1805</v>
      </c>
      <c r="M1279" s="7" t="s">
        <v>253</v>
      </c>
      <c r="N1279" s="7" t="s">
        <v>253</v>
      </c>
      <c r="O1279" s="7" t="s">
        <v>254</v>
      </c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  <c r="AA1279" s="8"/>
      <c r="AB1279" s="8"/>
      <c r="AC1279" s="8"/>
      <c r="AD1279" s="8"/>
      <c r="AE1279" s="8"/>
    </row>
    <row r="1280">
      <c r="A1280" s="12">
        <v>40.0</v>
      </c>
      <c r="B1280" s="8" t="s">
        <v>322</v>
      </c>
      <c r="C1280" s="8" t="s">
        <v>992</v>
      </c>
      <c r="I1280" s="10" t="s">
        <v>1806</v>
      </c>
      <c r="J1280" s="13" t="s">
        <v>1030</v>
      </c>
      <c r="K1280" s="13" t="s">
        <v>276</v>
      </c>
      <c r="L1280" s="13" t="s">
        <v>1807</v>
      </c>
      <c r="M1280" s="7" t="s">
        <v>253</v>
      </c>
      <c r="N1280" s="7" t="s">
        <v>253</v>
      </c>
      <c r="O1280" s="7" t="s">
        <v>254</v>
      </c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  <c r="AA1280" s="8"/>
      <c r="AB1280" s="8"/>
      <c r="AC1280" s="8"/>
      <c r="AD1280" s="8"/>
      <c r="AE1280" s="8"/>
    </row>
    <row r="1281">
      <c r="A1281" s="12">
        <v>40.0</v>
      </c>
      <c r="B1281" s="8" t="s">
        <v>322</v>
      </c>
      <c r="C1281" s="8" t="s">
        <v>992</v>
      </c>
      <c r="I1281" s="10" t="s">
        <v>1063</v>
      </c>
      <c r="J1281" s="13" t="s">
        <v>1026</v>
      </c>
      <c r="K1281" s="13" t="s">
        <v>276</v>
      </c>
      <c r="L1281" s="13" t="s">
        <v>1807</v>
      </c>
      <c r="M1281" s="7" t="s">
        <v>253</v>
      </c>
      <c r="N1281" s="7" t="s">
        <v>253</v>
      </c>
      <c r="O1281" s="7" t="s">
        <v>254</v>
      </c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  <c r="AA1281" s="8"/>
      <c r="AB1281" s="8"/>
      <c r="AC1281" s="8"/>
      <c r="AD1281" s="8"/>
      <c r="AE1281" s="8"/>
    </row>
    <row r="1282">
      <c r="A1282" s="12">
        <v>40.0</v>
      </c>
      <c r="B1282" s="8" t="s">
        <v>322</v>
      </c>
      <c r="C1282" s="8" t="s">
        <v>992</v>
      </c>
      <c r="I1282" s="10" t="s">
        <v>1035</v>
      </c>
      <c r="J1282" s="13" t="s">
        <v>1030</v>
      </c>
      <c r="K1282" s="13" t="s">
        <v>276</v>
      </c>
      <c r="L1282" s="13" t="s">
        <v>1808</v>
      </c>
      <c r="M1282" s="7" t="s">
        <v>253</v>
      </c>
      <c r="N1282" s="7" t="s">
        <v>253</v>
      </c>
      <c r="O1282" s="7" t="s">
        <v>254</v>
      </c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  <c r="AA1282" s="8"/>
      <c r="AB1282" s="8"/>
      <c r="AC1282" s="8"/>
      <c r="AD1282" s="8"/>
      <c r="AE1282" s="8"/>
    </row>
    <row r="1283">
      <c r="A1283" s="12">
        <v>41.0</v>
      </c>
      <c r="B1283" s="8" t="s">
        <v>323</v>
      </c>
      <c r="C1283" s="8" t="s">
        <v>992</v>
      </c>
      <c r="D1283" s="25">
        <f>IF(COUNTIF($B$2:$B1283,$B1283)&gt;1,"",COUNTIF($B$2:$B$2505,$B1283))</f>
        <v>7</v>
      </c>
      <c r="E1283" s="25">
        <f>IF(COUNTIF($B$2:$B1283,$B1283)&gt;1,"",COUNTIFS($B$2:$B$2505,$B1283,$K$2:$K$2505,"PHÙ HỢP CAO"))</f>
        <v>3</v>
      </c>
      <c r="F1283" s="25">
        <f>IF(COUNTIF($B$2:$B1283,$B1283)&gt;1,"",COUNTIFS($B$2:$B$2505,$B1283,$K$2:$K$2505,"CÓ THỂ ĐI"))</f>
        <v>1</v>
      </c>
      <c r="G1283" s="25">
        <f>IF(COUNTIF($B$2:$B1283,$B1283)&gt;1,"",COUNTIFS($B$2:$B$2505,$B1283,$K$2:$K$2505,"CẦN SOÁT"))</f>
        <v>3</v>
      </c>
      <c r="H1283" s="26" t="str">
        <f>IFERROR(__xludf.DUMMYFUNCTION("IF(COUNTIF($B$2:$B1283,$B1283)&gt;1,"""",IFERROR(TEXTJOIN(CHAR(10),TRUE,BYROW(QUERY({$B$2:$B$2505,$J$2:$J$2505},""select Col2, count(Col2) where Col1 = '""&amp;$B1283&amp;""' group by Col2 order by count(Col2) desc label count(Col2) ''"",0),LAMBDA(r,INDEX(r,1,1)&amp;"" "&amp;"– ""&amp;INDEX(r,1,2)&amp;"" link""))),""""))"),"1 Yên bằng bao nhiêu tiền Việt – 4 link
tỷ giá Yên Nhật – 3 link")</f>
        <v>1 Yên bằng bao nhiêu tiền Việt – 4 link
tỷ giá Yên Nhật – 3 link</v>
      </c>
      <c r="I1283" s="10" t="s">
        <v>1035</v>
      </c>
      <c r="J1283" s="13" t="s">
        <v>1037</v>
      </c>
      <c r="K1283" s="13" t="s">
        <v>251</v>
      </c>
      <c r="L1283" s="13" t="s">
        <v>1809</v>
      </c>
      <c r="M1283" s="7" t="s">
        <v>253</v>
      </c>
      <c r="N1283" s="7" t="s">
        <v>253</v>
      </c>
      <c r="O1283" s="7" t="s">
        <v>254</v>
      </c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  <c r="AA1283" s="8"/>
      <c r="AB1283" s="8"/>
      <c r="AC1283" s="8"/>
      <c r="AD1283" s="8"/>
      <c r="AE1283" s="8"/>
    </row>
    <row r="1284">
      <c r="A1284" s="12">
        <v>41.0</v>
      </c>
      <c r="B1284" s="8" t="s">
        <v>323</v>
      </c>
      <c r="C1284" s="8" t="s">
        <v>992</v>
      </c>
      <c r="I1284" s="10" t="s">
        <v>322</v>
      </c>
      <c r="J1284" s="13" t="s">
        <v>1039</v>
      </c>
      <c r="K1284" s="13" t="s">
        <v>251</v>
      </c>
      <c r="L1284" s="13" t="s">
        <v>1810</v>
      </c>
      <c r="M1284" s="7" t="s">
        <v>253</v>
      </c>
      <c r="N1284" s="7" t="s">
        <v>253</v>
      </c>
      <c r="O1284" s="7" t="s">
        <v>254</v>
      </c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  <c r="AA1284" s="8"/>
      <c r="AB1284" s="8"/>
      <c r="AC1284" s="8"/>
      <c r="AD1284" s="8"/>
      <c r="AE1284" s="8"/>
    </row>
    <row r="1285">
      <c r="A1285" s="12">
        <v>41.0</v>
      </c>
      <c r="B1285" s="8" t="s">
        <v>323</v>
      </c>
      <c r="C1285" s="8" t="s">
        <v>992</v>
      </c>
      <c r="I1285" s="10" t="s">
        <v>328</v>
      </c>
      <c r="J1285" s="13" t="s">
        <v>1037</v>
      </c>
      <c r="K1285" s="13" t="s">
        <v>251</v>
      </c>
      <c r="L1285" s="13" t="s">
        <v>1811</v>
      </c>
      <c r="M1285" s="7" t="s">
        <v>253</v>
      </c>
      <c r="N1285" s="7" t="s">
        <v>253</v>
      </c>
      <c r="O1285" s="7" t="s">
        <v>254</v>
      </c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  <c r="AA1285" s="8"/>
      <c r="AB1285" s="8"/>
      <c r="AC1285" s="8"/>
      <c r="AD1285" s="8"/>
      <c r="AE1285" s="8"/>
    </row>
    <row r="1286">
      <c r="A1286" s="12">
        <v>41.0</v>
      </c>
      <c r="B1286" s="8" t="s">
        <v>323</v>
      </c>
      <c r="C1286" s="8" t="s">
        <v>992</v>
      </c>
      <c r="I1286" s="10" t="s">
        <v>1027</v>
      </c>
      <c r="J1286" s="13" t="s">
        <v>1039</v>
      </c>
      <c r="K1286" s="13" t="s">
        <v>272</v>
      </c>
      <c r="L1286" s="13" t="s">
        <v>1812</v>
      </c>
      <c r="M1286" s="7" t="s">
        <v>253</v>
      </c>
      <c r="N1286" s="7" t="s">
        <v>253</v>
      </c>
      <c r="O1286" s="7" t="s">
        <v>254</v>
      </c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  <c r="AA1286" s="8"/>
      <c r="AB1286" s="8"/>
      <c r="AC1286" s="8"/>
      <c r="AD1286" s="8"/>
      <c r="AE1286" s="8"/>
    </row>
    <row r="1287">
      <c r="A1287" s="12">
        <v>41.0</v>
      </c>
      <c r="B1287" s="8" t="s">
        <v>323</v>
      </c>
      <c r="C1287" s="8" t="s">
        <v>992</v>
      </c>
      <c r="I1287" s="10" t="s">
        <v>1806</v>
      </c>
      <c r="J1287" s="13" t="s">
        <v>1037</v>
      </c>
      <c r="K1287" s="13" t="s">
        <v>276</v>
      </c>
      <c r="L1287" s="13" t="s">
        <v>1807</v>
      </c>
      <c r="M1287" s="7" t="s">
        <v>253</v>
      </c>
      <c r="N1287" s="7" t="s">
        <v>253</v>
      </c>
      <c r="O1287" s="7" t="s">
        <v>254</v>
      </c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  <c r="AA1287" s="8"/>
      <c r="AB1287" s="8"/>
      <c r="AC1287" s="8"/>
      <c r="AD1287" s="8"/>
      <c r="AE1287" s="8"/>
    </row>
    <row r="1288">
      <c r="A1288" s="12">
        <v>41.0</v>
      </c>
      <c r="B1288" s="8" t="s">
        <v>323</v>
      </c>
      <c r="C1288" s="8" t="s">
        <v>992</v>
      </c>
      <c r="I1288" s="10" t="s">
        <v>1063</v>
      </c>
      <c r="J1288" s="13" t="s">
        <v>1039</v>
      </c>
      <c r="K1288" s="13" t="s">
        <v>276</v>
      </c>
      <c r="L1288" s="13" t="s">
        <v>1807</v>
      </c>
      <c r="M1288" s="7" t="s">
        <v>253</v>
      </c>
      <c r="N1288" s="7" t="s">
        <v>253</v>
      </c>
      <c r="O1288" s="7" t="s">
        <v>254</v>
      </c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  <c r="AA1288" s="8"/>
      <c r="AB1288" s="8"/>
      <c r="AC1288" s="8"/>
      <c r="AD1288" s="8"/>
      <c r="AE1288" s="8"/>
    </row>
    <row r="1289">
      <c r="A1289" s="12">
        <v>41.0</v>
      </c>
      <c r="B1289" s="8" t="s">
        <v>323</v>
      </c>
      <c r="C1289" s="8" t="s">
        <v>992</v>
      </c>
      <c r="I1289" s="10" t="s">
        <v>1024</v>
      </c>
      <c r="J1289" s="13" t="s">
        <v>1037</v>
      </c>
      <c r="K1289" s="13" t="s">
        <v>276</v>
      </c>
      <c r="L1289" s="13" t="s">
        <v>1807</v>
      </c>
      <c r="M1289" s="7" t="s">
        <v>253</v>
      </c>
      <c r="N1289" s="7" t="s">
        <v>253</v>
      </c>
      <c r="O1289" s="7" t="s">
        <v>254</v>
      </c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  <c r="AA1289" s="8"/>
      <c r="AB1289" s="8"/>
      <c r="AC1289" s="8"/>
      <c r="AD1289" s="8"/>
      <c r="AE1289" s="8"/>
    </row>
    <row r="1290">
      <c r="A1290" s="12">
        <v>42.0</v>
      </c>
      <c r="B1290" s="8" t="s">
        <v>324</v>
      </c>
      <c r="C1290" s="8" t="s">
        <v>992</v>
      </c>
      <c r="D1290" s="25">
        <f>IF(COUNTIF($B$2:$B1290,$B1290)&gt;1,"",COUNTIF($B$2:$B$2505,$B1290))</f>
        <v>5</v>
      </c>
      <c r="E1290" s="25">
        <f>IF(COUNTIF($B$2:$B1290,$B1290)&gt;1,"",COUNTIFS($B$2:$B$2505,$B1290,$K$2:$K$2505,"PHÙ HỢP CAO"))</f>
        <v>4</v>
      </c>
      <c r="F1290" s="25">
        <f>IF(COUNTIF($B$2:$B1290,$B1290)&gt;1,"",COUNTIFS($B$2:$B$2505,$B1290,$K$2:$K$2505,"CÓ THỂ ĐI"))</f>
        <v>1</v>
      </c>
      <c r="G1290" s="25">
        <f>IF(COUNTIF($B$2:$B1290,$B1290)&gt;1,"",COUNTIFS($B$2:$B$2505,$B1290,$K$2:$K$2505,"CẦN SOÁT"))</f>
        <v>0</v>
      </c>
      <c r="H1290" s="26" t="str">
        <f>IFERROR(__xludf.DUMMYFUNCTION("IF(COUNTIF($B$2:$B1290,$B1290)&gt;1,"""",IFERROR(TEXTJOIN(CHAR(10),TRUE,BYROW(QUERY({$B$2:$B$2505,$J$2:$J$2505},""select Col2, count(Col2) where Col1 = '""&amp;$B1290&amp;""' group by Col2 order by count(Col2) desc label count(Col2) ''"",0),LAMBDA(r,INDEX(r,1,1)&amp;"" "&amp;"– ""&amp;INDEX(r,1,2)&amp;"" link""))),""""))"),"1 Won bằng bao nhiêu tiền Việt – 3 link
tỷ giá Won – 2 link")</f>
        <v>1 Won bằng bao nhiêu tiền Việt – 3 link
tỷ giá Won – 2 link</v>
      </c>
      <c r="I1290" s="10" t="s">
        <v>1044</v>
      </c>
      <c r="J1290" s="13" t="s">
        <v>1046</v>
      </c>
      <c r="K1290" s="13" t="s">
        <v>251</v>
      </c>
      <c r="L1290" s="13" t="s">
        <v>1813</v>
      </c>
      <c r="M1290" s="7" t="s">
        <v>253</v>
      </c>
      <c r="N1290" s="7" t="s">
        <v>253</v>
      </c>
      <c r="O1290" s="7" t="s">
        <v>254</v>
      </c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  <c r="AA1290" s="8"/>
      <c r="AB1290" s="8"/>
      <c r="AC1290" s="8"/>
      <c r="AD1290" s="8"/>
      <c r="AE1290" s="8"/>
    </row>
    <row r="1291">
      <c r="A1291" s="12">
        <v>42.0</v>
      </c>
      <c r="B1291" s="8" t="s">
        <v>324</v>
      </c>
      <c r="C1291" s="8" t="s">
        <v>992</v>
      </c>
      <c r="I1291" s="10" t="s">
        <v>331</v>
      </c>
      <c r="J1291" s="13" t="s">
        <v>1048</v>
      </c>
      <c r="K1291" s="13" t="s">
        <v>251</v>
      </c>
      <c r="L1291" s="13" t="s">
        <v>1814</v>
      </c>
      <c r="M1291" s="7" t="s">
        <v>253</v>
      </c>
      <c r="N1291" s="7" t="s">
        <v>253</v>
      </c>
      <c r="O1291" s="7" t="s">
        <v>254</v>
      </c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  <c r="AA1291" s="8"/>
      <c r="AB1291" s="8"/>
      <c r="AC1291" s="8"/>
      <c r="AD1291" s="8"/>
      <c r="AE1291" s="8"/>
    </row>
    <row r="1292">
      <c r="A1292" s="12">
        <v>42.0</v>
      </c>
      <c r="B1292" s="8" t="s">
        <v>324</v>
      </c>
      <c r="C1292" s="8" t="s">
        <v>992</v>
      </c>
      <c r="I1292" s="10" t="s">
        <v>1049</v>
      </c>
      <c r="J1292" s="13" t="s">
        <v>1046</v>
      </c>
      <c r="K1292" s="13" t="s">
        <v>251</v>
      </c>
      <c r="L1292" s="13" t="s">
        <v>1815</v>
      </c>
      <c r="M1292" s="7" t="s">
        <v>253</v>
      </c>
      <c r="N1292" s="7" t="s">
        <v>253</v>
      </c>
      <c r="O1292" s="7" t="s">
        <v>254</v>
      </c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  <c r="AA1292" s="8"/>
      <c r="AB1292" s="8"/>
      <c r="AC1292" s="8"/>
      <c r="AD1292" s="8"/>
      <c r="AE1292" s="8"/>
    </row>
    <row r="1293">
      <c r="A1293" s="12">
        <v>42.0</v>
      </c>
      <c r="B1293" s="8" t="s">
        <v>324</v>
      </c>
      <c r="C1293" s="8" t="s">
        <v>992</v>
      </c>
      <c r="I1293" s="10" t="s">
        <v>1043</v>
      </c>
      <c r="J1293" s="13" t="s">
        <v>1048</v>
      </c>
      <c r="K1293" s="13" t="s">
        <v>251</v>
      </c>
      <c r="L1293" s="13" t="s">
        <v>1816</v>
      </c>
      <c r="M1293" s="7" t="s">
        <v>253</v>
      </c>
      <c r="N1293" s="7" t="s">
        <v>253</v>
      </c>
      <c r="O1293" s="7" t="s">
        <v>254</v>
      </c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  <c r="AA1293" s="8"/>
      <c r="AB1293" s="8"/>
      <c r="AC1293" s="8"/>
      <c r="AD1293" s="8"/>
      <c r="AE1293" s="8"/>
    </row>
    <row r="1294">
      <c r="A1294" s="12">
        <v>42.0</v>
      </c>
      <c r="B1294" s="8" t="s">
        <v>324</v>
      </c>
      <c r="C1294" s="8" t="s">
        <v>992</v>
      </c>
      <c r="I1294" s="10" t="s">
        <v>923</v>
      </c>
      <c r="J1294" s="13" t="s">
        <v>1046</v>
      </c>
      <c r="K1294" s="13" t="s">
        <v>272</v>
      </c>
      <c r="L1294" s="13" t="s">
        <v>1817</v>
      </c>
      <c r="M1294" s="7" t="s">
        <v>253</v>
      </c>
      <c r="N1294" s="7" t="s">
        <v>253</v>
      </c>
      <c r="O1294" s="7" t="s">
        <v>254</v>
      </c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  <c r="AA1294" s="8"/>
      <c r="AB1294" s="8"/>
      <c r="AC1294" s="8"/>
      <c r="AD1294" s="8"/>
      <c r="AE1294" s="8"/>
    </row>
    <row r="1295">
      <c r="A1295" s="12">
        <v>43.0</v>
      </c>
      <c r="B1295" s="8" t="s">
        <v>326</v>
      </c>
      <c r="C1295" s="8" t="s">
        <v>992</v>
      </c>
      <c r="D1295" s="25">
        <f>IF(COUNTIF($B$2:$B1295,$B1295)&gt;1,"",COUNTIF($B$2:$B$2505,$B1295))</f>
        <v>5</v>
      </c>
      <c r="E1295" s="25">
        <f>IF(COUNTIF($B$2:$B1295,$B1295)&gt;1,"",COUNTIFS($B$2:$B$2505,$B1295,$K$2:$K$2505,"PHÙ HỢP CAO"))</f>
        <v>1</v>
      </c>
      <c r="F1295" s="25">
        <f>IF(COUNTIF($B$2:$B1295,$B1295)&gt;1,"",COUNTIFS($B$2:$B$2505,$B1295,$K$2:$K$2505,"CÓ THỂ ĐI"))</f>
        <v>3</v>
      </c>
      <c r="G1295" s="25">
        <f>IF(COUNTIF($B$2:$B1295,$B1295)&gt;1,"",COUNTIFS($B$2:$B$2505,$B1295,$K$2:$K$2505,"CẦN SOÁT"))</f>
        <v>1</v>
      </c>
      <c r="H1295" s="26" t="str">
        <f>IFERROR(__xludf.DUMMYFUNCTION("IF(COUNTIF($B$2:$B1295,$B1295)&gt;1,"""",IFERROR(TEXTJOIN(CHAR(10),TRUE,BYROW(QUERY({$B$2:$B$2505,$J$2:$J$2505},""select Col2, count(Col2) where Col1 = '""&amp;$B1295&amp;""' group by Col2 order by count(Col2) desc label count(Col2) ''"",0),LAMBDA(r,INDEX(r,1,1)&amp;"" "&amp;"– ""&amp;INDEX(r,1,2)&amp;"" link""))),""""))"),"Tân Đài tệ – 2 link
tiền Đài Loan – 2 link
tỷ giá Đài tệ – 1 link")</f>
        <v>Tân Đài tệ – 2 link
tiền Đài Loan – 2 link
tỷ giá Đài tệ – 1 link</v>
      </c>
      <c r="I1295" s="10" t="s">
        <v>1055</v>
      </c>
      <c r="J1295" s="13" t="s">
        <v>1057</v>
      </c>
      <c r="K1295" s="13" t="s">
        <v>251</v>
      </c>
      <c r="L1295" s="13" t="s">
        <v>1818</v>
      </c>
      <c r="M1295" s="7" t="s">
        <v>253</v>
      </c>
      <c r="N1295" s="7" t="s">
        <v>253</v>
      </c>
      <c r="O1295" s="7" t="s">
        <v>254</v>
      </c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  <c r="AA1295" s="8"/>
      <c r="AB1295" s="8"/>
      <c r="AC1295" s="8"/>
      <c r="AD1295" s="8"/>
      <c r="AE1295" s="8"/>
    </row>
    <row r="1296">
      <c r="A1296" s="12">
        <v>43.0</v>
      </c>
      <c r="B1296" s="8" t="s">
        <v>326</v>
      </c>
      <c r="C1296" s="8" t="s">
        <v>992</v>
      </c>
      <c r="I1296" s="10" t="s">
        <v>1058</v>
      </c>
      <c r="J1296" s="13" t="s">
        <v>1060</v>
      </c>
      <c r="K1296" s="13" t="s">
        <v>272</v>
      </c>
      <c r="L1296" s="13" t="s">
        <v>1819</v>
      </c>
      <c r="M1296" s="7" t="s">
        <v>253</v>
      </c>
      <c r="N1296" s="7" t="s">
        <v>253</v>
      </c>
      <c r="O1296" s="7" t="s">
        <v>254</v>
      </c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  <c r="AA1296" s="8"/>
      <c r="AB1296" s="8"/>
      <c r="AC1296" s="8"/>
      <c r="AD1296" s="8"/>
      <c r="AE1296" s="8"/>
    </row>
    <row r="1297">
      <c r="A1297" s="12">
        <v>43.0</v>
      </c>
      <c r="B1297" s="8" t="s">
        <v>326</v>
      </c>
      <c r="C1297" s="8" t="s">
        <v>992</v>
      </c>
      <c r="I1297" s="10" t="s">
        <v>923</v>
      </c>
      <c r="J1297" s="13" t="s">
        <v>1062</v>
      </c>
      <c r="K1297" s="13" t="s">
        <v>272</v>
      </c>
      <c r="L1297" s="13" t="s">
        <v>1820</v>
      </c>
      <c r="M1297" s="7" t="s">
        <v>253</v>
      </c>
      <c r="N1297" s="7" t="s">
        <v>253</v>
      </c>
      <c r="O1297" s="7" t="s">
        <v>254</v>
      </c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  <c r="AA1297" s="8"/>
      <c r="AB1297" s="8"/>
      <c r="AC1297" s="8"/>
      <c r="AD1297" s="8"/>
      <c r="AE1297" s="8"/>
    </row>
    <row r="1298">
      <c r="A1298" s="12">
        <v>43.0</v>
      </c>
      <c r="B1298" s="8" t="s">
        <v>326</v>
      </c>
      <c r="C1298" s="8" t="s">
        <v>992</v>
      </c>
      <c r="I1298" s="10" t="s">
        <v>1063</v>
      </c>
      <c r="J1298" s="13" t="s">
        <v>1057</v>
      </c>
      <c r="K1298" s="13" t="s">
        <v>272</v>
      </c>
      <c r="L1298" s="13" t="s">
        <v>1821</v>
      </c>
      <c r="M1298" s="7" t="s">
        <v>253</v>
      </c>
      <c r="N1298" s="7" t="s">
        <v>253</v>
      </c>
      <c r="O1298" s="7" t="s">
        <v>254</v>
      </c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  <c r="AA1298" s="8"/>
      <c r="AB1298" s="8"/>
      <c r="AC1298" s="8"/>
      <c r="AD1298" s="8"/>
      <c r="AE1298" s="8"/>
    </row>
    <row r="1299">
      <c r="A1299" s="12">
        <v>43.0</v>
      </c>
      <c r="B1299" s="8" t="s">
        <v>326</v>
      </c>
      <c r="C1299" s="8" t="s">
        <v>992</v>
      </c>
      <c r="I1299" s="10" t="s">
        <v>1822</v>
      </c>
      <c r="J1299" s="13" t="s">
        <v>1060</v>
      </c>
      <c r="K1299" s="13" t="s">
        <v>276</v>
      </c>
      <c r="L1299" s="13" t="s">
        <v>1823</v>
      </c>
      <c r="M1299" s="7" t="s">
        <v>253</v>
      </c>
      <c r="N1299" s="7" t="s">
        <v>253</v>
      </c>
      <c r="O1299" s="7" t="s">
        <v>254</v>
      </c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  <c r="AA1299" s="8"/>
      <c r="AB1299" s="8"/>
      <c r="AC1299" s="8"/>
      <c r="AD1299" s="8"/>
      <c r="AE1299" s="8"/>
    </row>
    <row r="1300">
      <c r="A1300" s="12">
        <v>44.0</v>
      </c>
      <c r="B1300" s="8" t="s">
        <v>328</v>
      </c>
      <c r="C1300" s="8" t="s">
        <v>992</v>
      </c>
      <c r="D1300" s="25">
        <f>IF(COUNTIF($B$2:$B1300,$B1300)&gt;1,"",COUNTIF($B$2:$B$2505,$B1300))</f>
        <v>7</v>
      </c>
      <c r="E1300" s="25">
        <f>IF(COUNTIF($B$2:$B1300,$B1300)&gt;1,"",COUNTIFS($B$2:$B$2505,$B1300,$K$2:$K$2505,"PHÙ HỢP CAO"))</f>
        <v>4</v>
      </c>
      <c r="F1300" s="25">
        <f>IF(COUNTIF($B$2:$B1300,$B1300)&gt;1,"",COUNTIFS($B$2:$B$2505,$B1300,$K$2:$K$2505,"CÓ THỂ ĐI"))</f>
        <v>1</v>
      </c>
      <c r="G1300" s="25">
        <f>IF(COUNTIF($B$2:$B1300,$B1300)&gt;1,"",COUNTIFS($B$2:$B$2505,$B1300,$K$2:$K$2505,"CẦN SOÁT"))</f>
        <v>2</v>
      </c>
      <c r="H1300" s="26" t="str">
        <f>IFERROR(__xludf.DUMMYFUNCTION("IF(COUNTIF($B$2:$B1300,$B1300)&gt;1,"""",IFERROR(TEXTJOIN(CHAR(10),TRUE,BYROW(QUERY({$B$2:$B$2505,$J$2:$J$2505},""select Col2, count(Col2) where Col1 = '""&amp;$B1300&amp;""' group by Col2 order by count(Col2) desc label count(Col2) ''"",0),LAMBDA(r,INDEX(r,1,1)&amp;"" "&amp;"– ""&amp;INDEX(r,1,2)&amp;"" link""))),""""))"),"1 Man bằng bao nhiêu tiền Việt – 4 link
1 Man Nhật – 3 link")</f>
        <v>1 Man bằng bao nhiêu tiền Việt – 4 link
1 Man Nhật – 3 link</v>
      </c>
      <c r="I1300" s="10" t="s">
        <v>322</v>
      </c>
      <c r="J1300" s="13" t="s">
        <v>1066</v>
      </c>
      <c r="K1300" s="13" t="s">
        <v>251</v>
      </c>
      <c r="L1300" s="13" t="s">
        <v>1824</v>
      </c>
      <c r="M1300" s="7" t="s">
        <v>253</v>
      </c>
      <c r="N1300" s="7" t="s">
        <v>253</v>
      </c>
      <c r="O1300" s="7" t="s">
        <v>254</v>
      </c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  <c r="AA1300" s="8"/>
      <c r="AB1300" s="8"/>
      <c r="AC1300" s="8"/>
      <c r="AD1300" s="8"/>
      <c r="AE1300" s="8"/>
    </row>
    <row r="1301">
      <c r="A1301" s="12">
        <v>44.0</v>
      </c>
      <c r="B1301" s="8" t="s">
        <v>328</v>
      </c>
      <c r="C1301" s="8" t="s">
        <v>992</v>
      </c>
      <c r="I1301" s="10" t="s">
        <v>323</v>
      </c>
      <c r="J1301" s="13" t="s">
        <v>1068</v>
      </c>
      <c r="K1301" s="13" t="s">
        <v>251</v>
      </c>
      <c r="L1301" s="13" t="s">
        <v>1825</v>
      </c>
      <c r="M1301" s="7" t="s">
        <v>253</v>
      </c>
      <c r="N1301" s="7" t="s">
        <v>253</v>
      </c>
      <c r="O1301" s="7" t="s">
        <v>254</v>
      </c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  <c r="AA1301" s="8"/>
      <c r="AB1301" s="8"/>
      <c r="AC1301" s="8"/>
      <c r="AD1301" s="8"/>
      <c r="AE1301" s="8"/>
    </row>
    <row r="1302">
      <c r="A1302" s="12">
        <v>44.0</v>
      </c>
      <c r="B1302" s="8" t="s">
        <v>328</v>
      </c>
      <c r="C1302" s="8" t="s">
        <v>992</v>
      </c>
      <c r="I1302" s="10" t="s">
        <v>1035</v>
      </c>
      <c r="J1302" s="13" t="s">
        <v>1066</v>
      </c>
      <c r="K1302" s="13" t="s">
        <v>251</v>
      </c>
      <c r="L1302" s="13" t="s">
        <v>1826</v>
      </c>
      <c r="M1302" s="7" t="s">
        <v>253</v>
      </c>
      <c r="N1302" s="7" t="s">
        <v>253</v>
      </c>
      <c r="O1302" s="7" t="s">
        <v>254</v>
      </c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  <c r="AA1302" s="8"/>
      <c r="AB1302" s="8"/>
      <c r="AC1302" s="8"/>
      <c r="AD1302" s="8"/>
      <c r="AE1302" s="8"/>
    </row>
    <row r="1303">
      <c r="A1303" s="12">
        <v>44.0</v>
      </c>
      <c r="B1303" s="8" t="s">
        <v>328</v>
      </c>
      <c r="C1303" s="8" t="s">
        <v>992</v>
      </c>
      <c r="I1303" s="10" t="s">
        <v>1027</v>
      </c>
      <c r="J1303" s="13" t="s">
        <v>1068</v>
      </c>
      <c r="K1303" s="13" t="s">
        <v>251</v>
      </c>
      <c r="L1303" s="13" t="s">
        <v>1827</v>
      </c>
      <c r="M1303" s="7" t="s">
        <v>253</v>
      </c>
      <c r="N1303" s="7" t="s">
        <v>253</v>
      </c>
      <c r="O1303" s="7" t="s">
        <v>254</v>
      </c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  <c r="AA1303" s="8"/>
      <c r="AB1303" s="8"/>
      <c r="AC1303" s="8"/>
      <c r="AD1303" s="8"/>
      <c r="AE1303" s="8"/>
    </row>
    <row r="1304">
      <c r="A1304" s="12">
        <v>44.0</v>
      </c>
      <c r="B1304" s="8" t="s">
        <v>328</v>
      </c>
      <c r="C1304" s="8" t="s">
        <v>992</v>
      </c>
      <c r="I1304" s="10" t="s">
        <v>1024</v>
      </c>
      <c r="J1304" s="13" t="s">
        <v>1066</v>
      </c>
      <c r="K1304" s="13" t="s">
        <v>272</v>
      </c>
      <c r="L1304" s="13" t="s">
        <v>1828</v>
      </c>
      <c r="M1304" s="7" t="s">
        <v>253</v>
      </c>
      <c r="N1304" s="7" t="s">
        <v>253</v>
      </c>
      <c r="O1304" s="7" t="s">
        <v>254</v>
      </c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  <c r="AA1304" s="8"/>
      <c r="AB1304" s="8"/>
      <c r="AC1304" s="8"/>
      <c r="AD1304" s="8"/>
      <c r="AE1304" s="8"/>
    </row>
    <row r="1305">
      <c r="A1305" s="12">
        <v>44.0</v>
      </c>
      <c r="B1305" s="8" t="s">
        <v>328</v>
      </c>
      <c r="C1305" s="8" t="s">
        <v>992</v>
      </c>
      <c r="I1305" s="10" t="s">
        <v>1806</v>
      </c>
      <c r="J1305" s="13" t="s">
        <v>1068</v>
      </c>
      <c r="K1305" s="13" t="s">
        <v>276</v>
      </c>
      <c r="L1305" s="13" t="s">
        <v>1807</v>
      </c>
      <c r="M1305" s="7" t="s">
        <v>253</v>
      </c>
      <c r="N1305" s="7" t="s">
        <v>253</v>
      </c>
      <c r="O1305" s="7" t="s">
        <v>254</v>
      </c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  <c r="AA1305" s="8"/>
      <c r="AB1305" s="8"/>
      <c r="AC1305" s="8"/>
      <c r="AD1305" s="8"/>
      <c r="AE1305" s="8"/>
    </row>
    <row r="1306">
      <c r="A1306" s="12">
        <v>44.0</v>
      </c>
      <c r="B1306" s="8" t="s">
        <v>328</v>
      </c>
      <c r="C1306" s="8" t="s">
        <v>992</v>
      </c>
      <c r="I1306" s="10" t="s">
        <v>1063</v>
      </c>
      <c r="J1306" s="13" t="s">
        <v>1066</v>
      </c>
      <c r="K1306" s="13" t="s">
        <v>276</v>
      </c>
      <c r="L1306" s="13" t="s">
        <v>1807</v>
      </c>
      <c r="M1306" s="7" t="s">
        <v>253</v>
      </c>
      <c r="N1306" s="7" t="s">
        <v>253</v>
      </c>
      <c r="O1306" s="7" t="s">
        <v>254</v>
      </c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  <c r="AA1306" s="8"/>
      <c r="AB1306" s="8"/>
      <c r="AC1306" s="8"/>
      <c r="AD1306" s="8"/>
      <c r="AE1306" s="8"/>
    </row>
    <row r="1307">
      <c r="A1307" s="12">
        <v>45.0</v>
      </c>
      <c r="B1307" s="8" t="s">
        <v>329</v>
      </c>
      <c r="C1307" s="8" t="s">
        <v>992</v>
      </c>
      <c r="D1307" s="25">
        <f>IF(COUNTIF($B$2:$B1307,$B1307)&gt;1,"",COUNTIF($B$2:$B$2505,$B1307))</f>
        <v>5</v>
      </c>
      <c r="E1307" s="25">
        <f>IF(COUNTIF($B$2:$B1307,$B1307)&gt;1,"",COUNTIFS($B$2:$B$2505,$B1307,$K$2:$K$2505,"PHÙ HỢP CAO"))</f>
        <v>2</v>
      </c>
      <c r="F1307" s="25">
        <f>IF(COUNTIF($B$2:$B1307,$B1307)&gt;1,"",COUNTIFS($B$2:$B$2505,$B1307,$K$2:$K$2505,"CÓ THỂ ĐI"))</f>
        <v>3</v>
      </c>
      <c r="G1307" s="25">
        <f>IF(COUNTIF($B$2:$B1307,$B1307)&gt;1,"",COUNTIFS($B$2:$B$2505,$B1307,$K$2:$K$2505,"CẦN SOÁT"))</f>
        <v>0</v>
      </c>
      <c r="H1307" s="26" t="str">
        <f>IFERROR(__xludf.DUMMYFUNCTION("IF(COUNTIF($B$2:$B1307,$B1307)&gt;1,"""",IFERROR(TEXTJOIN(CHAR(10),TRUE,BYROW(QUERY({$B$2:$B$2505,$J$2:$J$2505},""select Col2, count(Col2) where Col1 = '""&amp;$B1307&amp;""' group by Col2 order by count(Col2) desc label count(Col2) ''"",0),LAMBDA(r,INDEX(r,1,1)&amp;"" "&amp;"– ""&amp;INDEX(r,1,2)&amp;"" link""))),""""))"),"tiền Baht Thái – 2 link
tiền Thái Lan – 2 link
tiền Baht – 1 link")</f>
        <v>tiền Baht Thái – 2 link
tiền Thái Lan – 2 link
tiền Baht – 1 link</v>
      </c>
      <c r="I1307" s="10" t="s">
        <v>1072</v>
      </c>
      <c r="J1307" s="13" t="s">
        <v>1074</v>
      </c>
      <c r="K1307" s="13" t="s">
        <v>251</v>
      </c>
      <c r="L1307" s="13" t="s">
        <v>1829</v>
      </c>
      <c r="M1307" s="7" t="s">
        <v>253</v>
      </c>
      <c r="N1307" s="7" t="s">
        <v>253</v>
      </c>
      <c r="O1307" s="7" t="s">
        <v>254</v>
      </c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  <c r="AA1307" s="8"/>
      <c r="AB1307" s="8"/>
      <c r="AC1307" s="8"/>
      <c r="AD1307" s="8"/>
      <c r="AE1307" s="8"/>
    </row>
    <row r="1308">
      <c r="A1308" s="12">
        <v>45.0</v>
      </c>
      <c r="B1308" s="8" t="s">
        <v>329</v>
      </c>
      <c r="C1308" s="8" t="s">
        <v>992</v>
      </c>
      <c r="I1308" s="10" t="s">
        <v>1075</v>
      </c>
      <c r="J1308" s="13" t="s">
        <v>1077</v>
      </c>
      <c r="K1308" s="13" t="s">
        <v>251</v>
      </c>
      <c r="L1308" s="13" t="s">
        <v>1830</v>
      </c>
      <c r="M1308" s="7" t="s">
        <v>253</v>
      </c>
      <c r="N1308" s="7" t="s">
        <v>253</v>
      </c>
      <c r="O1308" s="7" t="s">
        <v>254</v>
      </c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  <c r="AA1308" s="8"/>
      <c r="AB1308" s="8"/>
      <c r="AC1308" s="8"/>
      <c r="AD1308" s="8"/>
      <c r="AE1308" s="8"/>
    </row>
    <row r="1309">
      <c r="A1309" s="12">
        <v>45.0</v>
      </c>
      <c r="B1309" s="8" t="s">
        <v>329</v>
      </c>
      <c r="C1309" s="8" t="s">
        <v>992</v>
      </c>
      <c r="I1309" s="10" t="s">
        <v>1063</v>
      </c>
      <c r="J1309" s="13" t="s">
        <v>1079</v>
      </c>
      <c r="K1309" s="13" t="s">
        <v>272</v>
      </c>
      <c r="L1309" s="13" t="s">
        <v>1831</v>
      </c>
      <c r="M1309" s="7" t="s">
        <v>253</v>
      </c>
      <c r="N1309" s="7" t="s">
        <v>253</v>
      </c>
      <c r="O1309" s="7" t="s">
        <v>254</v>
      </c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  <c r="AA1309" s="8"/>
      <c r="AB1309" s="8"/>
      <c r="AC1309" s="8"/>
      <c r="AD1309" s="8"/>
      <c r="AE1309" s="8"/>
    </row>
    <row r="1310">
      <c r="A1310" s="12">
        <v>45.0</v>
      </c>
      <c r="B1310" s="8" t="s">
        <v>329</v>
      </c>
      <c r="C1310" s="8" t="s">
        <v>992</v>
      </c>
      <c r="I1310" s="10" t="s">
        <v>1080</v>
      </c>
      <c r="J1310" s="13" t="s">
        <v>1074</v>
      </c>
      <c r="K1310" s="13" t="s">
        <v>272</v>
      </c>
      <c r="L1310" s="13" t="s">
        <v>1832</v>
      </c>
      <c r="M1310" s="7" t="s">
        <v>253</v>
      </c>
      <c r="N1310" s="7" t="s">
        <v>253</v>
      </c>
      <c r="O1310" s="7" t="s">
        <v>254</v>
      </c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  <c r="AA1310" s="8"/>
      <c r="AB1310" s="8"/>
      <c r="AC1310" s="8"/>
      <c r="AD1310" s="8"/>
      <c r="AE1310" s="8"/>
    </row>
    <row r="1311">
      <c r="A1311" s="12">
        <v>45.0</v>
      </c>
      <c r="B1311" s="8" t="s">
        <v>329</v>
      </c>
      <c r="C1311" s="8" t="s">
        <v>992</v>
      </c>
      <c r="I1311" s="10" t="s">
        <v>1082</v>
      </c>
      <c r="J1311" s="13" t="s">
        <v>1077</v>
      </c>
      <c r="K1311" s="13" t="s">
        <v>272</v>
      </c>
      <c r="L1311" s="13" t="s">
        <v>1833</v>
      </c>
      <c r="M1311" s="7" t="s">
        <v>253</v>
      </c>
      <c r="N1311" s="7" t="s">
        <v>253</v>
      </c>
      <c r="O1311" s="7" t="s">
        <v>254</v>
      </c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  <c r="AA1311" s="8"/>
      <c r="AB1311" s="8"/>
      <c r="AC1311" s="8"/>
      <c r="AD1311" s="8"/>
      <c r="AE1311" s="8"/>
    </row>
    <row r="1312">
      <c r="A1312" s="12">
        <v>46.0</v>
      </c>
      <c r="B1312" s="8" t="s">
        <v>330</v>
      </c>
      <c r="C1312" s="8" t="s">
        <v>992</v>
      </c>
      <c r="D1312" s="25">
        <f>IF(COUNTIF($B$2:$B1312,$B1312)&gt;1,"",COUNTIF($B$2:$B$2505,$B1312))</f>
        <v>13</v>
      </c>
      <c r="E1312" s="25">
        <f>IF(COUNTIF($B$2:$B1312,$B1312)&gt;1,"",COUNTIFS($B$2:$B$2505,$B1312,$K$2:$K$2505,"PHÙ HỢP CAO"))</f>
        <v>1</v>
      </c>
      <c r="F1312" s="25">
        <f>IF(COUNTIF($B$2:$B1312,$B1312)&gt;1,"",COUNTIFS($B$2:$B$2505,$B1312,$K$2:$K$2505,"CÓ THỂ ĐI"))</f>
        <v>3</v>
      </c>
      <c r="G1312" s="25">
        <f>IF(COUNTIF($B$2:$B1312,$B1312)&gt;1,"",COUNTIFS($B$2:$B$2505,$B1312,$K$2:$K$2505,"CẦN SOÁT"))</f>
        <v>9</v>
      </c>
      <c r="H1312" s="26" t="str">
        <f>IFERROR(__xludf.DUMMYFUNCTION("IF(COUNTIF($B$2:$B1312,$B1312)&gt;1,"""",IFERROR(TEXTJOIN(CHAR(10),TRUE,BYROW(QUERY({$B$2:$B$2505,$J$2:$J$2505},""select Col2, count(Col2) where Col1 = '""&amp;$B1312&amp;""' group by Col2 order by count(Col2) desc label count(Col2) ''"",0),LAMBDA(r,INDEX(r,1,1)&amp;"" "&amp;"– ""&amp;INDEX(r,1,2)&amp;"" link""))),""""))"),"1 triệu đô bằng bao nhiêu tiền Việt – 13 link")</f>
        <v>1 triệu đô bằng bao nhiêu tiền Việt – 13 link</v>
      </c>
      <c r="I1312" s="10" t="s">
        <v>320</v>
      </c>
      <c r="J1312" s="13" t="s">
        <v>1096</v>
      </c>
      <c r="K1312" s="13" t="s">
        <v>251</v>
      </c>
      <c r="L1312" s="13" t="s">
        <v>1834</v>
      </c>
      <c r="M1312" s="7" t="s">
        <v>253</v>
      </c>
      <c r="N1312" s="7" t="s">
        <v>253</v>
      </c>
      <c r="O1312" s="7" t="s">
        <v>254</v>
      </c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  <c r="AA1312" s="8"/>
      <c r="AB1312" s="8"/>
      <c r="AC1312" s="8"/>
      <c r="AD1312" s="8"/>
      <c r="AE1312" s="8"/>
    </row>
    <row r="1313">
      <c r="A1313" s="12">
        <v>46.0</v>
      </c>
      <c r="B1313" s="8" t="s">
        <v>330</v>
      </c>
      <c r="C1313" s="8" t="s">
        <v>992</v>
      </c>
      <c r="I1313" s="10" t="s">
        <v>1097</v>
      </c>
      <c r="J1313" s="13" t="s">
        <v>1096</v>
      </c>
      <c r="K1313" s="13" t="s">
        <v>272</v>
      </c>
      <c r="L1313" s="13" t="s">
        <v>1835</v>
      </c>
      <c r="M1313" s="7" t="s">
        <v>253</v>
      </c>
      <c r="N1313" s="7" t="s">
        <v>253</v>
      </c>
      <c r="O1313" s="7" t="s">
        <v>254</v>
      </c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  <c r="AA1313" s="8"/>
      <c r="AB1313" s="8"/>
      <c r="AC1313" s="8"/>
      <c r="AD1313" s="8"/>
      <c r="AE1313" s="8"/>
    </row>
    <row r="1314">
      <c r="A1314" s="12">
        <v>46.0</v>
      </c>
      <c r="B1314" s="8" t="s">
        <v>330</v>
      </c>
      <c r="C1314" s="8" t="s">
        <v>992</v>
      </c>
      <c r="I1314" s="10" t="s">
        <v>1006</v>
      </c>
      <c r="J1314" s="13" t="s">
        <v>1096</v>
      </c>
      <c r="K1314" s="13" t="s">
        <v>272</v>
      </c>
      <c r="L1314" s="13" t="s">
        <v>1836</v>
      </c>
      <c r="M1314" s="7" t="s">
        <v>253</v>
      </c>
      <c r="N1314" s="7" t="s">
        <v>253</v>
      </c>
      <c r="O1314" s="7" t="s">
        <v>254</v>
      </c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  <c r="AA1314" s="8"/>
      <c r="AB1314" s="8"/>
      <c r="AC1314" s="8"/>
      <c r="AD1314" s="8"/>
      <c r="AE1314" s="8"/>
    </row>
    <row r="1315">
      <c r="A1315" s="12">
        <v>46.0</v>
      </c>
      <c r="B1315" s="8" t="s">
        <v>330</v>
      </c>
      <c r="C1315" s="8" t="s">
        <v>992</v>
      </c>
      <c r="I1315" s="10" t="s">
        <v>1585</v>
      </c>
      <c r="J1315" s="13" t="s">
        <v>1096</v>
      </c>
      <c r="K1315" s="13" t="s">
        <v>272</v>
      </c>
      <c r="L1315" s="13" t="s">
        <v>1837</v>
      </c>
      <c r="M1315" s="7" t="s">
        <v>253</v>
      </c>
      <c r="N1315" s="7" t="s">
        <v>253</v>
      </c>
      <c r="O1315" s="7" t="s">
        <v>254</v>
      </c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  <c r="AA1315" s="8"/>
      <c r="AB1315" s="8"/>
      <c r="AC1315" s="8"/>
      <c r="AD1315" s="8"/>
      <c r="AE1315" s="8"/>
    </row>
    <row r="1316">
      <c r="A1316" s="12">
        <v>46.0</v>
      </c>
      <c r="B1316" s="8" t="s">
        <v>330</v>
      </c>
      <c r="C1316" s="8" t="s">
        <v>992</v>
      </c>
      <c r="I1316" s="10" t="s">
        <v>1017</v>
      </c>
      <c r="J1316" s="13" t="s">
        <v>1096</v>
      </c>
      <c r="K1316" s="13" t="s">
        <v>276</v>
      </c>
      <c r="L1316" s="13" t="s">
        <v>1838</v>
      </c>
      <c r="M1316" s="7" t="s">
        <v>253</v>
      </c>
      <c r="N1316" s="7" t="s">
        <v>253</v>
      </c>
      <c r="O1316" s="7" t="s">
        <v>254</v>
      </c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  <c r="AA1316" s="8"/>
      <c r="AB1316" s="8"/>
      <c r="AC1316" s="8"/>
      <c r="AD1316" s="8"/>
      <c r="AE1316" s="8"/>
    </row>
    <row r="1317">
      <c r="A1317" s="12">
        <v>46.0</v>
      </c>
      <c r="B1317" s="8" t="s">
        <v>330</v>
      </c>
      <c r="C1317" s="8" t="s">
        <v>992</v>
      </c>
      <c r="I1317" s="10" t="s">
        <v>1774</v>
      </c>
      <c r="J1317" s="13" t="s">
        <v>1096</v>
      </c>
      <c r="K1317" s="13" t="s">
        <v>276</v>
      </c>
      <c r="L1317" s="13" t="s">
        <v>1796</v>
      </c>
      <c r="M1317" s="7" t="s">
        <v>253</v>
      </c>
      <c r="N1317" s="7" t="s">
        <v>253</v>
      </c>
      <c r="O1317" s="7" t="s">
        <v>254</v>
      </c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  <c r="AA1317" s="8"/>
      <c r="AB1317" s="8"/>
      <c r="AC1317" s="8"/>
      <c r="AD1317" s="8"/>
      <c r="AE1317" s="8"/>
    </row>
    <row r="1318">
      <c r="A1318" s="12">
        <v>46.0</v>
      </c>
      <c r="B1318" s="8" t="s">
        <v>330</v>
      </c>
      <c r="C1318" s="8" t="s">
        <v>992</v>
      </c>
      <c r="I1318" s="10" t="s">
        <v>333</v>
      </c>
      <c r="J1318" s="13" t="s">
        <v>1096</v>
      </c>
      <c r="K1318" s="13" t="s">
        <v>276</v>
      </c>
      <c r="L1318" s="13" t="s">
        <v>1839</v>
      </c>
      <c r="M1318" s="7" t="s">
        <v>253</v>
      </c>
      <c r="N1318" s="7" t="s">
        <v>253</v>
      </c>
      <c r="O1318" s="7" t="s">
        <v>254</v>
      </c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  <c r="AA1318" s="8"/>
      <c r="AB1318" s="8"/>
      <c r="AC1318" s="8"/>
      <c r="AD1318" s="8"/>
      <c r="AE1318" s="8"/>
    </row>
    <row r="1319">
      <c r="A1319" s="12">
        <v>46.0</v>
      </c>
      <c r="B1319" s="8" t="s">
        <v>330</v>
      </c>
      <c r="C1319" s="8" t="s">
        <v>992</v>
      </c>
      <c r="I1319" s="10" t="s">
        <v>1010</v>
      </c>
      <c r="J1319" s="13" t="s">
        <v>1096</v>
      </c>
      <c r="K1319" s="13" t="s">
        <v>276</v>
      </c>
      <c r="L1319" s="13" t="s">
        <v>1838</v>
      </c>
      <c r="M1319" s="7" t="s">
        <v>253</v>
      </c>
      <c r="N1319" s="7" t="s">
        <v>253</v>
      </c>
      <c r="O1319" s="7" t="s">
        <v>254</v>
      </c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  <c r="AA1319" s="8"/>
      <c r="AB1319" s="8"/>
      <c r="AC1319" s="8"/>
      <c r="AD1319" s="8"/>
      <c r="AE1319" s="8"/>
    </row>
    <row r="1320">
      <c r="A1320" s="12">
        <v>46.0</v>
      </c>
      <c r="B1320" s="8" t="s">
        <v>330</v>
      </c>
      <c r="C1320" s="8" t="s">
        <v>992</v>
      </c>
      <c r="I1320" s="10" t="s">
        <v>1840</v>
      </c>
      <c r="J1320" s="13" t="s">
        <v>1096</v>
      </c>
      <c r="K1320" s="13" t="s">
        <v>276</v>
      </c>
      <c r="L1320" s="13" t="s">
        <v>1839</v>
      </c>
      <c r="M1320" s="7" t="s">
        <v>253</v>
      </c>
      <c r="N1320" s="7" t="s">
        <v>253</v>
      </c>
      <c r="O1320" s="7" t="s">
        <v>254</v>
      </c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  <c r="AA1320" s="8"/>
      <c r="AB1320" s="8"/>
      <c r="AC1320" s="8"/>
      <c r="AD1320" s="8"/>
      <c r="AE1320" s="8"/>
    </row>
    <row r="1321">
      <c r="A1321" s="12">
        <v>46.0</v>
      </c>
      <c r="B1321" s="8" t="s">
        <v>330</v>
      </c>
      <c r="C1321" s="8" t="s">
        <v>992</v>
      </c>
      <c r="I1321" s="10" t="s">
        <v>1051</v>
      </c>
      <c r="J1321" s="13" t="s">
        <v>1096</v>
      </c>
      <c r="K1321" s="13" t="s">
        <v>276</v>
      </c>
      <c r="L1321" s="13" t="s">
        <v>1839</v>
      </c>
      <c r="M1321" s="7" t="s">
        <v>253</v>
      </c>
      <c r="N1321" s="7" t="s">
        <v>253</v>
      </c>
      <c r="O1321" s="7" t="s">
        <v>254</v>
      </c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  <c r="AA1321" s="8"/>
      <c r="AB1321" s="8"/>
      <c r="AC1321" s="8"/>
      <c r="AD1321" s="8"/>
      <c r="AE1321" s="8"/>
    </row>
    <row r="1322">
      <c r="A1322" s="12">
        <v>46.0</v>
      </c>
      <c r="B1322" s="8" t="s">
        <v>330</v>
      </c>
      <c r="C1322" s="8" t="s">
        <v>992</v>
      </c>
      <c r="I1322" s="10" t="s">
        <v>1020</v>
      </c>
      <c r="J1322" s="13" t="s">
        <v>1096</v>
      </c>
      <c r="K1322" s="13" t="s">
        <v>276</v>
      </c>
      <c r="L1322" s="13" t="s">
        <v>1796</v>
      </c>
      <c r="M1322" s="7" t="s">
        <v>253</v>
      </c>
      <c r="N1322" s="7" t="s">
        <v>253</v>
      </c>
      <c r="O1322" s="7" t="s">
        <v>254</v>
      </c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  <c r="AA1322" s="8"/>
      <c r="AB1322" s="8"/>
      <c r="AC1322" s="8"/>
      <c r="AD1322" s="8"/>
      <c r="AE1322" s="8"/>
    </row>
    <row r="1323">
      <c r="A1323" s="12">
        <v>46.0</v>
      </c>
      <c r="B1323" s="8" t="s">
        <v>330</v>
      </c>
      <c r="C1323" s="8" t="s">
        <v>992</v>
      </c>
      <c r="I1323" s="10" t="s">
        <v>1014</v>
      </c>
      <c r="J1323" s="13" t="s">
        <v>1096</v>
      </c>
      <c r="K1323" s="13" t="s">
        <v>276</v>
      </c>
      <c r="L1323" s="13" t="s">
        <v>1796</v>
      </c>
      <c r="M1323" s="7" t="s">
        <v>253</v>
      </c>
      <c r="N1323" s="7" t="s">
        <v>253</v>
      </c>
      <c r="O1323" s="7" t="s">
        <v>254</v>
      </c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  <c r="AA1323" s="8"/>
      <c r="AB1323" s="8"/>
      <c r="AC1323" s="8"/>
      <c r="AD1323" s="8"/>
      <c r="AE1323" s="8"/>
    </row>
    <row r="1324">
      <c r="A1324" s="12">
        <v>46.0</v>
      </c>
      <c r="B1324" s="8" t="s">
        <v>330</v>
      </c>
      <c r="C1324" s="8" t="s">
        <v>992</v>
      </c>
      <c r="I1324" s="10" t="s">
        <v>1841</v>
      </c>
      <c r="J1324" s="13" t="s">
        <v>1096</v>
      </c>
      <c r="K1324" s="13" t="s">
        <v>276</v>
      </c>
      <c r="L1324" s="13" t="s">
        <v>1839</v>
      </c>
      <c r="M1324" s="7" t="s">
        <v>253</v>
      </c>
      <c r="N1324" s="7" t="s">
        <v>253</v>
      </c>
      <c r="O1324" s="7" t="s">
        <v>254</v>
      </c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  <c r="AA1324" s="8"/>
      <c r="AB1324" s="8"/>
      <c r="AC1324" s="8"/>
      <c r="AD1324" s="8"/>
      <c r="AE1324" s="8"/>
    </row>
    <row r="1325">
      <c r="A1325" s="12">
        <v>47.0</v>
      </c>
      <c r="B1325" s="8" t="s">
        <v>331</v>
      </c>
      <c r="C1325" s="8" t="s">
        <v>992</v>
      </c>
      <c r="D1325" s="25">
        <f>IF(COUNTIF($B$2:$B1325,$B1325)&gt;1,"",COUNTIF($B$2:$B$2505,$B1325))</f>
        <v>4</v>
      </c>
      <c r="E1325" s="25">
        <f>IF(COUNTIF($B$2:$B1325,$B1325)&gt;1,"",COUNTIFS($B$2:$B$2505,$B1325,$K$2:$K$2505,"PHÙ HỢP CAO"))</f>
        <v>3</v>
      </c>
      <c r="F1325" s="25">
        <f>IF(COUNTIF($B$2:$B1325,$B1325)&gt;1,"",COUNTIFS($B$2:$B$2505,$B1325,$K$2:$K$2505,"CÓ THỂ ĐI"))</f>
        <v>1</v>
      </c>
      <c r="G1325" s="25">
        <f>IF(COUNTIF($B$2:$B1325,$B1325)&gt;1,"",COUNTIFS($B$2:$B$2505,$B1325,$K$2:$K$2505,"CẦN SOÁT"))</f>
        <v>0</v>
      </c>
      <c r="H1325" s="26" t="str">
        <f>IFERROR(__xludf.DUMMYFUNCTION("IF(COUNTIF($B$2:$B1325,$B1325)&gt;1,"""",IFERROR(TEXTJOIN(CHAR(10),TRUE,BYROW(QUERY({$B$2:$B$2505,$J$2:$J$2505},""select Col2, count(Col2) where Col1 = '""&amp;$B1325&amp;""' group by Col2 order by count(Col2) desc label count(Col2) ''"",0),LAMBDA(r,INDEX(r,1,1)&amp;"" "&amp;"– ""&amp;INDEX(r,1,2)&amp;"" link""))),""""))"),"1,000 won – 2 link
1000 Won bằng bao nhiêu tiền Việt – 2 link")</f>
        <v>1,000 won – 2 link
1000 Won bằng bao nhiêu tiền Việt – 2 link</v>
      </c>
      <c r="I1325" s="10" t="s">
        <v>324</v>
      </c>
      <c r="J1325" s="13" t="s">
        <v>1105</v>
      </c>
      <c r="K1325" s="13" t="s">
        <v>251</v>
      </c>
      <c r="L1325" s="13" t="s">
        <v>1842</v>
      </c>
      <c r="M1325" s="7" t="s">
        <v>253</v>
      </c>
      <c r="N1325" s="7" t="s">
        <v>253</v>
      </c>
      <c r="O1325" s="7" t="s">
        <v>254</v>
      </c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  <c r="AA1325" s="8"/>
      <c r="AB1325" s="8"/>
      <c r="AC1325" s="8"/>
      <c r="AD1325" s="8"/>
      <c r="AE1325" s="8"/>
    </row>
    <row r="1326">
      <c r="A1326" s="12">
        <v>47.0</v>
      </c>
      <c r="B1326" s="8" t="s">
        <v>331</v>
      </c>
      <c r="C1326" s="8" t="s">
        <v>992</v>
      </c>
      <c r="I1326" s="10" t="s">
        <v>1044</v>
      </c>
      <c r="J1326" s="13" t="s">
        <v>1108</v>
      </c>
      <c r="K1326" s="13" t="s">
        <v>251</v>
      </c>
      <c r="L1326" s="13" t="s">
        <v>1843</v>
      </c>
      <c r="M1326" s="7" t="s">
        <v>253</v>
      </c>
      <c r="N1326" s="7" t="s">
        <v>253</v>
      </c>
      <c r="O1326" s="7" t="s">
        <v>254</v>
      </c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  <c r="AA1326" s="8"/>
      <c r="AB1326" s="8"/>
      <c r="AC1326" s="8"/>
      <c r="AD1326" s="8"/>
      <c r="AE1326" s="8"/>
    </row>
    <row r="1327">
      <c r="A1327" s="12">
        <v>47.0</v>
      </c>
      <c r="B1327" s="8" t="s">
        <v>331</v>
      </c>
      <c r="C1327" s="8" t="s">
        <v>992</v>
      </c>
      <c r="I1327" s="10" t="s">
        <v>1049</v>
      </c>
      <c r="J1327" s="13" t="s">
        <v>1105</v>
      </c>
      <c r="K1327" s="13" t="s">
        <v>251</v>
      </c>
      <c r="L1327" s="13" t="s">
        <v>1844</v>
      </c>
      <c r="M1327" s="7" t="s">
        <v>253</v>
      </c>
      <c r="N1327" s="7" t="s">
        <v>253</v>
      </c>
      <c r="O1327" s="7" t="s">
        <v>254</v>
      </c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  <c r="AA1327" s="8"/>
      <c r="AB1327" s="8"/>
      <c r="AC1327" s="8"/>
      <c r="AD1327" s="8"/>
      <c r="AE1327" s="8"/>
    </row>
    <row r="1328">
      <c r="A1328" s="12">
        <v>47.0</v>
      </c>
      <c r="B1328" s="8" t="s">
        <v>331</v>
      </c>
      <c r="C1328" s="8" t="s">
        <v>992</v>
      </c>
      <c r="I1328" s="10" t="s">
        <v>1043</v>
      </c>
      <c r="J1328" s="13" t="s">
        <v>1108</v>
      </c>
      <c r="K1328" s="13" t="s">
        <v>272</v>
      </c>
      <c r="L1328" s="13" t="s">
        <v>1845</v>
      </c>
      <c r="M1328" s="7" t="s">
        <v>253</v>
      </c>
      <c r="N1328" s="7" t="s">
        <v>253</v>
      </c>
      <c r="O1328" s="7" t="s">
        <v>254</v>
      </c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  <c r="AA1328" s="8"/>
      <c r="AB1328" s="8"/>
      <c r="AC1328" s="8"/>
      <c r="AD1328" s="8"/>
      <c r="AE1328" s="8"/>
    </row>
    <row r="1329">
      <c r="A1329" s="12">
        <v>48.0</v>
      </c>
      <c r="B1329" s="8" t="s">
        <v>332</v>
      </c>
      <c r="C1329" s="8" t="s">
        <v>992</v>
      </c>
      <c r="D1329" s="25">
        <f>IF(COUNTIF($B$2:$B1329,$B1329)&gt;1,"",COUNTIF($B$2:$B$2505,$B1329))</f>
        <v>35</v>
      </c>
      <c r="E1329" s="25">
        <f>IF(COUNTIF($B$2:$B1329,$B1329)&gt;1,"",COUNTIFS($B$2:$B$2505,$B1329,$K$2:$K$2505,"PHÙ HỢP CAO"))</f>
        <v>5</v>
      </c>
      <c r="F1329" s="25">
        <f>IF(COUNTIF($B$2:$B1329,$B1329)&gt;1,"",COUNTIFS($B$2:$B$2505,$B1329,$K$2:$K$2505,"CÓ THỂ ĐI"))</f>
        <v>0</v>
      </c>
      <c r="G1329" s="25">
        <f>IF(COUNTIF($B$2:$B1329,$B1329)&gt;1,"",COUNTIFS($B$2:$B$2505,$B1329,$K$2:$K$2505,"CẦN SOÁT"))</f>
        <v>30</v>
      </c>
      <c r="H1329" s="26" t="str">
        <f>IFERROR(__xludf.DUMMYFUNCTION("IF(COUNTIF($B$2:$B1329,$B1329)&gt;1,"""",IFERROR(TEXTJOIN(CHAR(10),TRUE,BYROW(QUERY({$B$2:$B$2505,$J$2:$J$2505},""select Col2, count(Col2) where Col1 = '""&amp;$B1329&amp;""' group by Col2 order by count(Col2) desc label count(Col2) ''"",0),LAMBDA(r,INDEX(r,1,1)&amp;"" "&amp;"– ""&amp;INDEX(r,1,2)&amp;"" link""))),""""))"),"cách nhận tiền từ nước ngoài về Việt Nam – 12 link
nhận tiền từ nước ngoài – 12 link
nhận kiều hối – 11 link")</f>
        <v>cách nhận tiền từ nước ngoài về Việt Nam – 12 link
nhận tiền từ nước ngoài – 12 link
nhận kiều hối – 11 link</v>
      </c>
      <c r="I1329" s="10" t="s">
        <v>1111</v>
      </c>
      <c r="J1329" s="13" t="s">
        <v>1113</v>
      </c>
      <c r="K1329" s="13" t="s">
        <v>251</v>
      </c>
      <c r="L1329" s="13" t="s">
        <v>1846</v>
      </c>
      <c r="M1329" s="7" t="s">
        <v>253</v>
      </c>
      <c r="N1329" s="7" t="s">
        <v>253</v>
      </c>
      <c r="O1329" s="7" t="s">
        <v>254</v>
      </c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  <c r="AA1329" s="8"/>
      <c r="AB1329" s="8"/>
      <c r="AC1329" s="8"/>
      <c r="AD1329" s="8"/>
      <c r="AE1329" s="8"/>
    </row>
    <row r="1330">
      <c r="A1330" s="12">
        <v>48.0</v>
      </c>
      <c r="B1330" s="8" t="s">
        <v>332</v>
      </c>
      <c r="C1330" s="8" t="s">
        <v>992</v>
      </c>
      <c r="I1330" s="10" t="s">
        <v>1114</v>
      </c>
      <c r="J1330" s="13" t="s">
        <v>1118</v>
      </c>
      <c r="K1330" s="13" t="s">
        <v>251</v>
      </c>
      <c r="L1330" s="13" t="s">
        <v>1847</v>
      </c>
      <c r="M1330" s="7" t="s">
        <v>253</v>
      </c>
      <c r="N1330" s="7" t="s">
        <v>253</v>
      </c>
      <c r="O1330" s="7" t="s">
        <v>254</v>
      </c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  <c r="AA1330" s="8"/>
      <c r="AB1330" s="8"/>
      <c r="AC1330" s="8"/>
      <c r="AD1330" s="8"/>
      <c r="AE1330" s="8"/>
    </row>
    <row r="1331">
      <c r="A1331" s="12">
        <v>48.0</v>
      </c>
      <c r="B1331" s="8" t="s">
        <v>332</v>
      </c>
      <c r="C1331" s="8" t="s">
        <v>992</v>
      </c>
      <c r="I1331" s="10" t="s">
        <v>998</v>
      </c>
      <c r="J1331" s="13" t="s">
        <v>1120</v>
      </c>
      <c r="K1331" s="13" t="s">
        <v>251</v>
      </c>
      <c r="L1331" s="13" t="s">
        <v>1848</v>
      </c>
      <c r="M1331" s="7" t="s">
        <v>253</v>
      </c>
      <c r="N1331" s="7" t="s">
        <v>253</v>
      </c>
      <c r="O1331" s="7" t="s">
        <v>254</v>
      </c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  <c r="AA1331" s="8"/>
      <c r="AB1331" s="8"/>
      <c r="AC1331" s="8"/>
      <c r="AD1331" s="8"/>
      <c r="AE1331" s="8"/>
    </row>
    <row r="1332">
      <c r="A1332" s="12">
        <v>48.0</v>
      </c>
      <c r="B1332" s="8" t="s">
        <v>332</v>
      </c>
      <c r="C1332" s="8" t="s">
        <v>992</v>
      </c>
      <c r="I1332" s="10" t="s">
        <v>1020</v>
      </c>
      <c r="J1332" s="13" t="s">
        <v>1113</v>
      </c>
      <c r="K1332" s="13" t="s">
        <v>251</v>
      </c>
      <c r="L1332" s="13" t="s">
        <v>1849</v>
      </c>
      <c r="M1332" s="7" t="s">
        <v>253</v>
      </c>
      <c r="N1332" s="7" t="s">
        <v>253</v>
      </c>
      <c r="O1332" s="7" t="s">
        <v>254</v>
      </c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  <c r="AA1332" s="8"/>
      <c r="AB1332" s="8"/>
      <c r="AC1332" s="8"/>
      <c r="AD1332" s="8"/>
      <c r="AE1332" s="8"/>
    </row>
    <row r="1333">
      <c r="A1333" s="12">
        <v>48.0</v>
      </c>
      <c r="B1333" s="8" t="s">
        <v>332</v>
      </c>
      <c r="C1333" s="8" t="s">
        <v>992</v>
      </c>
      <c r="I1333" s="10" t="s">
        <v>963</v>
      </c>
      <c r="J1333" s="13" t="s">
        <v>1118</v>
      </c>
      <c r="K1333" s="13" t="s">
        <v>251</v>
      </c>
      <c r="L1333" s="13" t="s">
        <v>1850</v>
      </c>
      <c r="M1333" s="7" t="s">
        <v>253</v>
      </c>
      <c r="N1333" s="7" t="s">
        <v>253</v>
      </c>
      <c r="O1333" s="7" t="s">
        <v>254</v>
      </c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  <c r="AA1333" s="8"/>
      <c r="AB1333" s="8"/>
      <c r="AC1333" s="8"/>
      <c r="AD1333" s="8"/>
      <c r="AE1333" s="8"/>
    </row>
    <row r="1334">
      <c r="A1334" s="12">
        <v>48.0</v>
      </c>
      <c r="B1334" s="8" t="s">
        <v>332</v>
      </c>
      <c r="C1334" s="8" t="s">
        <v>992</v>
      </c>
      <c r="I1334" s="10" t="s">
        <v>1851</v>
      </c>
      <c r="J1334" s="13" t="s">
        <v>1120</v>
      </c>
      <c r="K1334" s="13" t="s">
        <v>276</v>
      </c>
      <c r="L1334" s="13" t="s">
        <v>1852</v>
      </c>
      <c r="M1334" s="7" t="s">
        <v>253</v>
      </c>
      <c r="N1334" s="7" t="s">
        <v>253</v>
      </c>
      <c r="O1334" s="7" t="s">
        <v>254</v>
      </c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  <c r="AA1334" s="8"/>
      <c r="AB1334" s="8"/>
      <c r="AC1334" s="8"/>
      <c r="AD1334" s="8"/>
      <c r="AE1334" s="8"/>
    </row>
    <row r="1335">
      <c r="A1335" s="12">
        <v>48.0</v>
      </c>
      <c r="B1335" s="8" t="s">
        <v>332</v>
      </c>
      <c r="C1335" s="8" t="s">
        <v>992</v>
      </c>
      <c r="I1335" s="10" t="s">
        <v>1853</v>
      </c>
      <c r="J1335" s="13" t="s">
        <v>1113</v>
      </c>
      <c r="K1335" s="13" t="s">
        <v>276</v>
      </c>
      <c r="L1335" s="13" t="s">
        <v>1852</v>
      </c>
      <c r="M1335" s="7" t="s">
        <v>253</v>
      </c>
      <c r="N1335" s="7" t="s">
        <v>253</v>
      </c>
      <c r="O1335" s="7" t="s">
        <v>254</v>
      </c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  <c r="AA1335" s="8"/>
      <c r="AB1335" s="8"/>
      <c r="AC1335" s="8"/>
      <c r="AD1335" s="8"/>
      <c r="AE1335" s="8"/>
    </row>
    <row r="1336">
      <c r="A1336" s="12">
        <v>48.0</v>
      </c>
      <c r="B1336" s="8" t="s">
        <v>332</v>
      </c>
      <c r="C1336" s="8" t="s">
        <v>992</v>
      </c>
      <c r="I1336" s="10" t="s">
        <v>1651</v>
      </c>
      <c r="J1336" s="13" t="s">
        <v>1118</v>
      </c>
      <c r="K1336" s="13" t="s">
        <v>276</v>
      </c>
      <c r="L1336" s="13" t="s">
        <v>1852</v>
      </c>
      <c r="M1336" s="7" t="s">
        <v>253</v>
      </c>
      <c r="N1336" s="7" t="s">
        <v>253</v>
      </c>
      <c r="O1336" s="7" t="s">
        <v>254</v>
      </c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  <c r="AA1336" s="8"/>
      <c r="AB1336" s="8"/>
      <c r="AC1336" s="8"/>
      <c r="AD1336" s="8"/>
      <c r="AE1336" s="8"/>
    </row>
    <row r="1337">
      <c r="A1337" s="12">
        <v>48.0</v>
      </c>
      <c r="B1337" s="8" t="s">
        <v>332</v>
      </c>
      <c r="C1337" s="8" t="s">
        <v>992</v>
      </c>
      <c r="I1337" s="10" t="s">
        <v>1652</v>
      </c>
      <c r="J1337" s="13" t="s">
        <v>1120</v>
      </c>
      <c r="K1337" s="13" t="s">
        <v>276</v>
      </c>
      <c r="L1337" s="13" t="s">
        <v>1852</v>
      </c>
      <c r="M1337" s="7" t="s">
        <v>253</v>
      </c>
      <c r="N1337" s="7" t="s">
        <v>253</v>
      </c>
      <c r="O1337" s="7" t="s">
        <v>254</v>
      </c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  <c r="AA1337" s="8"/>
      <c r="AB1337" s="8"/>
      <c r="AC1337" s="8"/>
      <c r="AD1337" s="8"/>
      <c r="AE1337" s="8"/>
    </row>
    <row r="1338">
      <c r="A1338" s="12">
        <v>48.0</v>
      </c>
      <c r="B1338" s="8" t="s">
        <v>332</v>
      </c>
      <c r="C1338" s="8" t="s">
        <v>992</v>
      </c>
      <c r="I1338" s="10" t="s">
        <v>1854</v>
      </c>
      <c r="J1338" s="13" t="s">
        <v>1113</v>
      </c>
      <c r="K1338" s="13" t="s">
        <v>276</v>
      </c>
      <c r="L1338" s="13" t="s">
        <v>1852</v>
      </c>
      <c r="M1338" s="7" t="s">
        <v>253</v>
      </c>
      <c r="N1338" s="7" t="s">
        <v>253</v>
      </c>
      <c r="O1338" s="7" t="s">
        <v>254</v>
      </c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  <c r="AA1338" s="8"/>
      <c r="AB1338" s="8"/>
      <c r="AC1338" s="8"/>
      <c r="AD1338" s="8"/>
      <c r="AE1338" s="8"/>
    </row>
    <row r="1339">
      <c r="A1339" s="12">
        <v>48.0</v>
      </c>
      <c r="B1339" s="8" t="s">
        <v>332</v>
      </c>
      <c r="C1339" s="8" t="s">
        <v>992</v>
      </c>
      <c r="I1339" s="10" t="s">
        <v>1590</v>
      </c>
      <c r="J1339" s="13" t="s">
        <v>1118</v>
      </c>
      <c r="K1339" s="13" t="s">
        <v>276</v>
      </c>
      <c r="L1339" s="13" t="s">
        <v>1852</v>
      </c>
      <c r="M1339" s="7" t="s">
        <v>253</v>
      </c>
      <c r="N1339" s="7" t="s">
        <v>253</v>
      </c>
      <c r="O1339" s="7" t="s">
        <v>254</v>
      </c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  <c r="AA1339" s="8"/>
      <c r="AB1339" s="8"/>
      <c r="AC1339" s="8"/>
      <c r="AD1339" s="8"/>
      <c r="AE1339" s="8"/>
    </row>
    <row r="1340">
      <c r="A1340" s="12">
        <v>48.0</v>
      </c>
      <c r="B1340" s="8" t="s">
        <v>332</v>
      </c>
      <c r="C1340" s="8" t="s">
        <v>992</v>
      </c>
      <c r="I1340" s="10" t="s">
        <v>982</v>
      </c>
      <c r="J1340" s="13" t="s">
        <v>1120</v>
      </c>
      <c r="K1340" s="13" t="s">
        <v>276</v>
      </c>
      <c r="L1340" s="13" t="s">
        <v>1855</v>
      </c>
      <c r="M1340" s="7" t="s">
        <v>253</v>
      </c>
      <c r="N1340" s="7" t="s">
        <v>253</v>
      </c>
      <c r="O1340" s="7" t="s">
        <v>254</v>
      </c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  <c r="AA1340" s="8"/>
      <c r="AB1340" s="8"/>
      <c r="AC1340" s="8"/>
      <c r="AD1340" s="8"/>
      <c r="AE1340" s="8"/>
    </row>
    <row r="1341">
      <c r="A1341" s="12">
        <v>48.0</v>
      </c>
      <c r="B1341" s="8" t="s">
        <v>332</v>
      </c>
      <c r="C1341" s="8" t="s">
        <v>992</v>
      </c>
      <c r="I1341" s="10" t="s">
        <v>1692</v>
      </c>
      <c r="J1341" s="13" t="s">
        <v>1113</v>
      </c>
      <c r="K1341" s="13" t="s">
        <v>276</v>
      </c>
      <c r="L1341" s="13" t="s">
        <v>1852</v>
      </c>
      <c r="M1341" s="7" t="s">
        <v>253</v>
      </c>
      <c r="N1341" s="7" t="s">
        <v>253</v>
      </c>
      <c r="O1341" s="7" t="s">
        <v>254</v>
      </c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  <c r="AA1341" s="8"/>
      <c r="AB1341" s="8"/>
      <c r="AC1341" s="8"/>
      <c r="AD1341" s="8"/>
      <c r="AE1341" s="8"/>
    </row>
    <row r="1342">
      <c r="A1342" s="12">
        <v>48.0</v>
      </c>
      <c r="B1342" s="8" t="s">
        <v>332</v>
      </c>
      <c r="C1342" s="8" t="s">
        <v>992</v>
      </c>
      <c r="I1342" s="10" t="s">
        <v>1856</v>
      </c>
      <c r="J1342" s="13" t="s">
        <v>1118</v>
      </c>
      <c r="K1342" s="13" t="s">
        <v>276</v>
      </c>
      <c r="L1342" s="13" t="s">
        <v>1857</v>
      </c>
      <c r="M1342" s="7" t="s">
        <v>253</v>
      </c>
      <c r="N1342" s="7" t="s">
        <v>253</v>
      </c>
      <c r="O1342" s="7" t="s">
        <v>254</v>
      </c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  <c r="AA1342" s="8"/>
      <c r="AB1342" s="8"/>
      <c r="AC1342" s="8"/>
      <c r="AD1342" s="8"/>
      <c r="AE1342" s="8"/>
    </row>
    <row r="1343">
      <c r="A1343" s="12">
        <v>48.0</v>
      </c>
      <c r="B1343" s="8" t="s">
        <v>332</v>
      </c>
      <c r="C1343" s="8" t="s">
        <v>992</v>
      </c>
      <c r="I1343" s="10" t="s">
        <v>903</v>
      </c>
      <c r="J1343" s="13" t="s">
        <v>1120</v>
      </c>
      <c r="K1343" s="13" t="s">
        <v>276</v>
      </c>
      <c r="L1343" s="13" t="s">
        <v>1852</v>
      </c>
      <c r="M1343" s="7" t="s">
        <v>253</v>
      </c>
      <c r="N1343" s="7" t="s">
        <v>253</v>
      </c>
      <c r="O1343" s="7" t="s">
        <v>254</v>
      </c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  <c r="AA1343" s="8"/>
      <c r="AB1343" s="8"/>
      <c r="AC1343" s="8"/>
      <c r="AD1343" s="8"/>
      <c r="AE1343" s="8"/>
    </row>
    <row r="1344">
      <c r="A1344" s="12">
        <v>48.0</v>
      </c>
      <c r="B1344" s="8" t="s">
        <v>332</v>
      </c>
      <c r="C1344" s="8" t="s">
        <v>992</v>
      </c>
      <c r="I1344" s="10" t="s">
        <v>1135</v>
      </c>
      <c r="J1344" s="13" t="s">
        <v>1113</v>
      </c>
      <c r="K1344" s="13" t="s">
        <v>276</v>
      </c>
      <c r="L1344" s="13" t="s">
        <v>1852</v>
      </c>
      <c r="M1344" s="7" t="s">
        <v>253</v>
      </c>
      <c r="N1344" s="7" t="s">
        <v>253</v>
      </c>
      <c r="O1344" s="7" t="s">
        <v>254</v>
      </c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  <c r="AA1344" s="8"/>
      <c r="AB1344" s="8"/>
      <c r="AC1344" s="8"/>
      <c r="AD1344" s="8"/>
      <c r="AE1344" s="8"/>
    </row>
    <row r="1345">
      <c r="A1345" s="12">
        <v>48.0</v>
      </c>
      <c r="B1345" s="8" t="s">
        <v>332</v>
      </c>
      <c r="C1345" s="8" t="s">
        <v>992</v>
      </c>
      <c r="I1345" s="10" t="s">
        <v>824</v>
      </c>
      <c r="J1345" s="13" t="s">
        <v>1118</v>
      </c>
      <c r="K1345" s="13" t="s">
        <v>276</v>
      </c>
      <c r="L1345" s="13" t="s">
        <v>1852</v>
      </c>
      <c r="M1345" s="7" t="s">
        <v>253</v>
      </c>
      <c r="N1345" s="7" t="s">
        <v>253</v>
      </c>
      <c r="O1345" s="7" t="s">
        <v>254</v>
      </c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  <c r="AA1345" s="8"/>
      <c r="AB1345" s="8"/>
      <c r="AC1345" s="8"/>
      <c r="AD1345" s="8"/>
      <c r="AE1345" s="8"/>
    </row>
    <row r="1346">
      <c r="A1346" s="12">
        <v>48.0</v>
      </c>
      <c r="B1346" s="8" t="s">
        <v>332</v>
      </c>
      <c r="C1346" s="8" t="s">
        <v>992</v>
      </c>
      <c r="I1346" s="10" t="s">
        <v>1858</v>
      </c>
      <c r="J1346" s="13" t="s">
        <v>1120</v>
      </c>
      <c r="K1346" s="13" t="s">
        <v>276</v>
      </c>
      <c r="L1346" s="13" t="s">
        <v>1859</v>
      </c>
      <c r="M1346" s="7" t="s">
        <v>253</v>
      </c>
      <c r="N1346" s="7" t="s">
        <v>253</v>
      </c>
      <c r="O1346" s="7" t="s">
        <v>254</v>
      </c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  <c r="AA1346" s="8"/>
      <c r="AB1346" s="8"/>
      <c r="AC1346" s="8"/>
      <c r="AD1346" s="8"/>
      <c r="AE1346" s="8"/>
    </row>
    <row r="1347">
      <c r="A1347" s="12">
        <v>48.0</v>
      </c>
      <c r="B1347" s="8" t="s">
        <v>332</v>
      </c>
      <c r="C1347" s="8" t="s">
        <v>992</v>
      </c>
      <c r="I1347" s="10" t="s">
        <v>1018</v>
      </c>
      <c r="J1347" s="13" t="s">
        <v>1113</v>
      </c>
      <c r="K1347" s="13" t="s">
        <v>276</v>
      </c>
      <c r="L1347" s="13" t="s">
        <v>1857</v>
      </c>
      <c r="M1347" s="7" t="s">
        <v>253</v>
      </c>
      <c r="N1347" s="7" t="s">
        <v>253</v>
      </c>
      <c r="O1347" s="7" t="s">
        <v>254</v>
      </c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  <c r="AA1347" s="8"/>
      <c r="AB1347" s="8"/>
      <c r="AC1347" s="8"/>
      <c r="AD1347" s="8"/>
      <c r="AE1347" s="8"/>
    </row>
    <row r="1348">
      <c r="A1348" s="12">
        <v>48.0</v>
      </c>
      <c r="B1348" s="8" t="s">
        <v>332</v>
      </c>
      <c r="C1348" s="8" t="s">
        <v>992</v>
      </c>
      <c r="I1348" s="10" t="s">
        <v>1082</v>
      </c>
      <c r="J1348" s="13" t="s">
        <v>1118</v>
      </c>
      <c r="K1348" s="13" t="s">
        <v>276</v>
      </c>
      <c r="L1348" s="13" t="s">
        <v>1859</v>
      </c>
      <c r="M1348" s="7" t="s">
        <v>253</v>
      </c>
      <c r="N1348" s="7" t="s">
        <v>253</v>
      </c>
      <c r="O1348" s="7" t="s">
        <v>254</v>
      </c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  <c r="AA1348" s="8"/>
      <c r="AB1348" s="8"/>
      <c r="AC1348" s="8"/>
      <c r="AD1348" s="8"/>
      <c r="AE1348" s="8"/>
    </row>
    <row r="1349">
      <c r="A1349" s="12">
        <v>48.0</v>
      </c>
      <c r="B1349" s="8" t="s">
        <v>332</v>
      </c>
      <c r="C1349" s="8" t="s">
        <v>992</v>
      </c>
      <c r="I1349" s="10" t="s">
        <v>1063</v>
      </c>
      <c r="J1349" s="13" t="s">
        <v>1120</v>
      </c>
      <c r="K1349" s="13" t="s">
        <v>276</v>
      </c>
      <c r="L1349" s="13" t="s">
        <v>1857</v>
      </c>
      <c r="M1349" s="7" t="s">
        <v>253</v>
      </c>
      <c r="N1349" s="7" t="s">
        <v>253</v>
      </c>
      <c r="O1349" s="7" t="s">
        <v>254</v>
      </c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  <c r="AA1349" s="8"/>
      <c r="AB1349" s="8"/>
      <c r="AC1349" s="8"/>
      <c r="AD1349" s="8"/>
      <c r="AE1349" s="8"/>
    </row>
    <row r="1350">
      <c r="A1350" s="12">
        <v>48.0</v>
      </c>
      <c r="B1350" s="8" t="s">
        <v>332</v>
      </c>
      <c r="C1350" s="8" t="s">
        <v>992</v>
      </c>
      <c r="I1350" s="10" t="s">
        <v>1058</v>
      </c>
      <c r="J1350" s="13" t="s">
        <v>1113</v>
      </c>
      <c r="K1350" s="13" t="s">
        <v>276</v>
      </c>
      <c r="L1350" s="13" t="s">
        <v>1852</v>
      </c>
      <c r="M1350" s="7" t="s">
        <v>253</v>
      </c>
      <c r="N1350" s="7" t="s">
        <v>253</v>
      </c>
      <c r="O1350" s="7" t="s">
        <v>254</v>
      </c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  <c r="AA1350" s="8"/>
      <c r="AB1350" s="8"/>
      <c r="AC1350" s="8"/>
      <c r="AD1350" s="8"/>
      <c r="AE1350" s="8"/>
    </row>
    <row r="1351">
      <c r="A1351" s="12">
        <v>48.0</v>
      </c>
      <c r="B1351" s="8" t="s">
        <v>332</v>
      </c>
      <c r="C1351" s="8" t="s">
        <v>992</v>
      </c>
      <c r="I1351" s="10" t="s">
        <v>1860</v>
      </c>
      <c r="J1351" s="13" t="s">
        <v>1118</v>
      </c>
      <c r="K1351" s="13" t="s">
        <v>276</v>
      </c>
      <c r="L1351" s="13" t="s">
        <v>1852</v>
      </c>
      <c r="M1351" s="7" t="s">
        <v>253</v>
      </c>
      <c r="N1351" s="7" t="s">
        <v>253</v>
      </c>
      <c r="O1351" s="7" t="s">
        <v>254</v>
      </c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  <c r="AA1351" s="8"/>
      <c r="AB1351" s="8"/>
      <c r="AC1351" s="8"/>
      <c r="AD1351" s="8"/>
      <c r="AE1351" s="8"/>
    </row>
    <row r="1352">
      <c r="A1352" s="12">
        <v>48.0</v>
      </c>
      <c r="B1352" s="8" t="s">
        <v>332</v>
      </c>
      <c r="C1352" s="8" t="s">
        <v>992</v>
      </c>
      <c r="I1352" s="10" t="s">
        <v>1021</v>
      </c>
      <c r="J1352" s="13" t="s">
        <v>1120</v>
      </c>
      <c r="K1352" s="13" t="s">
        <v>276</v>
      </c>
      <c r="L1352" s="13" t="s">
        <v>1852</v>
      </c>
      <c r="M1352" s="7" t="s">
        <v>253</v>
      </c>
      <c r="N1352" s="7" t="s">
        <v>253</v>
      </c>
      <c r="O1352" s="7" t="s">
        <v>254</v>
      </c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  <c r="AA1352" s="8"/>
      <c r="AB1352" s="8"/>
      <c r="AC1352" s="8"/>
      <c r="AD1352" s="8"/>
      <c r="AE1352" s="8"/>
    </row>
    <row r="1353">
      <c r="A1353" s="12">
        <v>48.0</v>
      </c>
      <c r="B1353" s="8" t="s">
        <v>332</v>
      </c>
      <c r="C1353" s="8" t="s">
        <v>992</v>
      </c>
      <c r="I1353" s="10" t="s">
        <v>1861</v>
      </c>
      <c r="J1353" s="13" t="s">
        <v>1113</v>
      </c>
      <c r="K1353" s="13" t="s">
        <v>276</v>
      </c>
      <c r="L1353" s="13" t="s">
        <v>1857</v>
      </c>
      <c r="M1353" s="7" t="s">
        <v>253</v>
      </c>
      <c r="N1353" s="7" t="s">
        <v>253</v>
      </c>
      <c r="O1353" s="7" t="s">
        <v>254</v>
      </c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  <c r="AA1353" s="8"/>
      <c r="AB1353" s="8"/>
      <c r="AC1353" s="8"/>
      <c r="AD1353" s="8"/>
      <c r="AE1353" s="8"/>
    </row>
    <row r="1354">
      <c r="A1354" s="12">
        <v>48.0</v>
      </c>
      <c r="B1354" s="8" t="s">
        <v>332</v>
      </c>
      <c r="C1354" s="8" t="s">
        <v>992</v>
      </c>
      <c r="I1354" s="10" t="s">
        <v>1080</v>
      </c>
      <c r="J1354" s="13" t="s">
        <v>1118</v>
      </c>
      <c r="K1354" s="13" t="s">
        <v>276</v>
      </c>
      <c r="L1354" s="13" t="s">
        <v>1859</v>
      </c>
      <c r="M1354" s="7" t="s">
        <v>253</v>
      </c>
      <c r="N1354" s="7" t="s">
        <v>253</v>
      </c>
      <c r="O1354" s="7" t="s">
        <v>254</v>
      </c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  <c r="AA1354" s="8"/>
      <c r="AB1354" s="8"/>
      <c r="AC1354" s="8"/>
      <c r="AD1354" s="8"/>
      <c r="AE1354" s="8"/>
    </row>
    <row r="1355">
      <c r="A1355" s="12">
        <v>48.0</v>
      </c>
      <c r="B1355" s="8" t="s">
        <v>332</v>
      </c>
      <c r="C1355" s="8" t="s">
        <v>992</v>
      </c>
      <c r="I1355" s="10" t="s">
        <v>1028</v>
      </c>
      <c r="J1355" s="13" t="s">
        <v>1120</v>
      </c>
      <c r="K1355" s="13" t="s">
        <v>276</v>
      </c>
      <c r="L1355" s="13" t="s">
        <v>1859</v>
      </c>
      <c r="M1355" s="7" t="s">
        <v>253</v>
      </c>
      <c r="N1355" s="7" t="s">
        <v>253</v>
      </c>
      <c r="O1355" s="7" t="s">
        <v>254</v>
      </c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  <c r="AA1355" s="8"/>
      <c r="AB1355" s="8"/>
      <c r="AC1355" s="8"/>
      <c r="AD1355" s="8"/>
      <c r="AE1355" s="8"/>
    </row>
    <row r="1356">
      <c r="A1356" s="12">
        <v>48.0</v>
      </c>
      <c r="B1356" s="8" t="s">
        <v>332</v>
      </c>
      <c r="C1356" s="8" t="s">
        <v>992</v>
      </c>
      <c r="I1356" s="10" t="s">
        <v>1031</v>
      </c>
      <c r="J1356" s="13" t="s">
        <v>1113</v>
      </c>
      <c r="K1356" s="13" t="s">
        <v>276</v>
      </c>
      <c r="L1356" s="13" t="s">
        <v>1857</v>
      </c>
      <c r="M1356" s="7" t="s">
        <v>253</v>
      </c>
      <c r="N1356" s="7" t="s">
        <v>253</v>
      </c>
      <c r="O1356" s="7" t="s">
        <v>254</v>
      </c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  <c r="AA1356" s="8"/>
      <c r="AB1356" s="8"/>
      <c r="AC1356" s="8"/>
      <c r="AD1356" s="8"/>
      <c r="AE1356" s="8"/>
    </row>
    <row r="1357">
      <c r="A1357" s="12">
        <v>48.0</v>
      </c>
      <c r="B1357" s="8" t="s">
        <v>332</v>
      </c>
      <c r="C1357" s="8" t="s">
        <v>992</v>
      </c>
      <c r="I1357" s="10" t="s">
        <v>1862</v>
      </c>
      <c r="J1357" s="13" t="s">
        <v>1118</v>
      </c>
      <c r="K1357" s="13" t="s">
        <v>276</v>
      </c>
      <c r="L1357" s="13" t="s">
        <v>1852</v>
      </c>
      <c r="M1357" s="7" t="s">
        <v>253</v>
      </c>
      <c r="N1357" s="7" t="s">
        <v>253</v>
      </c>
      <c r="O1357" s="7" t="s">
        <v>254</v>
      </c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  <c r="AA1357" s="8"/>
      <c r="AB1357" s="8"/>
      <c r="AC1357" s="8"/>
      <c r="AD1357" s="8"/>
      <c r="AE1357" s="8"/>
    </row>
    <row r="1358">
      <c r="A1358" s="12">
        <v>48.0</v>
      </c>
      <c r="B1358" s="8" t="s">
        <v>332</v>
      </c>
      <c r="C1358" s="8" t="s">
        <v>992</v>
      </c>
      <c r="I1358" s="10" t="s">
        <v>1863</v>
      </c>
      <c r="J1358" s="13" t="s">
        <v>1120</v>
      </c>
      <c r="K1358" s="13" t="s">
        <v>276</v>
      </c>
      <c r="L1358" s="13" t="s">
        <v>1852</v>
      </c>
      <c r="M1358" s="7" t="s">
        <v>253</v>
      </c>
      <c r="N1358" s="7" t="s">
        <v>253</v>
      </c>
      <c r="O1358" s="7" t="s">
        <v>254</v>
      </c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  <c r="AA1358" s="8"/>
      <c r="AB1358" s="8"/>
      <c r="AC1358" s="8"/>
      <c r="AD1358" s="8"/>
      <c r="AE1358" s="8"/>
    </row>
    <row r="1359">
      <c r="A1359" s="12">
        <v>48.0</v>
      </c>
      <c r="B1359" s="8" t="s">
        <v>332</v>
      </c>
      <c r="C1359" s="8" t="s">
        <v>992</v>
      </c>
      <c r="I1359" s="10" t="s">
        <v>1041</v>
      </c>
      <c r="J1359" s="13" t="s">
        <v>1113</v>
      </c>
      <c r="K1359" s="13" t="s">
        <v>276</v>
      </c>
      <c r="L1359" s="13" t="s">
        <v>1857</v>
      </c>
      <c r="M1359" s="7" t="s">
        <v>253</v>
      </c>
      <c r="N1359" s="7" t="s">
        <v>253</v>
      </c>
      <c r="O1359" s="7" t="s">
        <v>254</v>
      </c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  <c r="AA1359" s="8"/>
      <c r="AB1359" s="8"/>
      <c r="AC1359" s="8"/>
      <c r="AD1359" s="8"/>
      <c r="AE1359" s="8"/>
    </row>
    <row r="1360">
      <c r="A1360" s="12">
        <v>48.0</v>
      </c>
      <c r="B1360" s="8" t="s">
        <v>332</v>
      </c>
      <c r="C1360" s="8" t="s">
        <v>992</v>
      </c>
      <c r="I1360" s="10" t="s">
        <v>1840</v>
      </c>
      <c r="J1360" s="13" t="s">
        <v>1118</v>
      </c>
      <c r="K1360" s="13" t="s">
        <v>276</v>
      </c>
      <c r="L1360" s="13" t="s">
        <v>1864</v>
      </c>
      <c r="M1360" s="7" t="s">
        <v>253</v>
      </c>
      <c r="N1360" s="7" t="s">
        <v>253</v>
      </c>
      <c r="O1360" s="7" t="s">
        <v>254</v>
      </c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  <c r="AA1360" s="8"/>
      <c r="AB1360" s="8"/>
      <c r="AC1360" s="8"/>
      <c r="AD1360" s="8"/>
      <c r="AE1360" s="8"/>
    </row>
    <row r="1361">
      <c r="A1361" s="12">
        <v>48.0</v>
      </c>
      <c r="B1361" s="8" t="s">
        <v>332</v>
      </c>
      <c r="C1361" s="8" t="s">
        <v>992</v>
      </c>
      <c r="I1361" s="10" t="s">
        <v>1051</v>
      </c>
      <c r="J1361" s="13" t="s">
        <v>1120</v>
      </c>
      <c r="K1361" s="13" t="s">
        <v>276</v>
      </c>
      <c r="L1361" s="13" t="s">
        <v>1852</v>
      </c>
      <c r="M1361" s="7" t="s">
        <v>253</v>
      </c>
      <c r="N1361" s="7" t="s">
        <v>253</v>
      </c>
      <c r="O1361" s="7" t="s">
        <v>254</v>
      </c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  <c r="AA1361" s="8"/>
      <c r="AB1361" s="8"/>
      <c r="AC1361" s="8"/>
      <c r="AD1361" s="8"/>
      <c r="AE1361" s="8"/>
    </row>
    <row r="1362">
      <c r="A1362" s="12">
        <v>48.0</v>
      </c>
      <c r="B1362" s="8" t="s">
        <v>332</v>
      </c>
      <c r="C1362" s="8" t="s">
        <v>992</v>
      </c>
      <c r="I1362" s="10" t="s">
        <v>1035</v>
      </c>
      <c r="J1362" s="13" t="s">
        <v>1113</v>
      </c>
      <c r="K1362" s="13" t="s">
        <v>276</v>
      </c>
      <c r="L1362" s="13" t="s">
        <v>1852</v>
      </c>
      <c r="M1362" s="7" t="s">
        <v>253</v>
      </c>
      <c r="N1362" s="7" t="s">
        <v>253</v>
      </c>
      <c r="O1362" s="7" t="s">
        <v>254</v>
      </c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  <c r="AA1362" s="8"/>
      <c r="AB1362" s="8"/>
      <c r="AC1362" s="8"/>
      <c r="AD1362" s="8"/>
      <c r="AE1362" s="8"/>
    </row>
    <row r="1363">
      <c r="A1363" s="12">
        <v>48.0</v>
      </c>
      <c r="B1363" s="8" t="s">
        <v>332</v>
      </c>
      <c r="C1363" s="8" t="s">
        <v>992</v>
      </c>
      <c r="I1363" s="10" t="s">
        <v>1006</v>
      </c>
      <c r="J1363" s="13" t="s">
        <v>1118</v>
      </c>
      <c r="K1363" s="13" t="s">
        <v>276</v>
      </c>
      <c r="L1363" s="13" t="s">
        <v>1852</v>
      </c>
      <c r="M1363" s="7" t="s">
        <v>253</v>
      </c>
      <c r="N1363" s="7" t="s">
        <v>253</v>
      </c>
      <c r="O1363" s="7" t="s">
        <v>254</v>
      </c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  <c r="AA1363" s="8"/>
      <c r="AB1363" s="8"/>
      <c r="AC1363" s="8"/>
      <c r="AD1363" s="8"/>
      <c r="AE1363" s="8"/>
    </row>
    <row r="1364">
      <c r="A1364" s="12">
        <v>49.0</v>
      </c>
      <c r="B1364" s="8" t="s">
        <v>333</v>
      </c>
      <c r="C1364" s="8" t="s">
        <v>992</v>
      </c>
      <c r="D1364" s="25">
        <f>IF(COUNTIF($B$2:$B1364,$B1364)&gt;1,"",COUNTIF($B$2:$B$2505,$B1364))</f>
        <v>52</v>
      </c>
      <c r="E1364" s="25">
        <f>IF(COUNTIF($B$2:$B1364,$B1364)&gt;1,"",COUNTIFS($B$2:$B$2505,$B1364,$K$2:$K$2505,"PHÙ HỢP CAO"))</f>
        <v>2</v>
      </c>
      <c r="F1364" s="25">
        <f>IF(COUNTIF($B$2:$B1364,$B1364)&gt;1,"",COUNTIFS($B$2:$B$2505,$B1364,$K$2:$K$2505,"CÓ THỂ ĐI"))</f>
        <v>3</v>
      </c>
      <c r="G1364" s="25">
        <f>IF(COUNTIF($B$2:$B1364,$B1364)&gt;1,"",COUNTIFS($B$2:$B$2505,$B1364,$K$2:$K$2505,"CẦN SOÁT"))</f>
        <v>47</v>
      </c>
      <c r="H1364" s="26" t="str">
        <f>IFERROR(__xludf.DUMMYFUNCTION("IF(COUNTIF($B$2:$B1364,$B1364)&gt;1,"""",IFERROR(TEXTJOIN(CHAR(10),TRUE,BYROW(QUERY({$B$2:$B$2505,$J$2:$J$2505},""select Col2, count(Col2) where Col1 = '""&amp;$B1364&amp;""' group by Col2 order by count(Col2) desc label count(Col2) ''"",0),LAMBDA(r,INDEX(r,1,1)&amp;"" "&amp;"– ""&amp;INDEX(r,1,2)&amp;"" link""))),""""))"),"đổi USD ở đâu – 26 link
đổi tiền đô ở đâu – 26 link")</f>
        <v>đổi USD ở đâu – 26 link
đổi tiền đô ở đâu – 26 link</v>
      </c>
      <c r="I1364" s="10" t="s">
        <v>1010</v>
      </c>
      <c r="J1364" s="13" t="s">
        <v>1126</v>
      </c>
      <c r="K1364" s="13" t="s">
        <v>251</v>
      </c>
      <c r="L1364" s="13" t="s">
        <v>1865</v>
      </c>
      <c r="M1364" s="7" t="s">
        <v>253</v>
      </c>
      <c r="N1364" s="7" t="s">
        <v>253</v>
      </c>
      <c r="O1364" s="7" t="s">
        <v>254</v>
      </c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  <c r="AA1364" s="8"/>
      <c r="AB1364" s="8"/>
      <c r="AC1364" s="8"/>
      <c r="AD1364" s="8"/>
      <c r="AE1364" s="8"/>
    </row>
    <row r="1365">
      <c r="A1365" s="12">
        <v>49.0</v>
      </c>
      <c r="B1365" s="8" t="s">
        <v>333</v>
      </c>
      <c r="C1365" s="8" t="s">
        <v>992</v>
      </c>
      <c r="I1365" s="10" t="s">
        <v>1063</v>
      </c>
      <c r="J1365" s="13" t="s">
        <v>1129</v>
      </c>
      <c r="K1365" s="13" t="s">
        <v>251</v>
      </c>
      <c r="L1365" s="13" t="s">
        <v>1866</v>
      </c>
      <c r="M1365" s="7" t="s">
        <v>253</v>
      </c>
      <c r="N1365" s="7" t="s">
        <v>253</v>
      </c>
      <c r="O1365" s="7" t="s">
        <v>254</v>
      </c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  <c r="AA1365" s="8"/>
      <c r="AB1365" s="8"/>
      <c r="AC1365" s="8"/>
      <c r="AD1365" s="8"/>
      <c r="AE1365" s="8"/>
    </row>
    <row r="1366">
      <c r="A1366" s="12">
        <v>49.0</v>
      </c>
      <c r="B1366" s="8" t="s">
        <v>333</v>
      </c>
      <c r="C1366" s="8" t="s">
        <v>992</v>
      </c>
      <c r="I1366" s="10" t="s">
        <v>923</v>
      </c>
      <c r="J1366" s="13" t="s">
        <v>1126</v>
      </c>
      <c r="K1366" s="13" t="s">
        <v>272</v>
      </c>
      <c r="L1366" s="13" t="s">
        <v>1867</v>
      </c>
      <c r="M1366" s="7" t="s">
        <v>253</v>
      </c>
      <c r="N1366" s="7" t="s">
        <v>253</v>
      </c>
      <c r="O1366" s="7" t="s">
        <v>254</v>
      </c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  <c r="AA1366" s="8"/>
      <c r="AB1366" s="8"/>
      <c r="AC1366" s="8"/>
      <c r="AD1366" s="8"/>
      <c r="AE1366" s="8"/>
    </row>
    <row r="1367">
      <c r="A1367" s="12">
        <v>49.0</v>
      </c>
      <c r="B1367" s="8" t="s">
        <v>333</v>
      </c>
      <c r="C1367" s="8" t="s">
        <v>992</v>
      </c>
      <c r="I1367" s="10" t="s">
        <v>1080</v>
      </c>
      <c r="J1367" s="13" t="s">
        <v>1129</v>
      </c>
      <c r="K1367" s="13" t="s">
        <v>272</v>
      </c>
      <c r="L1367" s="13" t="s">
        <v>1868</v>
      </c>
      <c r="M1367" s="7" t="s">
        <v>253</v>
      </c>
      <c r="N1367" s="7" t="s">
        <v>253</v>
      </c>
      <c r="O1367" s="7" t="s">
        <v>254</v>
      </c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  <c r="AA1367" s="8"/>
      <c r="AB1367" s="8"/>
      <c r="AC1367" s="8"/>
      <c r="AD1367" s="8"/>
      <c r="AE1367" s="8"/>
    </row>
    <row r="1368">
      <c r="A1368" s="12">
        <v>49.0</v>
      </c>
      <c r="B1368" s="8" t="s">
        <v>333</v>
      </c>
      <c r="C1368" s="8" t="s">
        <v>992</v>
      </c>
      <c r="I1368" s="10" t="s">
        <v>330</v>
      </c>
      <c r="J1368" s="13" t="s">
        <v>1126</v>
      </c>
      <c r="K1368" s="13" t="s">
        <v>272</v>
      </c>
      <c r="L1368" s="13" t="s">
        <v>1869</v>
      </c>
      <c r="M1368" s="7" t="s">
        <v>253</v>
      </c>
      <c r="N1368" s="7" t="s">
        <v>253</v>
      </c>
      <c r="O1368" s="7" t="s">
        <v>254</v>
      </c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  <c r="AA1368" s="8"/>
      <c r="AB1368" s="8"/>
      <c r="AC1368" s="8"/>
      <c r="AD1368" s="8"/>
      <c r="AE1368" s="8"/>
    </row>
    <row r="1369">
      <c r="A1369" s="12">
        <v>49.0</v>
      </c>
      <c r="B1369" s="8" t="s">
        <v>333</v>
      </c>
      <c r="C1369" s="8" t="s">
        <v>992</v>
      </c>
      <c r="I1369" s="10" t="s">
        <v>890</v>
      </c>
      <c r="J1369" s="13" t="s">
        <v>1129</v>
      </c>
      <c r="K1369" s="13" t="s">
        <v>276</v>
      </c>
      <c r="L1369" s="13" t="s">
        <v>1870</v>
      </c>
      <c r="M1369" s="7" t="s">
        <v>253</v>
      </c>
      <c r="N1369" s="7" t="s">
        <v>253</v>
      </c>
      <c r="O1369" s="7" t="s">
        <v>254</v>
      </c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  <c r="AA1369" s="8"/>
      <c r="AB1369" s="8"/>
      <c r="AC1369" s="8"/>
      <c r="AD1369" s="8"/>
      <c r="AE1369" s="8"/>
    </row>
    <row r="1370">
      <c r="A1370" s="12">
        <v>49.0</v>
      </c>
      <c r="B1370" s="8" t="s">
        <v>333</v>
      </c>
      <c r="C1370" s="8" t="s">
        <v>992</v>
      </c>
      <c r="I1370" s="10" t="s">
        <v>1018</v>
      </c>
      <c r="J1370" s="13" t="s">
        <v>1126</v>
      </c>
      <c r="K1370" s="13" t="s">
        <v>276</v>
      </c>
      <c r="L1370" s="13" t="s">
        <v>1870</v>
      </c>
      <c r="M1370" s="7" t="s">
        <v>253</v>
      </c>
      <c r="N1370" s="7" t="s">
        <v>253</v>
      </c>
      <c r="O1370" s="7" t="s">
        <v>254</v>
      </c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  <c r="AA1370" s="8"/>
      <c r="AB1370" s="8"/>
      <c r="AC1370" s="8"/>
      <c r="AD1370" s="8"/>
      <c r="AE1370" s="8"/>
    </row>
    <row r="1371">
      <c r="A1371" s="12">
        <v>49.0</v>
      </c>
      <c r="B1371" s="8" t="s">
        <v>333</v>
      </c>
      <c r="C1371" s="8" t="s">
        <v>992</v>
      </c>
      <c r="I1371" s="10" t="s">
        <v>1058</v>
      </c>
      <c r="J1371" s="13" t="s">
        <v>1129</v>
      </c>
      <c r="K1371" s="13" t="s">
        <v>276</v>
      </c>
      <c r="L1371" s="13" t="s">
        <v>1870</v>
      </c>
      <c r="M1371" s="7" t="s">
        <v>253</v>
      </c>
      <c r="N1371" s="7" t="s">
        <v>253</v>
      </c>
      <c r="O1371" s="7" t="s">
        <v>254</v>
      </c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  <c r="AA1371" s="8"/>
      <c r="AB1371" s="8"/>
      <c r="AC1371" s="8"/>
      <c r="AD1371" s="8"/>
      <c r="AE1371" s="8"/>
    </row>
    <row r="1372">
      <c r="A1372" s="12">
        <v>49.0</v>
      </c>
      <c r="B1372" s="8" t="s">
        <v>333</v>
      </c>
      <c r="C1372" s="8" t="s">
        <v>992</v>
      </c>
      <c r="I1372" s="10" t="s">
        <v>647</v>
      </c>
      <c r="J1372" s="13" t="s">
        <v>1126</v>
      </c>
      <c r="K1372" s="13" t="s">
        <v>276</v>
      </c>
      <c r="L1372" s="13" t="s">
        <v>1870</v>
      </c>
      <c r="M1372" s="7" t="s">
        <v>253</v>
      </c>
      <c r="N1372" s="7" t="s">
        <v>253</v>
      </c>
      <c r="O1372" s="7" t="s">
        <v>254</v>
      </c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  <c r="AA1372" s="8"/>
      <c r="AB1372" s="8"/>
      <c r="AC1372" s="8"/>
      <c r="AD1372" s="8"/>
      <c r="AE1372" s="8"/>
    </row>
    <row r="1373">
      <c r="A1373" s="12">
        <v>49.0</v>
      </c>
      <c r="B1373" s="8" t="s">
        <v>333</v>
      </c>
      <c r="C1373" s="8" t="s">
        <v>992</v>
      </c>
      <c r="I1373" s="10" t="s">
        <v>1017</v>
      </c>
      <c r="J1373" s="13" t="s">
        <v>1129</v>
      </c>
      <c r="K1373" s="13" t="s">
        <v>276</v>
      </c>
      <c r="L1373" s="13" t="s">
        <v>1838</v>
      </c>
      <c r="M1373" s="7" t="s">
        <v>253</v>
      </c>
      <c r="N1373" s="7" t="s">
        <v>253</v>
      </c>
      <c r="O1373" s="7" t="s">
        <v>254</v>
      </c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  <c r="AA1373" s="8"/>
      <c r="AB1373" s="8"/>
      <c r="AC1373" s="8"/>
      <c r="AD1373" s="8"/>
      <c r="AE1373" s="8"/>
    </row>
    <row r="1374">
      <c r="A1374" s="12">
        <v>49.0</v>
      </c>
      <c r="B1374" s="8" t="s">
        <v>333</v>
      </c>
      <c r="C1374" s="8" t="s">
        <v>992</v>
      </c>
      <c r="I1374" s="10" t="s">
        <v>1774</v>
      </c>
      <c r="J1374" s="13" t="s">
        <v>1126</v>
      </c>
      <c r="K1374" s="13" t="s">
        <v>276</v>
      </c>
      <c r="L1374" s="13" t="s">
        <v>1796</v>
      </c>
      <c r="M1374" s="7" t="s">
        <v>253</v>
      </c>
      <c r="N1374" s="7" t="s">
        <v>253</v>
      </c>
      <c r="O1374" s="7" t="s">
        <v>254</v>
      </c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  <c r="AA1374" s="8"/>
      <c r="AB1374" s="8"/>
      <c r="AC1374" s="8"/>
      <c r="AD1374" s="8"/>
      <c r="AE1374" s="8"/>
    </row>
    <row r="1375">
      <c r="A1375" s="12">
        <v>49.0</v>
      </c>
      <c r="B1375" s="8" t="s">
        <v>333</v>
      </c>
      <c r="C1375" s="8" t="s">
        <v>992</v>
      </c>
      <c r="I1375" s="10" t="s">
        <v>1031</v>
      </c>
      <c r="J1375" s="13" t="s">
        <v>1129</v>
      </c>
      <c r="K1375" s="13" t="s">
        <v>276</v>
      </c>
      <c r="L1375" s="13" t="s">
        <v>1871</v>
      </c>
      <c r="M1375" s="7" t="s">
        <v>253</v>
      </c>
      <c r="N1375" s="7" t="s">
        <v>253</v>
      </c>
      <c r="O1375" s="7" t="s">
        <v>254</v>
      </c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  <c r="AA1375" s="8"/>
      <c r="AB1375" s="8"/>
      <c r="AC1375" s="8"/>
      <c r="AD1375" s="8"/>
      <c r="AE1375" s="8"/>
    </row>
    <row r="1376">
      <c r="A1376" s="12">
        <v>49.0</v>
      </c>
      <c r="B1376" s="8" t="s">
        <v>333</v>
      </c>
      <c r="C1376" s="8" t="s">
        <v>992</v>
      </c>
      <c r="I1376" s="10" t="s">
        <v>1786</v>
      </c>
      <c r="J1376" s="13" t="s">
        <v>1126</v>
      </c>
      <c r="K1376" s="13" t="s">
        <v>276</v>
      </c>
      <c r="L1376" s="13" t="s">
        <v>1870</v>
      </c>
      <c r="M1376" s="7" t="s">
        <v>253</v>
      </c>
      <c r="N1376" s="7" t="s">
        <v>253</v>
      </c>
      <c r="O1376" s="7" t="s">
        <v>254</v>
      </c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  <c r="AA1376" s="8"/>
      <c r="AB1376" s="8"/>
      <c r="AC1376" s="8"/>
      <c r="AD1376" s="8"/>
      <c r="AE1376" s="8"/>
    </row>
    <row r="1377">
      <c r="A1377" s="12">
        <v>49.0</v>
      </c>
      <c r="B1377" s="8" t="s">
        <v>333</v>
      </c>
      <c r="C1377" s="8" t="s">
        <v>992</v>
      </c>
      <c r="I1377" s="10" t="s">
        <v>1862</v>
      </c>
      <c r="J1377" s="13" t="s">
        <v>1129</v>
      </c>
      <c r="K1377" s="13" t="s">
        <v>276</v>
      </c>
      <c r="L1377" s="13" t="s">
        <v>1871</v>
      </c>
      <c r="M1377" s="7" t="s">
        <v>253</v>
      </c>
      <c r="N1377" s="7" t="s">
        <v>253</v>
      </c>
      <c r="O1377" s="7" t="s">
        <v>254</v>
      </c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  <c r="AA1377" s="8"/>
      <c r="AB1377" s="8"/>
      <c r="AC1377" s="8"/>
      <c r="AD1377" s="8"/>
      <c r="AE1377" s="8"/>
    </row>
    <row r="1378">
      <c r="A1378" s="12">
        <v>49.0</v>
      </c>
      <c r="B1378" s="8" t="s">
        <v>333</v>
      </c>
      <c r="C1378" s="8" t="s">
        <v>992</v>
      </c>
      <c r="I1378" s="10" t="s">
        <v>1033</v>
      </c>
      <c r="J1378" s="13" t="s">
        <v>1126</v>
      </c>
      <c r="K1378" s="13" t="s">
        <v>276</v>
      </c>
      <c r="L1378" s="13" t="s">
        <v>1872</v>
      </c>
      <c r="M1378" s="7" t="s">
        <v>253</v>
      </c>
      <c r="N1378" s="7" t="s">
        <v>253</v>
      </c>
      <c r="O1378" s="7" t="s">
        <v>254</v>
      </c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  <c r="AA1378" s="8"/>
      <c r="AB1378" s="8"/>
      <c r="AC1378" s="8"/>
      <c r="AD1378" s="8"/>
      <c r="AE1378" s="8"/>
    </row>
    <row r="1379">
      <c r="A1379" s="12">
        <v>49.0</v>
      </c>
      <c r="B1379" s="8" t="s">
        <v>333</v>
      </c>
      <c r="C1379" s="8" t="s">
        <v>992</v>
      </c>
      <c r="I1379" s="10" t="s">
        <v>1863</v>
      </c>
      <c r="J1379" s="13" t="s">
        <v>1129</v>
      </c>
      <c r="K1379" s="13" t="s">
        <v>276</v>
      </c>
      <c r="L1379" s="13" t="s">
        <v>1871</v>
      </c>
      <c r="M1379" s="7" t="s">
        <v>253</v>
      </c>
      <c r="N1379" s="7" t="s">
        <v>253</v>
      </c>
      <c r="O1379" s="7" t="s">
        <v>254</v>
      </c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  <c r="AA1379" s="8"/>
      <c r="AB1379" s="8"/>
      <c r="AC1379" s="8"/>
      <c r="AD1379" s="8"/>
      <c r="AE1379" s="8"/>
    </row>
    <row r="1380">
      <c r="A1380" s="12">
        <v>49.0</v>
      </c>
      <c r="B1380" s="8" t="s">
        <v>333</v>
      </c>
      <c r="C1380" s="8" t="s">
        <v>992</v>
      </c>
      <c r="I1380" s="10" t="s">
        <v>414</v>
      </c>
      <c r="J1380" s="13" t="s">
        <v>1126</v>
      </c>
      <c r="K1380" s="13" t="s">
        <v>276</v>
      </c>
      <c r="L1380" s="13" t="s">
        <v>1870</v>
      </c>
      <c r="M1380" s="7" t="s">
        <v>253</v>
      </c>
      <c r="N1380" s="7" t="s">
        <v>253</v>
      </c>
      <c r="O1380" s="7" t="s">
        <v>254</v>
      </c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  <c r="AA1380" s="8"/>
      <c r="AB1380" s="8"/>
      <c r="AC1380" s="8"/>
      <c r="AD1380" s="8"/>
      <c r="AE1380" s="8"/>
    </row>
    <row r="1381">
      <c r="A1381" s="12">
        <v>49.0</v>
      </c>
      <c r="B1381" s="8" t="s">
        <v>333</v>
      </c>
      <c r="C1381" s="8" t="s">
        <v>992</v>
      </c>
      <c r="I1381" s="10" t="s">
        <v>1873</v>
      </c>
      <c r="J1381" s="13" t="s">
        <v>1129</v>
      </c>
      <c r="K1381" s="13" t="s">
        <v>276</v>
      </c>
      <c r="L1381" s="13" t="s">
        <v>1871</v>
      </c>
      <c r="M1381" s="7" t="s">
        <v>253</v>
      </c>
      <c r="N1381" s="7" t="s">
        <v>253</v>
      </c>
      <c r="O1381" s="7" t="s">
        <v>254</v>
      </c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  <c r="AA1381" s="8"/>
      <c r="AB1381" s="8"/>
      <c r="AC1381" s="8"/>
      <c r="AD1381" s="8"/>
      <c r="AE1381" s="8"/>
    </row>
    <row r="1382">
      <c r="A1382" s="12">
        <v>49.0</v>
      </c>
      <c r="B1382" s="8" t="s">
        <v>333</v>
      </c>
      <c r="C1382" s="8" t="s">
        <v>992</v>
      </c>
      <c r="I1382" s="10" t="s">
        <v>1788</v>
      </c>
      <c r="J1382" s="13" t="s">
        <v>1126</v>
      </c>
      <c r="K1382" s="13" t="s">
        <v>276</v>
      </c>
      <c r="L1382" s="13" t="s">
        <v>1870</v>
      </c>
      <c r="M1382" s="7" t="s">
        <v>253</v>
      </c>
      <c r="N1382" s="7" t="s">
        <v>253</v>
      </c>
      <c r="O1382" s="7" t="s">
        <v>254</v>
      </c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  <c r="AA1382" s="8"/>
      <c r="AB1382" s="8"/>
      <c r="AC1382" s="8"/>
      <c r="AD1382" s="8"/>
      <c r="AE1382" s="8"/>
    </row>
    <row r="1383">
      <c r="A1383" s="12">
        <v>49.0</v>
      </c>
      <c r="B1383" s="8" t="s">
        <v>333</v>
      </c>
      <c r="C1383" s="8" t="s">
        <v>992</v>
      </c>
      <c r="I1383" s="10" t="s">
        <v>1043</v>
      </c>
      <c r="J1383" s="13" t="s">
        <v>1129</v>
      </c>
      <c r="K1383" s="13" t="s">
        <v>276</v>
      </c>
      <c r="L1383" s="13" t="s">
        <v>1871</v>
      </c>
      <c r="M1383" s="7" t="s">
        <v>253</v>
      </c>
      <c r="N1383" s="7" t="s">
        <v>253</v>
      </c>
      <c r="O1383" s="7" t="s">
        <v>254</v>
      </c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  <c r="AA1383" s="8"/>
      <c r="AB1383" s="8"/>
      <c r="AC1383" s="8"/>
      <c r="AD1383" s="8"/>
      <c r="AE1383" s="8"/>
    </row>
    <row r="1384">
      <c r="A1384" s="12">
        <v>49.0</v>
      </c>
      <c r="B1384" s="8" t="s">
        <v>333</v>
      </c>
      <c r="C1384" s="8" t="s">
        <v>992</v>
      </c>
      <c r="I1384" s="10" t="s">
        <v>1027</v>
      </c>
      <c r="J1384" s="13" t="s">
        <v>1126</v>
      </c>
      <c r="K1384" s="13" t="s">
        <v>276</v>
      </c>
      <c r="L1384" s="13" t="s">
        <v>1874</v>
      </c>
      <c r="M1384" s="7" t="s">
        <v>253</v>
      </c>
      <c r="N1384" s="7" t="s">
        <v>253</v>
      </c>
      <c r="O1384" s="7" t="s">
        <v>254</v>
      </c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  <c r="AA1384" s="8"/>
      <c r="AB1384" s="8"/>
      <c r="AC1384" s="8"/>
      <c r="AD1384" s="8"/>
      <c r="AE1384" s="8"/>
    </row>
    <row r="1385">
      <c r="A1385" s="12">
        <v>49.0</v>
      </c>
      <c r="B1385" s="8" t="s">
        <v>333</v>
      </c>
      <c r="C1385" s="8" t="s">
        <v>992</v>
      </c>
      <c r="I1385" s="10" t="s">
        <v>1840</v>
      </c>
      <c r="J1385" s="13" t="s">
        <v>1129</v>
      </c>
      <c r="K1385" s="13" t="s">
        <v>276</v>
      </c>
      <c r="L1385" s="13" t="s">
        <v>1875</v>
      </c>
      <c r="M1385" s="7" t="s">
        <v>253</v>
      </c>
      <c r="N1385" s="7" t="s">
        <v>253</v>
      </c>
      <c r="O1385" s="7" t="s">
        <v>254</v>
      </c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  <c r="AA1385" s="8"/>
      <c r="AB1385" s="8"/>
      <c r="AC1385" s="8"/>
      <c r="AD1385" s="8"/>
      <c r="AE1385" s="8"/>
    </row>
    <row r="1386">
      <c r="A1386" s="12">
        <v>49.0</v>
      </c>
      <c r="B1386" s="8" t="s">
        <v>333</v>
      </c>
      <c r="C1386" s="8" t="s">
        <v>992</v>
      </c>
      <c r="I1386" s="10" t="s">
        <v>329</v>
      </c>
      <c r="J1386" s="13" t="s">
        <v>1126</v>
      </c>
      <c r="K1386" s="13" t="s">
        <v>276</v>
      </c>
      <c r="L1386" s="13" t="s">
        <v>1876</v>
      </c>
      <c r="M1386" s="7" t="s">
        <v>253</v>
      </c>
      <c r="N1386" s="7" t="s">
        <v>253</v>
      </c>
      <c r="O1386" s="7" t="s">
        <v>254</v>
      </c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  <c r="AA1386" s="8"/>
      <c r="AB1386" s="8"/>
      <c r="AC1386" s="8"/>
      <c r="AD1386" s="8"/>
      <c r="AE1386" s="8"/>
    </row>
    <row r="1387">
      <c r="A1387" s="12">
        <v>49.0</v>
      </c>
      <c r="B1387" s="8" t="s">
        <v>333</v>
      </c>
      <c r="C1387" s="8" t="s">
        <v>992</v>
      </c>
      <c r="I1387" s="10" t="s">
        <v>322</v>
      </c>
      <c r="J1387" s="13" t="s">
        <v>1129</v>
      </c>
      <c r="K1387" s="13" t="s">
        <v>276</v>
      </c>
      <c r="L1387" s="13" t="s">
        <v>1876</v>
      </c>
      <c r="M1387" s="7" t="s">
        <v>253</v>
      </c>
      <c r="N1387" s="7" t="s">
        <v>253</v>
      </c>
      <c r="O1387" s="7" t="s">
        <v>254</v>
      </c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  <c r="AA1387" s="8"/>
      <c r="AB1387" s="8"/>
      <c r="AC1387" s="8"/>
      <c r="AD1387" s="8"/>
      <c r="AE1387" s="8"/>
    </row>
    <row r="1388">
      <c r="A1388" s="12">
        <v>49.0</v>
      </c>
      <c r="B1388" s="8" t="s">
        <v>333</v>
      </c>
      <c r="C1388" s="8" t="s">
        <v>992</v>
      </c>
      <c r="I1388" s="10" t="s">
        <v>328</v>
      </c>
      <c r="J1388" s="13" t="s">
        <v>1126</v>
      </c>
      <c r="K1388" s="13" t="s">
        <v>276</v>
      </c>
      <c r="L1388" s="13" t="s">
        <v>1871</v>
      </c>
      <c r="M1388" s="7" t="s">
        <v>253</v>
      </c>
      <c r="N1388" s="7" t="s">
        <v>253</v>
      </c>
      <c r="O1388" s="7" t="s">
        <v>254</v>
      </c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  <c r="AA1388" s="8"/>
      <c r="AB1388" s="8"/>
      <c r="AC1388" s="8"/>
      <c r="AD1388" s="8"/>
      <c r="AE1388" s="8"/>
    </row>
    <row r="1389">
      <c r="A1389" s="12">
        <v>49.0</v>
      </c>
      <c r="B1389" s="8" t="s">
        <v>333</v>
      </c>
      <c r="C1389" s="8" t="s">
        <v>992</v>
      </c>
      <c r="I1389" s="10" t="s">
        <v>1051</v>
      </c>
      <c r="J1389" s="13" t="s">
        <v>1129</v>
      </c>
      <c r="K1389" s="13" t="s">
        <v>276</v>
      </c>
      <c r="L1389" s="13" t="s">
        <v>1839</v>
      </c>
      <c r="M1389" s="7" t="s">
        <v>253</v>
      </c>
      <c r="N1389" s="7" t="s">
        <v>253</v>
      </c>
      <c r="O1389" s="7" t="s">
        <v>254</v>
      </c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  <c r="AA1389" s="8"/>
      <c r="AB1389" s="8"/>
      <c r="AC1389" s="8"/>
      <c r="AD1389" s="8"/>
      <c r="AE1389" s="8"/>
    </row>
    <row r="1390">
      <c r="A1390" s="12">
        <v>49.0</v>
      </c>
      <c r="B1390" s="8" t="s">
        <v>333</v>
      </c>
      <c r="C1390" s="8" t="s">
        <v>992</v>
      </c>
      <c r="I1390" s="10" t="s">
        <v>1053</v>
      </c>
      <c r="J1390" s="13" t="s">
        <v>1126</v>
      </c>
      <c r="K1390" s="13" t="s">
        <v>276</v>
      </c>
      <c r="L1390" s="13" t="s">
        <v>1876</v>
      </c>
      <c r="M1390" s="7" t="s">
        <v>253</v>
      </c>
      <c r="N1390" s="7" t="s">
        <v>253</v>
      </c>
      <c r="O1390" s="7" t="s">
        <v>254</v>
      </c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  <c r="AA1390" s="8"/>
      <c r="AB1390" s="8"/>
      <c r="AC1390" s="8"/>
      <c r="AD1390" s="8"/>
      <c r="AE1390" s="8"/>
    </row>
    <row r="1391">
      <c r="A1391" s="12">
        <v>49.0</v>
      </c>
      <c r="B1391" s="8" t="s">
        <v>333</v>
      </c>
      <c r="C1391" s="8" t="s">
        <v>992</v>
      </c>
      <c r="I1391" s="10" t="s">
        <v>1020</v>
      </c>
      <c r="J1391" s="13" t="s">
        <v>1129</v>
      </c>
      <c r="K1391" s="13" t="s">
        <v>276</v>
      </c>
      <c r="L1391" s="13" t="s">
        <v>1877</v>
      </c>
      <c r="M1391" s="7" t="s">
        <v>253</v>
      </c>
      <c r="N1391" s="7" t="s">
        <v>253</v>
      </c>
      <c r="O1391" s="7" t="s">
        <v>254</v>
      </c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  <c r="AA1391" s="8"/>
      <c r="AB1391" s="8"/>
      <c r="AC1391" s="8"/>
      <c r="AD1391" s="8"/>
      <c r="AE1391" s="8"/>
    </row>
    <row r="1392">
      <c r="A1392" s="12">
        <v>49.0</v>
      </c>
      <c r="B1392" s="8" t="s">
        <v>333</v>
      </c>
      <c r="C1392" s="8" t="s">
        <v>992</v>
      </c>
      <c r="I1392" s="10" t="s">
        <v>331</v>
      </c>
      <c r="J1392" s="13" t="s">
        <v>1126</v>
      </c>
      <c r="K1392" s="13" t="s">
        <v>276</v>
      </c>
      <c r="L1392" s="13" t="s">
        <v>1874</v>
      </c>
      <c r="M1392" s="7" t="s">
        <v>253</v>
      </c>
      <c r="N1392" s="7" t="s">
        <v>253</v>
      </c>
      <c r="O1392" s="7" t="s">
        <v>254</v>
      </c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  <c r="AA1392" s="8"/>
      <c r="AB1392" s="8"/>
      <c r="AC1392" s="8"/>
      <c r="AD1392" s="8"/>
      <c r="AE1392" s="8"/>
    </row>
    <row r="1393">
      <c r="A1393" s="12">
        <v>49.0</v>
      </c>
      <c r="B1393" s="8" t="s">
        <v>333</v>
      </c>
      <c r="C1393" s="8" t="s">
        <v>992</v>
      </c>
      <c r="I1393" s="10" t="s">
        <v>326</v>
      </c>
      <c r="J1393" s="13" t="s">
        <v>1129</v>
      </c>
      <c r="K1393" s="13" t="s">
        <v>276</v>
      </c>
      <c r="L1393" s="13" t="s">
        <v>1876</v>
      </c>
      <c r="M1393" s="7" t="s">
        <v>253</v>
      </c>
      <c r="N1393" s="7" t="s">
        <v>253</v>
      </c>
      <c r="O1393" s="7" t="s">
        <v>254</v>
      </c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  <c r="AA1393" s="8"/>
      <c r="AB1393" s="8"/>
      <c r="AC1393" s="8"/>
      <c r="AD1393" s="8"/>
      <c r="AE1393" s="8"/>
    </row>
    <row r="1394">
      <c r="A1394" s="12">
        <v>49.0</v>
      </c>
      <c r="B1394" s="8" t="s">
        <v>333</v>
      </c>
      <c r="C1394" s="8" t="s">
        <v>992</v>
      </c>
      <c r="I1394" s="10" t="s">
        <v>993</v>
      </c>
      <c r="J1394" s="13" t="s">
        <v>1126</v>
      </c>
      <c r="K1394" s="13" t="s">
        <v>276</v>
      </c>
      <c r="L1394" s="13" t="s">
        <v>1876</v>
      </c>
      <c r="M1394" s="7" t="s">
        <v>253</v>
      </c>
      <c r="N1394" s="7" t="s">
        <v>253</v>
      </c>
      <c r="O1394" s="7" t="s">
        <v>254</v>
      </c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  <c r="AA1394" s="8"/>
      <c r="AB1394" s="8"/>
      <c r="AC1394" s="8"/>
      <c r="AD1394" s="8"/>
      <c r="AE1394" s="8"/>
    </row>
    <row r="1395">
      <c r="A1395" s="12">
        <v>49.0</v>
      </c>
      <c r="B1395" s="8" t="s">
        <v>333</v>
      </c>
      <c r="C1395" s="8" t="s">
        <v>992</v>
      </c>
      <c r="I1395" s="10" t="s">
        <v>997</v>
      </c>
      <c r="J1395" s="13" t="s">
        <v>1129</v>
      </c>
      <c r="K1395" s="13" t="s">
        <v>276</v>
      </c>
      <c r="L1395" s="13" t="s">
        <v>1876</v>
      </c>
      <c r="M1395" s="7" t="s">
        <v>253</v>
      </c>
      <c r="N1395" s="7" t="s">
        <v>253</v>
      </c>
      <c r="O1395" s="7" t="s">
        <v>254</v>
      </c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  <c r="AA1395" s="8"/>
      <c r="AB1395" s="8"/>
      <c r="AC1395" s="8"/>
      <c r="AD1395" s="8"/>
      <c r="AE1395" s="8"/>
    </row>
    <row r="1396">
      <c r="A1396" s="12">
        <v>49.0</v>
      </c>
      <c r="B1396" s="8" t="s">
        <v>333</v>
      </c>
      <c r="C1396" s="8" t="s">
        <v>992</v>
      </c>
      <c r="I1396" s="10" t="s">
        <v>1014</v>
      </c>
      <c r="J1396" s="13" t="s">
        <v>1126</v>
      </c>
      <c r="K1396" s="13" t="s">
        <v>276</v>
      </c>
      <c r="L1396" s="13" t="s">
        <v>1878</v>
      </c>
      <c r="M1396" s="7" t="s">
        <v>253</v>
      </c>
      <c r="N1396" s="7" t="s">
        <v>253</v>
      </c>
      <c r="O1396" s="7" t="s">
        <v>254</v>
      </c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  <c r="AA1396" s="8"/>
      <c r="AB1396" s="8"/>
      <c r="AC1396" s="8"/>
      <c r="AD1396" s="8"/>
      <c r="AE1396" s="8"/>
    </row>
    <row r="1397">
      <c r="A1397" s="12">
        <v>49.0</v>
      </c>
      <c r="B1397" s="8" t="s">
        <v>333</v>
      </c>
      <c r="C1397" s="8" t="s">
        <v>992</v>
      </c>
      <c r="I1397" s="10" t="s">
        <v>1001</v>
      </c>
      <c r="J1397" s="13" t="s">
        <v>1129</v>
      </c>
      <c r="K1397" s="13" t="s">
        <v>276</v>
      </c>
      <c r="L1397" s="13" t="s">
        <v>1871</v>
      </c>
      <c r="M1397" s="7" t="s">
        <v>253</v>
      </c>
      <c r="N1397" s="7" t="s">
        <v>253</v>
      </c>
      <c r="O1397" s="7" t="s">
        <v>254</v>
      </c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  <c r="AA1397" s="8"/>
      <c r="AB1397" s="8"/>
      <c r="AC1397" s="8"/>
      <c r="AD1397" s="8"/>
      <c r="AE1397" s="8"/>
    </row>
    <row r="1398">
      <c r="A1398" s="12">
        <v>49.0</v>
      </c>
      <c r="B1398" s="8" t="s">
        <v>333</v>
      </c>
      <c r="C1398" s="8" t="s">
        <v>992</v>
      </c>
      <c r="I1398" s="10" t="s">
        <v>1879</v>
      </c>
      <c r="J1398" s="13" t="s">
        <v>1126</v>
      </c>
      <c r="K1398" s="13" t="s">
        <v>276</v>
      </c>
      <c r="L1398" s="13" t="s">
        <v>1876</v>
      </c>
      <c r="M1398" s="7" t="s">
        <v>253</v>
      </c>
      <c r="N1398" s="7" t="s">
        <v>253</v>
      </c>
      <c r="O1398" s="7" t="s">
        <v>254</v>
      </c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  <c r="AA1398" s="8"/>
      <c r="AB1398" s="8"/>
      <c r="AC1398" s="8"/>
      <c r="AD1398" s="8"/>
      <c r="AE1398" s="8"/>
    </row>
    <row r="1399">
      <c r="A1399" s="12">
        <v>49.0</v>
      </c>
      <c r="B1399" s="8" t="s">
        <v>333</v>
      </c>
      <c r="C1399" s="8" t="s">
        <v>992</v>
      </c>
      <c r="I1399" s="10" t="s">
        <v>1880</v>
      </c>
      <c r="J1399" s="13" t="s">
        <v>1129</v>
      </c>
      <c r="K1399" s="13" t="s">
        <v>276</v>
      </c>
      <c r="L1399" s="13" t="s">
        <v>1876</v>
      </c>
      <c r="M1399" s="7" t="s">
        <v>253</v>
      </c>
      <c r="N1399" s="7" t="s">
        <v>253</v>
      </c>
      <c r="O1399" s="7" t="s">
        <v>254</v>
      </c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  <c r="AA1399" s="8"/>
      <c r="AB1399" s="8"/>
      <c r="AC1399" s="8"/>
      <c r="AD1399" s="8"/>
      <c r="AE1399" s="8"/>
    </row>
    <row r="1400">
      <c r="A1400" s="12">
        <v>49.0</v>
      </c>
      <c r="B1400" s="8" t="s">
        <v>333</v>
      </c>
      <c r="C1400" s="8" t="s">
        <v>992</v>
      </c>
      <c r="I1400" s="10" t="s">
        <v>1881</v>
      </c>
      <c r="J1400" s="13" t="s">
        <v>1126</v>
      </c>
      <c r="K1400" s="13" t="s">
        <v>276</v>
      </c>
      <c r="L1400" s="13" t="s">
        <v>1876</v>
      </c>
      <c r="M1400" s="7" t="s">
        <v>253</v>
      </c>
      <c r="N1400" s="7" t="s">
        <v>253</v>
      </c>
      <c r="O1400" s="7" t="s">
        <v>254</v>
      </c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  <c r="AA1400" s="8"/>
      <c r="AB1400" s="8"/>
      <c r="AC1400" s="8"/>
      <c r="AD1400" s="8"/>
      <c r="AE1400" s="8"/>
    </row>
    <row r="1401">
      <c r="A1401" s="12">
        <v>49.0</v>
      </c>
      <c r="B1401" s="8" t="s">
        <v>333</v>
      </c>
      <c r="C1401" s="8" t="s">
        <v>992</v>
      </c>
      <c r="I1401" s="10" t="s">
        <v>1035</v>
      </c>
      <c r="J1401" s="13" t="s">
        <v>1129</v>
      </c>
      <c r="K1401" s="13" t="s">
        <v>276</v>
      </c>
      <c r="L1401" s="13" t="s">
        <v>1876</v>
      </c>
      <c r="M1401" s="7" t="s">
        <v>253</v>
      </c>
      <c r="N1401" s="7" t="s">
        <v>253</v>
      </c>
      <c r="O1401" s="7" t="s">
        <v>254</v>
      </c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  <c r="AA1401" s="8"/>
      <c r="AB1401" s="8"/>
      <c r="AC1401" s="8"/>
      <c r="AD1401" s="8"/>
      <c r="AE1401" s="8"/>
    </row>
    <row r="1402">
      <c r="A1402" s="12">
        <v>49.0</v>
      </c>
      <c r="B1402" s="8" t="s">
        <v>333</v>
      </c>
      <c r="C1402" s="8" t="s">
        <v>992</v>
      </c>
      <c r="I1402" s="10" t="s">
        <v>1006</v>
      </c>
      <c r="J1402" s="13" t="s">
        <v>1126</v>
      </c>
      <c r="K1402" s="13" t="s">
        <v>276</v>
      </c>
      <c r="L1402" s="13" t="s">
        <v>1877</v>
      </c>
      <c r="M1402" s="7" t="s">
        <v>253</v>
      </c>
      <c r="N1402" s="7" t="s">
        <v>253</v>
      </c>
      <c r="O1402" s="7" t="s">
        <v>254</v>
      </c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  <c r="AA1402" s="8"/>
      <c r="AB1402" s="8"/>
      <c r="AC1402" s="8"/>
      <c r="AD1402" s="8"/>
      <c r="AE1402" s="8"/>
    </row>
    <row r="1403">
      <c r="A1403" s="12">
        <v>49.0</v>
      </c>
      <c r="B1403" s="8" t="s">
        <v>333</v>
      </c>
      <c r="C1403" s="8" t="s">
        <v>992</v>
      </c>
      <c r="I1403" s="10" t="s">
        <v>1326</v>
      </c>
      <c r="J1403" s="13" t="s">
        <v>1129</v>
      </c>
      <c r="K1403" s="13" t="s">
        <v>276</v>
      </c>
      <c r="L1403" s="13" t="s">
        <v>1876</v>
      </c>
      <c r="M1403" s="7" t="s">
        <v>253</v>
      </c>
      <c r="N1403" s="7" t="s">
        <v>253</v>
      </c>
      <c r="O1403" s="7" t="s">
        <v>254</v>
      </c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  <c r="AA1403" s="8"/>
      <c r="AB1403" s="8"/>
      <c r="AC1403" s="8"/>
      <c r="AD1403" s="8"/>
      <c r="AE1403" s="8"/>
    </row>
    <row r="1404">
      <c r="A1404" s="12">
        <v>49.0</v>
      </c>
      <c r="B1404" s="8" t="s">
        <v>333</v>
      </c>
      <c r="C1404" s="8" t="s">
        <v>992</v>
      </c>
      <c r="I1404" s="10" t="s">
        <v>1055</v>
      </c>
      <c r="J1404" s="13" t="s">
        <v>1126</v>
      </c>
      <c r="K1404" s="13" t="s">
        <v>276</v>
      </c>
      <c r="L1404" s="13" t="s">
        <v>1876</v>
      </c>
      <c r="M1404" s="7" t="s">
        <v>253</v>
      </c>
      <c r="N1404" s="7" t="s">
        <v>253</v>
      </c>
      <c r="O1404" s="7" t="s">
        <v>254</v>
      </c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  <c r="AA1404" s="8"/>
      <c r="AB1404" s="8"/>
      <c r="AC1404" s="8"/>
      <c r="AD1404" s="8"/>
      <c r="AE1404" s="8"/>
    </row>
    <row r="1405">
      <c r="A1405" s="12">
        <v>49.0</v>
      </c>
      <c r="B1405" s="8" t="s">
        <v>333</v>
      </c>
      <c r="C1405" s="8" t="s">
        <v>992</v>
      </c>
      <c r="I1405" s="10" t="s">
        <v>320</v>
      </c>
      <c r="J1405" s="13" t="s">
        <v>1129</v>
      </c>
      <c r="K1405" s="13" t="s">
        <v>276</v>
      </c>
      <c r="L1405" s="13" t="s">
        <v>1882</v>
      </c>
      <c r="M1405" s="7" t="s">
        <v>253</v>
      </c>
      <c r="N1405" s="7" t="s">
        <v>253</v>
      </c>
      <c r="O1405" s="7" t="s">
        <v>254</v>
      </c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  <c r="AA1405" s="8"/>
      <c r="AB1405" s="8"/>
      <c r="AC1405" s="8"/>
      <c r="AD1405" s="8"/>
      <c r="AE1405" s="8"/>
    </row>
    <row r="1406">
      <c r="A1406" s="12">
        <v>49.0</v>
      </c>
      <c r="B1406" s="8" t="s">
        <v>333</v>
      </c>
      <c r="C1406" s="8" t="s">
        <v>992</v>
      </c>
      <c r="I1406" s="10" t="s">
        <v>324</v>
      </c>
      <c r="J1406" s="13" t="s">
        <v>1126</v>
      </c>
      <c r="K1406" s="13" t="s">
        <v>276</v>
      </c>
      <c r="L1406" s="13" t="s">
        <v>1876</v>
      </c>
      <c r="M1406" s="7" t="s">
        <v>253</v>
      </c>
      <c r="N1406" s="7" t="s">
        <v>253</v>
      </c>
      <c r="O1406" s="7" t="s">
        <v>254</v>
      </c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  <c r="AA1406" s="8"/>
      <c r="AB1406" s="8"/>
      <c r="AC1406" s="8"/>
      <c r="AD1406" s="8"/>
      <c r="AE1406" s="8"/>
    </row>
    <row r="1407">
      <c r="A1407" s="12">
        <v>49.0</v>
      </c>
      <c r="B1407" s="8" t="s">
        <v>333</v>
      </c>
      <c r="C1407" s="8" t="s">
        <v>992</v>
      </c>
      <c r="I1407" s="10" t="s">
        <v>1044</v>
      </c>
      <c r="J1407" s="13" t="s">
        <v>1129</v>
      </c>
      <c r="K1407" s="13" t="s">
        <v>276</v>
      </c>
      <c r="L1407" s="13" t="s">
        <v>1871</v>
      </c>
      <c r="M1407" s="7" t="s">
        <v>253</v>
      </c>
      <c r="N1407" s="7" t="s">
        <v>253</v>
      </c>
      <c r="O1407" s="7" t="s">
        <v>254</v>
      </c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  <c r="AA1407" s="8"/>
      <c r="AB1407" s="8"/>
      <c r="AC1407" s="8"/>
      <c r="AD1407" s="8"/>
      <c r="AE1407" s="8"/>
    </row>
    <row r="1408">
      <c r="A1408" s="12">
        <v>49.0</v>
      </c>
      <c r="B1408" s="8" t="s">
        <v>333</v>
      </c>
      <c r="C1408" s="8" t="s">
        <v>992</v>
      </c>
      <c r="I1408" s="10" t="s">
        <v>319</v>
      </c>
      <c r="J1408" s="13" t="s">
        <v>1126</v>
      </c>
      <c r="K1408" s="13" t="s">
        <v>276</v>
      </c>
      <c r="L1408" s="13" t="s">
        <v>1876</v>
      </c>
      <c r="M1408" s="7" t="s">
        <v>253</v>
      </c>
      <c r="N1408" s="7" t="s">
        <v>253</v>
      </c>
      <c r="O1408" s="7" t="s">
        <v>254</v>
      </c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  <c r="AA1408" s="8"/>
      <c r="AB1408" s="8"/>
      <c r="AC1408" s="8"/>
      <c r="AD1408" s="8"/>
      <c r="AE1408" s="8"/>
    </row>
    <row r="1409">
      <c r="A1409" s="12">
        <v>49.0</v>
      </c>
      <c r="B1409" s="8" t="s">
        <v>333</v>
      </c>
      <c r="C1409" s="8" t="s">
        <v>992</v>
      </c>
      <c r="I1409" s="10" t="s">
        <v>323</v>
      </c>
      <c r="J1409" s="13" t="s">
        <v>1129</v>
      </c>
      <c r="K1409" s="13" t="s">
        <v>276</v>
      </c>
      <c r="L1409" s="13" t="s">
        <v>1876</v>
      </c>
      <c r="M1409" s="7" t="s">
        <v>253</v>
      </c>
      <c r="N1409" s="7" t="s">
        <v>253</v>
      </c>
      <c r="O1409" s="7" t="s">
        <v>254</v>
      </c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  <c r="AA1409" s="8"/>
      <c r="AB1409" s="8"/>
      <c r="AC1409" s="8"/>
      <c r="AD1409" s="8"/>
      <c r="AE1409" s="8"/>
    </row>
    <row r="1410">
      <c r="A1410" s="12">
        <v>49.0</v>
      </c>
      <c r="B1410" s="8" t="s">
        <v>333</v>
      </c>
      <c r="C1410" s="8" t="s">
        <v>992</v>
      </c>
      <c r="I1410" s="10" t="s">
        <v>1883</v>
      </c>
      <c r="J1410" s="13" t="s">
        <v>1126</v>
      </c>
      <c r="K1410" s="13" t="s">
        <v>276</v>
      </c>
      <c r="L1410" s="13" t="s">
        <v>1871</v>
      </c>
      <c r="M1410" s="7" t="s">
        <v>253</v>
      </c>
      <c r="N1410" s="7" t="s">
        <v>253</v>
      </c>
      <c r="O1410" s="7" t="s">
        <v>254</v>
      </c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  <c r="AA1410" s="8"/>
      <c r="AB1410" s="8"/>
      <c r="AC1410" s="8"/>
      <c r="AD1410" s="8"/>
      <c r="AE1410" s="8"/>
    </row>
    <row r="1411">
      <c r="A1411" s="12">
        <v>49.0</v>
      </c>
      <c r="B1411" s="8" t="s">
        <v>333</v>
      </c>
      <c r="C1411" s="8" t="s">
        <v>992</v>
      </c>
      <c r="I1411" s="10" t="s">
        <v>1884</v>
      </c>
      <c r="J1411" s="13" t="s">
        <v>1129</v>
      </c>
      <c r="K1411" s="13" t="s">
        <v>276</v>
      </c>
      <c r="L1411" s="13" t="s">
        <v>1871</v>
      </c>
      <c r="M1411" s="7" t="s">
        <v>253</v>
      </c>
      <c r="N1411" s="7" t="s">
        <v>253</v>
      </c>
      <c r="O1411" s="7" t="s">
        <v>254</v>
      </c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  <c r="AA1411" s="8"/>
      <c r="AB1411" s="8"/>
      <c r="AC1411" s="8"/>
      <c r="AD1411" s="8"/>
      <c r="AE1411" s="8"/>
    </row>
    <row r="1412">
      <c r="A1412" s="12">
        <v>49.0</v>
      </c>
      <c r="B1412" s="8" t="s">
        <v>333</v>
      </c>
      <c r="C1412" s="8" t="s">
        <v>992</v>
      </c>
      <c r="I1412" s="10" t="s">
        <v>1885</v>
      </c>
      <c r="J1412" s="13" t="s">
        <v>1126</v>
      </c>
      <c r="K1412" s="13" t="s">
        <v>276</v>
      </c>
      <c r="L1412" s="13" t="s">
        <v>1871</v>
      </c>
      <c r="M1412" s="7" t="s">
        <v>253</v>
      </c>
      <c r="N1412" s="7" t="s">
        <v>253</v>
      </c>
      <c r="O1412" s="7" t="s">
        <v>254</v>
      </c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  <c r="AA1412" s="8"/>
      <c r="AB1412" s="8"/>
      <c r="AC1412" s="8"/>
      <c r="AD1412" s="8"/>
      <c r="AE1412" s="8"/>
    </row>
    <row r="1413">
      <c r="A1413" s="12">
        <v>49.0</v>
      </c>
      <c r="B1413" s="8" t="s">
        <v>333</v>
      </c>
      <c r="C1413" s="8" t="s">
        <v>992</v>
      </c>
      <c r="I1413" s="10" t="s">
        <v>1841</v>
      </c>
      <c r="J1413" s="13" t="s">
        <v>1129</v>
      </c>
      <c r="K1413" s="13" t="s">
        <v>276</v>
      </c>
      <c r="L1413" s="13" t="s">
        <v>1875</v>
      </c>
      <c r="M1413" s="7" t="s">
        <v>253</v>
      </c>
      <c r="N1413" s="7" t="s">
        <v>253</v>
      </c>
      <c r="O1413" s="7" t="s">
        <v>254</v>
      </c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  <c r="AA1413" s="8"/>
      <c r="AB1413" s="8"/>
      <c r="AC1413" s="8"/>
      <c r="AD1413" s="8"/>
      <c r="AE1413" s="8"/>
    </row>
    <row r="1414">
      <c r="A1414" s="12">
        <v>49.0</v>
      </c>
      <c r="B1414" s="8" t="s">
        <v>333</v>
      </c>
      <c r="C1414" s="8" t="s">
        <v>992</v>
      </c>
      <c r="I1414" s="10" t="s">
        <v>927</v>
      </c>
      <c r="J1414" s="13" t="s">
        <v>1126</v>
      </c>
      <c r="K1414" s="13" t="s">
        <v>276</v>
      </c>
      <c r="L1414" s="13" t="s">
        <v>1874</v>
      </c>
      <c r="M1414" s="7" t="s">
        <v>253</v>
      </c>
      <c r="N1414" s="7" t="s">
        <v>253</v>
      </c>
      <c r="O1414" s="7" t="s">
        <v>254</v>
      </c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  <c r="AA1414" s="8"/>
      <c r="AB1414" s="8"/>
      <c r="AC1414" s="8"/>
      <c r="AD1414" s="8"/>
      <c r="AE1414" s="8"/>
    </row>
    <row r="1415">
      <c r="A1415" s="12">
        <v>49.0</v>
      </c>
      <c r="B1415" s="8" t="s">
        <v>333</v>
      </c>
      <c r="C1415" s="8" t="s">
        <v>992</v>
      </c>
      <c r="I1415" s="10" t="s">
        <v>1886</v>
      </c>
      <c r="J1415" s="13" t="s">
        <v>1129</v>
      </c>
      <c r="K1415" s="13" t="s">
        <v>276</v>
      </c>
      <c r="L1415" s="13" t="s">
        <v>1871</v>
      </c>
      <c r="M1415" s="7" t="s">
        <v>253</v>
      </c>
      <c r="N1415" s="7" t="s">
        <v>253</v>
      </c>
      <c r="O1415" s="7" t="s">
        <v>254</v>
      </c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  <c r="AA1415" s="8"/>
      <c r="AB1415" s="8"/>
      <c r="AC1415" s="8"/>
      <c r="AD1415" s="8"/>
      <c r="AE1415" s="8"/>
    </row>
    <row r="1416">
      <c r="A1416" s="12">
        <v>50.0</v>
      </c>
      <c r="B1416" s="8" t="s">
        <v>336</v>
      </c>
      <c r="C1416" s="8" t="s">
        <v>1136</v>
      </c>
      <c r="D1416" s="25">
        <f>IF(COUNTIF($B$2:$B1416,$B1416)&gt;1,"",COUNTIF($B$2:$B$2505,$B1416))</f>
        <v>64</v>
      </c>
      <c r="E1416" s="25">
        <f>IF(COUNTIF($B$2:$B1416,$B1416)&gt;1,"",COUNTIFS($B$2:$B$2505,$B1416,$K$2:$K$2505,"PHÙ HỢP CAO"))</f>
        <v>4</v>
      </c>
      <c r="F1416" s="25">
        <f>IF(COUNTIF($B$2:$B1416,$B1416)&gt;1,"",COUNTIFS($B$2:$B$2505,$B1416,$K$2:$K$2505,"CÓ THỂ ĐI"))</f>
        <v>1</v>
      </c>
      <c r="G1416" s="25">
        <f>IF(COUNTIF($B$2:$B1416,$B1416)&gt;1,"",COUNTIFS($B$2:$B$2505,$B1416,$K$2:$K$2505,"CẦN SOÁT"))</f>
        <v>59</v>
      </c>
      <c r="H1416" s="26" t="str">
        <f>IFERROR(__xludf.DUMMYFUNCTION("IF(COUNTIF($B$2:$B1416,$B1416)&gt;1,"""",IFERROR(TEXTJOIN(CHAR(10),TRUE,BYROW(QUERY({$B$2:$B$2505,$J$2:$J$2505},""select Col2, count(Col2) where Col1 = '""&amp;$B1416&amp;""' group by Col2 order by count(Col2) desc label count(Col2) ''"",0),LAMBDA(r,INDEX(r,1,1)&amp;"" "&amp;"– ""&amp;INDEX(r,1,2)&amp;"" link""))),""""))"),"vay ngân hàng 1 tỷ mỗi tháng trả bao nhiêu – 22 link
vay 1 tỷ mỗi tháng trả bao nhiêu – 21 link
vay 1 tỷ trong 20 năm mỗi tháng trả bao nhiêu – 21 link")</f>
        <v>vay ngân hàng 1 tỷ mỗi tháng trả bao nhiêu – 22 link
vay 1 tỷ mỗi tháng trả bao nhiêu – 21 link
vay 1 tỷ trong 20 năm mỗi tháng trả bao nhiêu – 21 link</v>
      </c>
      <c r="I1416" s="10" t="s">
        <v>1137</v>
      </c>
      <c r="J1416" s="13" t="s">
        <v>1140</v>
      </c>
      <c r="K1416" s="13" t="s">
        <v>251</v>
      </c>
      <c r="L1416" s="13" t="s">
        <v>1887</v>
      </c>
      <c r="M1416" s="7" t="s">
        <v>253</v>
      </c>
      <c r="N1416" s="7" t="s">
        <v>253</v>
      </c>
      <c r="O1416" s="7" t="s">
        <v>254</v>
      </c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  <c r="AA1416" s="8"/>
      <c r="AB1416" s="8"/>
      <c r="AC1416" s="8"/>
      <c r="AD1416" s="8"/>
      <c r="AE1416" s="8"/>
    </row>
    <row r="1417">
      <c r="A1417" s="12">
        <v>50.0</v>
      </c>
      <c r="B1417" s="8" t="s">
        <v>336</v>
      </c>
      <c r="C1417" s="8" t="s">
        <v>1136</v>
      </c>
      <c r="I1417" s="10" t="s">
        <v>1142</v>
      </c>
      <c r="J1417" s="13" t="s">
        <v>1145</v>
      </c>
      <c r="K1417" s="13" t="s">
        <v>251</v>
      </c>
      <c r="L1417" s="13" t="s">
        <v>1888</v>
      </c>
      <c r="M1417" s="7" t="s">
        <v>253</v>
      </c>
      <c r="N1417" s="7" t="s">
        <v>253</v>
      </c>
      <c r="O1417" s="7" t="s">
        <v>254</v>
      </c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  <c r="AA1417" s="8"/>
      <c r="AB1417" s="8"/>
      <c r="AC1417" s="8"/>
      <c r="AD1417" s="8"/>
      <c r="AE1417" s="8"/>
    </row>
    <row r="1418">
      <c r="A1418" s="12">
        <v>50.0</v>
      </c>
      <c r="B1418" s="8" t="s">
        <v>336</v>
      </c>
      <c r="C1418" s="8" t="s">
        <v>1136</v>
      </c>
      <c r="I1418" s="10" t="s">
        <v>1146</v>
      </c>
      <c r="J1418" s="13" t="s">
        <v>1148</v>
      </c>
      <c r="K1418" s="13" t="s">
        <v>251</v>
      </c>
      <c r="L1418" s="13" t="s">
        <v>1889</v>
      </c>
      <c r="M1418" s="7" t="s">
        <v>253</v>
      </c>
      <c r="N1418" s="7" t="s">
        <v>253</v>
      </c>
      <c r="O1418" s="7" t="s">
        <v>254</v>
      </c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  <c r="AA1418" s="8"/>
      <c r="AB1418" s="8"/>
      <c r="AC1418" s="8"/>
      <c r="AD1418" s="8"/>
      <c r="AE1418" s="8"/>
    </row>
    <row r="1419">
      <c r="A1419" s="12">
        <v>50.0</v>
      </c>
      <c r="B1419" s="8" t="s">
        <v>336</v>
      </c>
      <c r="C1419" s="8" t="s">
        <v>1136</v>
      </c>
      <c r="I1419" s="10" t="s">
        <v>1149</v>
      </c>
      <c r="J1419" s="13" t="s">
        <v>1140</v>
      </c>
      <c r="K1419" s="13" t="s">
        <v>251</v>
      </c>
      <c r="L1419" s="13" t="s">
        <v>1890</v>
      </c>
      <c r="M1419" s="7" t="s">
        <v>253</v>
      </c>
      <c r="N1419" s="7" t="s">
        <v>253</v>
      </c>
      <c r="O1419" s="7" t="s">
        <v>254</v>
      </c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  <c r="AA1419" s="8"/>
      <c r="AB1419" s="8"/>
      <c r="AC1419" s="8"/>
      <c r="AD1419" s="8"/>
      <c r="AE1419" s="8"/>
    </row>
    <row r="1420">
      <c r="A1420" s="12">
        <v>50.0</v>
      </c>
      <c r="B1420" s="8" t="s">
        <v>336</v>
      </c>
      <c r="C1420" s="8" t="s">
        <v>1136</v>
      </c>
      <c r="I1420" s="10" t="s">
        <v>1154</v>
      </c>
      <c r="J1420" s="13" t="s">
        <v>1145</v>
      </c>
      <c r="K1420" s="13" t="s">
        <v>272</v>
      </c>
      <c r="L1420" s="13" t="s">
        <v>1891</v>
      </c>
      <c r="M1420" s="7" t="s">
        <v>253</v>
      </c>
      <c r="N1420" s="7" t="s">
        <v>253</v>
      </c>
      <c r="O1420" s="7" t="s">
        <v>254</v>
      </c>
      <c r="P1420" s="13" t="s">
        <v>1892</v>
      </c>
      <c r="Q1420" s="8"/>
      <c r="R1420" s="8"/>
      <c r="S1420" s="8"/>
      <c r="T1420" s="8"/>
      <c r="U1420" s="8"/>
      <c r="V1420" s="8"/>
      <c r="W1420" s="8"/>
      <c r="X1420" s="8"/>
      <c r="Y1420" s="8"/>
      <c r="Z1420" s="8"/>
      <c r="AA1420" s="8"/>
      <c r="AB1420" s="8"/>
      <c r="AC1420" s="8"/>
      <c r="AD1420" s="8"/>
      <c r="AE1420" s="8"/>
    </row>
    <row r="1421">
      <c r="A1421" s="12">
        <v>50.0</v>
      </c>
      <c r="B1421" s="8" t="s">
        <v>336</v>
      </c>
      <c r="C1421" s="8" t="s">
        <v>1136</v>
      </c>
      <c r="I1421" s="10" t="s">
        <v>1893</v>
      </c>
      <c r="J1421" s="13" t="s">
        <v>1148</v>
      </c>
      <c r="K1421" s="13" t="s">
        <v>276</v>
      </c>
      <c r="L1421" s="13" t="s">
        <v>1894</v>
      </c>
      <c r="M1421" s="7" t="s">
        <v>253</v>
      </c>
      <c r="N1421" s="7" t="s">
        <v>253</v>
      </c>
      <c r="O1421" s="7" t="s">
        <v>254</v>
      </c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  <c r="AA1421" s="8"/>
      <c r="AB1421" s="8"/>
      <c r="AC1421" s="8"/>
      <c r="AD1421" s="8"/>
      <c r="AE1421" s="8"/>
    </row>
    <row r="1422">
      <c r="A1422" s="12">
        <v>50.0</v>
      </c>
      <c r="B1422" s="8" t="s">
        <v>336</v>
      </c>
      <c r="C1422" s="8" t="s">
        <v>1136</v>
      </c>
      <c r="I1422" s="10" t="s">
        <v>1895</v>
      </c>
      <c r="J1422" s="13" t="s">
        <v>1140</v>
      </c>
      <c r="K1422" s="13" t="s">
        <v>276</v>
      </c>
      <c r="L1422" s="13" t="s">
        <v>1894</v>
      </c>
      <c r="M1422" s="7" t="s">
        <v>253</v>
      </c>
      <c r="N1422" s="7" t="s">
        <v>253</v>
      </c>
      <c r="O1422" s="7" t="s">
        <v>254</v>
      </c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  <c r="AA1422" s="8"/>
      <c r="AB1422" s="8"/>
      <c r="AC1422" s="8"/>
      <c r="AD1422" s="8"/>
      <c r="AE1422" s="8"/>
    </row>
    <row r="1423">
      <c r="A1423" s="12">
        <v>50.0</v>
      </c>
      <c r="B1423" s="8" t="s">
        <v>336</v>
      </c>
      <c r="C1423" s="8" t="s">
        <v>1136</v>
      </c>
      <c r="I1423" s="10" t="s">
        <v>1896</v>
      </c>
      <c r="J1423" s="13" t="s">
        <v>1145</v>
      </c>
      <c r="K1423" s="13" t="s">
        <v>276</v>
      </c>
      <c r="L1423" s="13" t="s">
        <v>1894</v>
      </c>
      <c r="M1423" s="7" t="s">
        <v>253</v>
      </c>
      <c r="N1423" s="7" t="s">
        <v>253</v>
      </c>
      <c r="O1423" s="7" t="s">
        <v>254</v>
      </c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  <c r="AA1423" s="8"/>
      <c r="AB1423" s="8"/>
      <c r="AC1423" s="8"/>
      <c r="AD1423" s="8"/>
      <c r="AE1423" s="8"/>
    </row>
    <row r="1424">
      <c r="A1424" s="12">
        <v>50.0</v>
      </c>
      <c r="B1424" s="8" t="s">
        <v>336</v>
      </c>
      <c r="C1424" s="8" t="s">
        <v>1136</v>
      </c>
      <c r="I1424" s="10" t="s">
        <v>257</v>
      </c>
      <c r="J1424" s="13" t="s">
        <v>1148</v>
      </c>
      <c r="K1424" s="13" t="s">
        <v>276</v>
      </c>
      <c r="L1424" s="13" t="s">
        <v>1897</v>
      </c>
      <c r="M1424" s="7" t="s">
        <v>253</v>
      </c>
      <c r="N1424" s="7" t="s">
        <v>253</v>
      </c>
      <c r="O1424" s="7" t="s">
        <v>254</v>
      </c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  <c r="AA1424" s="8"/>
      <c r="AB1424" s="8"/>
      <c r="AC1424" s="8"/>
      <c r="AD1424" s="8"/>
      <c r="AE1424" s="8"/>
    </row>
    <row r="1425">
      <c r="A1425" s="12">
        <v>50.0</v>
      </c>
      <c r="B1425" s="8" t="s">
        <v>336</v>
      </c>
      <c r="C1425" s="8" t="s">
        <v>1136</v>
      </c>
      <c r="I1425" s="10" t="s">
        <v>1519</v>
      </c>
      <c r="J1425" s="13" t="s">
        <v>1140</v>
      </c>
      <c r="K1425" s="13" t="s">
        <v>276</v>
      </c>
      <c r="L1425" s="13" t="s">
        <v>1894</v>
      </c>
      <c r="M1425" s="7" t="s">
        <v>253</v>
      </c>
      <c r="N1425" s="7" t="s">
        <v>253</v>
      </c>
      <c r="O1425" s="7" t="s">
        <v>254</v>
      </c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  <c r="AA1425" s="8"/>
      <c r="AB1425" s="8"/>
      <c r="AC1425" s="8"/>
      <c r="AD1425" s="8"/>
      <c r="AE1425" s="8"/>
    </row>
    <row r="1426">
      <c r="A1426" s="12">
        <v>50.0</v>
      </c>
      <c r="B1426" s="8" t="s">
        <v>336</v>
      </c>
      <c r="C1426" s="8" t="s">
        <v>1136</v>
      </c>
      <c r="I1426" s="10" t="s">
        <v>1898</v>
      </c>
      <c r="J1426" s="13" t="s">
        <v>1145</v>
      </c>
      <c r="K1426" s="13" t="s">
        <v>276</v>
      </c>
      <c r="L1426" s="13" t="s">
        <v>1894</v>
      </c>
      <c r="M1426" s="7" t="s">
        <v>253</v>
      </c>
      <c r="N1426" s="7" t="s">
        <v>253</v>
      </c>
      <c r="O1426" s="7" t="s">
        <v>254</v>
      </c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  <c r="AA1426" s="8"/>
      <c r="AB1426" s="8"/>
      <c r="AC1426" s="8"/>
      <c r="AD1426" s="8"/>
      <c r="AE1426" s="8"/>
    </row>
    <row r="1427">
      <c r="A1427" s="12">
        <v>50.0</v>
      </c>
      <c r="B1427" s="8" t="s">
        <v>336</v>
      </c>
      <c r="C1427" s="8" t="s">
        <v>1136</v>
      </c>
      <c r="I1427" s="10" t="s">
        <v>1411</v>
      </c>
      <c r="J1427" s="13" t="s">
        <v>1148</v>
      </c>
      <c r="K1427" s="13" t="s">
        <v>276</v>
      </c>
      <c r="L1427" s="13" t="s">
        <v>1897</v>
      </c>
      <c r="M1427" s="7" t="s">
        <v>253</v>
      </c>
      <c r="N1427" s="7" t="s">
        <v>253</v>
      </c>
      <c r="O1427" s="7" t="s">
        <v>254</v>
      </c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  <c r="AA1427" s="8"/>
      <c r="AB1427" s="8"/>
      <c r="AC1427" s="8"/>
      <c r="AD1427" s="8"/>
      <c r="AE1427" s="8"/>
    </row>
    <row r="1428">
      <c r="A1428" s="12">
        <v>50.0</v>
      </c>
      <c r="B1428" s="8" t="s">
        <v>336</v>
      </c>
      <c r="C1428" s="8" t="s">
        <v>1136</v>
      </c>
      <c r="I1428" s="10" t="s">
        <v>1899</v>
      </c>
      <c r="J1428" s="13" t="s">
        <v>1140</v>
      </c>
      <c r="K1428" s="13" t="s">
        <v>276</v>
      </c>
      <c r="L1428" s="13" t="s">
        <v>1900</v>
      </c>
      <c r="M1428" s="7" t="s">
        <v>253</v>
      </c>
      <c r="N1428" s="7" t="s">
        <v>253</v>
      </c>
      <c r="O1428" s="7" t="s">
        <v>254</v>
      </c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  <c r="AA1428" s="8"/>
      <c r="AB1428" s="8"/>
      <c r="AC1428" s="8"/>
      <c r="AD1428" s="8"/>
      <c r="AE1428" s="8"/>
    </row>
    <row r="1429">
      <c r="A1429" s="12">
        <v>50.0</v>
      </c>
      <c r="B1429" s="8" t="s">
        <v>336</v>
      </c>
      <c r="C1429" s="8" t="s">
        <v>1136</v>
      </c>
      <c r="I1429" s="10" t="s">
        <v>855</v>
      </c>
      <c r="J1429" s="13" t="s">
        <v>1145</v>
      </c>
      <c r="K1429" s="13" t="s">
        <v>276</v>
      </c>
      <c r="L1429" s="13" t="s">
        <v>1894</v>
      </c>
      <c r="M1429" s="7" t="s">
        <v>253</v>
      </c>
      <c r="N1429" s="7" t="s">
        <v>253</v>
      </c>
      <c r="O1429" s="7" t="s">
        <v>254</v>
      </c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  <c r="AA1429" s="8"/>
      <c r="AB1429" s="8"/>
      <c r="AC1429" s="8"/>
      <c r="AD1429" s="8"/>
      <c r="AE1429" s="8"/>
    </row>
    <row r="1430">
      <c r="A1430" s="12">
        <v>50.0</v>
      </c>
      <c r="B1430" s="8" t="s">
        <v>336</v>
      </c>
      <c r="C1430" s="8" t="s">
        <v>1136</v>
      </c>
      <c r="I1430" s="10" t="s">
        <v>1648</v>
      </c>
      <c r="J1430" s="13" t="s">
        <v>1148</v>
      </c>
      <c r="K1430" s="13" t="s">
        <v>276</v>
      </c>
      <c r="L1430" s="13" t="s">
        <v>1897</v>
      </c>
      <c r="M1430" s="7" t="s">
        <v>253</v>
      </c>
      <c r="N1430" s="7" t="s">
        <v>253</v>
      </c>
      <c r="O1430" s="7" t="s">
        <v>254</v>
      </c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  <c r="AA1430" s="8"/>
      <c r="AB1430" s="8"/>
      <c r="AC1430" s="8"/>
      <c r="AD1430" s="8"/>
      <c r="AE1430" s="8"/>
    </row>
    <row r="1431">
      <c r="A1431" s="12">
        <v>50.0</v>
      </c>
      <c r="B1431" s="8" t="s">
        <v>336</v>
      </c>
      <c r="C1431" s="8" t="s">
        <v>1136</v>
      </c>
      <c r="I1431" s="10" t="s">
        <v>1290</v>
      </c>
      <c r="J1431" s="13" t="s">
        <v>1140</v>
      </c>
      <c r="K1431" s="13" t="s">
        <v>276</v>
      </c>
      <c r="L1431" s="13" t="s">
        <v>1894</v>
      </c>
      <c r="M1431" s="7" t="s">
        <v>253</v>
      </c>
      <c r="N1431" s="7" t="s">
        <v>253</v>
      </c>
      <c r="O1431" s="7" t="s">
        <v>254</v>
      </c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  <c r="AA1431" s="8"/>
      <c r="AB1431" s="8"/>
      <c r="AC1431" s="8"/>
      <c r="AD1431" s="8"/>
      <c r="AE1431" s="8"/>
    </row>
    <row r="1432">
      <c r="A1432" s="12">
        <v>50.0</v>
      </c>
      <c r="B1432" s="8" t="s">
        <v>336</v>
      </c>
      <c r="C1432" s="8" t="s">
        <v>1136</v>
      </c>
      <c r="I1432" s="10" t="s">
        <v>1106</v>
      </c>
      <c r="J1432" s="13" t="s">
        <v>1145</v>
      </c>
      <c r="K1432" s="13" t="s">
        <v>276</v>
      </c>
      <c r="L1432" s="13" t="s">
        <v>1897</v>
      </c>
      <c r="M1432" s="7" t="s">
        <v>253</v>
      </c>
      <c r="N1432" s="7" t="s">
        <v>253</v>
      </c>
      <c r="O1432" s="7" t="s">
        <v>254</v>
      </c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  <c r="AA1432" s="8"/>
      <c r="AB1432" s="8"/>
      <c r="AC1432" s="8"/>
      <c r="AD1432" s="8"/>
      <c r="AE1432" s="8"/>
    </row>
    <row r="1433">
      <c r="A1433" s="12">
        <v>50.0</v>
      </c>
      <c r="B1433" s="8" t="s">
        <v>336</v>
      </c>
      <c r="C1433" s="8" t="s">
        <v>1136</v>
      </c>
      <c r="I1433" s="10" t="s">
        <v>1901</v>
      </c>
      <c r="J1433" s="13" t="s">
        <v>1148</v>
      </c>
      <c r="K1433" s="13" t="s">
        <v>276</v>
      </c>
      <c r="L1433" s="13" t="s">
        <v>1894</v>
      </c>
      <c r="M1433" s="7" t="s">
        <v>253</v>
      </c>
      <c r="N1433" s="7" t="s">
        <v>253</v>
      </c>
      <c r="O1433" s="7" t="s">
        <v>254</v>
      </c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  <c r="AA1433" s="8"/>
      <c r="AB1433" s="8"/>
      <c r="AC1433" s="8"/>
      <c r="AD1433" s="8"/>
      <c r="AE1433" s="8"/>
    </row>
    <row r="1434">
      <c r="A1434" s="12">
        <v>50.0</v>
      </c>
      <c r="B1434" s="8" t="s">
        <v>336</v>
      </c>
      <c r="C1434" s="8" t="s">
        <v>1136</v>
      </c>
      <c r="I1434" s="10" t="s">
        <v>1504</v>
      </c>
      <c r="J1434" s="13" t="s">
        <v>1140</v>
      </c>
      <c r="K1434" s="13" t="s">
        <v>276</v>
      </c>
      <c r="L1434" s="13" t="s">
        <v>1894</v>
      </c>
      <c r="M1434" s="7" t="s">
        <v>253</v>
      </c>
      <c r="N1434" s="7" t="s">
        <v>253</v>
      </c>
      <c r="O1434" s="7" t="s">
        <v>254</v>
      </c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  <c r="AA1434" s="8"/>
      <c r="AB1434" s="8"/>
      <c r="AC1434" s="8"/>
      <c r="AD1434" s="8"/>
      <c r="AE1434" s="8"/>
    </row>
    <row r="1435">
      <c r="A1435" s="12">
        <v>50.0</v>
      </c>
      <c r="B1435" s="8" t="s">
        <v>336</v>
      </c>
      <c r="C1435" s="8" t="s">
        <v>1136</v>
      </c>
      <c r="I1435" s="10" t="s">
        <v>1283</v>
      </c>
      <c r="J1435" s="13" t="s">
        <v>1145</v>
      </c>
      <c r="K1435" s="13" t="s">
        <v>276</v>
      </c>
      <c r="L1435" s="13" t="s">
        <v>1894</v>
      </c>
      <c r="M1435" s="7" t="s">
        <v>253</v>
      </c>
      <c r="N1435" s="7" t="s">
        <v>253</v>
      </c>
      <c r="O1435" s="7" t="s">
        <v>254</v>
      </c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  <c r="AA1435" s="8"/>
      <c r="AB1435" s="8"/>
      <c r="AC1435" s="8"/>
      <c r="AD1435" s="8"/>
      <c r="AE1435" s="8"/>
    </row>
    <row r="1436">
      <c r="A1436" s="12">
        <v>50.0</v>
      </c>
      <c r="B1436" s="8" t="s">
        <v>336</v>
      </c>
      <c r="C1436" s="8" t="s">
        <v>1136</v>
      </c>
      <c r="I1436" s="10" t="s">
        <v>249</v>
      </c>
      <c r="J1436" s="13" t="s">
        <v>1148</v>
      </c>
      <c r="K1436" s="13" t="s">
        <v>276</v>
      </c>
      <c r="L1436" s="13" t="s">
        <v>1897</v>
      </c>
      <c r="M1436" s="7" t="s">
        <v>253</v>
      </c>
      <c r="N1436" s="7" t="s">
        <v>253</v>
      </c>
      <c r="O1436" s="7" t="s">
        <v>254</v>
      </c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  <c r="AA1436" s="8"/>
      <c r="AB1436" s="8"/>
      <c r="AC1436" s="8"/>
      <c r="AD1436" s="8"/>
      <c r="AE1436" s="8"/>
    </row>
    <row r="1437">
      <c r="A1437" s="12">
        <v>50.0</v>
      </c>
      <c r="B1437" s="8" t="s">
        <v>336</v>
      </c>
      <c r="C1437" s="8" t="s">
        <v>1136</v>
      </c>
      <c r="I1437" s="10" t="s">
        <v>1902</v>
      </c>
      <c r="J1437" s="13" t="s">
        <v>1140</v>
      </c>
      <c r="K1437" s="13" t="s">
        <v>276</v>
      </c>
      <c r="L1437" s="13" t="s">
        <v>1903</v>
      </c>
      <c r="M1437" s="7" t="s">
        <v>253</v>
      </c>
      <c r="N1437" s="7" t="s">
        <v>253</v>
      </c>
      <c r="O1437" s="7" t="s">
        <v>254</v>
      </c>
      <c r="P1437" s="13" t="s">
        <v>300</v>
      </c>
      <c r="Q1437" s="8"/>
      <c r="R1437" s="8"/>
      <c r="S1437" s="8"/>
      <c r="T1437" s="8"/>
      <c r="U1437" s="8"/>
      <c r="V1437" s="8"/>
      <c r="W1437" s="8"/>
      <c r="X1437" s="8"/>
      <c r="Y1437" s="8"/>
      <c r="Z1437" s="8"/>
      <c r="AA1437" s="8"/>
      <c r="AB1437" s="8"/>
      <c r="AC1437" s="8"/>
      <c r="AD1437" s="8"/>
      <c r="AE1437" s="8"/>
    </row>
    <row r="1438">
      <c r="A1438" s="12">
        <v>50.0</v>
      </c>
      <c r="B1438" s="8" t="s">
        <v>336</v>
      </c>
      <c r="C1438" s="8" t="s">
        <v>1136</v>
      </c>
      <c r="I1438" s="10" t="s">
        <v>1904</v>
      </c>
      <c r="J1438" s="13" t="s">
        <v>1145</v>
      </c>
      <c r="K1438" s="13" t="s">
        <v>276</v>
      </c>
      <c r="L1438" s="13" t="s">
        <v>1905</v>
      </c>
      <c r="M1438" s="7" t="s">
        <v>253</v>
      </c>
      <c r="N1438" s="7" t="s">
        <v>253</v>
      </c>
      <c r="O1438" s="7" t="s">
        <v>254</v>
      </c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  <c r="AA1438" s="8"/>
      <c r="AB1438" s="8"/>
      <c r="AC1438" s="8"/>
      <c r="AD1438" s="8"/>
      <c r="AE1438" s="8"/>
    </row>
    <row r="1439">
      <c r="A1439" s="12">
        <v>50.0</v>
      </c>
      <c r="B1439" s="8" t="s">
        <v>336</v>
      </c>
      <c r="C1439" s="8" t="s">
        <v>1136</v>
      </c>
      <c r="I1439" s="10" t="s">
        <v>1294</v>
      </c>
      <c r="J1439" s="13" t="s">
        <v>1148</v>
      </c>
      <c r="K1439" s="13" t="s">
        <v>276</v>
      </c>
      <c r="L1439" s="13" t="s">
        <v>1894</v>
      </c>
      <c r="M1439" s="7" t="s">
        <v>253</v>
      </c>
      <c r="N1439" s="7" t="s">
        <v>253</v>
      </c>
      <c r="O1439" s="7" t="s">
        <v>254</v>
      </c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  <c r="AA1439" s="8"/>
      <c r="AB1439" s="8"/>
      <c r="AC1439" s="8"/>
      <c r="AD1439" s="8"/>
      <c r="AE1439" s="8"/>
    </row>
    <row r="1440">
      <c r="A1440" s="12">
        <v>50.0</v>
      </c>
      <c r="B1440" s="8" t="s">
        <v>336</v>
      </c>
      <c r="C1440" s="8" t="s">
        <v>1136</v>
      </c>
      <c r="I1440" s="10" t="s">
        <v>270</v>
      </c>
      <c r="J1440" s="13" t="s">
        <v>1140</v>
      </c>
      <c r="K1440" s="13" t="s">
        <v>276</v>
      </c>
      <c r="L1440" s="13" t="s">
        <v>1894</v>
      </c>
      <c r="M1440" s="7" t="s">
        <v>253</v>
      </c>
      <c r="N1440" s="7" t="s">
        <v>253</v>
      </c>
      <c r="O1440" s="7" t="s">
        <v>254</v>
      </c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  <c r="AA1440" s="8"/>
      <c r="AB1440" s="8"/>
      <c r="AC1440" s="8"/>
      <c r="AD1440" s="8"/>
      <c r="AE1440" s="8"/>
    </row>
    <row r="1441">
      <c r="A1441" s="12">
        <v>50.0</v>
      </c>
      <c r="B1441" s="8" t="s">
        <v>336</v>
      </c>
      <c r="C1441" s="8" t="s">
        <v>1136</v>
      </c>
      <c r="I1441" s="10" t="s">
        <v>1906</v>
      </c>
      <c r="J1441" s="13" t="s">
        <v>1145</v>
      </c>
      <c r="K1441" s="13" t="s">
        <v>276</v>
      </c>
      <c r="L1441" s="13" t="s">
        <v>1897</v>
      </c>
      <c r="M1441" s="7" t="s">
        <v>253</v>
      </c>
      <c r="N1441" s="7" t="s">
        <v>253</v>
      </c>
      <c r="O1441" s="7" t="s">
        <v>254</v>
      </c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  <c r="AA1441" s="8"/>
      <c r="AB1441" s="8"/>
      <c r="AC1441" s="8"/>
      <c r="AD1441" s="8"/>
      <c r="AE1441" s="8"/>
    </row>
    <row r="1442">
      <c r="A1442" s="12">
        <v>50.0</v>
      </c>
      <c r="B1442" s="8" t="s">
        <v>336</v>
      </c>
      <c r="C1442" s="8" t="s">
        <v>1136</v>
      </c>
      <c r="I1442" s="10" t="s">
        <v>643</v>
      </c>
      <c r="J1442" s="13" t="s">
        <v>1148</v>
      </c>
      <c r="K1442" s="13" t="s">
        <v>276</v>
      </c>
      <c r="L1442" s="13" t="s">
        <v>1894</v>
      </c>
      <c r="M1442" s="7" t="s">
        <v>253</v>
      </c>
      <c r="N1442" s="7" t="s">
        <v>253</v>
      </c>
      <c r="O1442" s="7" t="s">
        <v>254</v>
      </c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  <c r="AA1442" s="8"/>
      <c r="AB1442" s="8"/>
      <c r="AC1442" s="8"/>
      <c r="AD1442" s="8"/>
      <c r="AE1442" s="8"/>
    </row>
    <row r="1443">
      <c r="A1443" s="12">
        <v>50.0</v>
      </c>
      <c r="B1443" s="8" t="s">
        <v>336</v>
      </c>
      <c r="C1443" s="8" t="s">
        <v>1136</v>
      </c>
      <c r="I1443" s="10" t="s">
        <v>261</v>
      </c>
      <c r="J1443" s="13" t="s">
        <v>1140</v>
      </c>
      <c r="K1443" s="13" t="s">
        <v>276</v>
      </c>
      <c r="L1443" s="13" t="s">
        <v>1897</v>
      </c>
      <c r="M1443" s="7" t="s">
        <v>253</v>
      </c>
      <c r="N1443" s="7" t="s">
        <v>253</v>
      </c>
      <c r="O1443" s="7" t="s">
        <v>254</v>
      </c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  <c r="AA1443" s="8"/>
      <c r="AB1443" s="8"/>
      <c r="AC1443" s="8"/>
      <c r="AD1443" s="8"/>
      <c r="AE1443" s="8"/>
    </row>
    <row r="1444">
      <c r="A1444" s="12">
        <v>50.0</v>
      </c>
      <c r="B1444" s="8" t="s">
        <v>336</v>
      </c>
      <c r="C1444" s="8" t="s">
        <v>1136</v>
      </c>
      <c r="I1444" s="10" t="s">
        <v>1402</v>
      </c>
      <c r="J1444" s="13" t="s">
        <v>1145</v>
      </c>
      <c r="K1444" s="13" t="s">
        <v>276</v>
      </c>
      <c r="L1444" s="13" t="s">
        <v>1897</v>
      </c>
      <c r="M1444" s="7" t="s">
        <v>253</v>
      </c>
      <c r="N1444" s="7" t="s">
        <v>253</v>
      </c>
      <c r="O1444" s="7" t="s">
        <v>254</v>
      </c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  <c r="AA1444" s="8"/>
      <c r="AB1444" s="8"/>
      <c r="AC1444" s="8"/>
      <c r="AD1444" s="8"/>
      <c r="AE1444" s="8"/>
    </row>
    <row r="1445">
      <c r="A1445" s="12">
        <v>50.0</v>
      </c>
      <c r="B1445" s="8" t="s">
        <v>336</v>
      </c>
      <c r="C1445" s="8" t="s">
        <v>1136</v>
      </c>
      <c r="I1445" s="10" t="s">
        <v>1677</v>
      </c>
      <c r="J1445" s="13" t="s">
        <v>1148</v>
      </c>
      <c r="K1445" s="13" t="s">
        <v>276</v>
      </c>
      <c r="L1445" s="13" t="s">
        <v>1897</v>
      </c>
      <c r="M1445" s="7" t="s">
        <v>253</v>
      </c>
      <c r="N1445" s="7" t="s">
        <v>253</v>
      </c>
      <c r="O1445" s="7" t="s">
        <v>254</v>
      </c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  <c r="AA1445" s="8"/>
      <c r="AB1445" s="8"/>
      <c r="AC1445" s="8"/>
      <c r="AD1445" s="8"/>
      <c r="AE1445" s="8"/>
    </row>
    <row r="1446">
      <c r="A1446" s="12">
        <v>50.0</v>
      </c>
      <c r="B1446" s="8" t="s">
        <v>336</v>
      </c>
      <c r="C1446" s="8" t="s">
        <v>1136</v>
      </c>
      <c r="I1446" s="10" t="s">
        <v>1907</v>
      </c>
      <c r="J1446" s="13" t="s">
        <v>1140</v>
      </c>
      <c r="K1446" s="13" t="s">
        <v>276</v>
      </c>
      <c r="L1446" s="13" t="s">
        <v>1897</v>
      </c>
      <c r="M1446" s="7" t="s">
        <v>253</v>
      </c>
      <c r="N1446" s="7" t="s">
        <v>253</v>
      </c>
      <c r="O1446" s="7" t="s">
        <v>254</v>
      </c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  <c r="AA1446" s="8"/>
      <c r="AB1446" s="8"/>
      <c r="AC1446" s="8"/>
      <c r="AD1446" s="8"/>
      <c r="AE1446" s="8"/>
    </row>
    <row r="1447">
      <c r="A1447" s="12">
        <v>50.0</v>
      </c>
      <c r="B1447" s="8" t="s">
        <v>336</v>
      </c>
      <c r="C1447" s="8" t="s">
        <v>1136</v>
      </c>
      <c r="I1447" s="10" t="s">
        <v>1455</v>
      </c>
      <c r="J1447" s="13" t="s">
        <v>1145</v>
      </c>
      <c r="K1447" s="13" t="s">
        <v>276</v>
      </c>
      <c r="L1447" s="13" t="s">
        <v>1897</v>
      </c>
      <c r="M1447" s="7" t="s">
        <v>253</v>
      </c>
      <c r="N1447" s="7" t="s">
        <v>253</v>
      </c>
      <c r="O1447" s="7" t="s">
        <v>254</v>
      </c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  <c r="AA1447" s="8"/>
      <c r="AB1447" s="8"/>
      <c r="AC1447" s="8"/>
      <c r="AD1447" s="8"/>
      <c r="AE1447" s="8"/>
    </row>
    <row r="1448">
      <c r="A1448" s="12">
        <v>50.0</v>
      </c>
      <c r="B1448" s="8" t="s">
        <v>336</v>
      </c>
      <c r="C1448" s="8" t="s">
        <v>1136</v>
      </c>
      <c r="I1448" s="10" t="s">
        <v>1690</v>
      </c>
      <c r="J1448" s="13" t="s">
        <v>1148</v>
      </c>
      <c r="K1448" s="13" t="s">
        <v>276</v>
      </c>
      <c r="L1448" s="13" t="s">
        <v>1897</v>
      </c>
      <c r="M1448" s="7" t="s">
        <v>253</v>
      </c>
      <c r="N1448" s="7" t="s">
        <v>253</v>
      </c>
      <c r="O1448" s="7" t="s">
        <v>254</v>
      </c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  <c r="AA1448" s="8"/>
      <c r="AB1448" s="8"/>
      <c r="AC1448" s="8"/>
      <c r="AD1448" s="8"/>
      <c r="AE1448" s="8"/>
    </row>
    <row r="1449">
      <c r="A1449" s="12">
        <v>50.0</v>
      </c>
      <c r="B1449" s="8" t="s">
        <v>336</v>
      </c>
      <c r="C1449" s="8" t="s">
        <v>1136</v>
      </c>
      <c r="I1449" s="10" t="s">
        <v>1908</v>
      </c>
      <c r="J1449" s="13" t="s">
        <v>1140</v>
      </c>
      <c r="K1449" s="13" t="s">
        <v>276</v>
      </c>
      <c r="L1449" s="13" t="s">
        <v>1909</v>
      </c>
      <c r="M1449" s="7" t="s">
        <v>253</v>
      </c>
      <c r="N1449" s="7" t="s">
        <v>253</v>
      </c>
      <c r="O1449" s="7" t="s">
        <v>254</v>
      </c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  <c r="AA1449" s="8"/>
      <c r="AB1449" s="8"/>
      <c r="AC1449" s="8"/>
      <c r="AD1449" s="8"/>
      <c r="AE1449" s="8"/>
    </row>
    <row r="1450">
      <c r="A1450" s="12">
        <v>50.0</v>
      </c>
      <c r="B1450" s="8" t="s">
        <v>336</v>
      </c>
      <c r="C1450" s="8" t="s">
        <v>1136</v>
      </c>
      <c r="I1450" s="10" t="s">
        <v>334</v>
      </c>
      <c r="J1450" s="13" t="s">
        <v>1145</v>
      </c>
      <c r="K1450" s="13" t="s">
        <v>276</v>
      </c>
      <c r="L1450" s="13" t="s">
        <v>1894</v>
      </c>
      <c r="M1450" s="7" t="s">
        <v>253</v>
      </c>
      <c r="N1450" s="7" t="s">
        <v>253</v>
      </c>
      <c r="O1450" s="7" t="s">
        <v>254</v>
      </c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  <c r="AA1450" s="8"/>
      <c r="AB1450" s="8"/>
      <c r="AC1450" s="8"/>
      <c r="AD1450" s="8"/>
      <c r="AE1450" s="8"/>
    </row>
    <row r="1451">
      <c r="A1451" s="12">
        <v>50.0</v>
      </c>
      <c r="B1451" s="8" t="s">
        <v>336</v>
      </c>
      <c r="C1451" s="8" t="s">
        <v>1136</v>
      </c>
      <c r="I1451" s="10" t="s">
        <v>265</v>
      </c>
      <c r="J1451" s="13" t="s">
        <v>1148</v>
      </c>
      <c r="K1451" s="13" t="s">
        <v>276</v>
      </c>
      <c r="L1451" s="13" t="s">
        <v>1910</v>
      </c>
      <c r="M1451" s="7" t="s">
        <v>253</v>
      </c>
      <c r="N1451" s="7" t="s">
        <v>253</v>
      </c>
      <c r="O1451" s="7" t="s">
        <v>254</v>
      </c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  <c r="AA1451" s="8"/>
      <c r="AB1451" s="8"/>
      <c r="AC1451" s="8"/>
      <c r="AD1451" s="8"/>
      <c r="AE1451" s="8"/>
    </row>
    <row r="1452">
      <c r="A1452" s="12">
        <v>50.0</v>
      </c>
      <c r="B1452" s="8" t="s">
        <v>336</v>
      </c>
      <c r="C1452" s="8" t="s">
        <v>1136</v>
      </c>
      <c r="I1452" s="10" t="s">
        <v>1911</v>
      </c>
      <c r="J1452" s="13" t="s">
        <v>1140</v>
      </c>
      <c r="K1452" s="13" t="s">
        <v>276</v>
      </c>
      <c r="L1452" s="13" t="s">
        <v>1897</v>
      </c>
      <c r="M1452" s="7" t="s">
        <v>253</v>
      </c>
      <c r="N1452" s="7" t="s">
        <v>253</v>
      </c>
      <c r="O1452" s="7" t="s">
        <v>254</v>
      </c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  <c r="AA1452" s="8"/>
      <c r="AB1452" s="8"/>
      <c r="AC1452" s="8"/>
      <c r="AD1452" s="8"/>
      <c r="AE1452" s="8"/>
    </row>
    <row r="1453">
      <c r="A1453" s="12">
        <v>50.0</v>
      </c>
      <c r="B1453" s="8" t="s">
        <v>336</v>
      </c>
      <c r="C1453" s="8" t="s">
        <v>1136</v>
      </c>
      <c r="I1453" s="10" t="s">
        <v>1693</v>
      </c>
      <c r="J1453" s="13" t="s">
        <v>1145</v>
      </c>
      <c r="K1453" s="13" t="s">
        <v>276</v>
      </c>
      <c r="L1453" s="13" t="s">
        <v>1897</v>
      </c>
      <c r="M1453" s="7" t="s">
        <v>253</v>
      </c>
      <c r="N1453" s="7" t="s">
        <v>253</v>
      </c>
      <c r="O1453" s="7" t="s">
        <v>254</v>
      </c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  <c r="AA1453" s="8"/>
      <c r="AB1453" s="8"/>
      <c r="AC1453" s="8"/>
      <c r="AD1453" s="8"/>
      <c r="AE1453" s="8"/>
    </row>
    <row r="1454">
      <c r="A1454" s="12">
        <v>50.0</v>
      </c>
      <c r="B1454" s="8" t="s">
        <v>336</v>
      </c>
      <c r="C1454" s="8" t="s">
        <v>1136</v>
      </c>
      <c r="I1454" s="10" t="s">
        <v>1280</v>
      </c>
      <c r="J1454" s="13" t="s">
        <v>1148</v>
      </c>
      <c r="K1454" s="13" t="s">
        <v>276</v>
      </c>
      <c r="L1454" s="13" t="s">
        <v>1894</v>
      </c>
      <c r="M1454" s="7" t="s">
        <v>253</v>
      </c>
      <c r="N1454" s="7" t="s">
        <v>253</v>
      </c>
      <c r="O1454" s="7" t="s">
        <v>254</v>
      </c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  <c r="AA1454" s="8"/>
      <c r="AB1454" s="8"/>
      <c r="AC1454" s="8"/>
      <c r="AD1454" s="8"/>
      <c r="AE1454" s="8"/>
    </row>
    <row r="1455">
      <c r="A1455" s="12">
        <v>50.0</v>
      </c>
      <c r="B1455" s="8" t="s">
        <v>336</v>
      </c>
      <c r="C1455" s="8" t="s">
        <v>1136</v>
      </c>
      <c r="I1455" s="10" t="s">
        <v>1444</v>
      </c>
      <c r="J1455" s="13" t="s">
        <v>1140</v>
      </c>
      <c r="K1455" s="13" t="s">
        <v>276</v>
      </c>
      <c r="L1455" s="13" t="s">
        <v>1897</v>
      </c>
      <c r="M1455" s="7" t="s">
        <v>253</v>
      </c>
      <c r="N1455" s="7" t="s">
        <v>253</v>
      </c>
      <c r="O1455" s="7" t="s">
        <v>254</v>
      </c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  <c r="AA1455" s="8"/>
      <c r="AB1455" s="8"/>
      <c r="AC1455" s="8"/>
      <c r="AD1455" s="8"/>
      <c r="AE1455" s="8"/>
    </row>
    <row r="1456">
      <c r="A1456" s="12">
        <v>50.0</v>
      </c>
      <c r="B1456" s="8" t="s">
        <v>336</v>
      </c>
      <c r="C1456" s="8" t="s">
        <v>1136</v>
      </c>
      <c r="I1456" s="10" t="s">
        <v>911</v>
      </c>
      <c r="J1456" s="13" t="s">
        <v>1145</v>
      </c>
      <c r="K1456" s="13" t="s">
        <v>276</v>
      </c>
      <c r="L1456" s="13" t="s">
        <v>1897</v>
      </c>
      <c r="M1456" s="7" t="s">
        <v>253</v>
      </c>
      <c r="N1456" s="7" t="s">
        <v>253</v>
      </c>
      <c r="O1456" s="7" t="s">
        <v>254</v>
      </c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  <c r="AA1456" s="8"/>
      <c r="AB1456" s="8"/>
      <c r="AC1456" s="8"/>
      <c r="AD1456" s="8"/>
      <c r="AE1456" s="8"/>
    </row>
    <row r="1457">
      <c r="A1457" s="12">
        <v>50.0</v>
      </c>
      <c r="B1457" s="8" t="s">
        <v>336</v>
      </c>
      <c r="C1457" s="8" t="s">
        <v>1136</v>
      </c>
      <c r="I1457" s="10" t="s">
        <v>1912</v>
      </c>
      <c r="J1457" s="13" t="s">
        <v>1148</v>
      </c>
      <c r="K1457" s="13" t="s">
        <v>276</v>
      </c>
      <c r="L1457" s="13" t="s">
        <v>1905</v>
      </c>
      <c r="M1457" s="7" t="s">
        <v>253</v>
      </c>
      <c r="N1457" s="7" t="s">
        <v>253</v>
      </c>
      <c r="O1457" s="7" t="s">
        <v>254</v>
      </c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  <c r="AA1457" s="8"/>
      <c r="AB1457" s="8"/>
      <c r="AC1457" s="8"/>
      <c r="AD1457" s="8"/>
      <c r="AE1457" s="8"/>
    </row>
    <row r="1458">
      <c r="A1458" s="12">
        <v>50.0</v>
      </c>
      <c r="B1458" s="8" t="s">
        <v>336</v>
      </c>
      <c r="C1458" s="8" t="s">
        <v>1136</v>
      </c>
      <c r="I1458" s="10" t="s">
        <v>1406</v>
      </c>
      <c r="J1458" s="13" t="s">
        <v>1140</v>
      </c>
      <c r="K1458" s="13" t="s">
        <v>276</v>
      </c>
      <c r="L1458" s="13" t="s">
        <v>1897</v>
      </c>
      <c r="M1458" s="7" t="s">
        <v>253</v>
      </c>
      <c r="N1458" s="7" t="s">
        <v>253</v>
      </c>
      <c r="O1458" s="7" t="s">
        <v>254</v>
      </c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  <c r="AA1458" s="8"/>
      <c r="AB1458" s="8"/>
      <c r="AC1458" s="8"/>
      <c r="AD1458" s="8"/>
      <c r="AE1458" s="8"/>
    </row>
    <row r="1459">
      <c r="A1459" s="12">
        <v>50.0</v>
      </c>
      <c r="B1459" s="8" t="s">
        <v>336</v>
      </c>
      <c r="C1459" s="8" t="s">
        <v>1136</v>
      </c>
      <c r="I1459" s="10" t="s">
        <v>1913</v>
      </c>
      <c r="J1459" s="13" t="s">
        <v>1145</v>
      </c>
      <c r="K1459" s="13" t="s">
        <v>276</v>
      </c>
      <c r="L1459" s="13" t="s">
        <v>1903</v>
      </c>
      <c r="M1459" s="7" t="s">
        <v>253</v>
      </c>
      <c r="N1459" s="7" t="s">
        <v>253</v>
      </c>
      <c r="O1459" s="7" t="s">
        <v>254</v>
      </c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  <c r="AA1459" s="8"/>
      <c r="AB1459" s="8"/>
      <c r="AC1459" s="8"/>
      <c r="AD1459" s="8"/>
      <c r="AE1459" s="8"/>
    </row>
    <row r="1460">
      <c r="A1460" s="12">
        <v>50.0</v>
      </c>
      <c r="B1460" s="8" t="s">
        <v>336</v>
      </c>
      <c r="C1460" s="8" t="s">
        <v>1136</v>
      </c>
      <c r="I1460" s="10" t="s">
        <v>1914</v>
      </c>
      <c r="J1460" s="13" t="s">
        <v>1148</v>
      </c>
      <c r="K1460" s="13" t="s">
        <v>276</v>
      </c>
      <c r="L1460" s="13" t="s">
        <v>1894</v>
      </c>
      <c r="M1460" s="7" t="s">
        <v>253</v>
      </c>
      <c r="N1460" s="7" t="s">
        <v>253</v>
      </c>
      <c r="O1460" s="7" t="s">
        <v>254</v>
      </c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  <c r="AA1460" s="8"/>
      <c r="AB1460" s="8"/>
      <c r="AC1460" s="8"/>
      <c r="AD1460" s="8"/>
      <c r="AE1460" s="8"/>
    </row>
    <row r="1461">
      <c r="A1461" s="12">
        <v>50.0</v>
      </c>
      <c r="B1461" s="8" t="s">
        <v>336</v>
      </c>
      <c r="C1461" s="8" t="s">
        <v>1136</v>
      </c>
      <c r="I1461" s="10" t="s">
        <v>1694</v>
      </c>
      <c r="J1461" s="13" t="s">
        <v>1140</v>
      </c>
      <c r="K1461" s="13" t="s">
        <v>276</v>
      </c>
      <c r="L1461" s="13" t="s">
        <v>1897</v>
      </c>
      <c r="M1461" s="7" t="s">
        <v>253</v>
      </c>
      <c r="N1461" s="7" t="s">
        <v>253</v>
      </c>
      <c r="O1461" s="7" t="s">
        <v>254</v>
      </c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  <c r="AA1461" s="8"/>
      <c r="AB1461" s="8"/>
      <c r="AC1461" s="8"/>
      <c r="AD1461" s="8"/>
      <c r="AE1461" s="8"/>
    </row>
    <row r="1462">
      <c r="A1462" s="12">
        <v>50.0</v>
      </c>
      <c r="B1462" s="8" t="s">
        <v>336</v>
      </c>
      <c r="C1462" s="8" t="s">
        <v>1136</v>
      </c>
      <c r="I1462" s="10" t="s">
        <v>994</v>
      </c>
      <c r="J1462" s="13" t="s">
        <v>1145</v>
      </c>
      <c r="K1462" s="13" t="s">
        <v>276</v>
      </c>
      <c r="L1462" s="13" t="s">
        <v>1897</v>
      </c>
      <c r="M1462" s="7" t="s">
        <v>253</v>
      </c>
      <c r="N1462" s="7" t="s">
        <v>253</v>
      </c>
      <c r="O1462" s="7" t="s">
        <v>254</v>
      </c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  <c r="AA1462" s="8"/>
      <c r="AB1462" s="8"/>
      <c r="AC1462" s="8"/>
      <c r="AD1462" s="8"/>
      <c r="AE1462" s="8"/>
    </row>
    <row r="1463">
      <c r="A1463" s="12">
        <v>50.0</v>
      </c>
      <c r="B1463" s="8" t="s">
        <v>336</v>
      </c>
      <c r="C1463" s="8" t="s">
        <v>1136</v>
      </c>
      <c r="I1463" s="10" t="s">
        <v>934</v>
      </c>
      <c r="J1463" s="13" t="s">
        <v>1148</v>
      </c>
      <c r="K1463" s="13" t="s">
        <v>276</v>
      </c>
      <c r="L1463" s="13" t="s">
        <v>1894</v>
      </c>
      <c r="M1463" s="7" t="s">
        <v>253</v>
      </c>
      <c r="N1463" s="7" t="s">
        <v>253</v>
      </c>
      <c r="O1463" s="7" t="s">
        <v>254</v>
      </c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  <c r="AA1463" s="8"/>
      <c r="AB1463" s="8"/>
      <c r="AC1463" s="8"/>
      <c r="AD1463" s="8"/>
      <c r="AE1463" s="8"/>
    </row>
    <row r="1464">
      <c r="A1464" s="12">
        <v>50.0</v>
      </c>
      <c r="B1464" s="8" t="s">
        <v>336</v>
      </c>
      <c r="C1464" s="8" t="s">
        <v>1136</v>
      </c>
      <c r="I1464" s="10" t="s">
        <v>337</v>
      </c>
      <c r="J1464" s="13" t="s">
        <v>1140</v>
      </c>
      <c r="K1464" s="13" t="s">
        <v>276</v>
      </c>
      <c r="L1464" s="13" t="s">
        <v>1894</v>
      </c>
      <c r="M1464" s="7" t="s">
        <v>253</v>
      </c>
      <c r="N1464" s="7" t="s">
        <v>253</v>
      </c>
      <c r="O1464" s="7" t="s">
        <v>254</v>
      </c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  <c r="AA1464" s="8"/>
      <c r="AB1464" s="8"/>
      <c r="AC1464" s="8"/>
      <c r="AD1464" s="8"/>
      <c r="AE1464" s="8"/>
    </row>
    <row r="1465">
      <c r="A1465" s="12">
        <v>50.0</v>
      </c>
      <c r="B1465" s="8" t="s">
        <v>336</v>
      </c>
      <c r="C1465" s="8" t="s">
        <v>1136</v>
      </c>
      <c r="I1465" s="10" t="s">
        <v>1737</v>
      </c>
      <c r="J1465" s="13" t="s">
        <v>1145</v>
      </c>
      <c r="K1465" s="13" t="s">
        <v>276</v>
      </c>
      <c r="L1465" s="13" t="s">
        <v>1905</v>
      </c>
      <c r="M1465" s="7" t="s">
        <v>253</v>
      </c>
      <c r="N1465" s="7" t="s">
        <v>253</v>
      </c>
      <c r="O1465" s="7" t="s">
        <v>254</v>
      </c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  <c r="AA1465" s="8"/>
      <c r="AB1465" s="8"/>
      <c r="AC1465" s="8"/>
      <c r="AD1465" s="8"/>
      <c r="AE1465" s="8"/>
    </row>
    <row r="1466">
      <c r="A1466" s="12">
        <v>50.0</v>
      </c>
      <c r="B1466" s="8" t="s">
        <v>336</v>
      </c>
      <c r="C1466" s="8" t="s">
        <v>1136</v>
      </c>
      <c r="I1466" s="10" t="s">
        <v>1915</v>
      </c>
      <c r="J1466" s="13" t="s">
        <v>1148</v>
      </c>
      <c r="K1466" s="13" t="s">
        <v>276</v>
      </c>
      <c r="L1466" s="13" t="s">
        <v>1894</v>
      </c>
      <c r="M1466" s="7" t="s">
        <v>253</v>
      </c>
      <c r="N1466" s="7" t="s">
        <v>253</v>
      </c>
      <c r="O1466" s="7" t="s">
        <v>254</v>
      </c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  <c r="AA1466" s="8"/>
      <c r="AB1466" s="8"/>
      <c r="AC1466" s="8"/>
      <c r="AD1466" s="8"/>
      <c r="AE1466" s="8"/>
    </row>
    <row r="1467">
      <c r="A1467" s="12">
        <v>50.0</v>
      </c>
      <c r="B1467" s="8" t="s">
        <v>336</v>
      </c>
      <c r="C1467" s="8" t="s">
        <v>1136</v>
      </c>
      <c r="I1467" s="10" t="s">
        <v>1916</v>
      </c>
      <c r="J1467" s="13" t="s">
        <v>1140</v>
      </c>
      <c r="K1467" s="13" t="s">
        <v>276</v>
      </c>
      <c r="L1467" s="13" t="s">
        <v>1894</v>
      </c>
      <c r="M1467" s="7" t="s">
        <v>253</v>
      </c>
      <c r="N1467" s="7" t="s">
        <v>253</v>
      </c>
      <c r="O1467" s="7" t="s">
        <v>254</v>
      </c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  <c r="AA1467" s="8"/>
      <c r="AB1467" s="8"/>
      <c r="AC1467" s="8"/>
      <c r="AD1467" s="8"/>
      <c r="AE1467" s="8"/>
    </row>
    <row r="1468">
      <c r="A1468" s="12">
        <v>50.0</v>
      </c>
      <c r="B1468" s="8" t="s">
        <v>336</v>
      </c>
      <c r="C1468" s="8" t="s">
        <v>1136</v>
      </c>
      <c r="I1468" s="10" t="s">
        <v>1138</v>
      </c>
      <c r="J1468" s="13" t="s">
        <v>1145</v>
      </c>
      <c r="K1468" s="13" t="s">
        <v>276</v>
      </c>
      <c r="L1468" s="13" t="s">
        <v>1894</v>
      </c>
      <c r="M1468" s="7" t="s">
        <v>253</v>
      </c>
      <c r="N1468" s="7" t="s">
        <v>253</v>
      </c>
      <c r="O1468" s="7" t="s">
        <v>254</v>
      </c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  <c r="AA1468" s="8"/>
      <c r="AB1468" s="8"/>
      <c r="AC1468" s="8"/>
      <c r="AD1468" s="8"/>
      <c r="AE1468" s="8"/>
    </row>
    <row r="1469">
      <c r="A1469" s="12">
        <v>50.0</v>
      </c>
      <c r="B1469" s="8" t="s">
        <v>336</v>
      </c>
      <c r="C1469" s="8" t="s">
        <v>1136</v>
      </c>
      <c r="I1469" s="10" t="s">
        <v>36</v>
      </c>
      <c r="J1469" s="13" t="s">
        <v>1148</v>
      </c>
      <c r="K1469" s="13" t="s">
        <v>276</v>
      </c>
      <c r="L1469" s="13" t="s">
        <v>1894</v>
      </c>
      <c r="M1469" s="7" t="s">
        <v>253</v>
      </c>
      <c r="N1469" s="7" t="s">
        <v>253</v>
      </c>
      <c r="O1469" s="7" t="s">
        <v>254</v>
      </c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  <c r="AA1469" s="8"/>
      <c r="AB1469" s="8"/>
      <c r="AC1469" s="8"/>
      <c r="AD1469" s="8"/>
      <c r="AE1469" s="8"/>
    </row>
    <row r="1470">
      <c r="A1470" s="12">
        <v>50.0</v>
      </c>
      <c r="B1470" s="8" t="s">
        <v>336</v>
      </c>
      <c r="C1470" s="8" t="s">
        <v>1136</v>
      </c>
      <c r="I1470" s="10" t="s">
        <v>1302</v>
      </c>
      <c r="J1470" s="13" t="s">
        <v>1140</v>
      </c>
      <c r="K1470" s="13" t="s">
        <v>276</v>
      </c>
      <c r="L1470" s="13" t="s">
        <v>1894</v>
      </c>
      <c r="M1470" s="7" t="s">
        <v>253</v>
      </c>
      <c r="N1470" s="7" t="s">
        <v>253</v>
      </c>
      <c r="O1470" s="7" t="s">
        <v>254</v>
      </c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  <c r="AA1470" s="8"/>
      <c r="AB1470" s="8"/>
      <c r="AC1470" s="8"/>
      <c r="AD1470" s="8"/>
      <c r="AE1470" s="8"/>
    </row>
    <row r="1471">
      <c r="A1471" s="12">
        <v>50.0</v>
      </c>
      <c r="B1471" s="8" t="s">
        <v>336</v>
      </c>
      <c r="C1471" s="8" t="s">
        <v>1136</v>
      </c>
      <c r="I1471" s="10" t="s">
        <v>1739</v>
      </c>
      <c r="J1471" s="13" t="s">
        <v>1145</v>
      </c>
      <c r="K1471" s="13" t="s">
        <v>276</v>
      </c>
      <c r="L1471" s="13" t="s">
        <v>1905</v>
      </c>
      <c r="M1471" s="7" t="s">
        <v>253</v>
      </c>
      <c r="N1471" s="7" t="s">
        <v>253</v>
      </c>
      <c r="O1471" s="7" t="s">
        <v>254</v>
      </c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  <c r="AA1471" s="8"/>
      <c r="AB1471" s="8"/>
      <c r="AC1471" s="8"/>
      <c r="AD1471" s="8"/>
      <c r="AE1471" s="8"/>
    </row>
    <row r="1472">
      <c r="A1472" s="12">
        <v>50.0</v>
      </c>
      <c r="B1472" s="8" t="s">
        <v>336</v>
      </c>
      <c r="C1472" s="8" t="s">
        <v>1136</v>
      </c>
      <c r="I1472" s="10" t="s">
        <v>1417</v>
      </c>
      <c r="J1472" s="13" t="s">
        <v>1148</v>
      </c>
      <c r="K1472" s="13" t="s">
        <v>276</v>
      </c>
      <c r="L1472" s="13" t="s">
        <v>1897</v>
      </c>
      <c r="M1472" s="7" t="s">
        <v>253</v>
      </c>
      <c r="N1472" s="7" t="s">
        <v>253</v>
      </c>
      <c r="O1472" s="7" t="s">
        <v>254</v>
      </c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  <c r="AA1472" s="8"/>
      <c r="AB1472" s="8"/>
      <c r="AC1472" s="8"/>
      <c r="AD1472" s="8"/>
      <c r="AE1472" s="8"/>
    </row>
    <row r="1473">
      <c r="A1473" s="12">
        <v>50.0</v>
      </c>
      <c r="B1473" s="8" t="s">
        <v>336</v>
      </c>
      <c r="C1473" s="8" t="s">
        <v>1136</v>
      </c>
      <c r="I1473" s="10" t="s">
        <v>1310</v>
      </c>
      <c r="J1473" s="13" t="s">
        <v>1140</v>
      </c>
      <c r="K1473" s="13" t="s">
        <v>276</v>
      </c>
      <c r="L1473" s="13" t="s">
        <v>1894</v>
      </c>
      <c r="M1473" s="7" t="s">
        <v>253</v>
      </c>
      <c r="N1473" s="7" t="s">
        <v>253</v>
      </c>
      <c r="O1473" s="7" t="s">
        <v>254</v>
      </c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  <c r="AA1473" s="8"/>
      <c r="AB1473" s="8"/>
      <c r="AC1473" s="8"/>
      <c r="AD1473" s="8"/>
      <c r="AE1473" s="8"/>
    </row>
    <row r="1474">
      <c r="A1474" s="12">
        <v>50.0</v>
      </c>
      <c r="B1474" s="8" t="s">
        <v>336</v>
      </c>
      <c r="C1474" s="8" t="s">
        <v>1136</v>
      </c>
      <c r="I1474" s="10" t="s">
        <v>917</v>
      </c>
      <c r="J1474" s="13" t="s">
        <v>1145</v>
      </c>
      <c r="K1474" s="13" t="s">
        <v>276</v>
      </c>
      <c r="L1474" s="13" t="s">
        <v>1897</v>
      </c>
      <c r="M1474" s="7" t="s">
        <v>253</v>
      </c>
      <c r="N1474" s="7" t="s">
        <v>253</v>
      </c>
      <c r="O1474" s="7" t="s">
        <v>254</v>
      </c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  <c r="AA1474" s="8"/>
      <c r="AB1474" s="8"/>
      <c r="AC1474" s="8"/>
      <c r="AD1474" s="8"/>
      <c r="AE1474" s="8"/>
    </row>
    <row r="1475">
      <c r="A1475" s="12">
        <v>50.0</v>
      </c>
      <c r="B1475" s="8" t="s">
        <v>336</v>
      </c>
      <c r="C1475" s="8" t="s">
        <v>1136</v>
      </c>
      <c r="I1475" s="10" t="s">
        <v>1312</v>
      </c>
      <c r="J1475" s="13" t="s">
        <v>1148</v>
      </c>
      <c r="K1475" s="13" t="s">
        <v>276</v>
      </c>
      <c r="L1475" s="13" t="s">
        <v>1897</v>
      </c>
      <c r="M1475" s="7" t="s">
        <v>253</v>
      </c>
      <c r="N1475" s="7" t="s">
        <v>253</v>
      </c>
      <c r="O1475" s="7" t="s">
        <v>254</v>
      </c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  <c r="AA1475" s="8"/>
      <c r="AB1475" s="8"/>
      <c r="AC1475" s="8"/>
      <c r="AD1475" s="8"/>
      <c r="AE1475" s="8"/>
    </row>
    <row r="1476">
      <c r="A1476" s="12">
        <v>50.0</v>
      </c>
      <c r="B1476" s="8" t="s">
        <v>336</v>
      </c>
      <c r="C1476" s="8" t="s">
        <v>1136</v>
      </c>
      <c r="I1476" s="10" t="s">
        <v>1274</v>
      </c>
      <c r="J1476" s="13" t="s">
        <v>1140</v>
      </c>
      <c r="K1476" s="13" t="s">
        <v>276</v>
      </c>
      <c r="L1476" s="13" t="s">
        <v>1897</v>
      </c>
      <c r="M1476" s="7" t="s">
        <v>253</v>
      </c>
      <c r="N1476" s="7" t="s">
        <v>253</v>
      </c>
      <c r="O1476" s="7" t="s">
        <v>254</v>
      </c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  <c r="AA1476" s="8"/>
      <c r="AB1476" s="8"/>
      <c r="AC1476" s="8"/>
      <c r="AD1476" s="8"/>
      <c r="AE1476" s="8"/>
    </row>
    <row r="1477">
      <c r="A1477" s="12">
        <v>50.0</v>
      </c>
      <c r="B1477" s="8" t="s">
        <v>336</v>
      </c>
      <c r="C1477" s="8" t="s">
        <v>1136</v>
      </c>
      <c r="I1477" s="10" t="s">
        <v>1740</v>
      </c>
      <c r="J1477" s="13" t="s">
        <v>1145</v>
      </c>
      <c r="K1477" s="13" t="s">
        <v>276</v>
      </c>
      <c r="L1477" s="13" t="s">
        <v>1897</v>
      </c>
      <c r="M1477" s="7" t="s">
        <v>253</v>
      </c>
      <c r="N1477" s="7" t="s">
        <v>253</v>
      </c>
      <c r="O1477" s="7" t="s">
        <v>254</v>
      </c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  <c r="AA1477" s="8"/>
      <c r="AB1477" s="8"/>
      <c r="AC1477" s="8"/>
      <c r="AD1477" s="8"/>
      <c r="AE1477" s="8"/>
    </row>
    <row r="1478">
      <c r="A1478" s="12">
        <v>50.0</v>
      </c>
      <c r="B1478" s="8" t="s">
        <v>336</v>
      </c>
      <c r="C1478" s="8" t="s">
        <v>1136</v>
      </c>
      <c r="I1478" s="10" t="s">
        <v>1917</v>
      </c>
      <c r="J1478" s="13" t="s">
        <v>1148</v>
      </c>
      <c r="K1478" s="13" t="s">
        <v>276</v>
      </c>
      <c r="L1478" s="13" t="s">
        <v>1897</v>
      </c>
      <c r="M1478" s="7" t="s">
        <v>253</v>
      </c>
      <c r="N1478" s="7" t="s">
        <v>253</v>
      </c>
      <c r="O1478" s="7" t="s">
        <v>254</v>
      </c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  <c r="AA1478" s="8"/>
      <c r="AB1478" s="8"/>
      <c r="AC1478" s="8"/>
      <c r="AD1478" s="8"/>
      <c r="AE1478" s="8"/>
    </row>
    <row r="1479">
      <c r="A1479" s="12">
        <v>50.0</v>
      </c>
      <c r="B1479" s="8" t="s">
        <v>336</v>
      </c>
      <c r="C1479" s="8" t="s">
        <v>1136</v>
      </c>
      <c r="I1479" s="10" t="s">
        <v>1918</v>
      </c>
      <c r="J1479" s="13" t="s">
        <v>1140</v>
      </c>
      <c r="K1479" s="13" t="s">
        <v>276</v>
      </c>
      <c r="L1479" s="13" t="s">
        <v>1894</v>
      </c>
      <c r="M1479" s="7" t="s">
        <v>253</v>
      </c>
      <c r="N1479" s="7" t="s">
        <v>253</v>
      </c>
      <c r="O1479" s="7" t="s">
        <v>254</v>
      </c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  <c r="AA1479" s="8"/>
      <c r="AB1479" s="8"/>
      <c r="AC1479" s="8"/>
      <c r="AD1479" s="8"/>
      <c r="AE1479" s="8"/>
    </row>
    <row r="1480">
      <c r="A1480" s="12">
        <v>51.0</v>
      </c>
      <c r="B1480" s="8" t="s">
        <v>338</v>
      </c>
      <c r="C1480" s="8" t="s">
        <v>1163</v>
      </c>
      <c r="D1480" s="25">
        <f>IF(COUNTIF($B$2:$B1480,$B1480)&gt;1,"",COUNTIF($B$2:$B$2505,$B1480))</f>
        <v>63</v>
      </c>
      <c r="E1480" s="25">
        <f>IF(COUNTIF($B$2:$B1480,$B1480)&gt;1,"",COUNTIFS($B$2:$B$2505,$B1480,$K$2:$K$2505,"PHÙ HỢP CAO"))</f>
        <v>3</v>
      </c>
      <c r="F1480" s="25">
        <f>IF(COUNTIF($B$2:$B1480,$B1480)&gt;1,"",COUNTIFS($B$2:$B$2505,$B1480,$K$2:$K$2505,"CÓ THỂ ĐI"))</f>
        <v>2</v>
      </c>
      <c r="G1480" s="25">
        <f>IF(COUNTIF($B$2:$B1480,$B1480)&gt;1,"",COUNTIFS($B$2:$B$2505,$B1480,$K$2:$K$2505,"CẦN SOÁT"))</f>
        <v>58</v>
      </c>
      <c r="H1480" s="26" t="str">
        <f>IFERROR(__xludf.DUMMYFUNCTION("IF(COUNTIF($B$2:$B1480,$B1480)&gt;1,"""",IFERROR(TEXTJOIN(CHAR(10),TRUE,BYROW(QUERY({$B$2:$B$2505,$J$2:$J$2505},""select Col2, count(Col2) where Col1 = '""&amp;$B1480&amp;""' group by Col2 order by count(Col2) desc label count(Col2) ''"",0),LAMBDA(r,INDEX(r,1,1)&amp;"" "&amp;"– ""&amp;INDEX(r,1,2)&amp;"" link""))),""""))"),"voucher Traveloka – 32 link
cách lấy voucher Traveloka – 31 link")</f>
        <v>voucher Traveloka – 32 link
cách lấy voucher Traveloka – 31 link</v>
      </c>
      <c r="I1480" s="10" t="s">
        <v>1164</v>
      </c>
      <c r="J1480" s="13" t="s">
        <v>1168</v>
      </c>
      <c r="K1480" s="13" t="s">
        <v>251</v>
      </c>
      <c r="L1480" s="13" t="s">
        <v>1919</v>
      </c>
      <c r="M1480" s="7" t="s">
        <v>253</v>
      </c>
      <c r="N1480" s="7" t="s">
        <v>253</v>
      </c>
      <c r="O1480" s="7" t="s">
        <v>254</v>
      </c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  <c r="AA1480" s="8"/>
      <c r="AB1480" s="8"/>
      <c r="AC1480" s="8"/>
      <c r="AD1480" s="8"/>
      <c r="AE1480" s="8"/>
    </row>
    <row r="1481">
      <c r="A1481" s="12">
        <v>51.0</v>
      </c>
      <c r="B1481" s="8" t="s">
        <v>338</v>
      </c>
      <c r="C1481" s="8" t="s">
        <v>1163</v>
      </c>
      <c r="I1481" s="10" t="s">
        <v>1170</v>
      </c>
      <c r="J1481" s="13" t="s">
        <v>1173</v>
      </c>
      <c r="K1481" s="13" t="s">
        <v>251</v>
      </c>
      <c r="L1481" s="13" t="s">
        <v>1920</v>
      </c>
      <c r="M1481" s="7" t="s">
        <v>253</v>
      </c>
      <c r="N1481" s="7" t="s">
        <v>253</v>
      </c>
      <c r="O1481" s="7" t="s">
        <v>254</v>
      </c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  <c r="AA1481" s="8"/>
      <c r="AB1481" s="8"/>
      <c r="AC1481" s="8"/>
      <c r="AD1481" s="8"/>
      <c r="AE1481" s="8"/>
    </row>
    <row r="1482">
      <c r="A1482" s="12">
        <v>51.0</v>
      </c>
      <c r="B1482" s="8" t="s">
        <v>338</v>
      </c>
      <c r="C1482" s="8" t="s">
        <v>1163</v>
      </c>
      <c r="I1482" s="10" t="s">
        <v>1174</v>
      </c>
      <c r="J1482" s="13" t="s">
        <v>1168</v>
      </c>
      <c r="K1482" s="13" t="s">
        <v>251</v>
      </c>
      <c r="L1482" s="13" t="s">
        <v>1921</v>
      </c>
      <c r="M1482" s="7" t="s">
        <v>253</v>
      </c>
      <c r="N1482" s="7" t="s">
        <v>253</v>
      </c>
      <c r="O1482" s="7" t="s">
        <v>254</v>
      </c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  <c r="AA1482" s="8"/>
      <c r="AB1482" s="8"/>
      <c r="AC1482" s="8"/>
      <c r="AD1482" s="8"/>
      <c r="AE1482" s="8"/>
    </row>
    <row r="1483">
      <c r="A1483" s="12">
        <v>51.0</v>
      </c>
      <c r="B1483" s="8" t="s">
        <v>338</v>
      </c>
      <c r="C1483" s="8" t="s">
        <v>1163</v>
      </c>
      <c r="I1483" s="10" t="s">
        <v>1177</v>
      </c>
      <c r="J1483" s="13" t="s">
        <v>1173</v>
      </c>
      <c r="K1483" s="13" t="s">
        <v>272</v>
      </c>
      <c r="L1483" s="13" t="s">
        <v>1922</v>
      </c>
      <c r="M1483" s="7" t="s">
        <v>253</v>
      </c>
      <c r="N1483" s="7" t="s">
        <v>253</v>
      </c>
      <c r="O1483" s="7" t="s">
        <v>254</v>
      </c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  <c r="AA1483" s="8"/>
      <c r="AB1483" s="8"/>
      <c r="AC1483" s="8"/>
      <c r="AD1483" s="8"/>
      <c r="AE1483" s="8"/>
    </row>
    <row r="1484">
      <c r="A1484" s="12">
        <v>51.0</v>
      </c>
      <c r="B1484" s="8" t="s">
        <v>338</v>
      </c>
      <c r="C1484" s="8" t="s">
        <v>1163</v>
      </c>
      <c r="I1484" s="10" t="s">
        <v>1260</v>
      </c>
      <c r="J1484" s="13" t="s">
        <v>1168</v>
      </c>
      <c r="K1484" s="13" t="s">
        <v>272</v>
      </c>
      <c r="L1484" s="13" t="s">
        <v>1923</v>
      </c>
      <c r="M1484" s="7" t="s">
        <v>253</v>
      </c>
      <c r="N1484" s="7" t="s">
        <v>253</v>
      </c>
      <c r="O1484" s="7" t="s">
        <v>254</v>
      </c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  <c r="AA1484" s="8"/>
      <c r="AB1484" s="8"/>
      <c r="AC1484" s="8"/>
      <c r="AD1484" s="8"/>
      <c r="AE1484" s="8"/>
    </row>
    <row r="1485">
      <c r="A1485" s="12">
        <v>51.0</v>
      </c>
      <c r="B1485" s="8" t="s">
        <v>338</v>
      </c>
      <c r="C1485" s="8" t="s">
        <v>1163</v>
      </c>
      <c r="I1485" s="10" t="s">
        <v>1924</v>
      </c>
      <c r="J1485" s="13" t="s">
        <v>1173</v>
      </c>
      <c r="K1485" s="13" t="s">
        <v>276</v>
      </c>
      <c r="L1485" s="13" t="s">
        <v>1925</v>
      </c>
      <c r="M1485" s="7" t="s">
        <v>253</v>
      </c>
      <c r="N1485" s="7" t="s">
        <v>253</v>
      </c>
      <c r="O1485" s="7" t="s">
        <v>254</v>
      </c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  <c r="AA1485" s="8"/>
      <c r="AB1485" s="8"/>
      <c r="AC1485" s="8"/>
      <c r="AD1485" s="8"/>
      <c r="AE1485" s="8"/>
    </row>
    <row r="1486">
      <c r="A1486" s="12">
        <v>51.0</v>
      </c>
      <c r="B1486" s="8" t="s">
        <v>338</v>
      </c>
      <c r="C1486" s="8" t="s">
        <v>1163</v>
      </c>
      <c r="I1486" s="10" t="s">
        <v>1926</v>
      </c>
      <c r="J1486" s="13" t="s">
        <v>1168</v>
      </c>
      <c r="K1486" s="13" t="s">
        <v>276</v>
      </c>
      <c r="L1486" s="13" t="s">
        <v>1927</v>
      </c>
      <c r="M1486" s="7" t="s">
        <v>253</v>
      </c>
      <c r="N1486" s="7" t="s">
        <v>253</v>
      </c>
      <c r="O1486" s="7" t="s">
        <v>254</v>
      </c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  <c r="AA1486" s="8"/>
      <c r="AB1486" s="8"/>
      <c r="AC1486" s="8"/>
      <c r="AD1486" s="8"/>
      <c r="AE1486" s="8"/>
    </row>
    <row r="1487">
      <c r="A1487" s="12">
        <v>51.0</v>
      </c>
      <c r="B1487" s="8" t="s">
        <v>338</v>
      </c>
      <c r="C1487" s="8" t="s">
        <v>1163</v>
      </c>
      <c r="I1487" s="10" t="s">
        <v>1928</v>
      </c>
      <c r="J1487" s="13" t="s">
        <v>1173</v>
      </c>
      <c r="K1487" s="13" t="s">
        <v>276</v>
      </c>
      <c r="L1487" s="13" t="s">
        <v>1929</v>
      </c>
      <c r="M1487" s="7" t="s">
        <v>253</v>
      </c>
      <c r="N1487" s="7" t="s">
        <v>253</v>
      </c>
      <c r="O1487" s="7" t="s">
        <v>254</v>
      </c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  <c r="AA1487" s="8"/>
      <c r="AB1487" s="8"/>
      <c r="AC1487" s="8"/>
      <c r="AD1487" s="8"/>
      <c r="AE1487" s="8"/>
    </row>
    <row r="1488">
      <c r="A1488" s="12">
        <v>51.0</v>
      </c>
      <c r="B1488" s="8" t="s">
        <v>338</v>
      </c>
      <c r="C1488" s="8" t="s">
        <v>1163</v>
      </c>
      <c r="I1488" s="10" t="s">
        <v>1930</v>
      </c>
      <c r="J1488" s="13" t="s">
        <v>1168</v>
      </c>
      <c r="K1488" s="13" t="s">
        <v>276</v>
      </c>
      <c r="L1488" s="13" t="s">
        <v>1931</v>
      </c>
      <c r="M1488" s="7" t="s">
        <v>253</v>
      </c>
      <c r="N1488" s="7" t="s">
        <v>253</v>
      </c>
      <c r="O1488" s="7" t="s">
        <v>254</v>
      </c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  <c r="AA1488" s="8"/>
      <c r="AB1488" s="8"/>
      <c r="AC1488" s="8"/>
      <c r="AD1488" s="8"/>
      <c r="AE1488" s="8"/>
    </row>
    <row r="1489">
      <c r="A1489" s="12">
        <v>51.0</v>
      </c>
      <c r="B1489" s="8" t="s">
        <v>338</v>
      </c>
      <c r="C1489" s="8" t="s">
        <v>1163</v>
      </c>
      <c r="I1489" s="10" t="s">
        <v>1932</v>
      </c>
      <c r="J1489" s="13" t="s">
        <v>1173</v>
      </c>
      <c r="K1489" s="13" t="s">
        <v>276</v>
      </c>
      <c r="L1489" s="13" t="s">
        <v>1931</v>
      </c>
      <c r="M1489" s="7" t="s">
        <v>253</v>
      </c>
      <c r="N1489" s="7" t="s">
        <v>253</v>
      </c>
      <c r="O1489" s="7" t="s">
        <v>254</v>
      </c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  <c r="AA1489" s="8"/>
      <c r="AB1489" s="8"/>
      <c r="AC1489" s="8"/>
      <c r="AD1489" s="8"/>
      <c r="AE1489" s="8"/>
    </row>
    <row r="1490">
      <c r="A1490" s="12">
        <v>51.0</v>
      </c>
      <c r="B1490" s="8" t="s">
        <v>338</v>
      </c>
      <c r="C1490" s="8" t="s">
        <v>1163</v>
      </c>
      <c r="I1490" s="10" t="s">
        <v>1806</v>
      </c>
      <c r="J1490" s="13" t="s">
        <v>1168</v>
      </c>
      <c r="K1490" s="13" t="s">
        <v>276</v>
      </c>
      <c r="L1490" s="13" t="s">
        <v>1925</v>
      </c>
      <c r="M1490" s="7" t="s">
        <v>253</v>
      </c>
      <c r="N1490" s="7" t="s">
        <v>253</v>
      </c>
      <c r="O1490" s="7" t="s">
        <v>254</v>
      </c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  <c r="AA1490" s="8"/>
      <c r="AB1490" s="8"/>
      <c r="AC1490" s="8"/>
      <c r="AD1490" s="8"/>
      <c r="AE1490" s="8"/>
    </row>
    <row r="1491">
      <c r="A1491" s="12">
        <v>51.0</v>
      </c>
      <c r="B1491" s="8" t="s">
        <v>338</v>
      </c>
      <c r="C1491" s="8" t="s">
        <v>1163</v>
      </c>
      <c r="I1491" s="10" t="s">
        <v>1933</v>
      </c>
      <c r="J1491" s="13" t="s">
        <v>1173</v>
      </c>
      <c r="K1491" s="13" t="s">
        <v>276</v>
      </c>
      <c r="L1491" s="13" t="s">
        <v>1925</v>
      </c>
      <c r="M1491" s="7" t="s">
        <v>253</v>
      </c>
      <c r="N1491" s="7" t="s">
        <v>253</v>
      </c>
      <c r="O1491" s="7" t="s">
        <v>254</v>
      </c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  <c r="AA1491" s="8"/>
      <c r="AB1491" s="8"/>
      <c r="AC1491" s="8"/>
      <c r="AD1491" s="8"/>
      <c r="AE1491" s="8"/>
    </row>
    <row r="1492">
      <c r="A1492" s="12">
        <v>51.0</v>
      </c>
      <c r="B1492" s="8" t="s">
        <v>338</v>
      </c>
      <c r="C1492" s="8" t="s">
        <v>1163</v>
      </c>
      <c r="I1492" s="10" t="s">
        <v>1934</v>
      </c>
      <c r="J1492" s="13" t="s">
        <v>1168</v>
      </c>
      <c r="K1492" s="13" t="s">
        <v>276</v>
      </c>
      <c r="L1492" s="13" t="s">
        <v>1931</v>
      </c>
      <c r="M1492" s="7" t="s">
        <v>253</v>
      </c>
      <c r="N1492" s="7" t="s">
        <v>253</v>
      </c>
      <c r="O1492" s="7" t="s">
        <v>254</v>
      </c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  <c r="AA1492" s="8"/>
      <c r="AB1492" s="8"/>
      <c r="AC1492" s="8"/>
      <c r="AD1492" s="8"/>
      <c r="AE1492" s="8"/>
    </row>
    <row r="1493">
      <c r="A1493" s="12">
        <v>51.0</v>
      </c>
      <c r="B1493" s="8" t="s">
        <v>338</v>
      </c>
      <c r="C1493" s="8" t="s">
        <v>1163</v>
      </c>
      <c r="I1493" s="10" t="s">
        <v>1935</v>
      </c>
      <c r="J1493" s="13" t="s">
        <v>1173</v>
      </c>
      <c r="K1493" s="13" t="s">
        <v>276</v>
      </c>
      <c r="L1493" s="13" t="s">
        <v>1931</v>
      </c>
      <c r="M1493" s="7" t="s">
        <v>253</v>
      </c>
      <c r="N1493" s="7" t="s">
        <v>253</v>
      </c>
      <c r="O1493" s="7" t="s">
        <v>254</v>
      </c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  <c r="AA1493" s="8"/>
      <c r="AB1493" s="8"/>
      <c r="AC1493" s="8"/>
      <c r="AD1493" s="8"/>
      <c r="AE1493" s="8"/>
    </row>
    <row r="1494">
      <c r="A1494" s="12">
        <v>51.0</v>
      </c>
      <c r="B1494" s="8" t="s">
        <v>338</v>
      </c>
      <c r="C1494" s="8" t="s">
        <v>1163</v>
      </c>
      <c r="I1494" s="10" t="s">
        <v>1936</v>
      </c>
      <c r="J1494" s="13" t="s">
        <v>1168</v>
      </c>
      <c r="K1494" s="13" t="s">
        <v>276</v>
      </c>
      <c r="L1494" s="13" t="s">
        <v>1925</v>
      </c>
      <c r="M1494" s="7" t="s">
        <v>253</v>
      </c>
      <c r="N1494" s="7" t="s">
        <v>253</v>
      </c>
      <c r="O1494" s="7" t="s">
        <v>254</v>
      </c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  <c r="AA1494" s="8"/>
      <c r="AB1494" s="8"/>
      <c r="AC1494" s="8"/>
      <c r="AD1494" s="8"/>
      <c r="AE1494" s="8"/>
    </row>
    <row r="1495">
      <c r="A1495" s="12">
        <v>51.0</v>
      </c>
      <c r="B1495" s="8" t="s">
        <v>338</v>
      </c>
      <c r="C1495" s="8" t="s">
        <v>1163</v>
      </c>
      <c r="I1495" s="10" t="s">
        <v>1937</v>
      </c>
      <c r="J1495" s="13" t="s">
        <v>1173</v>
      </c>
      <c r="K1495" s="13" t="s">
        <v>276</v>
      </c>
      <c r="L1495" s="13" t="s">
        <v>1931</v>
      </c>
      <c r="M1495" s="7" t="s">
        <v>253</v>
      </c>
      <c r="N1495" s="7" t="s">
        <v>253</v>
      </c>
      <c r="O1495" s="7" t="s">
        <v>254</v>
      </c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  <c r="AA1495" s="8"/>
      <c r="AB1495" s="8"/>
      <c r="AC1495" s="8"/>
      <c r="AD1495" s="8"/>
      <c r="AE1495" s="8"/>
    </row>
    <row r="1496">
      <c r="A1496" s="12">
        <v>51.0</v>
      </c>
      <c r="B1496" s="8" t="s">
        <v>338</v>
      </c>
      <c r="C1496" s="8" t="s">
        <v>1163</v>
      </c>
      <c r="I1496" s="10" t="s">
        <v>1938</v>
      </c>
      <c r="J1496" s="13" t="s">
        <v>1168</v>
      </c>
      <c r="K1496" s="13" t="s">
        <v>276</v>
      </c>
      <c r="L1496" s="13" t="s">
        <v>1925</v>
      </c>
      <c r="M1496" s="7" t="s">
        <v>253</v>
      </c>
      <c r="N1496" s="7" t="s">
        <v>253</v>
      </c>
      <c r="O1496" s="7" t="s">
        <v>254</v>
      </c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  <c r="AA1496" s="8"/>
      <c r="AB1496" s="8"/>
      <c r="AC1496" s="8"/>
      <c r="AD1496" s="8"/>
      <c r="AE1496" s="8"/>
    </row>
    <row r="1497">
      <c r="A1497" s="12">
        <v>51.0</v>
      </c>
      <c r="B1497" s="8" t="s">
        <v>338</v>
      </c>
      <c r="C1497" s="8" t="s">
        <v>1163</v>
      </c>
      <c r="I1497" s="10" t="s">
        <v>1939</v>
      </c>
      <c r="J1497" s="13" t="s">
        <v>1173</v>
      </c>
      <c r="K1497" s="13" t="s">
        <v>276</v>
      </c>
      <c r="L1497" s="13" t="s">
        <v>1925</v>
      </c>
      <c r="M1497" s="7" t="s">
        <v>253</v>
      </c>
      <c r="N1497" s="7" t="s">
        <v>253</v>
      </c>
      <c r="O1497" s="7" t="s">
        <v>254</v>
      </c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  <c r="AA1497" s="8"/>
      <c r="AB1497" s="8"/>
      <c r="AC1497" s="8"/>
      <c r="AD1497" s="8"/>
      <c r="AE1497" s="8"/>
    </row>
    <row r="1498">
      <c r="A1498" s="12">
        <v>51.0</v>
      </c>
      <c r="B1498" s="8" t="s">
        <v>338</v>
      </c>
      <c r="C1498" s="8" t="s">
        <v>1163</v>
      </c>
      <c r="I1498" s="10" t="s">
        <v>1940</v>
      </c>
      <c r="J1498" s="13" t="s">
        <v>1168</v>
      </c>
      <c r="K1498" s="13" t="s">
        <v>276</v>
      </c>
      <c r="L1498" s="13" t="s">
        <v>1925</v>
      </c>
      <c r="M1498" s="7" t="s">
        <v>253</v>
      </c>
      <c r="N1498" s="7" t="s">
        <v>253</v>
      </c>
      <c r="O1498" s="7" t="s">
        <v>254</v>
      </c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  <c r="AA1498" s="8"/>
      <c r="AB1498" s="8"/>
      <c r="AC1498" s="8"/>
      <c r="AD1498" s="8"/>
      <c r="AE1498" s="8"/>
    </row>
    <row r="1499">
      <c r="A1499" s="12">
        <v>51.0</v>
      </c>
      <c r="B1499" s="8" t="s">
        <v>338</v>
      </c>
      <c r="C1499" s="8" t="s">
        <v>1163</v>
      </c>
      <c r="I1499" s="10" t="s">
        <v>1572</v>
      </c>
      <c r="J1499" s="13" t="s">
        <v>1173</v>
      </c>
      <c r="K1499" s="13" t="s">
        <v>276</v>
      </c>
      <c r="L1499" s="13" t="s">
        <v>1927</v>
      </c>
      <c r="M1499" s="7" t="s">
        <v>253</v>
      </c>
      <c r="N1499" s="7" t="s">
        <v>253</v>
      </c>
      <c r="O1499" s="7" t="s">
        <v>254</v>
      </c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  <c r="AA1499" s="8"/>
      <c r="AB1499" s="8"/>
      <c r="AC1499" s="8"/>
      <c r="AD1499" s="8"/>
      <c r="AE1499" s="8"/>
    </row>
    <row r="1500">
      <c r="A1500" s="12">
        <v>51.0</v>
      </c>
      <c r="B1500" s="8" t="s">
        <v>338</v>
      </c>
      <c r="C1500" s="8" t="s">
        <v>1163</v>
      </c>
      <c r="I1500" s="10" t="s">
        <v>429</v>
      </c>
      <c r="J1500" s="13" t="s">
        <v>1168</v>
      </c>
      <c r="K1500" s="13" t="s">
        <v>276</v>
      </c>
      <c r="L1500" s="13" t="s">
        <v>1931</v>
      </c>
      <c r="M1500" s="7" t="s">
        <v>253</v>
      </c>
      <c r="N1500" s="7" t="s">
        <v>253</v>
      </c>
      <c r="O1500" s="7" t="s">
        <v>254</v>
      </c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  <c r="AA1500" s="8"/>
      <c r="AB1500" s="8"/>
      <c r="AC1500" s="8"/>
      <c r="AD1500" s="8"/>
      <c r="AE1500" s="8"/>
    </row>
    <row r="1501">
      <c r="A1501" s="12">
        <v>51.0</v>
      </c>
      <c r="B1501" s="8" t="s">
        <v>338</v>
      </c>
      <c r="C1501" s="8" t="s">
        <v>1163</v>
      </c>
      <c r="I1501" s="10" t="s">
        <v>1941</v>
      </c>
      <c r="J1501" s="13" t="s">
        <v>1173</v>
      </c>
      <c r="K1501" s="13" t="s">
        <v>276</v>
      </c>
      <c r="L1501" s="13" t="s">
        <v>1931</v>
      </c>
      <c r="M1501" s="7" t="s">
        <v>253</v>
      </c>
      <c r="N1501" s="7" t="s">
        <v>253</v>
      </c>
      <c r="O1501" s="7" t="s">
        <v>254</v>
      </c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  <c r="AA1501" s="8"/>
      <c r="AB1501" s="8"/>
      <c r="AC1501" s="8"/>
      <c r="AD1501" s="8"/>
      <c r="AE1501" s="8"/>
    </row>
    <row r="1502">
      <c r="A1502" s="12">
        <v>51.0</v>
      </c>
      <c r="B1502" s="8" t="s">
        <v>338</v>
      </c>
      <c r="C1502" s="8" t="s">
        <v>1163</v>
      </c>
      <c r="I1502" s="10" t="s">
        <v>1574</v>
      </c>
      <c r="J1502" s="13" t="s">
        <v>1168</v>
      </c>
      <c r="K1502" s="13" t="s">
        <v>276</v>
      </c>
      <c r="L1502" s="13" t="s">
        <v>1925</v>
      </c>
      <c r="M1502" s="7" t="s">
        <v>253</v>
      </c>
      <c r="N1502" s="7" t="s">
        <v>253</v>
      </c>
      <c r="O1502" s="7" t="s">
        <v>254</v>
      </c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  <c r="AA1502" s="8"/>
      <c r="AB1502" s="8"/>
      <c r="AC1502" s="8"/>
      <c r="AD1502" s="8"/>
      <c r="AE1502" s="8"/>
    </row>
    <row r="1503">
      <c r="A1503" s="12">
        <v>51.0</v>
      </c>
      <c r="B1503" s="8" t="s">
        <v>338</v>
      </c>
      <c r="C1503" s="8" t="s">
        <v>1163</v>
      </c>
      <c r="I1503" s="10" t="s">
        <v>1822</v>
      </c>
      <c r="J1503" s="13" t="s">
        <v>1173</v>
      </c>
      <c r="K1503" s="13" t="s">
        <v>276</v>
      </c>
      <c r="L1503" s="13" t="s">
        <v>1925</v>
      </c>
      <c r="M1503" s="7" t="s">
        <v>253</v>
      </c>
      <c r="N1503" s="7" t="s">
        <v>253</v>
      </c>
      <c r="O1503" s="7" t="s">
        <v>254</v>
      </c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  <c r="AA1503" s="8"/>
      <c r="AB1503" s="8"/>
      <c r="AC1503" s="8"/>
      <c r="AD1503" s="8"/>
      <c r="AE1503" s="8"/>
    </row>
    <row r="1504">
      <c r="A1504" s="12">
        <v>51.0</v>
      </c>
      <c r="B1504" s="8" t="s">
        <v>338</v>
      </c>
      <c r="C1504" s="8" t="s">
        <v>1163</v>
      </c>
      <c r="I1504" s="10" t="s">
        <v>1942</v>
      </c>
      <c r="J1504" s="13" t="s">
        <v>1168</v>
      </c>
      <c r="K1504" s="13" t="s">
        <v>276</v>
      </c>
      <c r="L1504" s="13" t="s">
        <v>1925</v>
      </c>
      <c r="M1504" s="7" t="s">
        <v>253</v>
      </c>
      <c r="N1504" s="7" t="s">
        <v>253</v>
      </c>
      <c r="O1504" s="7" t="s">
        <v>254</v>
      </c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  <c r="AA1504" s="8"/>
      <c r="AB1504" s="8"/>
      <c r="AC1504" s="8"/>
      <c r="AD1504" s="8"/>
      <c r="AE1504" s="8"/>
    </row>
    <row r="1505">
      <c r="A1505" s="12">
        <v>51.0</v>
      </c>
      <c r="B1505" s="8" t="s">
        <v>338</v>
      </c>
      <c r="C1505" s="8" t="s">
        <v>1163</v>
      </c>
      <c r="I1505" s="10" t="s">
        <v>1943</v>
      </c>
      <c r="J1505" s="13" t="s">
        <v>1173</v>
      </c>
      <c r="K1505" s="13" t="s">
        <v>276</v>
      </c>
      <c r="L1505" s="13" t="s">
        <v>1927</v>
      </c>
      <c r="M1505" s="7" t="s">
        <v>253</v>
      </c>
      <c r="N1505" s="7" t="s">
        <v>253</v>
      </c>
      <c r="O1505" s="7" t="s">
        <v>254</v>
      </c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  <c r="AA1505" s="8"/>
      <c r="AB1505" s="8"/>
      <c r="AC1505" s="8"/>
      <c r="AD1505" s="8"/>
      <c r="AE1505" s="8"/>
    </row>
    <row r="1506">
      <c r="A1506" s="12">
        <v>51.0</v>
      </c>
      <c r="B1506" s="8" t="s">
        <v>338</v>
      </c>
      <c r="C1506" s="8" t="s">
        <v>1163</v>
      </c>
      <c r="I1506" s="10" t="s">
        <v>1578</v>
      </c>
      <c r="J1506" s="13" t="s">
        <v>1168</v>
      </c>
      <c r="K1506" s="13" t="s">
        <v>276</v>
      </c>
      <c r="L1506" s="13" t="s">
        <v>1925</v>
      </c>
      <c r="M1506" s="7" t="s">
        <v>253</v>
      </c>
      <c r="N1506" s="7" t="s">
        <v>253</v>
      </c>
      <c r="O1506" s="7" t="s">
        <v>254</v>
      </c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  <c r="AA1506" s="8"/>
      <c r="AB1506" s="8"/>
      <c r="AC1506" s="8"/>
      <c r="AD1506" s="8"/>
      <c r="AE1506" s="8"/>
    </row>
    <row r="1507">
      <c r="A1507" s="12">
        <v>51.0</v>
      </c>
      <c r="B1507" s="8" t="s">
        <v>338</v>
      </c>
      <c r="C1507" s="8" t="s">
        <v>1163</v>
      </c>
      <c r="I1507" s="10" t="s">
        <v>1944</v>
      </c>
      <c r="J1507" s="13" t="s">
        <v>1173</v>
      </c>
      <c r="K1507" s="13" t="s">
        <v>276</v>
      </c>
      <c r="L1507" s="13" t="s">
        <v>1925</v>
      </c>
      <c r="M1507" s="7" t="s">
        <v>253</v>
      </c>
      <c r="N1507" s="7" t="s">
        <v>253</v>
      </c>
      <c r="O1507" s="7" t="s">
        <v>254</v>
      </c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  <c r="AA1507" s="8"/>
      <c r="AB1507" s="8"/>
      <c r="AC1507" s="8"/>
      <c r="AD1507" s="8"/>
      <c r="AE1507" s="8"/>
    </row>
    <row r="1508">
      <c r="A1508" s="12">
        <v>51.0</v>
      </c>
      <c r="B1508" s="8" t="s">
        <v>338</v>
      </c>
      <c r="C1508" s="8" t="s">
        <v>1163</v>
      </c>
      <c r="I1508" s="10" t="s">
        <v>1421</v>
      </c>
      <c r="J1508" s="13" t="s">
        <v>1168</v>
      </c>
      <c r="K1508" s="13" t="s">
        <v>276</v>
      </c>
      <c r="L1508" s="13" t="s">
        <v>1945</v>
      </c>
      <c r="M1508" s="7" t="s">
        <v>253</v>
      </c>
      <c r="N1508" s="7" t="s">
        <v>253</v>
      </c>
      <c r="O1508" s="7" t="s">
        <v>254</v>
      </c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  <c r="AA1508" s="8"/>
      <c r="AB1508" s="8"/>
      <c r="AC1508" s="8"/>
      <c r="AD1508" s="8"/>
      <c r="AE1508" s="8"/>
    </row>
    <row r="1509">
      <c r="A1509" s="12">
        <v>51.0</v>
      </c>
      <c r="B1509" s="8" t="s">
        <v>338</v>
      </c>
      <c r="C1509" s="8" t="s">
        <v>1163</v>
      </c>
      <c r="I1509" s="10" t="s">
        <v>1643</v>
      </c>
      <c r="J1509" s="13" t="s">
        <v>1173</v>
      </c>
      <c r="K1509" s="13" t="s">
        <v>276</v>
      </c>
      <c r="L1509" s="13" t="s">
        <v>1945</v>
      </c>
      <c r="M1509" s="7" t="s">
        <v>253</v>
      </c>
      <c r="N1509" s="7" t="s">
        <v>253</v>
      </c>
      <c r="O1509" s="7" t="s">
        <v>254</v>
      </c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  <c r="AA1509" s="8"/>
      <c r="AB1509" s="8"/>
      <c r="AC1509" s="8"/>
      <c r="AD1509" s="8"/>
      <c r="AE1509" s="8"/>
    </row>
    <row r="1510">
      <c r="A1510" s="12">
        <v>51.0</v>
      </c>
      <c r="B1510" s="8" t="s">
        <v>338</v>
      </c>
      <c r="C1510" s="8" t="s">
        <v>1163</v>
      </c>
      <c r="I1510" s="10" t="s">
        <v>1946</v>
      </c>
      <c r="J1510" s="13" t="s">
        <v>1168</v>
      </c>
      <c r="K1510" s="13" t="s">
        <v>276</v>
      </c>
      <c r="L1510" s="13" t="s">
        <v>1931</v>
      </c>
      <c r="M1510" s="7" t="s">
        <v>253</v>
      </c>
      <c r="N1510" s="7" t="s">
        <v>253</v>
      </c>
      <c r="O1510" s="7" t="s">
        <v>254</v>
      </c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  <c r="AA1510" s="8"/>
      <c r="AB1510" s="8"/>
      <c r="AC1510" s="8"/>
      <c r="AD1510" s="8"/>
      <c r="AE1510" s="8"/>
    </row>
    <row r="1511">
      <c r="A1511" s="12">
        <v>51.0</v>
      </c>
      <c r="B1511" s="8" t="s">
        <v>338</v>
      </c>
      <c r="C1511" s="8" t="s">
        <v>1163</v>
      </c>
      <c r="I1511" s="10" t="s">
        <v>1853</v>
      </c>
      <c r="J1511" s="13" t="s">
        <v>1173</v>
      </c>
      <c r="K1511" s="13" t="s">
        <v>276</v>
      </c>
      <c r="L1511" s="13" t="s">
        <v>1947</v>
      </c>
      <c r="M1511" s="7" t="s">
        <v>253</v>
      </c>
      <c r="N1511" s="7" t="s">
        <v>253</v>
      </c>
      <c r="O1511" s="7" t="s">
        <v>254</v>
      </c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  <c r="AA1511" s="8"/>
      <c r="AB1511" s="8"/>
      <c r="AC1511" s="8"/>
      <c r="AD1511" s="8"/>
      <c r="AE1511" s="8"/>
    </row>
    <row r="1512">
      <c r="A1512" s="12">
        <v>51.0</v>
      </c>
      <c r="B1512" s="8" t="s">
        <v>338</v>
      </c>
      <c r="C1512" s="8" t="s">
        <v>1163</v>
      </c>
      <c r="I1512" s="10" t="s">
        <v>1948</v>
      </c>
      <c r="J1512" s="13" t="s">
        <v>1168</v>
      </c>
      <c r="K1512" s="13" t="s">
        <v>276</v>
      </c>
      <c r="L1512" s="13" t="s">
        <v>1931</v>
      </c>
      <c r="M1512" s="7" t="s">
        <v>253</v>
      </c>
      <c r="N1512" s="7" t="s">
        <v>253</v>
      </c>
      <c r="O1512" s="7" t="s">
        <v>254</v>
      </c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  <c r="AA1512" s="8"/>
      <c r="AB1512" s="8"/>
      <c r="AC1512" s="8"/>
      <c r="AD1512" s="8"/>
      <c r="AE1512" s="8"/>
    </row>
    <row r="1513">
      <c r="A1513" s="12">
        <v>51.0</v>
      </c>
      <c r="B1513" s="8" t="s">
        <v>338</v>
      </c>
      <c r="C1513" s="8" t="s">
        <v>1163</v>
      </c>
      <c r="I1513" s="10" t="s">
        <v>1949</v>
      </c>
      <c r="J1513" s="13" t="s">
        <v>1173</v>
      </c>
      <c r="K1513" s="13" t="s">
        <v>276</v>
      </c>
      <c r="L1513" s="13" t="s">
        <v>1925</v>
      </c>
      <c r="M1513" s="7" t="s">
        <v>253</v>
      </c>
      <c r="N1513" s="7" t="s">
        <v>253</v>
      </c>
      <c r="O1513" s="7" t="s">
        <v>254</v>
      </c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  <c r="AA1513" s="8"/>
      <c r="AB1513" s="8"/>
      <c r="AC1513" s="8"/>
      <c r="AD1513" s="8"/>
      <c r="AE1513" s="8"/>
    </row>
    <row r="1514">
      <c r="A1514" s="12">
        <v>51.0</v>
      </c>
      <c r="B1514" s="8" t="s">
        <v>338</v>
      </c>
      <c r="C1514" s="8" t="s">
        <v>1163</v>
      </c>
      <c r="I1514" s="10" t="s">
        <v>1950</v>
      </c>
      <c r="J1514" s="13" t="s">
        <v>1168</v>
      </c>
      <c r="K1514" s="13" t="s">
        <v>276</v>
      </c>
      <c r="L1514" s="13" t="s">
        <v>1931</v>
      </c>
      <c r="M1514" s="7" t="s">
        <v>253</v>
      </c>
      <c r="N1514" s="7" t="s">
        <v>253</v>
      </c>
      <c r="O1514" s="7" t="s">
        <v>254</v>
      </c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  <c r="AA1514" s="8"/>
      <c r="AB1514" s="8"/>
      <c r="AC1514" s="8"/>
      <c r="AD1514" s="8"/>
      <c r="AE1514" s="8"/>
    </row>
    <row r="1515">
      <c r="A1515" s="12">
        <v>51.0</v>
      </c>
      <c r="B1515" s="8" t="s">
        <v>338</v>
      </c>
      <c r="C1515" s="8" t="s">
        <v>1163</v>
      </c>
      <c r="I1515" s="10" t="s">
        <v>1951</v>
      </c>
      <c r="J1515" s="13" t="s">
        <v>1173</v>
      </c>
      <c r="K1515" s="13" t="s">
        <v>276</v>
      </c>
      <c r="L1515" s="13" t="s">
        <v>1947</v>
      </c>
      <c r="M1515" s="7" t="s">
        <v>253</v>
      </c>
      <c r="N1515" s="7" t="s">
        <v>253</v>
      </c>
      <c r="O1515" s="7" t="s">
        <v>254</v>
      </c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  <c r="AA1515" s="8"/>
      <c r="AB1515" s="8"/>
      <c r="AC1515" s="8"/>
      <c r="AD1515" s="8"/>
      <c r="AE1515" s="8"/>
    </row>
    <row r="1516">
      <c r="A1516" s="12">
        <v>51.0</v>
      </c>
      <c r="B1516" s="8" t="s">
        <v>338</v>
      </c>
      <c r="C1516" s="8" t="s">
        <v>1163</v>
      </c>
      <c r="I1516" s="10" t="s">
        <v>1952</v>
      </c>
      <c r="J1516" s="13" t="s">
        <v>1168</v>
      </c>
      <c r="K1516" s="13" t="s">
        <v>276</v>
      </c>
      <c r="L1516" s="13" t="s">
        <v>1931</v>
      </c>
      <c r="M1516" s="7" t="s">
        <v>253</v>
      </c>
      <c r="N1516" s="7" t="s">
        <v>253</v>
      </c>
      <c r="O1516" s="7" t="s">
        <v>254</v>
      </c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  <c r="AA1516" s="8"/>
      <c r="AB1516" s="8"/>
      <c r="AC1516" s="8"/>
      <c r="AD1516" s="8"/>
      <c r="AE1516" s="8"/>
    </row>
    <row r="1517">
      <c r="A1517" s="12">
        <v>51.0</v>
      </c>
      <c r="B1517" s="8" t="s">
        <v>338</v>
      </c>
      <c r="C1517" s="8" t="s">
        <v>1163</v>
      </c>
      <c r="I1517" s="10" t="s">
        <v>1953</v>
      </c>
      <c r="J1517" s="13" t="s">
        <v>1173</v>
      </c>
      <c r="K1517" s="13" t="s">
        <v>276</v>
      </c>
      <c r="L1517" s="13" t="s">
        <v>1931</v>
      </c>
      <c r="M1517" s="7" t="s">
        <v>253</v>
      </c>
      <c r="N1517" s="7" t="s">
        <v>253</v>
      </c>
      <c r="O1517" s="7" t="s">
        <v>254</v>
      </c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  <c r="AA1517" s="8"/>
      <c r="AB1517" s="8"/>
      <c r="AC1517" s="8"/>
      <c r="AD1517" s="8"/>
      <c r="AE1517" s="8"/>
    </row>
    <row r="1518">
      <c r="A1518" s="12">
        <v>51.0</v>
      </c>
      <c r="B1518" s="8" t="s">
        <v>338</v>
      </c>
      <c r="C1518" s="8" t="s">
        <v>1163</v>
      </c>
      <c r="I1518" s="10" t="s">
        <v>1954</v>
      </c>
      <c r="J1518" s="13" t="s">
        <v>1168</v>
      </c>
      <c r="K1518" s="13" t="s">
        <v>276</v>
      </c>
      <c r="L1518" s="13" t="s">
        <v>1955</v>
      </c>
      <c r="M1518" s="7" t="s">
        <v>253</v>
      </c>
      <c r="N1518" s="7" t="s">
        <v>253</v>
      </c>
      <c r="O1518" s="7" t="s">
        <v>254</v>
      </c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  <c r="AA1518" s="8"/>
      <c r="AB1518" s="8"/>
      <c r="AC1518" s="8"/>
      <c r="AD1518" s="8"/>
      <c r="AE1518" s="8"/>
    </row>
    <row r="1519">
      <c r="A1519" s="12">
        <v>51.0</v>
      </c>
      <c r="B1519" s="8" t="s">
        <v>338</v>
      </c>
      <c r="C1519" s="8" t="s">
        <v>1163</v>
      </c>
      <c r="I1519" s="10" t="s">
        <v>1854</v>
      </c>
      <c r="J1519" s="13" t="s">
        <v>1173</v>
      </c>
      <c r="K1519" s="13" t="s">
        <v>276</v>
      </c>
      <c r="L1519" s="13" t="s">
        <v>1931</v>
      </c>
      <c r="M1519" s="7" t="s">
        <v>253</v>
      </c>
      <c r="N1519" s="7" t="s">
        <v>253</v>
      </c>
      <c r="O1519" s="7" t="s">
        <v>254</v>
      </c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  <c r="AA1519" s="8"/>
      <c r="AB1519" s="8"/>
      <c r="AC1519" s="8"/>
      <c r="AD1519" s="8"/>
      <c r="AE1519" s="8"/>
    </row>
    <row r="1520">
      <c r="A1520" s="12">
        <v>51.0</v>
      </c>
      <c r="B1520" s="8" t="s">
        <v>338</v>
      </c>
      <c r="C1520" s="8" t="s">
        <v>1163</v>
      </c>
      <c r="I1520" s="10" t="s">
        <v>1591</v>
      </c>
      <c r="J1520" s="13" t="s">
        <v>1168</v>
      </c>
      <c r="K1520" s="13" t="s">
        <v>276</v>
      </c>
      <c r="L1520" s="13" t="s">
        <v>1931</v>
      </c>
      <c r="M1520" s="7" t="s">
        <v>253</v>
      </c>
      <c r="N1520" s="7" t="s">
        <v>253</v>
      </c>
      <c r="O1520" s="7" t="s">
        <v>254</v>
      </c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  <c r="AA1520" s="8"/>
      <c r="AB1520" s="8"/>
      <c r="AC1520" s="8"/>
      <c r="AD1520" s="8"/>
      <c r="AE1520" s="8"/>
    </row>
    <row r="1521">
      <c r="A1521" s="12">
        <v>51.0</v>
      </c>
      <c r="B1521" s="8" t="s">
        <v>338</v>
      </c>
      <c r="C1521" s="8" t="s">
        <v>1163</v>
      </c>
      <c r="I1521" s="10" t="s">
        <v>1956</v>
      </c>
      <c r="J1521" s="13" t="s">
        <v>1173</v>
      </c>
      <c r="K1521" s="13" t="s">
        <v>276</v>
      </c>
      <c r="L1521" s="13" t="s">
        <v>1925</v>
      </c>
      <c r="M1521" s="7" t="s">
        <v>253</v>
      </c>
      <c r="N1521" s="7" t="s">
        <v>253</v>
      </c>
      <c r="O1521" s="7" t="s">
        <v>254</v>
      </c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  <c r="AA1521" s="8"/>
      <c r="AB1521" s="8"/>
      <c r="AC1521" s="8"/>
      <c r="AD1521" s="8"/>
      <c r="AE1521" s="8"/>
    </row>
    <row r="1522">
      <c r="A1522" s="12">
        <v>51.0</v>
      </c>
      <c r="B1522" s="8" t="s">
        <v>338</v>
      </c>
      <c r="C1522" s="8" t="s">
        <v>1163</v>
      </c>
      <c r="I1522" s="10" t="s">
        <v>1957</v>
      </c>
      <c r="J1522" s="13" t="s">
        <v>1168</v>
      </c>
      <c r="K1522" s="13" t="s">
        <v>276</v>
      </c>
      <c r="L1522" s="13" t="s">
        <v>1925</v>
      </c>
      <c r="M1522" s="7" t="s">
        <v>253</v>
      </c>
      <c r="N1522" s="7" t="s">
        <v>253</v>
      </c>
      <c r="O1522" s="7" t="s">
        <v>254</v>
      </c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  <c r="AA1522" s="8"/>
      <c r="AB1522" s="8"/>
      <c r="AC1522" s="8"/>
      <c r="AD1522" s="8"/>
      <c r="AE1522" s="8"/>
    </row>
    <row r="1523">
      <c r="A1523" s="12">
        <v>51.0</v>
      </c>
      <c r="B1523" s="8" t="s">
        <v>338</v>
      </c>
      <c r="C1523" s="8" t="s">
        <v>1163</v>
      </c>
      <c r="I1523" s="10" t="s">
        <v>1958</v>
      </c>
      <c r="J1523" s="13" t="s">
        <v>1173</v>
      </c>
      <c r="K1523" s="13" t="s">
        <v>276</v>
      </c>
      <c r="L1523" s="13" t="s">
        <v>1925</v>
      </c>
      <c r="M1523" s="7" t="s">
        <v>253</v>
      </c>
      <c r="N1523" s="7" t="s">
        <v>253</v>
      </c>
      <c r="O1523" s="7" t="s">
        <v>254</v>
      </c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  <c r="AA1523" s="8"/>
      <c r="AB1523" s="8"/>
      <c r="AC1523" s="8"/>
      <c r="AD1523" s="8"/>
      <c r="AE1523" s="8"/>
    </row>
    <row r="1524">
      <c r="A1524" s="12">
        <v>51.0</v>
      </c>
      <c r="B1524" s="8" t="s">
        <v>338</v>
      </c>
      <c r="C1524" s="8" t="s">
        <v>1163</v>
      </c>
      <c r="I1524" s="10" t="s">
        <v>1959</v>
      </c>
      <c r="J1524" s="13" t="s">
        <v>1168</v>
      </c>
      <c r="K1524" s="13" t="s">
        <v>276</v>
      </c>
      <c r="L1524" s="13" t="s">
        <v>1931</v>
      </c>
      <c r="M1524" s="7" t="s">
        <v>253</v>
      </c>
      <c r="N1524" s="7" t="s">
        <v>253</v>
      </c>
      <c r="O1524" s="7" t="s">
        <v>254</v>
      </c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  <c r="AA1524" s="8"/>
      <c r="AB1524" s="8"/>
      <c r="AC1524" s="8"/>
      <c r="AD1524" s="8"/>
      <c r="AE1524" s="8"/>
    </row>
    <row r="1525">
      <c r="A1525" s="12">
        <v>51.0</v>
      </c>
      <c r="B1525" s="8" t="s">
        <v>338</v>
      </c>
      <c r="C1525" s="8" t="s">
        <v>1163</v>
      </c>
      <c r="I1525" s="10" t="s">
        <v>1960</v>
      </c>
      <c r="J1525" s="13" t="s">
        <v>1173</v>
      </c>
      <c r="K1525" s="13" t="s">
        <v>276</v>
      </c>
      <c r="L1525" s="13" t="s">
        <v>1925</v>
      </c>
      <c r="M1525" s="7" t="s">
        <v>253</v>
      </c>
      <c r="N1525" s="7" t="s">
        <v>253</v>
      </c>
      <c r="O1525" s="7" t="s">
        <v>254</v>
      </c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  <c r="AA1525" s="8"/>
      <c r="AB1525" s="8"/>
      <c r="AC1525" s="8"/>
      <c r="AD1525" s="8"/>
      <c r="AE1525" s="8"/>
    </row>
    <row r="1526">
      <c r="A1526" s="12">
        <v>51.0</v>
      </c>
      <c r="B1526" s="8" t="s">
        <v>338</v>
      </c>
      <c r="C1526" s="8" t="s">
        <v>1163</v>
      </c>
      <c r="I1526" s="10" t="s">
        <v>1696</v>
      </c>
      <c r="J1526" s="13" t="s">
        <v>1168</v>
      </c>
      <c r="K1526" s="13" t="s">
        <v>276</v>
      </c>
      <c r="L1526" s="13" t="s">
        <v>1947</v>
      </c>
      <c r="M1526" s="7" t="s">
        <v>253</v>
      </c>
      <c r="N1526" s="7" t="s">
        <v>253</v>
      </c>
      <c r="O1526" s="7" t="s">
        <v>254</v>
      </c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  <c r="AA1526" s="8"/>
      <c r="AB1526" s="8"/>
      <c r="AC1526" s="8"/>
      <c r="AD1526" s="8"/>
      <c r="AE1526" s="8"/>
    </row>
    <row r="1527">
      <c r="A1527" s="12">
        <v>51.0</v>
      </c>
      <c r="B1527" s="8" t="s">
        <v>338</v>
      </c>
      <c r="C1527" s="8" t="s">
        <v>1163</v>
      </c>
      <c r="I1527" s="10" t="s">
        <v>1961</v>
      </c>
      <c r="J1527" s="13" t="s">
        <v>1173</v>
      </c>
      <c r="K1527" s="13" t="s">
        <v>276</v>
      </c>
      <c r="L1527" s="13" t="s">
        <v>1925</v>
      </c>
      <c r="M1527" s="7" t="s">
        <v>253</v>
      </c>
      <c r="N1527" s="7" t="s">
        <v>253</v>
      </c>
      <c r="O1527" s="7" t="s">
        <v>254</v>
      </c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  <c r="AA1527" s="8"/>
      <c r="AB1527" s="8"/>
      <c r="AC1527" s="8"/>
      <c r="AD1527" s="8"/>
      <c r="AE1527" s="8"/>
    </row>
    <row r="1528">
      <c r="A1528" s="12">
        <v>51.0</v>
      </c>
      <c r="B1528" s="8" t="s">
        <v>338</v>
      </c>
      <c r="C1528" s="8" t="s">
        <v>1163</v>
      </c>
      <c r="I1528" s="10" t="s">
        <v>1962</v>
      </c>
      <c r="J1528" s="13" t="s">
        <v>1168</v>
      </c>
      <c r="K1528" s="13" t="s">
        <v>276</v>
      </c>
      <c r="L1528" s="13" t="s">
        <v>1925</v>
      </c>
      <c r="M1528" s="7" t="s">
        <v>253</v>
      </c>
      <c r="N1528" s="7" t="s">
        <v>253</v>
      </c>
      <c r="O1528" s="7" t="s">
        <v>254</v>
      </c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  <c r="AA1528" s="8"/>
      <c r="AB1528" s="8"/>
      <c r="AC1528" s="8"/>
      <c r="AD1528" s="8"/>
      <c r="AE1528" s="8"/>
    </row>
    <row r="1529">
      <c r="A1529" s="12">
        <v>51.0</v>
      </c>
      <c r="B1529" s="8" t="s">
        <v>338</v>
      </c>
      <c r="C1529" s="8" t="s">
        <v>1163</v>
      </c>
      <c r="I1529" s="10" t="s">
        <v>1963</v>
      </c>
      <c r="J1529" s="13" t="s">
        <v>1173</v>
      </c>
      <c r="K1529" s="13" t="s">
        <v>276</v>
      </c>
      <c r="L1529" s="13" t="s">
        <v>1925</v>
      </c>
      <c r="M1529" s="7" t="s">
        <v>253</v>
      </c>
      <c r="N1529" s="7" t="s">
        <v>253</v>
      </c>
      <c r="O1529" s="7" t="s">
        <v>254</v>
      </c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  <c r="AA1529" s="8"/>
      <c r="AB1529" s="8"/>
      <c r="AC1529" s="8"/>
      <c r="AD1529" s="8"/>
      <c r="AE1529" s="8"/>
    </row>
    <row r="1530">
      <c r="A1530" s="12">
        <v>51.0</v>
      </c>
      <c r="B1530" s="8" t="s">
        <v>338</v>
      </c>
      <c r="C1530" s="8" t="s">
        <v>1163</v>
      </c>
      <c r="I1530" s="10" t="s">
        <v>441</v>
      </c>
      <c r="J1530" s="13" t="s">
        <v>1168</v>
      </c>
      <c r="K1530" s="13" t="s">
        <v>276</v>
      </c>
      <c r="L1530" s="13" t="s">
        <v>1927</v>
      </c>
      <c r="M1530" s="7" t="s">
        <v>253</v>
      </c>
      <c r="N1530" s="7" t="s">
        <v>253</v>
      </c>
      <c r="O1530" s="7" t="s">
        <v>254</v>
      </c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  <c r="AA1530" s="8"/>
      <c r="AB1530" s="8"/>
      <c r="AC1530" s="8"/>
      <c r="AD1530" s="8"/>
      <c r="AE1530" s="8"/>
    </row>
    <row r="1531">
      <c r="A1531" s="12">
        <v>51.0</v>
      </c>
      <c r="B1531" s="8" t="s">
        <v>338</v>
      </c>
      <c r="C1531" s="8" t="s">
        <v>1163</v>
      </c>
      <c r="I1531" s="10" t="s">
        <v>1082</v>
      </c>
      <c r="J1531" s="13" t="s">
        <v>1173</v>
      </c>
      <c r="K1531" s="13" t="s">
        <v>276</v>
      </c>
      <c r="L1531" s="13" t="s">
        <v>1947</v>
      </c>
      <c r="M1531" s="7" t="s">
        <v>253</v>
      </c>
      <c r="N1531" s="7" t="s">
        <v>253</v>
      </c>
      <c r="O1531" s="7" t="s">
        <v>254</v>
      </c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  <c r="AA1531" s="8"/>
      <c r="AB1531" s="8"/>
      <c r="AC1531" s="8"/>
      <c r="AD1531" s="8"/>
      <c r="AE1531" s="8"/>
    </row>
    <row r="1532">
      <c r="A1532" s="12">
        <v>51.0</v>
      </c>
      <c r="B1532" s="8" t="s">
        <v>338</v>
      </c>
      <c r="C1532" s="8" t="s">
        <v>1163</v>
      </c>
      <c r="I1532" s="10" t="s">
        <v>1063</v>
      </c>
      <c r="J1532" s="13" t="s">
        <v>1168</v>
      </c>
      <c r="K1532" s="13" t="s">
        <v>276</v>
      </c>
      <c r="L1532" s="13" t="s">
        <v>1947</v>
      </c>
      <c r="M1532" s="7" t="s">
        <v>253</v>
      </c>
      <c r="N1532" s="7" t="s">
        <v>253</v>
      </c>
      <c r="O1532" s="7" t="s">
        <v>254</v>
      </c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  <c r="AA1532" s="8"/>
      <c r="AB1532" s="8"/>
      <c r="AC1532" s="8"/>
      <c r="AD1532" s="8"/>
      <c r="AE1532" s="8"/>
    </row>
    <row r="1533">
      <c r="A1533" s="12">
        <v>51.0</v>
      </c>
      <c r="B1533" s="8" t="s">
        <v>338</v>
      </c>
      <c r="C1533" s="8" t="s">
        <v>1163</v>
      </c>
      <c r="I1533" s="10" t="s">
        <v>1964</v>
      </c>
      <c r="J1533" s="13" t="s">
        <v>1173</v>
      </c>
      <c r="K1533" s="13" t="s">
        <v>276</v>
      </c>
      <c r="L1533" s="13" t="s">
        <v>1931</v>
      </c>
      <c r="M1533" s="7" t="s">
        <v>253</v>
      </c>
      <c r="N1533" s="7" t="s">
        <v>253</v>
      </c>
      <c r="O1533" s="7" t="s">
        <v>254</v>
      </c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  <c r="AA1533" s="8"/>
      <c r="AB1533" s="8"/>
      <c r="AC1533" s="8"/>
      <c r="AD1533" s="8"/>
      <c r="AE1533" s="8"/>
    </row>
    <row r="1534">
      <c r="A1534" s="12">
        <v>51.0</v>
      </c>
      <c r="B1534" s="8" t="s">
        <v>338</v>
      </c>
      <c r="C1534" s="8" t="s">
        <v>1163</v>
      </c>
      <c r="I1534" s="10" t="s">
        <v>1080</v>
      </c>
      <c r="J1534" s="13" t="s">
        <v>1168</v>
      </c>
      <c r="K1534" s="13" t="s">
        <v>276</v>
      </c>
      <c r="L1534" s="13" t="s">
        <v>1947</v>
      </c>
      <c r="M1534" s="7" t="s">
        <v>253</v>
      </c>
      <c r="N1534" s="7" t="s">
        <v>253</v>
      </c>
      <c r="O1534" s="7" t="s">
        <v>254</v>
      </c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  <c r="AA1534" s="8"/>
      <c r="AB1534" s="8"/>
      <c r="AC1534" s="8"/>
      <c r="AD1534" s="8"/>
      <c r="AE1534" s="8"/>
    </row>
    <row r="1535">
      <c r="A1535" s="12">
        <v>51.0</v>
      </c>
      <c r="B1535" s="8" t="s">
        <v>338</v>
      </c>
      <c r="C1535" s="8" t="s">
        <v>1163</v>
      </c>
      <c r="I1535" s="10" t="s">
        <v>1049</v>
      </c>
      <c r="J1535" s="13" t="s">
        <v>1173</v>
      </c>
      <c r="K1535" s="13" t="s">
        <v>276</v>
      </c>
      <c r="L1535" s="13" t="s">
        <v>1947</v>
      </c>
      <c r="M1535" s="7" t="s">
        <v>253</v>
      </c>
      <c r="N1535" s="7" t="s">
        <v>253</v>
      </c>
      <c r="O1535" s="7" t="s">
        <v>254</v>
      </c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  <c r="AA1535" s="8"/>
      <c r="AB1535" s="8"/>
      <c r="AC1535" s="8"/>
      <c r="AD1535" s="8"/>
      <c r="AE1535" s="8"/>
    </row>
    <row r="1536">
      <c r="A1536" s="12">
        <v>51.0</v>
      </c>
      <c r="B1536" s="8" t="s">
        <v>338</v>
      </c>
      <c r="C1536" s="8" t="s">
        <v>1163</v>
      </c>
      <c r="I1536" s="10" t="s">
        <v>1024</v>
      </c>
      <c r="J1536" s="13" t="s">
        <v>1168</v>
      </c>
      <c r="K1536" s="13" t="s">
        <v>276</v>
      </c>
      <c r="L1536" s="13" t="s">
        <v>1947</v>
      </c>
      <c r="M1536" s="7" t="s">
        <v>253</v>
      </c>
      <c r="N1536" s="7" t="s">
        <v>253</v>
      </c>
      <c r="O1536" s="7" t="s">
        <v>254</v>
      </c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  <c r="AA1536" s="8"/>
      <c r="AB1536" s="8"/>
      <c r="AC1536" s="8"/>
      <c r="AD1536" s="8"/>
      <c r="AE1536" s="8"/>
    </row>
    <row r="1537">
      <c r="A1537" s="12">
        <v>51.0</v>
      </c>
      <c r="B1537" s="8" t="s">
        <v>338</v>
      </c>
      <c r="C1537" s="8" t="s">
        <v>1163</v>
      </c>
      <c r="I1537" s="10" t="s">
        <v>1322</v>
      </c>
      <c r="J1537" s="13" t="s">
        <v>1173</v>
      </c>
      <c r="K1537" s="13" t="s">
        <v>276</v>
      </c>
      <c r="L1537" s="13" t="s">
        <v>1947</v>
      </c>
      <c r="M1537" s="7" t="s">
        <v>253</v>
      </c>
      <c r="N1537" s="7" t="s">
        <v>253</v>
      </c>
      <c r="O1537" s="7" t="s">
        <v>254</v>
      </c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  <c r="AA1537" s="8"/>
      <c r="AB1537" s="8"/>
      <c r="AC1537" s="8"/>
      <c r="AD1537" s="8"/>
      <c r="AE1537" s="8"/>
    </row>
    <row r="1538">
      <c r="A1538" s="12">
        <v>51.0</v>
      </c>
      <c r="B1538" s="8" t="s">
        <v>338</v>
      </c>
      <c r="C1538" s="8" t="s">
        <v>1163</v>
      </c>
      <c r="I1538" s="10" t="s">
        <v>1004</v>
      </c>
      <c r="J1538" s="13" t="s">
        <v>1168</v>
      </c>
      <c r="K1538" s="13" t="s">
        <v>276</v>
      </c>
      <c r="L1538" s="13" t="s">
        <v>1947</v>
      </c>
      <c r="M1538" s="7" t="s">
        <v>253</v>
      </c>
      <c r="N1538" s="7" t="s">
        <v>253</v>
      </c>
      <c r="O1538" s="7" t="s">
        <v>254</v>
      </c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  <c r="AA1538" s="8"/>
      <c r="AB1538" s="8"/>
      <c r="AC1538" s="8"/>
      <c r="AD1538" s="8"/>
      <c r="AE1538" s="8"/>
    </row>
    <row r="1539">
      <c r="A1539" s="12">
        <v>51.0</v>
      </c>
      <c r="B1539" s="8" t="s">
        <v>338</v>
      </c>
      <c r="C1539" s="8" t="s">
        <v>1163</v>
      </c>
      <c r="I1539" s="10" t="s">
        <v>1072</v>
      </c>
      <c r="J1539" s="13" t="s">
        <v>1173</v>
      </c>
      <c r="K1539" s="13" t="s">
        <v>276</v>
      </c>
      <c r="L1539" s="13" t="s">
        <v>1947</v>
      </c>
      <c r="M1539" s="7" t="s">
        <v>253</v>
      </c>
      <c r="N1539" s="7" t="s">
        <v>253</v>
      </c>
      <c r="O1539" s="7" t="s">
        <v>254</v>
      </c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  <c r="AA1539" s="8"/>
      <c r="AB1539" s="8"/>
      <c r="AC1539" s="8"/>
      <c r="AD1539" s="8"/>
      <c r="AE1539" s="8"/>
    </row>
    <row r="1540">
      <c r="A1540" s="12">
        <v>51.0</v>
      </c>
      <c r="B1540" s="8" t="s">
        <v>338</v>
      </c>
      <c r="C1540" s="8" t="s">
        <v>1163</v>
      </c>
      <c r="I1540" s="10" t="s">
        <v>1324</v>
      </c>
      <c r="J1540" s="13" t="s">
        <v>1168</v>
      </c>
      <c r="K1540" s="13" t="s">
        <v>276</v>
      </c>
      <c r="L1540" s="13" t="s">
        <v>1947</v>
      </c>
      <c r="M1540" s="7" t="s">
        <v>253</v>
      </c>
      <c r="N1540" s="7" t="s">
        <v>253</v>
      </c>
      <c r="O1540" s="7" t="s">
        <v>254</v>
      </c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  <c r="AA1540" s="8"/>
      <c r="AB1540" s="8"/>
      <c r="AC1540" s="8"/>
      <c r="AD1540" s="8"/>
      <c r="AE1540" s="8"/>
    </row>
    <row r="1541">
      <c r="A1541" s="12">
        <v>51.0</v>
      </c>
      <c r="B1541" s="8" t="s">
        <v>338</v>
      </c>
      <c r="C1541" s="8" t="s">
        <v>1163</v>
      </c>
      <c r="I1541" s="10" t="s">
        <v>1879</v>
      </c>
      <c r="J1541" s="13" t="s">
        <v>1173</v>
      </c>
      <c r="K1541" s="13" t="s">
        <v>276</v>
      </c>
      <c r="L1541" s="13" t="s">
        <v>1947</v>
      </c>
      <c r="M1541" s="7" t="s">
        <v>253</v>
      </c>
      <c r="N1541" s="7" t="s">
        <v>253</v>
      </c>
      <c r="O1541" s="7" t="s">
        <v>254</v>
      </c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  <c r="AA1541" s="8"/>
      <c r="AB1541" s="8"/>
      <c r="AC1541" s="8"/>
      <c r="AD1541" s="8"/>
      <c r="AE1541" s="8"/>
    </row>
    <row r="1542">
      <c r="A1542" s="12">
        <v>51.0</v>
      </c>
      <c r="B1542" s="8" t="s">
        <v>338</v>
      </c>
      <c r="C1542" s="8" t="s">
        <v>1163</v>
      </c>
      <c r="I1542" s="10" t="s">
        <v>1881</v>
      </c>
      <c r="J1542" s="13" t="s">
        <v>1168</v>
      </c>
      <c r="K1542" s="13" t="s">
        <v>276</v>
      </c>
      <c r="L1542" s="13" t="s">
        <v>1947</v>
      </c>
      <c r="M1542" s="7" t="s">
        <v>253</v>
      </c>
      <c r="N1542" s="7" t="s">
        <v>253</v>
      </c>
      <c r="O1542" s="7" t="s">
        <v>254</v>
      </c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  <c r="AA1542" s="8"/>
      <c r="AB1542" s="8"/>
      <c r="AC1542" s="8"/>
      <c r="AD1542" s="8"/>
      <c r="AE1542" s="8"/>
    </row>
    <row r="1543">
      <c r="A1543" s="12">
        <v>52.0</v>
      </c>
      <c r="B1543" s="8" t="s">
        <v>339</v>
      </c>
      <c r="C1543" s="8" t="s">
        <v>1179</v>
      </c>
      <c r="D1543" s="25">
        <f>IF(COUNTIF($B$2:$B1543,$B1543)&gt;1,"",COUNTIF($B$2:$B$2505,$B1543))</f>
        <v>85</v>
      </c>
      <c r="E1543" s="25">
        <f>IF(COUNTIF($B$2:$B1543,$B1543)&gt;1,"",COUNTIFS($B$2:$B$2505,$B1543,$K$2:$K$2505,"PHÙ HỢP CAO"))</f>
        <v>4</v>
      </c>
      <c r="F1543" s="25">
        <f>IF(COUNTIF($B$2:$B1543,$B1543)&gt;1,"",COUNTIFS($B$2:$B$2505,$B1543,$K$2:$K$2505,"CÓ THỂ ĐI"))</f>
        <v>1</v>
      </c>
      <c r="G1543" s="25">
        <f>IF(COUNTIF($B$2:$B1543,$B1543)&gt;1,"",COUNTIFS($B$2:$B$2505,$B1543,$K$2:$K$2505,"CẦN SOÁT"))</f>
        <v>80</v>
      </c>
      <c r="H1543" s="26" t="str">
        <f>IFERROR(__xludf.DUMMYFUNCTION("IF(COUNTIF($B$2:$B1543,$B1543)&gt;1,"""",IFERROR(TEXTJOIN(CHAR(10),TRUE,BYROW(QUERY({$B$2:$B$2505,$J$2:$J$2505},""select Col2, count(Col2) where Col1 = '""&amp;$B1543&amp;""' group by Col2 order by count(Col2) desc label count(Col2) ''"",0),LAMBDA(r,INDEX(r,1,1)&amp;"" "&amp;"– ""&amp;INDEX(r,1,2)&amp;"" link""))),""""))"),"thuế hộ kinh doanh – 43 link
hộ kinh doanh đóng thuế như thế nào – 42 link")</f>
        <v>thuế hộ kinh doanh – 43 link
hộ kinh doanh đóng thuế như thế nào – 42 link</v>
      </c>
      <c r="I1543" s="10" t="s">
        <v>1180</v>
      </c>
      <c r="J1543" s="13" t="s">
        <v>1194</v>
      </c>
      <c r="K1543" s="13" t="s">
        <v>251</v>
      </c>
      <c r="L1543" s="13" t="s">
        <v>1965</v>
      </c>
      <c r="M1543" s="7" t="s">
        <v>253</v>
      </c>
      <c r="N1543" s="7" t="s">
        <v>253</v>
      </c>
      <c r="O1543" s="7" t="s">
        <v>254</v>
      </c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  <c r="AA1543" s="8"/>
      <c r="AB1543" s="8"/>
      <c r="AC1543" s="8"/>
      <c r="AD1543" s="8"/>
      <c r="AE1543" s="8"/>
    </row>
    <row r="1544">
      <c r="A1544" s="12">
        <v>52.0</v>
      </c>
      <c r="B1544" s="8" t="s">
        <v>339</v>
      </c>
      <c r="C1544" s="8" t="s">
        <v>1179</v>
      </c>
      <c r="I1544" s="10" t="s">
        <v>1184</v>
      </c>
      <c r="J1544" s="13" t="s">
        <v>1183</v>
      </c>
      <c r="K1544" s="13" t="s">
        <v>251</v>
      </c>
      <c r="L1544" s="13" t="s">
        <v>1966</v>
      </c>
      <c r="M1544" s="7" t="s">
        <v>253</v>
      </c>
      <c r="N1544" s="7" t="s">
        <v>253</v>
      </c>
      <c r="O1544" s="7" t="s">
        <v>254</v>
      </c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  <c r="AA1544" s="8"/>
      <c r="AB1544" s="8"/>
      <c r="AC1544" s="8"/>
      <c r="AD1544" s="8"/>
      <c r="AE1544" s="8"/>
    </row>
    <row r="1545">
      <c r="A1545" s="12">
        <v>52.0</v>
      </c>
      <c r="B1545" s="8" t="s">
        <v>339</v>
      </c>
      <c r="C1545" s="8" t="s">
        <v>1179</v>
      </c>
      <c r="I1545" s="10" t="s">
        <v>426</v>
      </c>
      <c r="J1545" s="13" t="s">
        <v>1194</v>
      </c>
      <c r="K1545" s="13" t="s">
        <v>251</v>
      </c>
      <c r="L1545" s="13" t="s">
        <v>1967</v>
      </c>
      <c r="M1545" s="7" t="s">
        <v>253</v>
      </c>
      <c r="N1545" s="7" t="s">
        <v>253</v>
      </c>
      <c r="O1545" s="7" t="s">
        <v>254</v>
      </c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  <c r="AA1545" s="8"/>
      <c r="AB1545" s="8"/>
      <c r="AC1545" s="8"/>
      <c r="AD1545" s="8"/>
      <c r="AE1545" s="8"/>
    </row>
    <row r="1546">
      <c r="A1546" s="12">
        <v>52.0</v>
      </c>
      <c r="B1546" s="8" t="s">
        <v>339</v>
      </c>
      <c r="C1546" s="8" t="s">
        <v>1179</v>
      </c>
      <c r="I1546" s="10" t="s">
        <v>308</v>
      </c>
      <c r="J1546" s="13" t="s">
        <v>1183</v>
      </c>
      <c r="K1546" s="13" t="s">
        <v>251</v>
      </c>
      <c r="L1546" s="13" t="s">
        <v>1968</v>
      </c>
      <c r="M1546" s="7" t="s">
        <v>253</v>
      </c>
      <c r="N1546" s="7" t="s">
        <v>253</v>
      </c>
      <c r="O1546" s="7" t="s">
        <v>254</v>
      </c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  <c r="AA1546" s="8"/>
      <c r="AB1546" s="8"/>
      <c r="AC1546" s="8"/>
      <c r="AD1546" s="8"/>
      <c r="AE1546" s="8"/>
    </row>
    <row r="1547">
      <c r="A1547" s="12">
        <v>52.0</v>
      </c>
      <c r="B1547" s="8" t="s">
        <v>339</v>
      </c>
      <c r="C1547" s="8" t="s">
        <v>1179</v>
      </c>
      <c r="I1547" s="10" t="s">
        <v>1198</v>
      </c>
      <c r="J1547" s="13" t="s">
        <v>1194</v>
      </c>
      <c r="K1547" s="13" t="s">
        <v>272</v>
      </c>
      <c r="L1547" s="13" t="s">
        <v>1969</v>
      </c>
      <c r="M1547" s="7" t="s">
        <v>253</v>
      </c>
      <c r="N1547" s="7" t="s">
        <v>253</v>
      </c>
      <c r="O1547" s="7" t="s">
        <v>254</v>
      </c>
      <c r="P1547" s="13" t="s">
        <v>350</v>
      </c>
      <c r="Q1547" s="8"/>
      <c r="R1547" s="8"/>
      <c r="S1547" s="8"/>
      <c r="T1547" s="8"/>
      <c r="U1547" s="8"/>
      <c r="V1547" s="8"/>
      <c r="W1547" s="8"/>
      <c r="X1547" s="8"/>
      <c r="Y1547" s="8"/>
      <c r="Z1547" s="8"/>
      <c r="AA1547" s="8"/>
      <c r="AB1547" s="8"/>
      <c r="AC1547" s="8"/>
      <c r="AD1547" s="8"/>
      <c r="AE1547" s="8"/>
    </row>
    <row r="1548">
      <c r="A1548" s="12">
        <v>52.0</v>
      </c>
      <c r="B1548" s="8" t="s">
        <v>339</v>
      </c>
      <c r="C1548" s="8" t="s">
        <v>1179</v>
      </c>
      <c r="I1548" s="10" t="s">
        <v>355</v>
      </c>
      <c r="J1548" s="13" t="s">
        <v>1183</v>
      </c>
      <c r="K1548" s="13" t="s">
        <v>276</v>
      </c>
      <c r="L1548" s="13" t="s">
        <v>1970</v>
      </c>
      <c r="M1548" s="7" t="s">
        <v>253</v>
      </c>
      <c r="N1548" s="7" t="s">
        <v>253</v>
      </c>
      <c r="O1548" s="7" t="s">
        <v>254</v>
      </c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  <c r="AA1548" s="8"/>
      <c r="AB1548" s="8"/>
      <c r="AC1548" s="8"/>
      <c r="AD1548" s="8"/>
      <c r="AE1548" s="8"/>
    </row>
    <row r="1549">
      <c r="A1549" s="12">
        <v>52.0</v>
      </c>
      <c r="B1549" s="8" t="s">
        <v>339</v>
      </c>
      <c r="C1549" s="8" t="s">
        <v>1179</v>
      </c>
      <c r="I1549" s="10" t="s">
        <v>1228</v>
      </c>
      <c r="J1549" s="13" t="s">
        <v>1194</v>
      </c>
      <c r="K1549" s="13" t="s">
        <v>276</v>
      </c>
      <c r="L1549" s="13" t="s">
        <v>1971</v>
      </c>
      <c r="M1549" s="7" t="s">
        <v>253</v>
      </c>
      <c r="N1549" s="7" t="s">
        <v>253</v>
      </c>
      <c r="O1549" s="7" t="s">
        <v>254</v>
      </c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  <c r="AA1549" s="8"/>
      <c r="AB1549" s="8"/>
      <c r="AC1549" s="8"/>
      <c r="AD1549" s="8"/>
      <c r="AE1549" s="8"/>
    </row>
    <row r="1550">
      <c r="A1550" s="12">
        <v>52.0</v>
      </c>
      <c r="B1550" s="8" t="s">
        <v>339</v>
      </c>
      <c r="C1550" s="8" t="s">
        <v>1179</v>
      </c>
      <c r="I1550" s="10" t="s">
        <v>467</v>
      </c>
      <c r="J1550" s="13" t="s">
        <v>1183</v>
      </c>
      <c r="K1550" s="13" t="s">
        <v>276</v>
      </c>
      <c r="L1550" s="13" t="s">
        <v>1970</v>
      </c>
      <c r="M1550" s="7" t="s">
        <v>253</v>
      </c>
      <c r="N1550" s="7" t="s">
        <v>253</v>
      </c>
      <c r="O1550" s="7" t="s">
        <v>254</v>
      </c>
      <c r="P1550" s="13" t="s">
        <v>300</v>
      </c>
      <c r="Q1550" s="8"/>
      <c r="R1550" s="8"/>
      <c r="S1550" s="8"/>
      <c r="T1550" s="8"/>
      <c r="U1550" s="8"/>
      <c r="V1550" s="8"/>
      <c r="W1550" s="8"/>
      <c r="X1550" s="8"/>
      <c r="Y1550" s="8"/>
      <c r="Z1550" s="8"/>
      <c r="AA1550" s="8"/>
      <c r="AB1550" s="8"/>
      <c r="AC1550" s="8"/>
      <c r="AD1550" s="8"/>
      <c r="AE1550" s="8"/>
    </row>
    <row r="1551">
      <c r="A1551" s="12">
        <v>52.0</v>
      </c>
      <c r="B1551" s="8" t="s">
        <v>339</v>
      </c>
      <c r="C1551" s="8" t="s">
        <v>1179</v>
      </c>
      <c r="I1551" s="10" t="s">
        <v>1210</v>
      </c>
      <c r="J1551" s="13" t="s">
        <v>1194</v>
      </c>
      <c r="K1551" s="13" t="s">
        <v>276</v>
      </c>
      <c r="L1551" s="13" t="s">
        <v>1972</v>
      </c>
      <c r="M1551" s="7" t="s">
        <v>253</v>
      </c>
      <c r="N1551" s="7" t="s">
        <v>253</v>
      </c>
      <c r="O1551" s="7" t="s">
        <v>254</v>
      </c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  <c r="AA1551" s="8"/>
      <c r="AB1551" s="8"/>
      <c r="AC1551" s="8"/>
      <c r="AD1551" s="8"/>
      <c r="AE1551" s="8"/>
    </row>
    <row r="1552">
      <c r="A1552" s="12">
        <v>52.0</v>
      </c>
      <c r="B1552" s="8" t="s">
        <v>339</v>
      </c>
      <c r="C1552" s="8" t="s">
        <v>1179</v>
      </c>
      <c r="I1552" s="10" t="s">
        <v>343</v>
      </c>
      <c r="J1552" s="13" t="s">
        <v>1183</v>
      </c>
      <c r="K1552" s="13" t="s">
        <v>276</v>
      </c>
      <c r="L1552" s="13" t="s">
        <v>1971</v>
      </c>
      <c r="M1552" s="7" t="s">
        <v>253</v>
      </c>
      <c r="N1552" s="7" t="s">
        <v>253</v>
      </c>
      <c r="O1552" s="7" t="s">
        <v>254</v>
      </c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  <c r="AA1552" s="8"/>
      <c r="AB1552" s="8"/>
      <c r="AC1552" s="8"/>
      <c r="AD1552" s="8"/>
      <c r="AE1552" s="8"/>
    </row>
    <row r="1553">
      <c r="A1553" s="12">
        <v>52.0</v>
      </c>
      <c r="B1553" s="8" t="s">
        <v>339</v>
      </c>
      <c r="C1553" s="8" t="s">
        <v>1179</v>
      </c>
      <c r="I1553" s="10" t="s">
        <v>1973</v>
      </c>
      <c r="J1553" s="13" t="s">
        <v>1194</v>
      </c>
      <c r="K1553" s="13" t="s">
        <v>276</v>
      </c>
      <c r="L1553" s="13" t="s">
        <v>1972</v>
      </c>
      <c r="M1553" s="7" t="s">
        <v>253</v>
      </c>
      <c r="N1553" s="7" t="s">
        <v>253</v>
      </c>
      <c r="O1553" s="7" t="s">
        <v>254</v>
      </c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  <c r="AA1553" s="8"/>
      <c r="AB1553" s="8"/>
      <c r="AC1553" s="8"/>
      <c r="AD1553" s="8"/>
      <c r="AE1553" s="8"/>
    </row>
    <row r="1554">
      <c r="A1554" s="12">
        <v>52.0</v>
      </c>
      <c r="B1554" s="8" t="s">
        <v>339</v>
      </c>
      <c r="C1554" s="8" t="s">
        <v>1179</v>
      </c>
      <c r="I1554" s="10" t="s">
        <v>1974</v>
      </c>
      <c r="J1554" s="13" t="s">
        <v>1183</v>
      </c>
      <c r="K1554" s="13" t="s">
        <v>276</v>
      </c>
      <c r="L1554" s="13" t="s">
        <v>1972</v>
      </c>
      <c r="M1554" s="7" t="s">
        <v>253</v>
      </c>
      <c r="N1554" s="7" t="s">
        <v>253</v>
      </c>
      <c r="O1554" s="7" t="s">
        <v>254</v>
      </c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  <c r="AA1554" s="8"/>
      <c r="AB1554" s="8"/>
      <c r="AC1554" s="8"/>
      <c r="AD1554" s="8"/>
      <c r="AE1554" s="8"/>
    </row>
    <row r="1555">
      <c r="A1555" s="12">
        <v>52.0</v>
      </c>
      <c r="B1555" s="8" t="s">
        <v>339</v>
      </c>
      <c r="C1555" s="8" t="s">
        <v>1179</v>
      </c>
      <c r="I1555" s="10" t="s">
        <v>298</v>
      </c>
      <c r="J1555" s="13" t="s">
        <v>1194</v>
      </c>
      <c r="K1555" s="13" t="s">
        <v>276</v>
      </c>
      <c r="L1555" s="13" t="s">
        <v>1970</v>
      </c>
      <c r="M1555" s="7" t="s">
        <v>253</v>
      </c>
      <c r="N1555" s="7" t="s">
        <v>253</v>
      </c>
      <c r="O1555" s="7" t="s">
        <v>254</v>
      </c>
      <c r="P1555" s="13" t="s">
        <v>300</v>
      </c>
      <c r="Q1555" s="8"/>
      <c r="R1555" s="8"/>
      <c r="S1555" s="8"/>
      <c r="T1555" s="8"/>
      <c r="U1555" s="8"/>
      <c r="V1555" s="8"/>
      <c r="W1555" s="8"/>
      <c r="X1555" s="8"/>
      <c r="Y1555" s="8"/>
      <c r="Z1555" s="8"/>
      <c r="AA1555" s="8"/>
      <c r="AB1555" s="8"/>
      <c r="AC1555" s="8"/>
      <c r="AD1555" s="8"/>
      <c r="AE1555" s="8"/>
    </row>
    <row r="1556">
      <c r="A1556" s="12">
        <v>52.0</v>
      </c>
      <c r="B1556" s="8" t="s">
        <v>339</v>
      </c>
      <c r="C1556" s="8" t="s">
        <v>1179</v>
      </c>
      <c r="I1556" s="10" t="s">
        <v>141</v>
      </c>
      <c r="J1556" s="13" t="s">
        <v>1183</v>
      </c>
      <c r="K1556" s="13" t="s">
        <v>276</v>
      </c>
      <c r="L1556" s="13" t="s">
        <v>1970</v>
      </c>
      <c r="M1556" s="7" t="s">
        <v>253</v>
      </c>
      <c r="N1556" s="7" t="s">
        <v>253</v>
      </c>
      <c r="O1556" s="7" t="s">
        <v>254</v>
      </c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  <c r="AA1556" s="8"/>
      <c r="AB1556" s="8"/>
      <c r="AC1556" s="8"/>
      <c r="AD1556" s="8"/>
      <c r="AE1556" s="8"/>
    </row>
    <row r="1557">
      <c r="A1557" s="12">
        <v>52.0</v>
      </c>
      <c r="B1557" s="8" t="s">
        <v>339</v>
      </c>
      <c r="C1557" s="8" t="s">
        <v>1179</v>
      </c>
      <c r="I1557" s="10" t="s">
        <v>1975</v>
      </c>
      <c r="J1557" s="13" t="s">
        <v>1194</v>
      </c>
      <c r="K1557" s="13" t="s">
        <v>276</v>
      </c>
      <c r="L1557" s="13" t="s">
        <v>1972</v>
      </c>
      <c r="M1557" s="7" t="s">
        <v>253</v>
      </c>
      <c r="N1557" s="7" t="s">
        <v>253</v>
      </c>
      <c r="O1557" s="7" t="s">
        <v>254</v>
      </c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  <c r="AA1557" s="8"/>
      <c r="AB1557" s="8"/>
      <c r="AC1557" s="8"/>
      <c r="AD1557" s="8"/>
      <c r="AE1557" s="8"/>
    </row>
    <row r="1558">
      <c r="A1558" s="12">
        <v>52.0</v>
      </c>
      <c r="B1558" s="8" t="s">
        <v>339</v>
      </c>
      <c r="C1558" s="8" t="s">
        <v>1179</v>
      </c>
      <c r="I1558" s="10" t="s">
        <v>1976</v>
      </c>
      <c r="J1558" s="13" t="s">
        <v>1183</v>
      </c>
      <c r="K1558" s="13" t="s">
        <v>276</v>
      </c>
      <c r="L1558" s="13" t="s">
        <v>1970</v>
      </c>
      <c r="M1558" s="7" t="s">
        <v>253</v>
      </c>
      <c r="N1558" s="7" t="s">
        <v>253</v>
      </c>
      <c r="O1558" s="7" t="s">
        <v>254</v>
      </c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  <c r="AA1558" s="8"/>
      <c r="AB1558" s="8"/>
      <c r="AC1558" s="8"/>
      <c r="AD1558" s="8"/>
      <c r="AE1558" s="8"/>
    </row>
    <row r="1559">
      <c r="A1559" s="12">
        <v>52.0</v>
      </c>
      <c r="B1559" s="8" t="s">
        <v>339</v>
      </c>
      <c r="C1559" s="8" t="s">
        <v>1179</v>
      </c>
      <c r="I1559" s="10" t="s">
        <v>423</v>
      </c>
      <c r="J1559" s="13" t="s">
        <v>1194</v>
      </c>
      <c r="K1559" s="13" t="s">
        <v>276</v>
      </c>
      <c r="L1559" s="13" t="s">
        <v>1970</v>
      </c>
      <c r="M1559" s="7" t="s">
        <v>253</v>
      </c>
      <c r="N1559" s="7" t="s">
        <v>253</v>
      </c>
      <c r="O1559" s="7" t="s">
        <v>254</v>
      </c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  <c r="AA1559" s="8"/>
      <c r="AB1559" s="8"/>
      <c r="AC1559" s="8"/>
      <c r="AD1559" s="8"/>
      <c r="AE1559" s="8"/>
    </row>
    <row r="1560">
      <c r="A1560" s="12">
        <v>52.0</v>
      </c>
      <c r="B1560" s="8" t="s">
        <v>339</v>
      </c>
      <c r="C1560" s="8" t="s">
        <v>1179</v>
      </c>
      <c r="I1560" s="10" t="s">
        <v>301</v>
      </c>
      <c r="J1560" s="13" t="s">
        <v>1183</v>
      </c>
      <c r="K1560" s="13" t="s">
        <v>276</v>
      </c>
      <c r="L1560" s="13" t="s">
        <v>1970</v>
      </c>
      <c r="M1560" s="7" t="s">
        <v>253</v>
      </c>
      <c r="N1560" s="7" t="s">
        <v>253</v>
      </c>
      <c r="O1560" s="7" t="s">
        <v>254</v>
      </c>
      <c r="P1560" s="13" t="s">
        <v>300</v>
      </c>
      <c r="Q1560" s="8"/>
      <c r="R1560" s="8"/>
      <c r="S1560" s="8"/>
      <c r="T1560" s="8"/>
      <c r="U1560" s="8"/>
      <c r="V1560" s="8"/>
      <c r="W1560" s="8"/>
      <c r="X1560" s="8"/>
      <c r="Y1560" s="8"/>
      <c r="Z1560" s="8"/>
      <c r="AA1560" s="8"/>
      <c r="AB1560" s="8"/>
      <c r="AC1560" s="8"/>
      <c r="AD1560" s="8"/>
      <c r="AE1560" s="8"/>
    </row>
    <row r="1561">
      <c r="A1561" s="12">
        <v>52.0</v>
      </c>
      <c r="B1561" s="8" t="s">
        <v>339</v>
      </c>
      <c r="C1561" s="8" t="s">
        <v>1179</v>
      </c>
      <c r="I1561" s="10" t="s">
        <v>1977</v>
      </c>
      <c r="J1561" s="13" t="s">
        <v>1194</v>
      </c>
      <c r="K1561" s="13" t="s">
        <v>276</v>
      </c>
      <c r="L1561" s="13" t="s">
        <v>1971</v>
      </c>
      <c r="M1561" s="7" t="s">
        <v>253</v>
      </c>
      <c r="N1561" s="7" t="s">
        <v>253</v>
      </c>
      <c r="O1561" s="7" t="s">
        <v>254</v>
      </c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  <c r="AA1561" s="8"/>
      <c r="AB1561" s="8"/>
      <c r="AC1561" s="8"/>
      <c r="AD1561" s="8"/>
      <c r="AE1561" s="8"/>
    </row>
    <row r="1562">
      <c r="A1562" s="12">
        <v>52.0</v>
      </c>
      <c r="B1562" s="8" t="s">
        <v>339</v>
      </c>
      <c r="C1562" s="8" t="s">
        <v>1179</v>
      </c>
      <c r="I1562" s="10" t="s">
        <v>1627</v>
      </c>
      <c r="J1562" s="13" t="s">
        <v>1183</v>
      </c>
      <c r="K1562" s="13" t="s">
        <v>276</v>
      </c>
      <c r="L1562" s="13" t="s">
        <v>1972</v>
      </c>
      <c r="M1562" s="7" t="s">
        <v>253</v>
      </c>
      <c r="N1562" s="7" t="s">
        <v>253</v>
      </c>
      <c r="O1562" s="7" t="s">
        <v>254</v>
      </c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  <c r="AA1562" s="8"/>
      <c r="AB1562" s="8"/>
      <c r="AC1562" s="8"/>
      <c r="AD1562" s="8"/>
      <c r="AE1562" s="8"/>
    </row>
    <row r="1563">
      <c r="A1563" s="12">
        <v>52.0</v>
      </c>
      <c r="B1563" s="8" t="s">
        <v>339</v>
      </c>
      <c r="C1563" s="8" t="s">
        <v>1179</v>
      </c>
      <c r="I1563" s="10" t="s">
        <v>342</v>
      </c>
      <c r="J1563" s="13" t="s">
        <v>1194</v>
      </c>
      <c r="K1563" s="13" t="s">
        <v>276</v>
      </c>
      <c r="L1563" s="13" t="s">
        <v>1972</v>
      </c>
      <c r="M1563" s="7" t="s">
        <v>253</v>
      </c>
      <c r="N1563" s="7" t="s">
        <v>253</v>
      </c>
      <c r="O1563" s="7" t="s">
        <v>254</v>
      </c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  <c r="AA1563" s="8"/>
      <c r="AB1563" s="8"/>
      <c r="AC1563" s="8"/>
      <c r="AD1563" s="8"/>
      <c r="AE1563" s="8"/>
    </row>
    <row r="1564">
      <c r="A1564" s="12">
        <v>52.0</v>
      </c>
      <c r="B1564" s="8" t="s">
        <v>339</v>
      </c>
      <c r="C1564" s="8" t="s">
        <v>1179</v>
      </c>
      <c r="I1564" s="10" t="s">
        <v>383</v>
      </c>
      <c r="J1564" s="13" t="s">
        <v>1183</v>
      </c>
      <c r="K1564" s="13" t="s">
        <v>276</v>
      </c>
      <c r="L1564" s="13" t="s">
        <v>1970</v>
      </c>
      <c r="M1564" s="7" t="s">
        <v>253</v>
      </c>
      <c r="N1564" s="7" t="s">
        <v>253</v>
      </c>
      <c r="O1564" s="7" t="s">
        <v>254</v>
      </c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  <c r="AA1564" s="8"/>
      <c r="AB1564" s="8"/>
      <c r="AC1564" s="8"/>
      <c r="AD1564" s="8"/>
      <c r="AE1564" s="8"/>
    </row>
    <row r="1565">
      <c r="A1565" s="12">
        <v>52.0</v>
      </c>
      <c r="B1565" s="8" t="s">
        <v>339</v>
      </c>
      <c r="C1565" s="8" t="s">
        <v>1179</v>
      </c>
      <c r="I1565" s="10" t="s">
        <v>393</v>
      </c>
      <c r="J1565" s="13" t="s">
        <v>1194</v>
      </c>
      <c r="K1565" s="13" t="s">
        <v>276</v>
      </c>
      <c r="L1565" s="13" t="s">
        <v>1970</v>
      </c>
      <c r="M1565" s="7" t="s">
        <v>253</v>
      </c>
      <c r="N1565" s="7" t="s">
        <v>253</v>
      </c>
      <c r="O1565" s="7" t="s">
        <v>254</v>
      </c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  <c r="AA1565" s="8"/>
      <c r="AB1565" s="8"/>
      <c r="AC1565" s="8"/>
      <c r="AD1565" s="8"/>
      <c r="AE1565" s="8"/>
    </row>
    <row r="1566">
      <c r="A1566" s="12">
        <v>52.0</v>
      </c>
      <c r="B1566" s="8" t="s">
        <v>339</v>
      </c>
      <c r="C1566" s="8" t="s">
        <v>1179</v>
      </c>
      <c r="I1566" s="10" t="s">
        <v>1978</v>
      </c>
      <c r="J1566" s="13" t="s">
        <v>1183</v>
      </c>
      <c r="K1566" s="13" t="s">
        <v>276</v>
      </c>
      <c r="L1566" s="13" t="s">
        <v>1971</v>
      </c>
      <c r="M1566" s="7" t="s">
        <v>253</v>
      </c>
      <c r="N1566" s="7" t="s">
        <v>253</v>
      </c>
      <c r="O1566" s="7" t="s">
        <v>254</v>
      </c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  <c r="AA1566" s="8"/>
      <c r="AB1566" s="8"/>
      <c r="AC1566" s="8"/>
      <c r="AD1566" s="8"/>
      <c r="AE1566" s="8"/>
    </row>
    <row r="1567">
      <c r="A1567" s="12">
        <v>52.0</v>
      </c>
      <c r="B1567" s="8" t="s">
        <v>339</v>
      </c>
      <c r="C1567" s="8" t="s">
        <v>1179</v>
      </c>
      <c r="I1567" s="10" t="s">
        <v>1979</v>
      </c>
      <c r="J1567" s="13" t="s">
        <v>1194</v>
      </c>
      <c r="K1567" s="13" t="s">
        <v>276</v>
      </c>
      <c r="L1567" s="13" t="s">
        <v>1970</v>
      </c>
      <c r="M1567" s="7" t="s">
        <v>253</v>
      </c>
      <c r="N1567" s="7" t="s">
        <v>253</v>
      </c>
      <c r="O1567" s="7" t="s">
        <v>254</v>
      </c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  <c r="AA1567" s="8"/>
      <c r="AB1567" s="8"/>
      <c r="AC1567" s="8"/>
      <c r="AD1567" s="8"/>
      <c r="AE1567" s="8"/>
    </row>
    <row r="1568">
      <c r="A1568" s="12">
        <v>52.0</v>
      </c>
      <c r="B1568" s="8" t="s">
        <v>339</v>
      </c>
      <c r="C1568" s="8" t="s">
        <v>1179</v>
      </c>
      <c r="I1568" s="10" t="s">
        <v>1980</v>
      </c>
      <c r="J1568" s="13" t="s">
        <v>1183</v>
      </c>
      <c r="K1568" s="13" t="s">
        <v>276</v>
      </c>
      <c r="L1568" s="13" t="s">
        <v>1972</v>
      </c>
      <c r="M1568" s="7" t="s">
        <v>253</v>
      </c>
      <c r="N1568" s="7" t="s">
        <v>253</v>
      </c>
      <c r="O1568" s="7" t="s">
        <v>254</v>
      </c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  <c r="AA1568" s="8"/>
      <c r="AB1568" s="8"/>
      <c r="AC1568" s="8"/>
      <c r="AD1568" s="8"/>
      <c r="AE1568" s="8"/>
    </row>
    <row r="1569">
      <c r="A1569" s="12">
        <v>52.0</v>
      </c>
      <c r="B1569" s="8" t="s">
        <v>339</v>
      </c>
      <c r="C1569" s="8" t="s">
        <v>1179</v>
      </c>
      <c r="I1569" s="10" t="s">
        <v>305</v>
      </c>
      <c r="J1569" s="13" t="s">
        <v>1194</v>
      </c>
      <c r="K1569" s="13" t="s">
        <v>276</v>
      </c>
      <c r="L1569" s="13" t="s">
        <v>1971</v>
      </c>
      <c r="M1569" s="7" t="s">
        <v>253</v>
      </c>
      <c r="N1569" s="7" t="s">
        <v>253</v>
      </c>
      <c r="O1569" s="7" t="s">
        <v>254</v>
      </c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  <c r="AA1569" s="8"/>
      <c r="AB1569" s="8"/>
      <c r="AC1569" s="8"/>
      <c r="AD1569" s="8"/>
      <c r="AE1569" s="8"/>
    </row>
    <row r="1570">
      <c r="A1570" s="12">
        <v>52.0</v>
      </c>
      <c r="B1570" s="8" t="s">
        <v>339</v>
      </c>
      <c r="C1570" s="8" t="s">
        <v>1179</v>
      </c>
      <c r="I1570" s="10" t="s">
        <v>285</v>
      </c>
      <c r="J1570" s="13" t="s">
        <v>1183</v>
      </c>
      <c r="K1570" s="13" t="s">
        <v>276</v>
      </c>
      <c r="L1570" s="13" t="s">
        <v>1971</v>
      </c>
      <c r="M1570" s="7" t="s">
        <v>253</v>
      </c>
      <c r="N1570" s="7" t="s">
        <v>253</v>
      </c>
      <c r="O1570" s="7" t="s">
        <v>254</v>
      </c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  <c r="AA1570" s="8"/>
      <c r="AB1570" s="8"/>
      <c r="AC1570" s="8"/>
      <c r="AD1570" s="8"/>
      <c r="AE1570" s="8"/>
    </row>
    <row r="1571">
      <c r="A1571" s="12">
        <v>52.0</v>
      </c>
      <c r="B1571" s="8" t="s">
        <v>339</v>
      </c>
      <c r="C1571" s="8" t="s">
        <v>1179</v>
      </c>
      <c r="I1571" s="10" t="s">
        <v>1893</v>
      </c>
      <c r="J1571" s="13" t="s">
        <v>1194</v>
      </c>
      <c r="K1571" s="13" t="s">
        <v>276</v>
      </c>
      <c r="L1571" s="13" t="s">
        <v>1972</v>
      </c>
      <c r="M1571" s="7" t="s">
        <v>253</v>
      </c>
      <c r="N1571" s="7" t="s">
        <v>253</v>
      </c>
      <c r="O1571" s="7" t="s">
        <v>254</v>
      </c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  <c r="AA1571" s="8"/>
      <c r="AB1571" s="8"/>
      <c r="AC1571" s="8"/>
      <c r="AD1571" s="8"/>
      <c r="AE1571" s="8"/>
    </row>
    <row r="1572">
      <c r="A1572" s="12">
        <v>52.0</v>
      </c>
      <c r="B1572" s="8" t="s">
        <v>339</v>
      </c>
      <c r="C1572" s="8" t="s">
        <v>1179</v>
      </c>
      <c r="I1572" s="10" t="s">
        <v>309</v>
      </c>
      <c r="J1572" s="13" t="s">
        <v>1183</v>
      </c>
      <c r="K1572" s="13" t="s">
        <v>276</v>
      </c>
      <c r="L1572" s="13" t="s">
        <v>1971</v>
      </c>
      <c r="M1572" s="7" t="s">
        <v>253</v>
      </c>
      <c r="N1572" s="7" t="s">
        <v>253</v>
      </c>
      <c r="O1572" s="7" t="s">
        <v>254</v>
      </c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  <c r="AA1572" s="8"/>
      <c r="AB1572" s="8"/>
      <c r="AC1572" s="8"/>
      <c r="AD1572" s="8"/>
      <c r="AE1572" s="8"/>
    </row>
    <row r="1573">
      <c r="A1573" s="12">
        <v>52.0</v>
      </c>
      <c r="B1573" s="8" t="s">
        <v>339</v>
      </c>
      <c r="C1573" s="8" t="s">
        <v>1179</v>
      </c>
      <c r="I1573" s="10" t="s">
        <v>1981</v>
      </c>
      <c r="J1573" s="13" t="s">
        <v>1194</v>
      </c>
      <c r="K1573" s="13" t="s">
        <v>276</v>
      </c>
      <c r="L1573" s="13" t="s">
        <v>1971</v>
      </c>
      <c r="M1573" s="7" t="s">
        <v>253</v>
      </c>
      <c r="N1573" s="7" t="s">
        <v>253</v>
      </c>
      <c r="O1573" s="7" t="s">
        <v>254</v>
      </c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  <c r="AA1573" s="8"/>
      <c r="AB1573" s="8"/>
      <c r="AC1573" s="8"/>
      <c r="AD1573" s="8"/>
      <c r="AE1573" s="8"/>
    </row>
    <row r="1574">
      <c r="A1574" s="12">
        <v>52.0</v>
      </c>
      <c r="B1574" s="8" t="s">
        <v>339</v>
      </c>
      <c r="C1574" s="8" t="s">
        <v>1179</v>
      </c>
      <c r="I1574" s="10" t="s">
        <v>1982</v>
      </c>
      <c r="J1574" s="13" t="s">
        <v>1183</v>
      </c>
      <c r="K1574" s="13" t="s">
        <v>276</v>
      </c>
      <c r="L1574" s="13" t="s">
        <v>1972</v>
      </c>
      <c r="M1574" s="7" t="s">
        <v>253</v>
      </c>
      <c r="N1574" s="7" t="s">
        <v>253</v>
      </c>
      <c r="O1574" s="7" t="s">
        <v>254</v>
      </c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  <c r="AA1574" s="8"/>
      <c r="AB1574" s="8"/>
      <c r="AC1574" s="8"/>
      <c r="AD1574" s="8"/>
      <c r="AE1574" s="8"/>
    </row>
    <row r="1575">
      <c r="A1575" s="12">
        <v>52.0</v>
      </c>
      <c r="B1575" s="8" t="s">
        <v>339</v>
      </c>
      <c r="C1575" s="8" t="s">
        <v>1179</v>
      </c>
      <c r="I1575" s="10" t="s">
        <v>311</v>
      </c>
      <c r="J1575" s="13" t="s">
        <v>1194</v>
      </c>
      <c r="K1575" s="13" t="s">
        <v>276</v>
      </c>
      <c r="L1575" s="13" t="s">
        <v>1970</v>
      </c>
      <c r="M1575" s="7" t="s">
        <v>253</v>
      </c>
      <c r="N1575" s="7" t="s">
        <v>253</v>
      </c>
      <c r="O1575" s="7" t="s">
        <v>254</v>
      </c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  <c r="AA1575" s="8"/>
      <c r="AB1575" s="8"/>
      <c r="AC1575" s="8"/>
      <c r="AD1575" s="8"/>
      <c r="AE1575" s="8"/>
    </row>
    <row r="1576">
      <c r="A1576" s="12">
        <v>52.0</v>
      </c>
      <c r="B1576" s="8" t="s">
        <v>339</v>
      </c>
      <c r="C1576" s="8" t="s">
        <v>1179</v>
      </c>
      <c r="I1576" s="10" t="s">
        <v>419</v>
      </c>
      <c r="J1576" s="13" t="s">
        <v>1183</v>
      </c>
      <c r="K1576" s="13" t="s">
        <v>276</v>
      </c>
      <c r="L1576" s="13" t="s">
        <v>1972</v>
      </c>
      <c r="M1576" s="7" t="s">
        <v>253</v>
      </c>
      <c r="N1576" s="7" t="s">
        <v>253</v>
      </c>
      <c r="O1576" s="7" t="s">
        <v>254</v>
      </c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  <c r="AA1576" s="8"/>
      <c r="AB1576" s="8"/>
      <c r="AC1576" s="8"/>
      <c r="AD1576" s="8"/>
      <c r="AE1576" s="8"/>
    </row>
    <row r="1577">
      <c r="A1577" s="12">
        <v>52.0</v>
      </c>
      <c r="B1577" s="8" t="s">
        <v>339</v>
      </c>
      <c r="C1577" s="8" t="s">
        <v>1179</v>
      </c>
      <c r="I1577" s="10" t="s">
        <v>314</v>
      </c>
      <c r="J1577" s="13" t="s">
        <v>1194</v>
      </c>
      <c r="K1577" s="13" t="s">
        <v>276</v>
      </c>
      <c r="L1577" s="13" t="s">
        <v>1970</v>
      </c>
      <c r="M1577" s="7" t="s">
        <v>253</v>
      </c>
      <c r="N1577" s="7" t="s">
        <v>253</v>
      </c>
      <c r="O1577" s="7" t="s">
        <v>254</v>
      </c>
      <c r="P1577" s="13" t="s">
        <v>300</v>
      </c>
      <c r="Q1577" s="8"/>
      <c r="R1577" s="8"/>
      <c r="S1577" s="8"/>
      <c r="T1577" s="8"/>
      <c r="U1577" s="8"/>
      <c r="V1577" s="8"/>
      <c r="W1577" s="8"/>
      <c r="X1577" s="8"/>
      <c r="Y1577" s="8"/>
      <c r="Z1577" s="8"/>
      <c r="AA1577" s="8"/>
      <c r="AB1577" s="8"/>
      <c r="AC1577" s="8"/>
      <c r="AD1577" s="8"/>
      <c r="AE1577" s="8"/>
    </row>
    <row r="1578">
      <c r="A1578" s="12">
        <v>52.0</v>
      </c>
      <c r="B1578" s="8" t="s">
        <v>339</v>
      </c>
      <c r="C1578" s="8" t="s">
        <v>1179</v>
      </c>
      <c r="I1578" s="10" t="s">
        <v>1983</v>
      </c>
      <c r="J1578" s="13" t="s">
        <v>1183</v>
      </c>
      <c r="K1578" s="13" t="s">
        <v>276</v>
      </c>
      <c r="L1578" s="13" t="s">
        <v>1972</v>
      </c>
      <c r="M1578" s="7" t="s">
        <v>253</v>
      </c>
      <c r="N1578" s="7" t="s">
        <v>253</v>
      </c>
      <c r="O1578" s="7" t="s">
        <v>254</v>
      </c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  <c r="AA1578" s="8"/>
      <c r="AB1578" s="8"/>
      <c r="AC1578" s="8"/>
      <c r="AD1578" s="8"/>
      <c r="AE1578" s="8"/>
    </row>
    <row r="1579">
      <c r="A1579" s="12">
        <v>52.0</v>
      </c>
      <c r="B1579" s="8" t="s">
        <v>339</v>
      </c>
      <c r="C1579" s="8" t="s">
        <v>1179</v>
      </c>
      <c r="I1579" s="10" t="s">
        <v>1984</v>
      </c>
      <c r="J1579" s="13" t="s">
        <v>1194</v>
      </c>
      <c r="K1579" s="13" t="s">
        <v>276</v>
      </c>
      <c r="L1579" s="13" t="s">
        <v>1971</v>
      </c>
      <c r="M1579" s="7" t="s">
        <v>253</v>
      </c>
      <c r="N1579" s="7" t="s">
        <v>253</v>
      </c>
      <c r="O1579" s="7" t="s">
        <v>254</v>
      </c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  <c r="AA1579" s="8"/>
      <c r="AB1579" s="8"/>
      <c r="AC1579" s="8"/>
      <c r="AD1579" s="8"/>
      <c r="AE1579" s="8"/>
    </row>
    <row r="1580">
      <c r="A1580" s="12">
        <v>52.0</v>
      </c>
      <c r="B1580" s="8" t="s">
        <v>339</v>
      </c>
      <c r="C1580" s="8" t="s">
        <v>1179</v>
      </c>
      <c r="I1580" s="10" t="s">
        <v>1235</v>
      </c>
      <c r="J1580" s="13" t="s">
        <v>1183</v>
      </c>
      <c r="K1580" s="13" t="s">
        <v>276</v>
      </c>
      <c r="L1580" s="13" t="s">
        <v>1971</v>
      </c>
      <c r="M1580" s="7" t="s">
        <v>253</v>
      </c>
      <c r="N1580" s="7" t="s">
        <v>253</v>
      </c>
      <c r="O1580" s="7" t="s">
        <v>254</v>
      </c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  <c r="AA1580" s="8"/>
      <c r="AB1580" s="8"/>
      <c r="AC1580" s="8"/>
      <c r="AD1580" s="8"/>
      <c r="AE1580" s="8"/>
    </row>
    <row r="1581">
      <c r="A1581" s="12">
        <v>52.0</v>
      </c>
      <c r="B1581" s="8" t="s">
        <v>339</v>
      </c>
      <c r="C1581" s="8" t="s">
        <v>1179</v>
      </c>
      <c r="I1581" s="10" t="s">
        <v>1570</v>
      </c>
      <c r="J1581" s="13" t="s">
        <v>1194</v>
      </c>
      <c r="K1581" s="13" t="s">
        <v>276</v>
      </c>
      <c r="L1581" s="13" t="s">
        <v>1972</v>
      </c>
      <c r="M1581" s="7" t="s">
        <v>253</v>
      </c>
      <c r="N1581" s="7" t="s">
        <v>253</v>
      </c>
      <c r="O1581" s="7" t="s">
        <v>254</v>
      </c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  <c r="AA1581" s="8"/>
      <c r="AB1581" s="8"/>
      <c r="AC1581" s="8"/>
      <c r="AD1581" s="8"/>
      <c r="AE1581" s="8"/>
    </row>
    <row r="1582">
      <c r="A1582" s="12">
        <v>52.0</v>
      </c>
      <c r="B1582" s="8" t="s">
        <v>339</v>
      </c>
      <c r="C1582" s="8" t="s">
        <v>1179</v>
      </c>
      <c r="I1582" s="10" t="s">
        <v>642</v>
      </c>
      <c r="J1582" s="13" t="s">
        <v>1183</v>
      </c>
      <c r="K1582" s="13" t="s">
        <v>276</v>
      </c>
      <c r="L1582" s="13" t="s">
        <v>1970</v>
      </c>
      <c r="M1582" s="7" t="s">
        <v>253</v>
      </c>
      <c r="N1582" s="7" t="s">
        <v>253</v>
      </c>
      <c r="O1582" s="7" t="s">
        <v>254</v>
      </c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  <c r="AA1582" s="8"/>
      <c r="AB1582" s="8"/>
      <c r="AC1582" s="8"/>
      <c r="AD1582" s="8"/>
      <c r="AE1582" s="8"/>
    </row>
    <row r="1583">
      <c r="A1583" s="12">
        <v>52.0</v>
      </c>
      <c r="B1583" s="8" t="s">
        <v>339</v>
      </c>
      <c r="C1583" s="8" t="s">
        <v>1179</v>
      </c>
      <c r="I1583" s="10" t="s">
        <v>397</v>
      </c>
      <c r="J1583" s="13" t="s">
        <v>1194</v>
      </c>
      <c r="K1583" s="13" t="s">
        <v>276</v>
      </c>
      <c r="L1583" s="13" t="s">
        <v>1970</v>
      </c>
      <c r="M1583" s="7" t="s">
        <v>253</v>
      </c>
      <c r="N1583" s="7" t="s">
        <v>253</v>
      </c>
      <c r="O1583" s="7" t="s">
        <v>254</v>
      </c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  <c r="AA1583" s="8"/>
      <c r="AB1583" s="8"/>
      <c r="AC1583" s="8"/>
      <c r="AD1583" s="8"/>
      <c r="AE1583" s="8"/>
    </row>
    <row r="1584">
      <c r="A1584" s="12">
        <v>52.0</v>
      </c>
      <c r="B1584" s="8" t="s">
        <v>339</v>
      </c>
      <c r="C1584" s="8" t="s">
        <v>1179</v>
      </c>
      <c r="I1584" s="10" t="s">
        <v>1985</v>
      </c>
      <c r="J1584" s="13" t="s">
        <v>1183</v>
      </c>
      <c r="K1584" s="13" t="s">
        <v>276</v>
      </c>
      <c r="L1584" s="13" t="s">
        <v>1972</v>
      </c>
      <c r="M1584" s="7" t="s">
        <v>253</v>
      </c>
      <c r="N1584" s="7" t="s">
        <v>253</v>
      </c>
      <c r="O1584" s="7" t="s">
        <v>254</v>
      </c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  <c r="AA1584" s="8"/>
      <c r="AB1584" s="8"/>
      <c r="AC1584" s="8"/>
      <c r="AD1584" s="8"/>
      <c r="AE1584" s="8"/>
    </row>
    <row r="1585">
      <c r="A1585" s="12">
        <v>52.0</v>
      </c>
      <c r="B1585" s="8" t="s">
        <v>339</v>
      </c>
      <c r="C1585" s="8" t="s">
        <v>1179</v>
      </c>
      <c r="I1585" s="10" t="s">
        <v>1558</v>
      </c>
      <c r="J1585" s="13" t="s">
        <v>1194</v>
      </c>
      <c r="K1585" s="13" t="s">
        <v>276</v>
      </c>
      <c r="L1585" s="13" t="s">
        <v>1971</v>
      </c>
      <c r="M1585" s="7" t="s">
        <v>253</v>
      </c>
      <c r="N1585" s="7" t="s">
        <v>253</v>
      </c>
      <c r="O1585" s="7" t="s">
        <v>254</v>
      </c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  <c r="AA1585" s="8"/>
      <c r="AB1585" s="8"/>
      <c r="AC1585" s="8"/>
      <c r="AD1585" s="8"/>
      <c r="AE1585" s="8"/>
    </row>
    <row r="1586">
      <c r="A1586" s="12">
        <v>52.0</v>
      </c>
      <c r="B1586" s="8" t="s">
        <v>339</v>
      </c>
      <c r="C1586" s="8" t="s">
        <v>1179</v>
      </c>
      <c r="I1586" s="10" t="s">
        <v>1986</v>
      </c>
      <c r="J1586" s="13" t="s">
        <v>1183</v>
      </c>
      <c r="K1586" s="13" t="s">
        <v>276</v>
      </c>
      <c r="L1586" s="13" t="s">
        <v>1987</v>
      </c>
      <c r="M1586" s="7" t="s">
        <v>253</v>
      </c>
      <c r="N1586" s="7" t="s">
        <v>253</v>
      </c>
      <c r="O1586" s="7" t="s">
        <v>254</v>
      </c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  <c r="AA1586" s="8"/>
      <c r="AB1586" s="8"/>
      <c r="AC1586" s="8"/>
      <c r="AD1586" s="8"/>
      <c r="AE1586" s="8"/>
    </row>
    <row r="1587">
      <c r="A1587" s="12">
        <v>52.0</v>
      </c>
      <c r="B1587" s="8" t="s">
        <v>339</v>
      </c>
      <c r="C1587" s="8" t="s">
        <v>1179</v>
      </c>
      <c r="I1587" s="10" t="s">
        <v>1756</v>
      </c>
      <c r="J1587" s="13" t="s">
        <v>1194</v>
      </c>
      <c r="K1587" s="13" t="s">
        <v>276</v>
      </c>
      <c r="L1587" s="13" t="s">
        <v>1972</v>
      </c>
      <c r="M1587" s="7" t="s">
        <v>253</v>
      </c>
      <c r="N1587" s="7" t="s">
        <v>253</v>
      </c>
      <c r="O1587" s="7" t="s">
        <v>254</v>
      </c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  <c r="AA1587" s="8"/>
      <c r="AB1587" s="8"/>
      <c r="AC1587" s="8"/>
      <c r="AD1587" s="8"/>
      <c r="AE1587" s="8"/>
    </row>
    <row r="1588">
      <c r="A1588" s="12">
        <v>52.0</v>
      </c>
      <c r="B1588" s="8" t="s">
        <v>339</v>
      </c>
      <c r="C1588" s="8" t="s">
        <v>1179</v>
      </c>
      <c r="I1588" s="10" t="s">
        <v>477</v>
      </c>
      <c r="J1588" s="13" t="s">
        <v>1183</v>
      </c>
      <c r="K1588" s="13" t="s">
        <v>276</v>
      </c>
      <c r="L1588" s="13" t="s">
        <v>1971</v>
      </c>
      <c r="M1588" s="7" t="s">
        <v>253</v>
      </c>
      <c r="N1588" s="7" t="s">
        <v>253</v>
      </c>
      <c r="O1588" s="7" t="s">
        <v>254</v>
      </c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  <c r="AA1588" s="8"/>
      <c r="AB1588" s="8"/>
      <c r="AC1588" s="8"/>
      <c r="AD1588" s="8"/>
      <c r="AE1588" s="8"/>
    </row>
    <row r="1589">
      <c r="A1589" s="12">
        <v>52.0</v>
      </c>
      <c r="B1589" s="8" t="s">
        <v>339</v>
      </c>
      <c r="C1589" s="8" t="s">
        <v>1179</v>
      </c>
      <c r="I1589" s="10" t="s">
        <v>427</v>
      </c>
      <c r="J1589" s="13" t="s">
        <v>1194</v>
      </c>
      <c r="K1589" s="13" t="s">
        <v>276</v>
      </c>
      <c r="L1589" s="13" t="s">
        <v>1971</v>
      </c>
      <c r="M1589" s="7" t="s">
        <v>253</v>
      </c>
      <c r="N1589" s="7" t="s">
        <v>253</v>
      </c>
      <c r="O1589" s="7" t="s">
        <v>254</v>
      </c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  <c r="AA1589" s="8"/>
      <c r="AB1589" s="8"/>
      <c r="AC1589" s="8"/>
      <c r="AD1589" s="8"/>
      <c r="AE1589" s="8"/>
    </row>
    <row r="1590">
      <c r="A1590" s="12">
        <v>52.0</v>
      </c>
      <c r="B1590" s="8" t="s">
        <v>339</v>
      </c>
      <c r="C1590" s="8" t="s">
        <v>1179</v>
      </c>
      <c r="I1590" s="10" t="s">
        <v>1988</v>
      </c>
      <c r="J1590" s="13" t="s">
        <v>1183</v>
      </c>
      <c r="K1590" s="13" t="s">
        <v>276</v>
      </c>
      <c r="L1590" s="13" t="s">
        <v>1972</v>
      </c>
      <c r="M1590" s="7" t="s">
        <v>253</v>
      </c>
      <c r="N1590" s="7" t="s">
        <v>253</v>
      </c>
      <c r="O1590" s="7" t="s">
        <v>254</v>
      </c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  <c r="AA1590" s="8"/>
      <c r="AB1590" s="8"/>
      <c r="AC1590" s="8"/>
      <c r="AD1590" s="8"/>
      <c r="AE1590" s="8"/>
    </row>
    <row r="1591">
      <c r="A1591" s="12">
        <v>52.0</v>
      </c>
      <c r="B1591" s="8" t="s">
        <v>339</v>
      </c>
      <c r="C1591" s="8" t="s">
        <v>1179</v>
      </c>
      <c r="I1591" s="10" t="s">
        <v>316</v>
      </c>
      <c r="J1591" s="13" t="s">
        <v>1194</v>
      </c>
      <c r="K1591" s="13" t="s">
        <v>276</v>
      </c>
      <c r="L1591" s="13" t="s">
        <v>1971</v>
      </c>
      <c r="M1591" s="7" t="s">
        <v>253</v>
      </c>
      <c r="N1591" s="7" t="s">
        <v>253</v>
      </c>
      <c r="O1591" s="7" t="s">
        <v>254</v>
      </c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  <c r="AA1591" s="8"/>
      <c r="AB1591" s="8"/>
      <c r="AC1591" s="8"/>
      <c r="AD1591" s="8"/>
      <c r="AE1591" s="8"/>
    </row>
    <row r="1592">
      <c r="A1592" s="12">
        <v>52.0</v>
      </c>
      <c r="B1592" s="8" t="s">
        <v>339</v>
      </c>
      <c r="C1592" s="8" t="s">
        <v>1179</v>
      </c>
      <c r="I1592" s="10" t="s">
        <v>1896</v>
      </c>
      <c r="J1592" s="13" t="s">
        <v>1183</v>
      </c>
      <c r="K1592" s="13" t="s">
        <v>276</v>
      </c>
      <c r="L1592" s="13" t="s">
        <v>1972</v>
      </c>
      <c r="M1592" s="7" t="s">
        <v>253</v>
      </c>
      <c r="N1592" s="7" t="s">
        <v>253</v>
      </c>
      <c r="O1592" s="7" t="s">
        <v>254</v>
      </c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  <c r="AA1592" s="8"/>
      <c r="AB1592" s="8"/>
      <c r="AC1592" s="8"/>
      <c r="AD1592" s="8"/>
      <c r="AE1592" s="8"/>
    </row>
    <row r="1593">
      <c r="A1593" s="12">
        <v>52.0</v>
      </c>
      <c r="B1593" s="8" t="s">
        <v>339</v>
      </c>
      <c r="C1593" s="8" t="s">
        <v>1179</v>
      </c>
      <c r="I1593" s="10" t="s">
        <v>318</v>
      </c>
      <c r="J1593" s="13" t="s">
        <v>1194</v>
      </c>
      <c r="K1593" s="13" t="s">
        <v>276</v>
      </c>
      <c r="L1593" s="13" t="s">
        <v>1971</v>
      </c>
      <c r="M1593" s="7" t="s">
        <v>253</v>
      </c>
      <c r="N1593" s="7" t="s">
        <v>253</v>
      </c>
      <c r="O1593" s="7" t="s">
        <v>254</v>
      </c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  <c r="AA1593" s="8"/>
      <c r="AB1593" s="8"/>
      <c r="AC1593" s="8"/>
      <c r="AD1593" s="8"/>
      <c r="AE1593" s="8"/>
    </row>
    <row r="1594">
      <c r="A1594" s="12">
        <v>52.0</v>
      </c>
      <c r="B1594" s="8" t="s">
        <v>339</v>
      </c>
      <c r="C1594" s="8" t="s">
        <v>1179</v>
      </c>
      <c r="I1594" s="10" t="s">
        <v>460</v>
      </c>
      <c r="J1594" s="13" t="s">
        <v>1183</v>
      </c>
      <c r="K1594" s="13" t="s">
        <v>276</v>
      </c>
      <c r="L1594" s="13" t="s">
        <v>1970</v>
      </c>
      <c r="M1594" s="7" t="s">
        <v>253</v>
      </c>
      <c r="N1594" s="7" t="s">
        <v>253</v>
      </c>
      <c r="O1594" s="7" t="s">
        <v>254</v>
      </c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  <c r="AA1594" s="8"/>
      <c r="AB1594" s="8"/>
      <c r="AC1594" s="8"/>
      <c r="AD1594" s="8"/>
      <c r="AE1594" s="8"/>
    </row>
    <row r="1595">
      <c r="A1595" s="12">
        <v>52.0</v>
      </c>
      <c r="B1595" s="8" t="s">
        <v>339</v>
      </c>
      <c r="C1595" s="8" t="s">
        <v>1179</v>
      </c>
      <c r="I1595" s="10" t="s">
        <v>730</v>
      </c>
      <c r="J1595" s="13" t="s">
        <v>1194</v>
      </c>
      <c r="K1595" s="13" t="s">
        <v>276</v>
      </c>
      <c r="L1595" s="13" t="s">
        <v>1971</v>
      </c>
      <c r="M1595" s="7" t="s">
        <v>253</v>
      </c>
      <c r="N1595" s="7" t="s">
        <v>253</v>
      </c>
      <c r="O1595" s="7" t="s">
        <v>254</v>
      </c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  <c r="AA1595" s="8"/>
      <c r="AB1595" s="8"/>
      <c r="AC1595" s="8"/>
      <c r="AD1595" s="8"/>
      <c r="AE1595" s="8"/>
    </row>
    <row r="1596">
      <c r="A1596" s="12">
        <v>52.0</v>
      </c>
      <c r="B1596" s="8" t="s">
        <v>339</v>
      </c>
      <c r="C1596" s="8" t="s">
        <v>1179</v>
      </c>
      <c r="I1596" s="10" t="s">
        <v>389</v>
      </c>
      <c r="J1596" s="13" t="s">
        <v>1183</v>
      </c>
      <c r="K1596" s="13" t="s">
        <v>276</v>
      </c>
      <c r="L1596" s="13" t="s">
        <v>1970</v>
      </c>
      <c r="M1596" s="7" t="s">
        <v>253</v>
      </c>
      <c r="N1596" s="7" t="s">
        <v>253</v>
      </c>
      <c r="O1596" s="7" t="s">
        <v>254</v>
      </c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  <c r="AA1596" s="8"/>
      <c r="AB1596" s="8"/>
      <c r="AC1596" s="8"/>
      <c r="AD1596" s="8"/>
      <c r="AE1596" s="8"/>
    </row>
    <row r="1597">
      <c r="A1597" s="12">
        <v>52.0</v>
      </c>
      <c r="B1597" s="8" t="s">
        <v>339</v>
      </c>
      <c r="C1597" s="8" t="s">
        <v>1179</v>
      </c>
      <c r="I1597" s="10" t="s">
        <v>431</v>
      </c>
      <c r="J1597" s="13" t="s">
        <v>1194</v>
      </c>
      <c r="K1597" s="13" t="s">
        <v>276</v>
      </c>
      <c r="L1597" s="13" t="s">
        <v>1972</v>
      </c>
      <c r="M1597" s="7" t="s">
        <v>253</v>
      </c>
      <c r="N1597" s="7" t="s">
        <v>253</v>
      </c>
      <c r="O1597" s="7" t="s">
        <v>254</v>
      </c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  <c r="AA1597" s="8"/>
      <c r="AB1597" s="8"/>
      <c r="AC1597" s="8"/>
      <c r="AD1597" s="8"/>
      <c r="AE1597" s="8"/>
    </row>
    <row r="1598">
      <c r="A1598" s="12">
        <v>52.0</v>
      </c>
      <c r="B1598" s="8" t="s">
        <v>339</v>
      </c>
      <c r="C1598" s="8" t="s">
        <v>1179</v>
      </c>
      <c r="I1598" s="10" t="s">
        <v>483</v>
      </c>
      <c r="J1598" s="13" t="s">
        <v>1183</v>
      </c>
      <c r="K1598" s="13" t="s">
        <v>276</v>
      </c>
      <c r="L1598" s="13" t="s">
        <v>1970</v>
      </c>
      <c r="M1598" s="7" t="s">
        <v>253</v>
      </c>
      <c r="N1598" s="7" t="s">
        <v>253</v>
      </c>
      <c r="O1598" s="7" t="s">
        <v>254</v>
      </c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  <c r="AA1598" s="8"/>
      <c r="AB1598" s="8"/>
      <c r="AC1598" s="8"/>
      <c r="AD1598" s="8"/>
      <c r="AE1598" s="8"/>
    </row>
    <row r="1599">
      <c r="A1599" s="12">
        <v>52.0</v>
      </c>
      <c r="B1599" s="8" t="s">
        <v>339</v>
      </c>
      <c r="C1599" s="8" t="s">
        <v>1179</v>
      </c>
      <c r="I1599" s="10" t="s">
        <v>1989</v>
      </c>
      <c r="J1599" s="13" t="s">
        <v>1194</v>
      </c>
      <c r="K1599" s="13" t="s">
        <v>276</v>
      </c>
      <c r="L1599" s="13" t="s">
        <v>1971</v>
      </c>
      <c r="M1599" s="7" t="s">
        <v>253</v>
      </c>
      <c r="N1599" s="7" t="s">
        <v>253</v>
      </c>
      <c r="O1599" s="7" t="s">
        <v>254</v>
      </c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  <c r="AA1599" s="8"/>
      <c r="AB1599" s="8"/>
      <c r="AC1599" s="8"/>
      <c r="AD1599" s="8"/>
      <c r="AE1599" s="8"/>
    </row>
    <row r="1600">
      <c r="A1600" s="12">
        <v>52.0</v>
      </c>
      <c r="B1600" s="8" t="s">
        <v>339</v>
      </c>
      <c r="C1600" s="8" t="s">
        <v>1179</v>
      </c>
      <c r="I1600" s="10" t="s">
        <v>110</v>
      </c>
      <c r="J1600" s="13" t="s">
        <v>1183</v>
      </c>
      <c r="K1600" s="13" t="s">
        <v>276</v>
      </c>
      <c r="L1600" s="13" t="s">
        <v>1970</v>
      </c>
      <c r="M1600" s="7" t="s">
        <v>253</v>
      </c>
      <c r="N1600" s="7" t="s">
        <v>253</v>
      </c>
      <c r="O1600" s="7" t="s">
        <v>254</v>
      </c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  <c r="AA1600" s="8"/>
      <c r="AB1600" s="8"/>
      <c r="AC1600" s="8"/>
      <c r="AD1600" s="8"/>
      <c r="AE1600" s="8"/>
    </row>
    <row r="1601">
      <c r="A1601" s="12">
        <v>52.0</v>
      </c>
      <c r="B1601" s="8" t="s">
        <v>339</v>
      </c>
      <c r="C1601" s="8" t="s">
        <v>1179</v>
      </c>
      <c r="I1601" s="10" t="s">
        <v>433</v>
      </c>
      <c r="J1601" s="13" t="s">
        <v>1194</v>
      </c>
      <c r="K1601" s="13" t="s">
        <v>276</v>
      </c>
      <c r="L1601" s="13" t="s">
        <v>1971</v>
      </c>
      <c r="M1601" s="7" t="s">
        <v>253</v>
      </c>
      <c r="N1601" s="7" t="s">
        <v>253</v>
      </c>
      <c r="O1601" s="7" t="s">
        <v>254</v>
      </c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  <c r="AA1601" s="8"/>
      <c r="AB1601" s="8"/>
      <c r="AC1601" s="8"/>
      <c r="AD1601" s="8"/>
      <c r="AE1601" s="8"/>
    </row>
    <row r="1602">
      <c r="A1602" s="12">
        <v>52.0</v>
      </c>
      <c r="B1602" s="8" t="s">
        <v>339</v>
      </c>
      <c r="C1602" s="8" t="s">
        <v>1179</v>
      </c>
      <c r="I1602" s="10" t="s">
        <v>463</v>
      </c>
      <c r="J1602" s="13" t="s">
        <v>1183</v>
      </c>
      <c r="K1602" s="13" t="s">
        <v>276</v>
      </c>
      <c r="L1602" s="13" t="s">
        <v>1971</v>
      </c>
      <c r="M1602" s="7" t="s">
        <v>253</v>
      </c>
      <c r="N1602" s="7" t="s">
        <v>253</v>
      </c>
      <c r="O1602" s="7" t="s">
        <v>254</v>
      </c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  <c r="AA1602" s="8"/>
      <c r="AB1602" s="8"/>
      <c r="AC1602" s="8"/>
      <c r="AD1602" s="8"/>
      <c r="AE1602" s="8"/>
    </row>
    <row r="1603">
      <c r="A1603" s="12">
        <v>52.0</v>
      </c>
      <c r="B1603" s="8" t="s">
        <v>339</v>
      </c>
      <c r="C1603" s="8" t="s">
        <v>1179</v>
      </c>
      <c r="I1603" s="10" t="s">
        <v>399</v>
      </c>
      <c r="J1603" s="13" t="s">
        <v>1194</v>
      </c>
      <c r="K1603" s="13" t="s">
        <v>276</v>
      </c>
      <c r="L1603" s="13" t="s">
        <v>1971</v>
      </c>
      <c r="M1603" s="7" t="s">
        <v>253</v>
      </c>
      <c r="N1603" s="7" t="s">
        <v>253</v>
      </c>
      <c r="O1603" s="7" t="s">
        <v>254</v>
      </c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  <c r="AA1603" s="8"/>
      <c r="AB1603" s="8"/>
      <c r="AC1603" s="8"/>
      <c r="AD1603" s="8"/>
      <c r="AE1603" s="8"/>
    </row>
    <row r="1604">
      <c r="A1604" s="12">
        <v>52.0</v>
      </c>
      <c r="B1604" s="8" t="s">
        <v>339</v>
      </c>
      <c r="C1604" s="8" t="s">
        <v>1179</v>
      </c>
      <c r="I1604" s="10" t="s">
        <v>434</v>
      </c>
      <c r="J1604" s="13" t="s">
        <v>1183</v>
      </c>
      <c r="K1604" s="13" t="s">
        <v>276</v>
      </c>
      <c r="L1604" s="13" t="s">
        <v>1972</v>
      </c>
      <c r="M1604" s="7" t="s">
        <v>253</v>
      </c>
      <c r="N1604" s="7" t="s">
        <v>253</v>
      </c>
      <c r="O1604" s="7" t="s">
        <v>254</v>
      </c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  <c r="AA1604" s="8"/>
      <c r="AB1604" s="8"/>
      <c r="AC1604" s="8"/>
      <c r="AD1604" s="8"/>
      <c r="AE1604" s="8"/>
    </row>
    <row r="1605">
      <c r="A1605" s="12">
        <v>52.0</v>
      </c>
      <c r="B1605" s="8" t="s">
        <v>339</v>
      </c>
      <c r="C1605" s="8" t="s">
        <v>1179</v>
      </c>
      <c r="I1605" s="10" t="s">
        <v>64</v>
      </c>
      <c r="J1605" s="13" t="s">
        <v>1194</v>
      </c>
      <c r="K1605" s="13" t="s">
        <v>276</v>
      </c>
      <c r="L1605" s="13" t="s">
        <v>1970</v>
      </c>
      <c r="M1605" s="7" t="s">
        <v>253</v>
      </c>
      <c r="N1605" s="7" t="s">
        <v>253</v>
      </c>
      <c r="O1605" s="7" t="s">
        <v>254</v>
      </c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  <c r="AA1605" s="8"/>
      <c r="AB1605" s="8"/>
      <c r="AC1605" s="8"/>
      <c r="AD1605" s="8"/>
      <c r="AE1605" s="8"/>
    </row>
    <row r="1606">
      <c r="A1606" s="12">
        <v>52.0</v>
      </c>
      <c r="B1606" s="8" t="s">
        <v>339</v>
      </c>
      <c r="C1606" s="8" t="s">
        <v>1179</v>
      </c>
      <c r="I1606" s="10" t="s">
        <v>387</v>
      </c>
      <c r="J1606" s="13" t="s">
        <v>1183</v>
      </c>
      <c r="K1606" s="13" t="s">
        <v>276</v>
      </c>
      <c r="L1606" s="13" t="s">
        <v>1970</v>
      </c>
      <c r="M1606" s="7" t="s">
        <v>253</v>
      </c>
      <c r="N1606" s="7" t="s">
        <v>253</v>
      </c>
      <c r="O1606" s="7" t="s">
        <v>254</v>
      </c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  <c r="AA1606" s="8"/>
      <c r="AB1606" s="8"/>
      <c r="AC1606" s="8"/>
      <c r="AD1606" s="8"/>
      <c r="AE1606" s="8"/>
    </row>
    <row r="1607">
      <c r="A1607" s="12">
        <v>52.0</v>
      </c>
      <c r="B1607" s="8" t="s">
        <v>339</v>
      </c>
      <c r="C1607" s="8" t="s">
        <v>1179</v>
      </c>
      <c r="I1607" s="10" t="s">
        <v>365</v>
      </c>
      <c r="J1607" s="13" t="s">
        <v>1194</v>
      </c>
      <c r="K1607" s="13" t="s">
        <v>276</v>
      </c>
      <c r="L1607" s="13" t="s">
        <v>1970</v>
      </c>
      <c r="M1607" s="7" t="s">
        <v>253</v>
      </c>
      <c r="N1607" s="7" t="s">
        <v>253</v>
      </c>
      <c r="O1607" s="7" t="s">
        <v>254</v>
      </c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  <c r="AA1607" s="8"/>
      <c r="AB1607" s="8"/>
      <c r="AC1607" s="8"/>
      <c r="AD1607" s="8"/>
      <c r="AE1607" s="8"/>
    </row>
    <row r="1608">
      <c r="A1608" s="12">
        <v>52.0</v>
      </c>
      <c r="B1608" s="8" t="s">
        <v>339</v>
      </c>
      <c r="C1608" s="8" t="s">
        <v>1179</v>
      </c>
      <c r="I1608" s="10" t="s">
        <v>614</v>
      </c>
      <c r="J1608" s="13" t="s">
        <v>1183</v>
      </c>
      <c r="K1608" s="13" t="s">
        <v>276</v>
      </c>
      <c r="L1608" s="13" t="s">
        <v>1970</v>
      </c>
      <c r="M1608" s="7" t="s">
        <v>253</v>
      </c>
      <c r="N1608" s="7" t="s">
        <v>253</v>
      </c>
      <c r="O1608" s="7" t="s">
        <v>254</v>
      </c>
      <c r="P1608" s="13" t="s">
        <v>300</v>
      </c>
      <c r="Q1608" s="8"/>
      <c r="R1608" s="8"/>
      <c r="S1608" s="8"/>
      <c r="T1608" s="8"/>
      <c r="U1608" s="8"/>
      <c r="V1608" s="8"/>
      <c r="W1608" s="8"/>
      <c r="X1608" s="8"/>
      <c r="Y1608" s="8"/>
      <c r="Z1608" s="8"/>
      <c r="AA1608" s="8"/>
      <c r="AB1608" s="8"/>
      <c r="AC1608" s="8"/>
      <c r="AD1608" s="8"/>
      <c r="AE1608" s="8"/>
    </row>
    <row r="1609">
      <c r="A1609" s="12">
        <v>52.0</v>
      </c>
      <c r="B1609" s="8" t="s">
        <v>339</v>
      </c>
      <c r="C1609" s="8" t="s">
        <v>1179</v>
      </c>
      <c r="I1609" s="10" t="s">
        <v>321</v>
      </c>
      <c r="J1609" s="13" t="s">
        <v>1194</v>
      </c>
      <c r="K1609" s="13" t="s">
        <v>276</v>
      </c>
      <c r="L1609" s="13" t="s">
        <v>1970</v>
      </c>
      <c r="M1609" s="7" t="s">
        <v>253</v>
      </c>
      <c r="N1609" s="7" t="s">
        <v>253</v>
      </c>
      <c r="O1609" s="7" t="s">
        <v>254</v>
      </c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  <c r="AA1609" s="8"/>
      <c r="AB1609" s="8"/>
      <c r="AC1609" s="8"/>
      <c r="AD1609" s="8"/>
      <c r="AE1609" s="8"/>
    </row>
    <row r="1610">
      <c r="A1610" s="12">
        <v>52.0</v>
      </c>
      <c r="B1610" s="8" t="s">
        <v>339</v>
      </c>
      <c r="C1610" s="8" t="s">
        <v>1179</v>
      </c>
      <c r="I1610" s="10" t="s">
        <v>1990</v>
      </c>
      <c r="J1610" s="13" t="s">
        <v>1183</v>
      </c>
      <c r="K1610" s="13" t="s">
        <v>276</v>
      </c>
      <c r="L1610" s="13" t="s">
        <v>1972</v>
      </c>
      <c r="M1610" s="7" t="s">
        <v>253</v>
      </c>
      <c r="N1610" s="7" t="s">
        <v>253</v>
      </c>
      <c r="O1610" s="7" t="s">
        <v>254</v>
      </c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  <c r="AA1610" s="8"/>
      <c r="AB1610" s="8"/>
      <c r="AC1610" s="8"/>
      <c r="AD1610" s="8"/>
      <c r="AE1610" s="8"/>
    </row>
    <row r="1611">
      <c r="A1611" s="12">
        <v>52.0</v>
      </c>
      <c r="B1611" s="8" t="s">
        <v>339</v>
      </c>
      <c r="C1611" s="8" t="s">
        <v>1179</v>
      </c>
      <c r="I1611" s="10" t="s">
        <v>1991</v>
      </c>
      <c r="J1611" s="13" t="s">
        <v>1194</v>
      </c>
      <c r="K1611" s="13" t="s">
        <v>276</v>
      </c>
      <c r="L1611" s="13" t="s">
        <v>1972</v>
      </c>
      <c r="M1611" s="7" t="s">
        <v>253</v>
      </c>
      <c r="N1611" s="7" t="s">
        <v>253</v>
      </c>
      <c r="O1611" s="7" t="s">
        <v>254</v>
      </c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  <c r="AA1611" s="8"/>
      <c r="AB1611" s="8"/>
      <c r="AC1611" s="8"/>
      <c r="AD1611" s="8"/>
      <c r="AE1611" s="8"/>
    </row>
    <row r="1612">
      <c r="A1612" s="12">
        <v>52.0</v>
      </c>
      <c r="B1612" s="8" t="s">
        <v>339</v>
      </c>
      <c r="C1612" s="8" t="s">
        <v>1179</v>
      </c>
      <c r="I1612" s="10" t="s">
        <v>849</v>
      </c>
      <c r="J1612" s="13" t="s">
        <v>1183</v>
      </c>
      <c r="K1612" s="13" t="s">
        <v>276</v>
      </c>
      <c r="L1612" s="13" t="s">
        <v>1972</v>
      </c>
      <c r="M1612" s="7" t="s">
        <v>253</v>
      </c>
      <c r="N1612" s="7" t="s">
        <v>253</v>
      </c>
      <c r="O1612" s="7" t="s">
        <v>254</v>
      </c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  <c r="AA1612" s="8"/>
      <c r="AB1612" s="8"/>
      <c r="AC1612" s="8"/>
      <c r="AD1612" s="8"/>
      <c r="AE1612" s="8"/>
    </row>
    <row r="1613">
      <c r="A1613" s="12">
        <v>52.0</v>
      </c>
      <c r="B1613" s="8" t="s">
        <v>339</v>
      </c>
      <c r="C1613" s="8" t="s">
        <v>1179</v>
      </c>
      <c r="I1613" s="10" t="s">
        <v>1992</v>
      </c>
      <c r="J1613" s="13" t="s">
        <v>1194</v>
      </c>
      <c r="K1613" s="13" t="s">
        <v>276</v>
      </c>
      <c r="L1613" s="13" t="s">
        <v>1971</v>
      </c>
      <c r="M1613" s="7" t="s">
        <v>253</v>
      </c>
      <c r="N1613" s="7" t="s">
        <v>253</v>
      </c>
      <c r="O1613" s="7" t="s">
        <v>254</v>
      </c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  <c r="AA1613" s="8"/>
      <c r="AB1613" s="8"/>
      <c r="AC1613" s="8"/>
      <c r="AD1613" s="8"/>
      <c r="AE1613" s="8"/>
    </row>
    <row r="1614">
      <c r="A1614" s="12">
        <v>52.0</v>
      </c>
      <c r="B1614" s="8" t="s">
        <v>339</v>
      </c>
      <c r="C1614" s="8" t="s">
        <v>1179</v>
      </c>
      <c r="I1614" s="10" t="s">
        <v>1233</v>
      </c>
      <c r="J1614" s="13" t="s">
        <v>1183</v>
      </c>
      <c r="K1614" s="13" t="s">
        <v>276</v>
      </c>
      <c r="L1614" s="13" t="s">
        <v>1971</v>
      </c>
      <c r="M1614" s="7" t="s">
        <v>253</v>
      </c>
      <c r="N1614" s="7" t="s">
        <v>253</v>
      </c>
      <c r="O1614" s="7" t="s">
        <v>254</v>
      </c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  <c r="AA1614" s="8"/>
      <c r="AB1614" s="8"/>
      <c r="AC1614" s="8"/>
      <c r="AD1614" s="8"/>
      <c r="AE1614" s="8"/>
    </row>
    <row r="1615">
      <c r="A1615" s="12">
        <v>52.0</v>
      </c>
      <c r="B1615" s="8" t="s">
        <v>339</v>
      </c>
      <c r="C1615" s="8" t="s">
        <v>1179</v>
      </c>
      <c r="I1615" s="10" t="s">
        <v>435</v>
      </c>
      <c r="J1615" s="13" t="s">
        <v>1194</v>
      </c>
      <c r="K1615" s="13" t="s">
        <v>276</v>
      </c>
      <c r="L1615" s="13" t="s">
        <v>1972</v>
      </c>
      <c r="M1615" s="7" t="s">
        <v>253</v>
      </c>
      <c r="N1615" s="7" t="s">
        <v>253</v>
      </c>
      <c r="O1615" s="7" t="s">
        <v>254</v>
      </c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  <c r="AA1615" s="8"/>
      <c r="AB1615" s="8"/>
      <c r="AC1615" s="8"/>
      <c r="AD1615" s="8"/>
      <c r="AE1615" s="8"/>
    </row>
    <row r="1616">
      <c r="A1616" s="12">
        <v>52.0</v>
      </c>
      <c r="B1616" s="8" t="s">
        <v>339</v>
      </c>
      <c r="C1616" s="8" t="s">
        <v>1179</v>
      </c>
      <c r="I1616" s="10" t="s">
        <v>97</v>
      </c>
      <c r="J1616" s="13" t="s">
        <v>1183</v>
      </c>
      <c r="K1616" s="13" t="s">
        <v>276</v>
      </c>
      <c r="L1616" s="13" t="s">
        <v>1970</v>
      </c>
      <c r="M1616" s="7" t="s">
        <v>253</v>
      </c>
      <c r="N1616" s="7" t="s">
        <v>253</v>
      </c>
      <c r="O1616" s="7" t="s">
        <v>254</v>
      </c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  <c r="AA1616" s="8"/>
      <c r="AB1616" s="8"/>
      <c r="AC1616" s="8"/>
      <c r="AD1616" s="8"/>
      <c r="AE1616" s="8"/>
    </row>
    <row r="1617">
      <c r="A1617" s="12">
        <v>52.0</v>
      </c>
      <c r="B1617" s="8" t="s">
        <v>339</v>
      </c>
      <c r="C1617" s="8" t="s">
        <v>1179</v>
      </c>
      <c r="I1617" s="10" t="s">
        <v>325</v>
      </c>
      <c r="J1617" s="13" t="s">
        <v>1194</v>
      </c>
      <c r="K1617" s="13" t="s">
        <v>276</v>
      </c>
      <c r="L1617" s="13" t="s">
        <v>1970</v>
      </c>
      <c r="M1617" s="7" t="s">
        <v>253</v>
      </c>
      <c r="N1617" s="7" t="s">
        <v>253</v>
      </c>
      <c r="O1617" s="7" t="s">
        <v>254</v>
      </c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  <c r="AA1617" s="8"/>
      <c r="AB1617" s="8"/>
      <c r="AC1617" s="8"/>
      <c r="AD1617" s="8"/>
      <c r="AE1617" s="8"/>
    </row>
    <row r="1618">
      <c r="A1618" s="12">
        <v>52.0</v>
      </c>
      <c r="B1618" s="8" t="s">
        <v>339</v>
      </c>
      <c r="C1618" s="8" t="s">
        <v>1179</v>
      </c>
      <c r="I1618" s="10" t="s">
        <v>327</v>
      </c>
      <c r="J1618" s="13" t="s">
        <v>1183</v>
      </c>
      <c r="K1618" s="13" t="s">
        <v>276</v>
      </c>
      <c r="L1618" s="13" t="s">
        <v>1970</v>
      </c>
      <c r="M1618" s="7" t="s">
        <v>253</v>
      </c>
      <c r="N1618" s="7" t="s">
        <v>253</v>
      </c>
      <c r="O1618" s="7" t="s">
        <v>254</v>
      </c>
      <c r="P1618" s="13" t="s">
        <v>300</v>
      </c>
      <c r="Q1618" s="8"/>
      <c r="R1618" s="8"/>
      <c r="S1618" s="8"/>
      <c r="T1618" s="8"/>
      <c r="U1618" s="8"/>
      <c r="V1618" s="8"/>
      <c r="W1618" s="8"/>
      <c r="X1618" s="8"/>
      <c r="Y1618" s="8"/>
      <c r="Z1618" s="8"/>
      <c r="AA1618" s="8"/>
      <c r="AB1618" s="8"/>
      <c r="AC1618" s="8"/>
      <c r="AD1618" s="8"/>
      <c r="AE1618" s="8"/>
    </row>
    <row r="1619">
      <c r="A1619" s="12">
        <v>52.0</v>
      </c>
      <c r="B1619" s="8" t="s">
        <v>339</v>
      </c>
      <c r="C1619" s="8" t="s">
        <v>1179</v>
      </c>
      <c r="I1619" s="10" t="s">
        <v>218</v>
      </c>
      <c r="J1619" s="13" t="s">
        <v>1194</v>
      </c>
      <c r="K1619" s="13" t="s">
        <v>276</v>
      </c>
      <c r="L1619" s="13" t="s">
        <v>1970</v>
      </c>
      <c r="M1619" s="7" t="s">
        <v>253</v>
      </c>
      <c r="N1619" s="7" t="s">
        <v>253</v>
      </c>
      <c r="O1619" s="7" t="s">
        <v>254</v>
      </c>
      <c r="P1619" s="13" t="s">
        <v>300</v>
      </c>
      <c r="Q1619" s="8"/>
      <c r="R1619" s="8"/>
      <c r="S1619" s="8"/>
      <c r="T1619" s="8"/>
      <c r="U1619" s="8"/>
      <c r="V1619" s="8"/>
      <c r="W1619" s="8"/>
      <c r="X1619" s="8"/>
      <c r="Y1619" s="8"/>
      <c r="Z1619" s="8"/>
      <c r="AA1619" s="8"/>
      <c r="AB1619" s="8"/>
      <c r="AC1619" s="8"/>
      <c r="AD1619" s="8"/>
      <c r="AE1619" s="8"/>
    </row>
    <row r="1620">
      <c r="A1620" s="12">
        <v>52.0</v>
      </c>
      <c r="B1620" s="8" t="s">
        <v>339</v>
      </c>
      <c r="C1620" s="8" t="s">
        <v>1179</v>
      </c>
      <c r="I1620" s="10" t="s">
        <v>1582</v>
      </c>
      <c r="J1620" s="13" t="s">
        <v>1183</v>
      </c>
      <c r="K1620" s="13" t="s">
        <v>276</v>
      </c>
      <c r="L1620" s="13" t="s">
        <v>1972</v>
      </c>
      <c r="M1620" s="7" t="s">
        <v>253</v>
      </c>
      <c r="N1620" s="7" t="s">
        <v>253</v>
      </c>
      <c r="O1620" s="7" t="s">
        <v>254</v>
      </c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  <c r="AA1620" s="8"/>
      <c r="AB1620" s="8"/>
      <c r="AC1620" s="8"/>
      <c r="AD1620" s="8"/>
      <c r="AE1620" s="8"/>
    </row>
    <row r="1621">
      <c r="A1621" s="12">
        <v>52.0</v>
      </c>
      <c r="B1621" s="8" t="s">
        <v>339</v>
      </c>
      <c r="C1621" s="8" t="s">
        <v>1179</v>
      </c>
      <c r="I1621" s="10" t="s">
        <v>283</v>
      </c>
      <c r="J1621" s="13" t="s">
        <v>1194</v>
      </c>
      <c r="K1621" s="13" t="s">
        <v>276</v>
      </c>
      <c r="L1621" s="13" t="s">
        <v>1970</v>
      </c>
      <c r="M1621" s="7" t="s">
        <v>253</v>
      </c>
      <c r="N1621" s="7" t="s">
        <v>253</v>
      </c>
      <c r="O1621" s="7" t="s">
        <v>254</v>
      </c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  <c r="AA1621" s="8"/>
      <c r="AB1621" s="8"/>
      <c r="AC1621" s="8"/>
      <c r="AD1621" s="8"/>
      <c r="AE1621" s="8"/>
    </row>
    <row r="1622">
      <c r="A1622" s="12">
        <v>52.0</v>
      </c>
      <c r="B1622" s="8" t="s">
        <v>339</v>
      </c>
      <c r="C1622" s="8" t="s">
        <v>1179</v>
      </c>
      <c r="I1622" s="10" t="s">
        <v>407</v>
      </c>
      <c r="J1622" s="13" t="s">
        <v>1183</v>
      </c>
      <c r="K1622" s="13" t="s">
        <v>276</v>
      </c>
      <c r="L1622" s="13" t="s">
        <v>1972</v>
      </c>
      <c r="M1622" s="7" t="s">
        <v>253</v>
      </c>
      <c r="N1622" s="7" t="s">
        <v>253</v>
      </c>
      <c r="O1622" s="7" t="s">
        <v>254</v>
      </c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  <c r="AA1622" s="8"/>
      <c r="AB1622" s="8"/>
      <c r="AC1622" s="8"/>
      <c r="AD1622" s="8"/>
      <c r="AE1622" s="8"/>
    </row>
    <row r="1623">
      <c r="A1623" s="12">
        <v>52.0</v>
      </c>
      <c r="B1623" s="8" t="s">
        <v>339</v>
      </c>
      <c r="C1623" s="8" t="s">
        <v>1179</v>
      </c>
      <c r="I1623" s="10" t="s">
        <v>281</v>
      </c>
      <c r="J1623" s="13" t="s">
        <v>1194</v>
      </c>
      <c r="K1623" s="13" t="s">
        <v>276</v>
      </c>
      <c r="L1623" s="13" t="s">
        <v>1970</v>
      </c>
      <c r="M1623" s="7" t="s">
        <v>253</v>
      </c>
      <c r="N1623" s="7" t="s">
        <v>253</v>
      </c>
      <c r="O1623" s="7" t="s">
        <v>254</v>
      </c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  <c r="AA1623" s="8"/>
      <c r="AB1623" s="8"/>
      <c r="AC1623" s="8"/>
      <c r="AD1623" s="8"/>
      <c r="AE1623" s="8"/>
    </row>
    <row r="1624">
      <c r="A1624" s="12">
        <v>52.0</v>
      </c>
      <c r="B1624" s="8" t="s">
        <v>339</v>
      </c>
      <c r="C1624" s="8" t="s">
        <v>1179</v>
      </c>
      <c r="I1624" s="10" t="s">
        <v>84</v>
      </c>
      <c r="J1624" s="13" t="s">
        <v>1183</v>
      </c>
      <c r="K1624" s="13" t="s">
        <v>276</v>
      </c>
      <c r="L1624" s="13" t="s">
        <v>1970</v>
      </c>
      <c r="M1624" s="7" t="s">
        <v>253</v>
      </c>
      <c r="N1624" s="7" t="s">
        <v>253</v>
      </c>
      <c r="O1624" s="7" t="s">
        <v>254</v>
      </c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  <c r="AA1624" s="8"/>
      <c r="AB1624" s="8"/>
      <c r="AC1624" s="8"/>
      <c r="AD1624" s="8"/>
      <c r="AE1624" s="8"/>
    </row>
    <row r="1625">
      <c r="A1625" s="12">
        <v>52.0</v>
      </c>
      <c r="B1625" s="8" t="s">
        <v>339</v>
      </c>
      <c r="C1625" s="8" t="s">
        <v>1179</v>
      </c>
      <c r="I1625" s="10" t="s">
        <v>39</v>
      </c>
      <c r="J1625" s="13" t="s">
        <v>1194</v>
      </c>
      <c r="K1625" s="13" t="s">
        <v>276</v>
      </c>
      <c r="L1625" s="13" t="s">
        <v>1970</v>
      </c>
      <c r="M1625" s="7" t="s">
        <v>253</v>
      </c>
      <c r="N1625" s="7" t="s">
        <v>253</v>
      </c>
      <c r="O1625" s="7" t="s">
        <v>254</v>
      </c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  <c r="AA1625" s="8"/>
      <c r="AB1625" s="8"/>
      <c r="AC1625" s="8"/>
      <c r="AD1625" s="8"/>
      <c r="AE1625" s="8"/>
    </row>
    <row r="1626">
      <c r="A1626" s="12">
        <v>52.0</v>
      </c>
      <c r="B1626" s="8" t="s">
        <v>339</v>
      </c>
      <c r="C1626" s="8" t="s">
        <v>1179</v>
      </c>
      <c r="I1626" s="10" t="s">
        <v>987</v>
      </c>
      <c r="J1626" s="13" t="s">
        <v>1183</v>
      </c>
      <c r="K1626" s="13" t="s">
        <v>276</v>
      </c>
      <c r="L1626" s="13" t="s">
        <v>1970</v>
      </c>
      <c r="M1626" s="7" t="s">
        <v>253</v>
      </c>
      <c r="N1626" s="7" t="s">
        <v>253</v>
      </c>
      <c r="O1626" s="7" t="s">
        <v>254</v>
      </c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  <c r="AA1626" s="8"/>
      <c r="AB1626" s="8"/>
      <c r="AC1626" s="8"/>
      <c r="AD1626" s="8"/>
      <c r="AE1626" s="8"/>
    </row>
    <row r="1627">
      <c r="A1627" s="12">
        <v>52.0</v>
      </c>
      <c r="B1627" s="8" t="s">
        <v>339</v>
      </c>
      <c r="C1627" s="8" t="s">
        <v>1179</v>
      </c>
      <c r="I1627" s="10" t="s">
        <v>49</v>
      </c>
      <c r="J1627" s="13" t="s">
        <v>1194</v>
      </c>
      <c r="K1627" s="13" t="s">
        <v>276</v>
      </c>
      <c r="L1627" s="13" t="s">
        <v>1970</v>
      </c>
      <c r="M1627" s="7" t="s">
        <v>253</v>
      </c>
      <c r="N1627" s="7" t="s">
        <v>253</v>
      </c>
      <c r="O1627" s="7" t="s">
        <v>254</v>
      </c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  <c r="AA1627" s="8"/>
      <c r="AB1627" s="8"/>
      <c r="AC1627" s="8"/>
      <c r="AD1627" s="8"/>
      <c r="AE1627" s="8"/>
    </row>
    <row r="1628">
      <c r="A1628" s="12">
        <v>53.0</v>
      </c>
      <c r="B1628" s="8" t="s">
        <v>340</v>
      </c>
      <c r="C1628" s="8" t="s">
        <v>1179</v>
      </c>
      <c r="D1628" s="25">
        <f>IF(COUNTIF($B$2:$B1628,$B1628)&gt;1,"",COUNTIF($B$2:$B$2505,$B1628))</f>
        <v>19</v>
      </c>
      <c r="E1628" s="25">
        <f>IF(COUNTIF($B$2:$B1628,$B1628)&gt;1,"",COUNTIFS($B$2:$B$2505,$B1628,$K$2:$K$2505,"PHÙ HỢP CAO"))</f>
        <v>2</v>
      </c>
      <c r="F1628" s="25">
        <f>IF(COUNTIF($B$2:$B1628,$B1628)&gt;1,"",COUNTIFS($B$2:$B$2505,$B1628,$K$2:$K$2505,"CÓ THỂ ĐI"))</f>
        <v>3</v>
      </c>
      <c r="G1628" s="25">
        <f>IF(COUNTIF($B$2:$B1628,$B1628)&gt;1,"",COUNTIFS($B$2:$B$2505,$B1628,$K$2:$K$2505,"CẦN SOÁT"))</f>
        <v>14</v>
      </c>
      <c r="H1628" s="26" t="str">
        <f>IFERROR(__xludf.DUMMYFUNCTION("IF(COUNTIF($B$2:$B1628,$B1628)&gt;1,"""",IFERROR(TEXTJOIN(CHAR(10),TRUE,BYROW(QUERY({$B$2:$B$2505,$J$2:$J$2505},""select Col2, count(Col2) where Col1 = '""&amp;$B1628&amp;""' group by Col2 order by count(Col2) desc label count(Col2) ''"",0),LAMBDA(r,INDEX(r,1,1)&amp;"" "&amp;"– ""&amp;INDEX(r,1,2)&amp;"" link""))),""""))"),"mô hình kinh doanh là gì – 10 link
mô hình kinh doanh – 9 link")</f>
        <v>mô hình kinh doanh là gì – 10 link
mô hình kinh doanh – 9 link</v>
      </c>
      <c r="I1628" s="10" t="s">
        <v>1201</v>
      </c>
      <c r="J1628" s="13" t="s">
        <v>1203</v>
      </c>
      <c r="K1628" s="13" t="s">
        <v>251</v>
      </c>
      <c r="L1628" s="13" t="s">
        <v>1993</v>
      </c>
      <c r="M1628" s="7" t="s">
        <v>253</v>
      </c>
      <c r="N1628" s="7" t="s">
        <v>253</v>
      </c>
      <c r="O1628" s="7" t="s">
        <v>254</v>
      </c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  <c r="AA1628" s="8"/>
      <c r="AB1628" s="8"/>
      <c r="AC1628" s="8"/>
      <c r="AD1628" s="8"/>
      <c r="AE1628" s="8"/>
    </row>
    <row r="1629">
      <c r="A1629" s="12">
        <v>53.0</v>
      </c>
      <c r="B1629" s="8" t="s">
        <v>340</v>
      </c>
      <c r="C1629" s="8" t="s">
        <v>1179</v>
      </c>
      <c r="I1629" s="10" t="s">
        <v>1205</v>
      </c>
      <c r="J1629" s="13" t="s">
        <v>1207</v>
      </c>
      <c r="K1629" s="13" t="s">
        <v>251</v>
      </c>
      <c r="L1629" s="13" t="s">
        <v>1994</v>
      </c>
      <c r="M1629" s="7" t="s">
        <v>253</v>
      </c>
      <c r="N1629" s="7" t="s">
        <v>253</v>
      </c>
      <c r="O1629" s="7" t="s">
        <v>254</v>
      </c>
      <c r="P1629" s="13" t="s">
        <v>350</v>
      </c>
      <c r="Q1629" s="8"/>
      <c r="R1629" s="8"/>
      <c r="S1629" s="8"/>
      <c r="T1629" s="8"/>
      <c r="U1629" s="8"/>
      <c r="V1629" s="8"/>
      <c r="W1629" s="8"/>
      <c r="X1629" s="8"/>
      <c r="Y1629" s="8"/>
      <c r="Z1629" s="8"/>
      <c r="AA1629" s="8"/>
      <c r="AB1629" s="8"/>
      <c r="AC1629" s="8"/>
      <c r="AD1629" s="8"/>
      <c r="AE1629" s="8"/>
    </row>
    <row r="1630">
      <c r="A1630" s="12">
        <v>53.0</v>
      </c>
      <c r="B1630" s="8" t="s">
        <v>340</v>
      </c>
      <c r="C1630" s="8" t="s">
        <v>1179</v>
      </c>
      <c r="I1630" s="10" t="s">
        <v>433</v>
      </c>
      <c r="J1630" s="13" t="s">
        <v>1203</v>
      </c>
      <c r="K1630" s="13" t="s">
        <v>272</v>
      </c>
      <c r="L1630" s="13" t="s">
        <v>1995</v>
      </c>
      <c r="M1630" s="7" t="s">
        <v>253</v>
      </c>
      <c r="N1630" s="7" t="s">
        <v>253</v>
      </c>
      <c r="O1630" s="7" t="s">
        <v>254</v>
      </c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  <c r="AA1630" s="8"/>
      <c r="AB1630" s="8"/>
      <c r="AC1630" s="8"/>
      <c r="AD1630" s="8"/>
      <c r="AE1630" s="8"/>
    </row>
    <row r="1631">
      <c r="A1631" s="12">
        <v>53.0</v>
      </c>
      <c r="B1631" s="8" t="s">
        <v>340</v>
      </c>
      <c r="C1631" s="8" t="s">
        <v>1179</v>
      </c>
      <c r="I1631" s="10" t="s">
        <v>1996</v>
      </c>
      <c r="J1631" s="13" t="s">
        <v>1207</v>
      </c>
      <c r="K1631" s="13" t="s">
        <v>272</v>
      </c>
      <c r="L1631" s="13" t="s">
        <v>1997</v>
      </c>
      <c r="M1631" s="7" t="s">
        <v>253</v>
      </c>
      <c r="N1631" s="7" t="s">
        <v>253</v>
      </c>
      <c r="O1631" s="7" t="s">
        <v>254</v>
      </c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  <c r="AA1631" s="8"/>
      <c r="AB1631" s="8"/>
      <c r="AC1631" s="8"/>
      <c r="AD1631" s="8"/>
      <c r="AE1631" s="8"/>
    </row>
    <row r="1632">
      <c r="A1632" s="12">
        <v>53.0</v>
      </c>
      <c r="B1632" s="8" t="s">
        <v>340</v>
      </c>
      <c r="C1632" s="8" t="s">
        <v>1179</v>
      </c>
      <c r="I1632" s="10" t="s">
        <v>1998</v>
      </c>
      <c r="J1632" s="13" t="s">
        <v>1203</v>
      </c>
      <c r="K1632" s="13" t="s">
        <v>272</v>
      </c>
      <c r="L1632" s="13" t="s">
        <v>1999</v>
      </c>
      <c r="M1632" s="7" t="s">
        <v>253</v>
      </c>
      <c r="N1632" s="7" t="s">
        <v>253</v>
      </c>
      <c r="O1632" s="7" t="s">
        <v>254</v>
      </c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  <c r="AA1632" s="8"/>
      <c r="AB1632" s="8"/>
      <c r="AC1632" s="8"/>
      <c r="AD1632" s="8"/>
      <c r="AE1632" s="8"/>
    </row>
    <row r="1633">
      <c r="A1633" s="12">
        <v>53.0</v>
      </c>
      <c r="B1633" s="8" t="s">
        <v>340</v>
      </c>
      <c r="C1633" s="8" t="s">
        <v>1179</v>
      </c>
      <c r="I1633" s="10" t="s">
        <v>473</v>
      </c>
      <c r="J1633" s="13" t="s">
        <v>1207</v>
      </c>
      <c r="K1633" s="13" t="s">
        <v>276</v>
      </c>
      <c r="L1633" s="13" t="s">
        <v>2000</v>
      </c>
      <c r="M1633" s="7" t="s">
        <v>253</v>
      </c>
      <c r="N1633" s="7" t="s">
        <v>253</v>
      </c>
      <c r="O1633" s="7" t="s">
        <v>254</v>
      </c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  <c r="AA1633" s="8"/>
      <c r="AB1633" s="8"/>
      <c r="AC1633" s="8"/>
      <c r="AD1633" s="8"/>
      <c r="AE1633" s="8"/>
    </row>
    <row r="1634">
      <c r="A1634" s="12">
        <v>53.0</v>
      </c>
      <c r="B1634" s="8" t="s">
        <v>340</v>
      </c>
      <c r="C1634" s="8" t="s">
        <v>1179</v>
      </c>
      <c r="I1634" s="10" t="s">
        <v>1976</v>
      </c>
      <c r="J1634" s="13" t="s">
        <v>1203</v>
      </c>
      <c r="K1634" s="13" t="s">
        <v>276</v>
      </c>
      <c r="L1634" s="13" t="s">
        <v>2000</v>
      </c>
      <c r="M1634" s="7" t="s">
        <v>253</v>
      </c>
      <c r="N1634" s="7" t="s">
        <v>253</v>
      </c>
      <c r="O1634" s="7" t="s">
        <v>254</v>
      </c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  <c r="AA1634" s="8"/>
      <c r="AB1634" s="8"/>
      <c r="AC1634" s="8"/>
      <c r="AD1634" s="8"/>
      <c r="AE1634" s="8"/>
    </row>
    <row r="1635">
      <c r="A1635" s="12">
        <v>53.0</v>
      </c>
      <c r="B1635" s="8" t="s">
        <v>340</v>
      </c>
      <c r="C1635" s="8" t="s">
        <v>1179</v>
      </c>
      <c r="I1635" s="10" t="s">
        <v>342</v>
      </c>
      <c r="J1635" s="13" t="s">
        <v>1207</v>
      </c>
      <c r="K1635" s="13" t="s">
        <v>276</v>
      </c>
      <c r="L1635" s="13" t="s">
        <v>2001</v>
      </c>
      <c r="M1635" s="7" t="s">
        <v>253</v>
      </c>
      <c r="N1635" s="7" t="s">
        <v>253</v>
      </c>
      <c r="O1635" s="7" t="s">
        <v>254</v>
      </c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  <c r="AA1635" s="8"/>
      <c r="AB1635" s="8"/>
      <c r="AC1635" s="8"/>
      <c r="AD1635" s="8"/>
      <c r="AE1635" s="8"/>
    </row>
    <row r="1636">
      <c r="A1636" s="12">
        <v>53.0</v>
      </c>
      <c r="B1636" s="8" t="s">
        <v>340</v>
      </c>
      <c r="C1636" s="8" t="s">
        <v>1179</v>
      </c>
      <c r="I1636" s="10" t="s">
        <v>2002</v>
      </c>
      <c r="J1636" s="13" t="s">
        <v>1203</v>
      </c>
      <c r="K1636" s="13" t="s">
        <v>276</v>
      </c>
      <c r="L1636" s="13" t="s">
        <v>2003</v>
      </c>
      <c r="M1636" s="7" t="s">
        <v>253</v>
      </c>
      <c r="N1636" s="7" t="s">
        <v>253</v>
      </c>
      <c r="O1636" s="7" t="s">
        <v>254</v>
      </c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  <c r="AA1636" s="8"/>
      <c r="AB1636" s="8"/>
      <c r="AC1636" s="8"/>
      <c r="AD1636" s="8"/>
      <c r="AE1636" s="8"/>
    </row>
    <row r="1637">
      <c r="A1637" s="12">
        <v>53.0</v>
      </c>
      <c r="B1637" s="8" t="s">
        <v>340</v>
      </c>
      <c r="C1637" s="8" t="s">
        <v>1179</v>
      </c>
      <c r="I1637" s="10" t="s">
        <v>309</v>
      </c>
      <c r="J1637" s="13" t="s">
        <v>1207</v>
      </c>
      <c r="K1637" s="13" t="s">
        <v>276</v>
      </c>
      <c r="L1637" s="13" t="s">
        <v>2001</v>
      </c>
      <c r="M1637" s="7" t="s">
        <v>253</v>
      </c>
      <c r="N1637" s="7" t="s">
        <v>253</v>
      </c>
      <c r="O1637" s="7" t="s">
        <v>254</v>
      </c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  <c r="AA1637" s="8"/>
      <c r="AB1637" s="8"/>
      <c r="AC1637" s="8"/>
      <c r="AD1637" s="8"/>
      <c r="AE1637" s="8"/>
    </row>
    <row r="1638">
      <c r="A1638" s="12">
        <v>53.0</v>
      </c>
      <c r="B1638" s="8" t="s">
        <v>340</v>
      </c>
      <c r="C1638" s="8" t="s">
        <v>1179</v>
      </c>
      <c r="I1638" s="10" t="s">
        <v>2004</v>
      </c>
      <c r="J1638" s="13" t="s">
        <v>1203</v>
      </c>
      <c r="K1638" s="13" t="s">
        <v>276</v>
      </c>
      <c r="L1638" s="13" t="s">
        <v>2003</v>
      </c>
      <c r="M1638" s="7" t="s">
        <v>253</v>
      </c>
      <c r="N1638" s="7" t="s">
        <v>253</v>
      </c>
      <c r="O1638" s="7" t="s">
        <v>254</v>
      </c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  <c r="AA1638" s="8"/>
      <c r="AB1638" s="8"/>
      <c r="AC1638" s="8"/>
      <c r="AD1638" s="8"/>
      <c r="AE1638" s="8"/>
    </row>
    <row r="1639">
      <c r="A1639" s="12">
        <v>53.0</v>
      </c>
      <c r="B1639" s="8" t="s">
        <v>340</v>
      </c>
      <c r="C1639" s="8" t="s">
        <v>1179</v>
      </c>
      <c r="I1639" s="10" t="s">
        <v>1235</v>
      </c>
      <c r="J1639" s="13" t="s">
        <v>1207</v>
      </c>
      <c r="K1639" s="13" t="s">
        <v>276</v>
      </c>
      <c r="L1639" s="13" t="s">
        <v>2001</v>
      </c>
      <c r="M1639" s="7" t="s">
        <v>253</v>
      </c>
      <c r="N1639" s="7" t="s">
        <v>253</v>
      </c>
      <c r="O1639" s="7" t="s">
        <v>254</v>
      </c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  <c r="AA1639" s="8"/>
      <c r="AB1639" s="8"/>
      <c r="AC1639" s="8"/>
      <c r="AD1639" s="8"/>
      <c r="AE1639" s="8"/>
    </row>
    <row r="1640">
      <c r="A1640" s="12">
        <v>53.0</v>
      </c>
      <c r="B1640" s="8" t="s">
        <v>340</v>
      </c>
      <c r="C1640" s="8" t="s">
        <v>1179</v>
      </c>
      <c r="I1640" s="10" t="s">
        <v>1558</v>
      </c>
      <c r="J1640" s="13" t="s">
        <v>1203</v>
      </c>
      <c r="K1640" s="13" t="s">
        <v>276</v>
      </c>
      <c r="L1640" s="13" t="s">
        <v>2001</v>
      </c>
      <c r="M1640" s="7" t="s">
        <v>253</v>
      </c>
      <c r="N1640" s="7" t="s">
        <v>253</v>
      </c>
      <c r="O1640" s="7" t="s">
        <v>254</v>
      </c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  <c r="AA1640" s="8"/>
      <c r="AB1640" s="8"/>
      <c r="AC1640" s="8"/>
      <c r="AD1640" s="8"/>
      <c r="AE1640" s="8"/>
    </row>
    <row r="1641">
      <c r="A1641" s="12">
        <v>53.0</v>
      </c>
      <c r="B1641" s="8" t="s">
        <v>340</v>
      </c>
      <c r="C1641" s="8" t="s">
        <v>1179</v>
      </c>
      <c r="I1641" s="10" t="s">
        <v>1937</v>
      </c>
      <c r="J1641" s="13" t="s">
        <v>1207</v>
      </c>
      <c r="K1641" s="13" t="s">
        <v>276</v>
      </c>
      <c r="L1641" s="13" t="s">
        <v>2003</v>
      </c>
      <c r="M1641" s="7" t="s">
        <v>253</v>
      </c>
      <c r="N1641" s="7" t="s">
        <v>253</v>
      </c>
      <c r="O1641" s="7" t="s">
        <v>254</v>
      </c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  <c r="AA1641" s="8"/>
      <c r="AB1641" s="8"/>
      <c r="AC1641" s="8"/>
      <c r="AD1641" s="8"/>
      <c r="AE1641" s="8"/>
    </row>
    <row r="1642">
      <c r="A1642" s="12">
        <v>53.0</v>
      </c>
      <c r="B1642" s="8" t="s">
        <v>340</v>
      </c>
      <c r="C1642" s="8" t="s">
        <v>1179</v>
      </c>
      <c r="I1642" s="10" t="s">
        <v>460</v>
      </c>
      <c r="J1642" s="13" t="s">
        <v>1203</v>
      </c>
      <c r="K1642" s="13" t="s">
        <v>276</v>
      </c>
      <c r="L1642" s="13" t="s">
        <v>2000</v>
      </c>
      <c r="M1642" s="7" t="s">
        <v>253</v>
      </c>
      <c r="N1642" s="7" t="s">
        <v>253</v>
      </c>
      <c r="O1642" s="7" t="s">
        <v>254</v>
      </c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  <c r="AA1642" s="8"/>
      <c r="AB1642" s="8"/>
      <c r="AC1642" s="8"/>
      <c r="AD1642" s="8"/>
      <c r="AE1642" s="8"/>
    </row>
    <row r="1643">
      <c r="A1643" s="12">
        <v>53.0</v>
      </c>
      <c r="B1643" s="8" t="s">
        <v>340</v>
      </c>
      <c r="C1643" s="8" t="s">
        <v>1179</v>
      </c>
      <c r="I1643" s="10" t="s">
        <v>2005</v>
      </c>
      <c r="J1643" s="13" t="s">
        <v>1207</v>
      </c>
      <c r="K1643" s="13" t="s">
        <v>276</v>
      </c>
      <c r="L1643" s="13" t="s">
        <v>2001</v>
      </c>
      <c r="M1643" s="7" t="s">
        <v>253</v>
      </c>
      <c r="N1643" s="7" t="s">
        <v>253</v>
      </c>
      <c r="O1643" s="7" t="s">
        <v>254</v>
      </c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  <c r="AA1643" s="8"/>
      <c r="AB1643" s="8"/>
      <c r="AC1643" s="8"/>
      <c r="AD1643" s="8"/>
      <c r="AE1643" s="8"/>
    </row>
    <row r="1644">
      <c r="A1644" s="12">
        <v>53.0</v>
      </c>
      <c r="B1644" s="8" t="s">
        <v>340</v>
      </c>
      <c r="C1644" s="8" t="s">
        <v>1179</v>
      </c>
      <c r="I1644" s="10" t="s">
        <v>483</v>
      </c>
      <c r="J1644" s="13" t="s">
        <v>1203</v>
      </c>
      <c r="K1644" s="13" t="s">
        <v>276</v>
      </c>
      <c r="L1644" s="13" t="s">
        <v>2000</v>
      </c>
      <c r="M1644" s="7" t="s">
        <v>253</v>
      </c>
      <c r="N1644" s="7" t="s">
        <v>253</v>
      </c>
      <c r="O1644" s="7" t="s">
        <v>254</v>
      </c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  <c r="AA1644" s="8"/>
      <c r="AB1644" s="8"/>
      <c r="AC1644" s="8"/>
      <c r="AD1644" s="8"/>
      <c r="AE1644" s="8"/>
    </row>
    <row r="1645">
      <c r="A1645" s="12">
        <v>53.0</v>
      </c>
      <c r="B1645" s="8" t="s">
        <v>340</v>
      </c>
      <c r="C1645" s="8" t="s">
        <v>1179</v>
      </c>
      <c r="I1645" s="10" t="s">
        <v>2006</v>
      </c>
      <c r="J1645" s="13" t="s">
        <v>1207</v>
      </c>
      <c r="K1645" s="13" t="s">
        <v>276</v>
      </c>
      <c r="L1645" s="13" t="s">
        <v>2000</v>
      </c>
      <c r="M1645" s="7" t="s">
        <v>253</v>
      </c>
      <c r="N1645" s="7" t="s">
        <v>253</v>
      </c>
      <c r="O1645" s="7" t="s">
        <v>254</v>
      </c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  <c r="AA1645" s="8"/>
      <c r="AB1645" s="8"/>
      <c r="AC1645" s="8"/>
      <c r="AD1645" s="8"/>
      <c r="AE1645" s="8"/>
    </row>
    <row r="1646">
      <c r="A1646" s="12">
        <v>53.0</v>
      </c>
      <c r="B1646" s="8" t="s">
        <v>340</v>
      </c>
      <c r="C1646" s="8" t="s">
        <v>1179</v>
      </c>
      <c r="I1646" s="10" t="s">
        <v>1594</v>
      </c>
      <c r="J1646" s="13" t="s">
        <v>1203</v>
      </c>
      <c r="K1646" s="13" t="s">
        <v>276</v>
      </c>
      <c r="L1646" s="13" t="s">
        <v>2007</v>
      </c>
      <c r="M1646" s="7" t="s">
        <v>253</v>
      </c>
      <c r="N1646" s="7" t="s">
        <v>253</v>
      </c>
      <c r="O1646" s="7" t="s">
        <v>254</v>
      </c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  <c r="AA1646" s="8"/>
      <c r="AB1646" s="8"/>
      <c r="AC1646" s="8"/>
      <c r="AD1646" s="8"/>
      <c r="AE1646" s="8"/>
    </row>
    <row r="1647">
      <c r="A1647" s="12">
        <v>54.0</v>
      </c>
      <c r="B1647" s="8" t="s">
        <v>341</v>
      </c>
      <c r="C1647" s="8" t="s">
        <v>1179</v>
      </c>
      <c r="D1647" s="25">
        <f>IF(COUNTIF($B$2:$B1647,$B1647)&gt;1,"",COUNTIF($B$2:$B$2505,$B1647))</f>
        <v>26</v>
      </c>
      <c r="E1647" s="25">
        <f>IF(COUNTIF($B$2:$B1647,$B1647)&gt;1,"",COUNTIFS($B$2:$B$2505,$B1647,$K$2:$K$2505,"PHÙ HỢP CAO"))</f>
        <v>4</v>
      </c>
      <c r="F1647" s="25">
        <f>IF(COUNTIF($B$2:$B1647,$B1647)&gt;1,"",COUNTIFS($B$2:$B$2505,$B1647,$K$2:$K$2505,"CÓ THỂ ĐI"))</f>
        <v>1</v>
      </c>
      <c r="G1647" s="25">
        <f>IF(COUNTIF($B$2:$B1647,$B1647)&gt;1,"",COUNTIFS($B$2:$B$2505,$B1647,$K$2:$K$2505,"CẦN SOÁT"))</f>
        <v>21</v>
      </c>
      <c r="H1647" s="26" t="str">
        <f>IFERROR(__xludf.DUMMYFUNCTION("IF(COUNTIF($B$2:$B1647,$B1647)&gt;1,"""",IFERROR(TEXTJOIN(CHAR(10),TRUE,BYROW(QUERY({$B$2:$B$2505,$J$2:$J$2505},""select Col2, count(Col2) where Col1 = '""&amp;$B1647&amp;""' group by Col2 order by count(Col2) desc label count(Col2) ''"",0),LAMBDA(r,INDEX(r,1,1)&amp;"" "&amp;"– ""&amp;INDEX(r,1,2)&amp;"" link""))),""""))"),"cách gửi mã QR ngân hàng – 13 link
gửi mã QR ngân hàng – 13 link")</f>
        <v>cách gửi mã QR ngân hàng – 13 link
gửi mã QR ngân hàng – 13 link</v>
      </c>
      <c r="I1647" s="10" t="s">
        <v>1210</v>
      </c>
      <c r="J1647" s="13" t="s">
        <v>1212</v>
      </c>
      <c r="K1647" s="13" t="s">
        <v>251</v>
      </c>
      <c r="L1647" s="13" t="s">
        <v>2008</v>
      </c>
      <c r="M1647" s="7" t="s">
        <v>253</v>
      </c>
      <c r="N1647" s="7" t="s">
        <v>253</v>
      </c>
      <c r="O1647" s="7" t="s">
        <v>254</v>
      </c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  <c r="AA1647" s="8"/>
      <c r="AB1647" s="8"/>
      <c r="AC1647" s="8"/>
      <c r="AD1647" s="8"/>
      <c r="AE1647" s="8"/>
    </row>
    <row r="1648">
      <c r="A1648" s="12">
        <v>54.0</v>
      </c>
      <c r="B1648" s="8" t="s">
        <v>341</v>
      </c>
      <c r="C1648" s="8" t="s">
        <v>1179</v>
      </c>
      <c r="I1648" s="10" t="s">
        <v>1213</v>
      </c>
      <c r="J1648" s="13" t="s">
        <v>1217</v>
      </c>
      <c r="K1648" s="13" t="s">
        <v>251</v>
      </c>
      <c r="L1648" s="13" t="s">
        <v>2009</v>
      </c>
      <c r="M1648" s="7" t="s">
        <v>253</v>
      </c>
      <c r="N1648" s="7" t="s">
        <v>253</v>
      </c>
      <c r="O1648" s="7" t="s">
        <v>254</v>
      </c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  <c r="AA1648" s="8"/>
      <c r="AB1648" s="8"/>
      <c r="AC1648" s="8"/>
      <c r="AD1648" s="8"/>
      <c r="AE1648" s="8"/>
    </row>
    <row r="1649">
      <c r="A1649" s="12">
        <v>54.0</v>
      </c>
      <c r="B1649" s="8" t="s">
        <v>341</v>
      </c>
      <c r="C1649" s="8" t="s">
        <v>1179</v>
      </c>
      <c r="I1649" s="10" t="s">
        <v>1218</v>
      </c>
      <c r="J1649" s="13" t="s">
        <v>1212</v>
      </c>
      <c r="K1649" s="13" t="s">
        <v>251</v>
      </c>
      <c r="L1649" s="13" t="s">
        <v>2010</v>
      </c>
      <c r="M1649" s="7" t="s">
        <v>253</v>
      </c>
      <c r="N1649" s="7" t="s">
        <v>253</v>
      </c>
      <c r="O1649" s="7" t="s">
        <v>254</v>
      </c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  <c r="AA1649" s="8"/>
      <c r="AB1649" s="8"/>
      <c r="AC1649" s="8"/>
      <c r="AD1649" s="8"/>
      <c r="AE1649" s="8"/>
    </row>
    <row r="1650">
      <c r="A1650" s="12">
        <v>54.0</v>
      </c>
      <c r="B1650" s="8" t="s">
        <v>341</v>
      </c>
      <c r="C1650" s="8" t="s">
        <v>1179</v>
      </c>
      <c r="I1650" s="10" t="s">
        <v>1221</v>
      </c>
      <c r="J1650" s="13" t="s">
        <v>1217</v>
      </c>
      <c r="K1650" s="13" t="s">
        <v>251</v>
      </c>
      <c r="L1650" s="13" t="s">
        <v>2011</v>
      </c>
      <c r="M1650" s="7" t="s">
        <v>253</v>
      </c>
      <c r="N1650" s="7" t="s">
        <v>253</v>
      </c>
      <c r="O1650" s="7" t="s">
        <v>254</v>
      </c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  <c r="AA1650" s="8"/>
      <c r="AB1650" s="8"/>
      <c r="AC1650" s="8"/>
      <c r="AD1650" s="8"/>
      <c r="AE1650" s="8"/>
    </row>
    <row r="1651">
      <c r="A1651" s="12">
        <v>54.0</v>
      </c>
      <c r="B1651" s="8" t="s">
        <v>341</v>
      </c>
      <c r="C1651" s="8" t="s">
        <v>1179</v>
      </c>
      <c r="I1651" s="10" t="s">
        <v>957</v>
      </c>
      <c r="J1651" s="13" t="s">
        <v>1212</v>
      </c>
      <c r="K1651" s="13" t="s">
        <v>272</v>
      </c>
      <c r="L1651" s="13" t="s">
        <v>2012</v>
      </c>
      <c r="M1651" s="7" t="s">
        <v>253</v>
      </c>
      <c r="N1651" s="7" t="s">
        <v>253</v>
      </c>
      <c r="O1651" s="7" t="s">
        <v>254</v>
      </c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  <c r="AA1651" s="8"/>
      <c r="AB1651" s="8"/>
      <c r="AC1651" s="8"/>
      <c r="AD1651" s="8"/>
      <c r="AE1651" s="8"/>
    </row>
    <row r="1652">
      <c r="A1652" s="12">
        <v>54.0</v>
      </c>
      <c r="B1652" s="8" t="s">
        <v>341</v>
      </c>
      <c r="C1652" s="8" t="s">
        <v>1179</v>
      </c>
      <c r="I1652" s="10" t="s">
        <v>1506</v>
      </c>
      <c r="J1652" s="13" t="s">
        <v>1217</v>
      </c>
      <c r="K1652" s="13" t="s">
        <v>276</v>
      </c>
      <c r="L1652" s="13" t="s">
        <v>2013</v>
      </c>
      <c r="M1652" s="7" t="s">
        <v>253</v>
      </c>
      <c r="N1652" s="7" t="s">
        <v>253</v>
      </c>
      <c r="O1652" s="7" t="s">
        <v>254</v>
      </c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  <c r="AA1652" s="8"/>
      <c r="AB1652" s="8"/>
      <c r="AC1652" s="8"/>
      <c r="AD1652" s="8"/>
      <c r="AE1652" s="8"/>
    </row>
    <row r="1653">
      <c r="A1653" s="12">
        <v>54.0</v>
      </c>
      <c r="B1653" s="8" t="s">
        <v>341</v>
      </c>
      <c r="C1653" s="8" t="s">
        <v>1179</v>
      </c>
      <c r="I1653" s="10" t="s">
        <v>1515</v>
      </c>
      <c r="J1653" s="13" t="s">
        <v>1212</v>
      </c>
      <c r="K1653" s="13" t="s">
        <v>276</v>
      </c>
      <c r="L1653" s="13" t="s">
        <v>2013</v>
      </c>
      <c r="M1653" s="7" t="s">
        <v>253</v>
      </c>
      <c r="N1653" s="7" t="s">
        <v>253</v>
      </c>
      <c r="O1653" s="7" t="s">
        <v>254</v>
      </c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  <c r="AA1653" s="8"/>
      <c r="AB1653" s="8"/>
      <c r="AC1653" s="8"/>
      <c r="AD1653" s="8"/>
      <c r="AE1653" s="8"/>
    </row>
    <row r="1654">
      <c r="A1654" s="12">
        <v>54.0</v>
      </c>
      <c r="B1654" s="8" t="s">
        <v>341</v>
      </c>
      <c r="C1654" s="8" t="s">
        <v>1179</v>
      </c>
      <c r="I1654" s="10" t="s">
        <v>1518</v>
      </c>
      <c r="J1654" s="13" t="s">
        <v>1217</v>
      </c>
      <c r="K1654" s="13" t="s">
        <v>276</v>
      </c>
      <c r="L1654" s="13" t="s">
        <v>2013</v>
      </c>
      <c r="M1654" s="7" t="s">
        <v>253</v>
      </c>
      <c r="N1654" s="7" t="s">
        <v>253</v>
      </c>
      <c r="O1654" s="7" t="s">
        <v>254</v>
      </c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  <c r="AA1654" s="8"/>
      <c r="AB1654" s="8"/>
      <c r="AC1654" s="8"/>
      <c r="AD1654" s="8"/>
      <c r="AE1654" s="8"/>
    </row>
    <row r="1655">
      <c r="A1655" s="12">
        <v>54.0</v>
      </c>
      <c r="B1655" s="8" t="s">
        <v>341</v>
      </c>
      <c r="C1655" s="8" t="s">
        <v>1179</v>
      </c>
      <c r="I1655" s="10" t="s">
        <v>1520</v>
      </c>
      <c r="J1655" s="13" t="s">
        <v>1212</v>
      </c>
      <c r="K1655" s="13" t="s">
        <v>276</v>
      </c>
      <c r="L1655" s="13" t="s">
        <v>2013</v>
      </c>
      <c r="M1655" s="7" t="s">
        <v>253</v>
      </c>
      <c r="N1655" s="7" t="s">
        <v>253</v>
      </c>
      <c r="O1655" s="7" t="s">
        <v>254</v>
      </c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  <c r="AA1655" s="8"/>
      <c r="AB1655" s="8"/>
      <c r="AC1655" s="8"/>
      <c r="AD1655" s="8"/>
      <c r="AE1655" s="8"/>
    </row>
    <row r="1656">
      <c r="A1656" s="12">
        <v>54.0</v>
      </c>
      <c r="B1656" s="8" t="s">
        <v>341</v>
      </c>
      <c r="C1656" s="8" t="s">
        <v>1179</v>
      </c>
      <c r="I1656" s="10" t="s">
        <v>1998</v>
      </c>
      <c r="J1656" s="13" t="s">
        <v>1217</v>
      </c>
      <c r="K1656" s="13" t="s">
        <v>276</v>
      </c>
      <c r="L1656" s="13" t="s">
        <v>2014</v>
      </c>
      <c r="M1656" s="7" t="s">
        <v>253</v>
      </c>
      <c r="N1656" s="7" t="s">
        <v>253</v>
      </c>
      <c r="O1656" s="7" t="s">
        <v>254</v>
      </c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  <c r="AA1656" s="8"/>
      <c r="AB1656" s="8"/>
      <c r="AC1656" s="8"/>
      <c r="AD1656" s="8"/>
      <c r="AE1656" s="8"/>
    </row>
    <row r="1657">
      <c r="A1657" s="12">
        <v>54.0</v>
      </c>
      <c r="B1657" s="8" t="s">
        <v>341</v>
      </c>
      <c r="C1657" s="8" t="s">
        <v>1179</v>
      </c>
      <c r="I1657" s="10" t="s">
        <v>1535</v>
      </c>
      <c r="J1657" s="13" t="s">
        <v>1212</v>
      </c>
      <c r="K1657" s="13" t="s">
        <v>276</v>
      </c>
      <c r="L1657" s="13" t="s">
        <v>2013</v>
      </c>
      <c r="M1657" s="7" t="s">
        <v>253</v>
      </c>
      <c r="N1657" s="7" t="s">
        <v>253</v>
      </c>
      <c r="O1657" s="7" t="s">
        <v>254</v>
      </c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  <c r="AA1657" s="8"/>
      <c r="AB1657" s="8"/>
      <c r="AC1657" s="8"/>
      <c r="AD1657" s="8"/>
      <c r="AE1657" s="8"/>
    </row>
    <row r="1658">
      <c r="A1658" s="12">
        <v>54.0</v>
      </c>
      <c r="B1658" s="8" t="s">
        <v>341</v>
      </c>
      <c r="C1658" s="8" t="s">
        <v>1179</v>
      </c>
      <c r="I1658" s="10" t="s">
        <v>1540</v>
      </c>
      <c r="J1658" s="13" t="s">
        <v>1217</v>
      </c>
      <c r="K1658" s="13" t="s">
        <v>276</v>
      </c>
      <c r="L1658" s="13" t="s">
        <v>2013</v>
      </c>
      <c r="M1658" s="7" t="s">
        <v>253</v>
      </c>
      <c r="N1658" s="7" t="s">
        <v>253</v>
      </c>
      <c r="O1658" s="7" t="s">
        <v>254</v>
      </c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  <c r="AA1658" s="8"/>
      <c r="AB1658" s="8"/>
      <c r="AC1658" s="8"/>
      <c r="AD1658" s="8"/>
      <c r="AE1658" s="8"/>
    </row>
    <row r="1659">
      <c r="A1659" s="12">
        <v>54.0</v>
      </c>
      <c r="B1659" s="8" t="s">
        <v>341</v>
      </c>
      <c r="C1659" s="8" t="s">
        <v>1179</v>
      </c>
      <c r="I1659" s="10" t="s">
        <v>1543</v>
      </c>
      <c r="J1659" s="13" t="s">
        <v>1212</v>
      </c>
      <c r="K1659" s="13" t="s">
        <v>276</v>
      </c>
      <c r="L1659" s="13" t="s">
        <v>2013</v>
      </c>
      <c r="M1659" s="7" t="s">
        <v>253</v>
      </c>
      <c r="N1659" s="7" t="s">
        <v>253</v>
      </c>
      <c r="O1659" s="7" t="s">
        <v>254</v>
      </c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  <c r="AA1659" s="8"/>
      <c r="AB1659" s="8"/>
      <c r="AC1659" s="8"/>
      <c r="AD1659" s="8"/>
      <c r="AE1659" s="8"/>
    </row>
    <row r="1660">
      <c r="A1660" s="12">
        <v>54.0</v>
      </c>
      <c r="B1660" s="8" t="s">
        <v>341</v>
      </c>
      <c r="C1660" s="8" t="s">
        <v>1179</v>
      </c>
      <c r="I1660" s="10" t="s">
        <v>1544</v>
      </c>
      <c r="J1660" s="13" t="s">
        <v>1217</v>
      </c>
      <c r="K1660" s="13" t="s">
        <v>276</v>
      </c>
      <c r="L1660" s="13" t="s">
        <v>2013</v>
      </c>
      <c r="M1660" s="7" t="s">
        <v>253</v>
      </c>
      <c r="N1660" s="7" t="s">
        <v>253</v>
      </c>
      <c r="O1660" s="7" t="s">
        <v>254</v>
      </c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  <c r="AA1660" s="8"/>
      <c r="AB1660" s="8"/>
      <c r="AC1660" s="8"/>
      <c r="AD1660" s="8"/>
      <c r="AE1660" s="8"/>
    </row>
    <row r="1661">
      <c r="A1661" s="12">
        <v>54.0</v>
      </c>
      <c r="B1661" s="8" t="s">
        <v>341</v>
      </c>
      <c r="C1661" s="8" t="s">
        <v>1179</v>
      </c>
      <c r="I1661" s="10" t="s">
        <v>1545</v>
      </c>
      <c r="J1661" s="13" t="s">
        <v>1212</v>
      </c>
      <c r="K1661" s="13" t="s">
        <v>276</v>
      </c>
      <c r="L1661" s="13" t="s">
        <v>2013</v>
      </c>
      <c r="M1661" s="7" t="s">
        <v>253</v>
      </c>
      <c r="N1661" s="7" t="s">
        <v>253</v>
      </c>
      <c r="O1661" s="7" t="s">
        <v>254</v>
      </c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  <c r="AA1661" s="8"/>
      <c r="AB1661" s="8"/>
      <c r="AC1661" s="8"/>
      <c r="AD1661" s="8"/>
      <c r="AE1661" s="8"/>
    </row>
    <row r="1662">
      <c r="A1662" s="12">
        <v>54.0</v>
      </c>
      <c r="B1662" s="8" t="s">
        <v>341</v>
      </c>
      <c r="C1662" s="8" t="s">
        <v>1179</v>
      </c>
      <c r="I1662" s="10" t="s">
        <v>969</v>
      </c>
      <c r="J1662" s="13" t="s">
        <v>1217</v>
      </c>
      <c r="K1662" s="13" t="s">
        <v>276</v>
      </c>
      <c r="L1662" s="13" t="s">
        <v>2013</v>
      </c>
      <c r="M1662" s="7" t="s">
        <v>253</v>
      </c>
      <c r="N1662" s="7" t="s">
        <v>253</v>
      </c>
      <c r="O1662" s="7" t="s">
        <v>254</v>
      </c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  <c r="AA1662" s="8"/>
      <c r="AB1662" s="8"/>
      <c r="AC1662" s="8"/>
      <c r="AD1662" s="8"/>
      <c r="AE1662" s="8"/>
    </row>
    <row r="1663">
      <c r="A1663" s="12">
        <v>54.0</v>
      </c>
      <c r="B1663" s="8" t="s">
        <v>341</v>
      </c>
      <c r="C1663" s="8" t="s">
        <v>1179</v>
      </c>
      <c r="I1663" s="10" t="s">
        <v>1546</v>
      </c>
      <c r="J1663" s="13" t="s">
        <v>1212</v>
      </c>
      <c r="K1663" s="13" t="s">
        <v>276</v>
      </c>
      <c r="L1663" s="13" t="s">
        <v>2013</v>
      </c>
      <c r="M1663" s="7" t="s">
        <v>253</v>
      </c>
      <c r="N1663" s="7" t="s">
        <v>253</v>
      </c>
      <c r="O1663" s="7" t="s">
        <v>254</v>
      </c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  <c r="AA1663" s="8"/>
      <c r="AB1663" s="8"/>
      <c r="AC1663" s="8"/>
      <c r="AD1663" s="8"/>
      <c r="AE1663" s="8"/>
    </row>
    <row r="1664">
      <c r="A1664" s="12">
        <v>54.0</v>
      </c>
      <c r="B1664" s="8" t="s">
        <v>341</v>
      </c>
      <c r="C1664" s="8" t="s">
        <v>1179</v>
      </c>
      <c r="I1664" s="10" t="s">
        <v>789</v>
      </c>
      <c r="J1664" s="13" t="s">
        <v>1217</v>
      </c>
      <c r="K1664" s="13" t="s">
        <v>276</v>
      </c>
      <c r="L1664" s="13" t="s">
        <v>2013</v>
      </c>
      <c r="M1664" s="7" t="s">
        <v>253</v>
      </c>
      <c r="N1664" s="7" t="s">
        <v>253</v>
      </c>
      <c r="O1664" s="7" t="s">
        <v>254</v>
      </c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  <c r="AA1664" s="8"/>
      <c r="AB1664" s="8"/>
      <c r="AC1664" s="8"/>
      <c r="AD1664" s="8"/>
      <c r="AE1664" s="8"/>
    </row>
    <row r="1665">
      <c r="A1665" s="12">
        <v>54.0</v>
      </c>
      <c r="B1665" s="8" t="s">
        <v>341</v>
      </c>
      <c r="C1665" s="8" t="s">
        <v>1179</v>
      </c>
      <c r="I1665" s="10" t="s">
        <v>1547</v>
      </c>
      <c r="J1665" s="13" t="s">
        <v>1212</v>
      </c>
      <c r="K1665" s="13" t="s">
        <v>276</v>
      </c>
      <c r="L1665" s="13" t="s">
        <v>2013</v>
      </c>
      <c r="M1665" s="7" t="s">
        <v>253</v>
      </c>
      <c r="N1665" s="7" t="s">
        <v>253</v>
      </c>
      <c r="O1665" s="7" t="s">
        <v>254</v>
      </c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  <c r="AA1665" s="8"/>
      <c r="AB1665" s="8"/>
      <c r="AC1665" s="8"/>
      <c r="AD1665" s="8"/>
      <c r="AE1665" s="8"/>
    </row>
    <row r="1666">
      <c r="A1666" s="12">
        <v>54.0</v>
      </c>
      <c r="B1666" s="8" t="s">
        <v>341</v>
      </c>
      <c r="C1666" s="8" t="s">
        <v>1179</v>
      </c>
      <c r="I1666" s="10" t="s">
        <v>1548</v>
      </c>
      <c r="J1666" s="13" t="s">
        <v>1217</v>
      </c>
      <c r="K1666" s="13" t="s">
        <v>276</v>
      </c>
      <c r="L1666" s="13" t="s">
        <v>2013</v>
      </c>
      <c r="M1666" s="7" t="s">
        <v>253</v>
      </c>
      <c r="N1666" s="7" t="s">
        <v>253</v>
      </c>
      <c r="O1666" s="7" t="s">
        <v>254</v>
      </c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  <c r="AA1666" s="8"/>
      <c r="AB1666" s="8"/>
      <c r="AC1666" s="8"/>
      <c r="AD1666" s="8"/>
      <c r="AE1666" s="8"/>
    </row>
    <row r="1667">
      <c r="A1667" s="12">
        <v>54.0</v>
      </c>
      <c r="B1667" s="8" t="s">
        <v>341</v>
      </c>
      <c r="C1667" s="8" t="s">
        <v>1179</v>
      </c>
      <c r="I1667" s="10" t="s">
        <v>284</v>
      </c>
      <c r="J1667" s="13" t="s">
        <v>1212</v>
      </c>
      <c r="K1667" s="13" t="s">
        <v>276</v>
      </c>
      <c r="L1667" s="13" t="s">
        <v>2013</v>
      </c>
      <c r="M1667" s="7" t="s">
        <v>253</v>
      </c>
      <c r="N1667" s="7" t="s">
        <v>253</v>
      </c>
      <c r="O1667" s="7" t="s">
        <v>254</v>
      </c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  <c r="AA1667" s="8"/>
      <c r="AB1667" s="8"/>
      <c r="AC1667" s="8"/>
      <c r="AD1667" s="8"/>
      <c r="AE1667" s="8"/>
    </row>
    <row r="1668">
      <c r="A1668" s="12">
        <v>54.0</v>
      </c>
      <c r="B1668" s="8" t="s">
        <v>341</v>
      </c>
      <c r="C1668" s="8" t="s">
        <v>1179</v>
      </c>
      <c r="I1668" s="10" t="s">
        <v>990</v>
      </c>
      <c r="J1668" s="13" t="s">
        <v>1217</v>
      </c>
      <c r="K1668" s="13" t="s">
        <v>276</v>
      </c>
      <c r="L1668" s="13" t="s">
        <v>2013</v>
      </c>
      <c r="M1668" s="7" t="s">
        <v>253</v>
      </c>
      <c r="N1668" s="7" t="s">
        <v>253</v>
      </c>
      <c r="O1668" s="7" t="s">
        <v>254</v>
      </c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  <c r="AA1668" s="8"/>
      <c r="AB1668" s="8"/>
      <c r="AC1668" s="8"/>
      <c r="AD1668" s="8"/>
      <c r="AE1668" s="8"/>
    </row>
    <row r="1669">
      <c r="A1669" s="12">
        <v>54.0</v>
      </c>
      <c r="B1669" s="8" t="s">
        <v>341</v>
      </c>
      <c r="C1669" s="8" t="s">
        <v>1179</v>
      </c>
      <c r="I1669" s="10" t="s">
        <v>792</v>
      </c>
      <c r="J1669" s="13" t="s">
        <v>1212</v>
      </c>
      <c r="K1669" s="13" t="s">
        <v>276</v>
      </c>
      <c r="L1669" s="13" t="s">
        <v>2013</v>
      </c>
      <c r="M1669" s="7" t="s">
        <v>253</v>
      </c>
      <c r="N1669" s="7" t="s">
        <v>253</v>
      </c>
      <c r="O1669" s="7" t="s">
        <v>254</v>
      </c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  <c r="AA1669" s="8"/>
      <c r="AB1669" s="8"/>
      <c r="AC1669" s="8"/>
      <c r="AD1669" s="8"/>
      <c r="AE1669" s="8"/>
    </row>
    <row r="1670">
      <c r="A1670" s="12">
        <v>54.0</v>
      </c>
      <c r="B1670" s="8" t="s">
        <v>341</v>
      </c>
      <c r="C1670" s="8" t="s">
        <v>1179</v>
      </c>
      <c r="I1670" s="10" t="s">
        <v>683</v>
      </c>
      <c r="J1670" s="13" t="s">
        <v>1217</v>
      </c>
      <c r="K1670" s="13" t="s">
        <v>276</v>
      </c>
      <c r="L1670" s="13" t="s">
        <v>2013</v>
      </c>
      <c r="M1670" s="7" t="s">
        <v>253</v>
      </c>
      <c r="N1670" s="7" t="s">
        <v>253</v>
      </c>
      <c r="O1670" s="7" t="s">
        <v>254</v>
      </c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  <c r="AA1670" s="8"/>
      <c r="AB1670" s="8"/>
      <c r="AC1670" s="8"/>
      <c r="AD1670" s="8"/>
      <c r="AE1670" s="8"/>
    </row>
    <row r="1671">
      <c r="A1671" s="12">
        <v>54.0</v>
      </c>
      <c r="B1671" s="8" t="s">
        <v>341</v>
      </c>
      <c r="C1671" s="8" t="s">
        <v>1179</v>
      </c>
      <c r="I1671" s="10" t="s">
        <v>1009</v>
      </c>
      <c r="J1671" s="13" t="s">
        <v>1212</v>
      </c>
      <c r="K1671" s="13" t="s">
        <v>276</v>
      </c>
      <c r="L1671" s="13" t="s">
        <v>2013</v>
      </c>
      <c r="M1671" s="7" t="s">
        <v>253</v>
      </c>
      <c r="N1671" s="7" t="s">
        <v>253</v>
      </c>
      <c r="O1671" s="7" t="s">
        <v>254</v>
      </c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  <c r="AA1671" s="8"/>
      <c r="AB1671" s="8"/>
      <c r="AC1671" s="8"/>
      <c r="AD1671" s="8"/>
      <c r="AE1671" s="8"/>
    </row>
    <row r="1672">
      <c r="A1672" s="12">
        <v>54.0</v>
      </c>
      <c r="B1672" s="8" t="s">
        <v>341</v>
      </c>
      <c r="C1672" s="8" t="s">
        <v>1179</v>
      </c>
      <c r="I1672" s="10" t="s">
        <v>1075</v>
      </c>
      <c r="J1672" s="13" t="s">
        <v>1217</v>
      </c>
      <c r="K1672" s="13" t="s">
        <v>276</v>
      </c>
      <c r="L1672" s="13" t="s">
        <v>2014</v>
      </c>
      <c r="M1672" s="7" t="s">
        <v>253</v>
      </c>
      <c r="N1672" s="7" t="s">
        <v>253</v>
      </c>
      <c r="O1672" s="7" t="s">
        <v>254</v>
      </c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  <c r="AA1672" s="8"/>
      <c r="AB1672" s="8"/>
      <c r="AC1672" s="8"/>
      <c r="AD1672" s="8"/>
      <c r="AE1672" s="8"/>
    </row>
    <row r="1673">
      <c r="A1673" s="12">
        <v>55.0</v>
      </c>
      <c r="B1673" s="8" t="s">
        <v>342</v>
      </c>
      <c r="C1673" s="8" t="s">
        <v>1179</v>
      </c>
      <c r="D1673" s="25">
        <f>IF(COUNTIF($B$2:$B1673,$B1673)&gt;1,"",COUNTIF($B$2:$B$2505,$B1673))</f>
        <v>52</v>
      </c>
      <c r="E1673" s="25">
        <f>IF(COUNTIF($B$2:$B1673,$B1673)&gt;1,"",COUNTIFS($B$2:$B$2505,$B1673,$K$2:$K$2505,"PHÙ HỢP CAO"))</f>
        <v>3</v>
      </c>
      <c r="F1673" s="25">
        <f>IF(COUNTIF($B$2:$B1673,$B1673)&gt;1,"",COUNTIFS($B$2:$B$2505,$B1673,$K$2:$K$2505,"CÓ THỂ ĐI"))</f>
        <v>2</v>
      </c>
      <c r="G1673" s="25">
        <f>IF(COUNTIF($B$2:$B1673,$B1673)&gt;1,"",COUNTIFS($B$2:$B$2505,$B1673,$K$2:$K$2505,"CẦN SOÁT"))</f>
        <v>47</v>
      </c>
      <c r="H1673" s="26" t="str">
        <f>IFERROR(__xludf.DUMMYFUNCTION("IF(COUNTIF($B$2:$B1673,$B1673)&gt;1,"""",IFERROR(TEXTJOIN(CHAR(10),TRUE,BYROW(QUERY({$B$2:$B$2505,$J$2:$J$2505},""select Col2, count(Col2) where Col1 = '""&amp;$B1673&amp;""' group by Col2 order by count(Col2) desc label count(Col2) ''"",0),LAMBDA(r,INDEX(r,1,1)&amp;"" "&amp;"– ""&amp;INDEX(r,1,2)&amp;"" link""))),""""))"),"mở tài khoản hộ kinh doanh – 18 link
cách mở tài khoản hộ kinh doanh – 17 link
tài khoản hộ kinh doanh – 17 link")</f>
        <v>mở tài khoản hộ kinh doanh – 18 link
cách mở tài khoản hộ kinh doanh – 17 link
tài khoản hộ kinh doanh – 17 link</v>
      </c>
      <c r="I1673" s="10" t="s">
        <v>407</v>
      </c>
      <c r="J1673" s="13" t="s">
        <v>1227</v>
      </c>
      <c r="K1673" s="13" t="s">
        <v>251</v>
      </c>
      <c r="L1673" s="13" t="s">
        <v>2015</v>
      </c>
      <c r="M1673" s="7" t="s">
        <v>253</v>
      </c>
      <c r="N1673" s="7" t="s">
        <v>253</v>
      </c>
      <c r="O1673" s="7" t="s">
        <v>254</v>
      </c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  <c r="AA1673" s="8"/>
      <c r="AB1673" s="8"/>
      <c r="AC1673" s="8"/>
      <c r="AD1673" s="8"/>
      <c r="AE1673" s="8"/>
    </row>
    <row r="1674">
      <c r="A1674" s="12">
        <v>55.0</v>
      </c>
      <c r="B1674" s="8" t="s">
        <v>342</v>
      </c>
      <c r="C1674" s="8" t="s">
        <v>1179</v>
      </c>
      <c r="I1674" s="10" t="s">
        <v>1228</v>
      </c>
      <c r="J1674" s="13" t="s">
        <v>1230</v>
      </c>
      <c r="K1674" s="13" t="s">
        <v>251</v>
      </c>
      <c r="L1674" s="13" t="s">
        <v>2016</v>
      </c>
      <c r="M1674" s="7" t="s">
        <v>253</v>
      </c>
      <c r="N1674" s="7" t="s">
        <v>253</v>
      </c>
      <c r="O1674" s="7" t="s">
        <v>254</v>
      </c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  <c r="AA1674" s="8"/>
      <c r="AB1674" s="8"/>
      <c r="AC1674" s="8"/>
      <c r="AD1674" s="8"/>
      <c r="AE1674" s="8"/>
    </row>
    <row r="1675">
      <c r="A1675" s="12">
        <v>55.0</v>
      </c>
      <c r="B1675" s="8" t="s">
        <v>342</v>
      </c>
      <c r="C1675" s="8" t="s">
        <v>1179</v>
      </c>
      <c r="I1675" s="10" t="s">
        <v>730</v>
      </c>
      <c r="J1675" s="13" t="s">
        <v>1232</v>
      </c>
      <c r="K1675" s="13" t="s">
        <v>251</v>
      </c>
      <c r="L1675" s="13" t="s">
        <v>2017</v>
      </c>
      <c r="M1675" s="7" t="s">
        <v>253</v>
      </c>
      <c r="N1675" s="7" t="s">
        <v>253</v>
      </c>
      <c r="O1675" s="7" t="s">
        <v>254</v>
      </c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  <c r="AA1675" s="8"/>
      <c r="AB1675" s="8"/>
      <c r="AC1675" s="8"/>
      <c r="AD1675" s="8"/>
      <c r="AE1675" s="8"/>
    </row>
    <row r="1676">
      <c r="A1676" s="12">
        <v>55.0</v>
      </c>
      <c r="B1676" s="8" t="s">
        <v>342</v>
      </c>
      <c r="C1676" s="8" t="s">
        <v>1179</v>
      </c>
      <c r="I1676" s="10" t="s">
        <v>1233</v>
      </c>
      <c r="J1676" s="13" t="s">
        <v>1227</v>
      </c>
      <c r="K1676" s="13" t="s">
        <v>272</v>
      </c>
      <c r="L1676" s="13" t="s">
        <v>2018</v>
      </c>
      <c r="M1676" s="7" t="s">
        <v>253</v>
      </c>
      <c r="N1676" s="7" t="s">
        <v>253</v>
      </c>
      <c r="O1676" s="7" t="s">
        <v>254</v>
      </c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  <c r="AA1676" s="8"/>
      <c r="AB1676" s="8"/>
      <c r="AC1676" s="8"/>
      <c r="AD1676" s="8"/>
      <c r="AE1676" s="8"/>
    </row>
    <row r="1677">
      <c r="A1677" s="12">
        <v>55.0</v>
      </c>
      <c r="B1677" s="8" t="s">
        <v>342</v>
      </c>
      <c r="C1677" s="8" t="s">
        <v>1179</v>
      </c>
      <c r="I1677" s="10" t="s">
        <v>1235</v>
      </c>
      <c r="J1677" s="13" t="s">
        <v>1230</v>
      </c>
      <c r="K1677" s="13" t="s">
        <v>272</v>
      </c>
      <c r="L1677" s="13" t="s">
        <v>2019</v>
      </c>
      <c r="M1677" s="7" t="s">
        <v>253</v>
      </c>
      <c r="N1677" s="7" t="s">
        <v>253</v>
      </c>
      <c r="O1677" s="7" t="s">
        <v>254</v>
      </c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  <c r="AA1677" s="8"/>
      <c r="AB1677" s="8"/>
      <c r="AC1677" s="8"/>
      <c r="AD1677" s="8"/>
      <c r="AE1677" s="8"/>
    </row>
    <row r="1678">
      <c r="A1678" s="12">
        <v>55.0</v>
      </c>
      <c r="B1678" s="8" t="s">
        <v>342</v>
      </c>
      <c r="C1678" s="8" t="s">
        <v>1179</v>
      </c>
      <c r="I1678" s="10" t="s">
        <v>1180</v>
      </c>
      <c r="J1678" s="13" t="s">
        <v>1232</v>
      </c>
      <c r="K1678" s="13" t="s">
        <v>276</v>
      </c>
      <c r="L1678" s="13" t="s">
        <v>1972</v>
      </c>
      <c r="M1678" s="7" t="s">
        <v>253</v>
      </c>
      <c r="N1678" s="7" t="s">
        <v>253</v>
      </c>
      <c r="O1678" s="7" t="s">
        <v>254</v>
      </c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  <c r="AA1678" s="8"/>
      <c r="AB1678" s="8"/>
      <c r="AC1678" s="8"/>
      <c r="AD1678" s="8"/>
      <c r="AE1678" s="8"/>
    </row>
    <row r="1679">
      <c r="A1679" s="12">
        <v>55.0</v>
      </c>
      <c r="B1679" s="8" t="s">
        <v>342</v>
      </c>
      <c r="C1679" s="8" t="s">
        <v>1179</v>
      </c>
      <c r="I1679" s="10" t="s">
        <v>1198</v>
      </c>
      <c r="J1679" s="13" t="s">
        <v>1227</v>
      </c>
      <c r="K1679" s="13" t="s">
        <v>276</v>
      </c>
      <c r="L1679" s="13" t="s">
        <v>1972</v>
      </c>
      <c r="M1679" s="7" t="s">
        <v>253</v>
      </c>
      <c r="N1679" s="7" t="s">
        <v>253</v>
      </c>
      <c r="O1679" s="7" t="s">
        <v>254</v>
      </c>
      <c r="P1679" s="13" t="s">
        <v>300</v>
      </c>
      <c r="Q1679" s="8"/>
      <c r="R1679" s="8"/>
      <c r="S1679" s="8"/>
      <c r="T1679" s="8"/>
      <c r="U1679" s="8"/>
      <c r="V1679" s="8"/>
      <c r="W1679" s="8"/>
      <c r="X1679" s="8"/>
      <c r="Y1679" s="8"/>
      <c r="Z1679" s="8"/>
      <c r="AA1679" s="8"/>
      <c r="AB1679" s="8"/>
      <c r="AC1679" s="8"/>
      <c r="AD1679" s="8"/>
      <c r="AE1679" s="8"/>
    </row>
    <row r="1680">
      <c r="A1680" s="12">
        <v>55.0</v>
      </c>
      <c r="B1680" s="8" t="s">
        <v>342</v>
      </c>
      <c r="C1680" s="8" t="s">
        <v>1179</v>
      </c>
      <c r="I1680" s="10" t="s">
        <v>1210</v>
      </c>
      <c r="J1680" s="13" t="s">
        <v>1230</v>
      </c>
      <c r="K1680" s="13" t="s">
        <v>276</v>
      </c>
      <c r="L1680" s="13" t="s">
        <v>1972</v>
      </c>
      <c r="M1680" s="7" t="s">
        <v>253</v>
      </c>
      <c r="N1680" s="7" t="s">
        <v>253</v>
      </c>
      <c r="O1680" s="7" t="s">
        <v>254</v>
      </c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  <c r="AA1680" s="8"/>
      <c r="AB1680" s="8"/>
      <c r="AC1680" s="8"/>
      <c r="AD1680" s="8"/>
      <c r="AE1680" s="8"/>
    </row>
    <row r="1681">
      <c r="A1681" s="12">
        <v>55.0</v>
      </c>
      <c r="B1681" s="8" t="s">
        <v>342</v>
      </c>
      <c r="C1681" s="8" t="s">
        <v>1179</v>
      </c>
      <c r="I1681" s="10" t="s">
        <v>343</v>
      </c>
      <c r="J1681" s="13" t="s">
        <v>1232</v>
      </c>
      <c r="K1681" s="13" t="s">
        <v>276</v>
      </c>
      <c r="L1681" s="13" t="s">
        <v>1972</v>
      </c>
      <c r="M1681" s="7" t="s">
        <v>253</v>
      </c>
      <c r="N1681" s="7" t="s">
        <v>253</v>
      </c>
      <c r="O1681" s="7" t="s">
        <v>254</v>
      </c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  <c r="AA1681" s="8"/>
      <c r="AB1681" s="8"/>
      <c r="AC1681" s="8"/>
      <c r="AD1681" s="8"/>
      <c r="AE1681" s="8"/>
    </row>
    <row r="1682">
      <c r="A1682" s="12">
        <v>55.0</v>
      </c>
      <c r="B1682" s="8" t="s">
        <v>342</v>
      </c>
      <c r="C1682" s="8" t="s">
        <v>1179</v>
      </c>
      <c r="I1682" s="10" t="s">
        <v>1973</v>
      </c>
      <c r="J1682" s="13" t="s">
        <v>1227</v>
      </c>
      <c r="K1682" s="13" t="s">
        <v>276</v>
      </c>
      <c r="L1682" s="13" t="s">
        <v>1972</v>
      </c>
      <c r="M1682" s="7" t="s">
        <v>253</v>
      </c>
      <c r="N1682" s="7" t="s">
        <v>253</v>
      </c>
      <c r="O1682" s="7" t="s">
        <v>254</v>
      </c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  <c r="AA1682" s="8"/>
      <c r="AB1682" s="8"/>
      <c r="AC1682" s="8"/>
      <c r="AD1682" s="8"/>
      <c r="AE1682" s="8"/>
    </row>
    <row r="1683">
      <c r="A1683" s="12">
        <v>55.0</v>
      </c>
      <c r="B1683" s="8" t="s">
        <v>342</v>
      </c>
      <c r="C1683" s="8" t="s">
        <v>1179</v>
      </c>
      <c r="I1683" s="10" t="s">
        <v>1974</v>
      </c>
      <c r="J1683" s="13" t="s">
        <v>1230</v>
      </c>
      <c r="K1683" s="13" t="s">
        <v>276</v>
      </c>
      <c r="L1683" s="13" t="s">
        <v>1972</v>
      </c>
      <c r="M1683" s="7" t="s">
        <v>253</v>
      </c>
      <c r="N1683" s="7" t="s">
        <v>253</v>
      </c>
      <c r="O1683" s="7" t="s">
        <v>254</v>
      </c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  <c r="AA1683" s="8"/>
      <c r="AB1683" s="8"/>
      <c r="AC1683" s="8"/>
      <c r="AD1683" s="8"/>
      <c r="AE1683" s="8"/>
    </row>
    <row r="1684">
      <c r="A1684" s="12">
        <v>55.0</v>
      </c>
      <c r="B1684" s="8" t="s">
        <v>342</v>
      </c>
      <c r="C1684" s="8" t="s">
        <v>1179</v>
      </c>
      <c r="I1684" s="10" t="s">
        <v>1975</v>
      </c>
      <c r="J1684" s="13" t="s">
        <v>1232</v>
      </c>
      <c r="K1684" s="13" t="s">
        <v>276</v>
      </c>
      <c r="L1684" s="13" t="s">
        <v>1972</v>
      </c>
      <c r="M1684" s="7" t="s">
        <v>253</v>
      </c>
      <c r="N1684" s="7" t="s">
        <v>253</v>
      </c>
      <c r="O1684" s="7" t="s">
        <v>254</v>
      </c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  <c r="AA1684" s="8"/>
      <c r="AB1684" s="8"/>
      <c r="AC1684" s="8"/>
      <c r="AD1684" s="8"/>
      <c r="AE1684" s="8"/>
    </row>
    <row r="1685">
      <c r="A1685" s="12">
        <v>55.0</v>
      </c>
      <c r="B1685" s="8" t="s">
        <v>342</v>
      </c>
      <c r="C1685" s="8" t="s">
        <v>1179</v>
      </c>
      <c r="I1685" s="10" t="s">
        <v>1977</v>
      </c>
      <c r="J1685" s="13" t="s">
        <v>1227</v>
      </c>
      <c r="K1685" s="13" t="s">
        <v>276</v>
      </c>
      <c r="L1685" s="13" t="s">
        <v>1972</v>
      </c>
      <c r="M1685" s="7" t="s">
        <v>253</v>
      </c>
      <c r="N1685" s="7" t="s">
        <v>253</v>
      </c>
      <c r="O1685" s="7" t="s">
        <v>254</v>
      </c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  <c r="AA1685" s="8"/>
      <c r="AB1685" s="8"/>
      <c r="AC1685" s="8"/>
      <c r="AD1685" s="8"/>
      <c r="AE1685" s="8"/>
    </row>
    <row r="1686">
      <c r="A1686" s="12">
        <v>55.0</v>
      </c>
      <c r="B1686" s="8" t="s">
        <v>342</v>
      </c>
      <c r="C1686" s="8" t="s">
        <v>1179</v>
      </c>
      <c r="I1686" s="10" t="s">
        <v>1627</v>
      </c>
      <c r="J1686" s="13" t="s">
        <v>1230</v>
      </c>
      <c r="K1686" s="13" t="s">
        <v>276</v>
      </c>
      <c r="L1686" s="13" t="s">
        <v>1972</v>
      </c>
      <c r="M1686" s="7" t="s">
        <v>253</v>
      </c>
      <c r="N1686" s="7" t="s">
        <v>253</v>
      </c>
      <c r="O1686" s="7" t="s">
        <v>254</v>
      </c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  <c r="AA1686" s="8"/>
      <c r="AB1686" s="8"/>
      <c r="AC1686" s="8"/>
      <c r="AD1686" s="8"/>
      <c r="AE1686" s="8"/>
    </row>
    <row r="1687">
      <c r="A1687" s="12">
        <v>55.0</v>
      </c>
      <c r="B1687" s="8" t="s">
        <v>342</v>
      </c>
      <c r="C1687" s="8" t="s">
        <v>1179</v>
      </c>
      <c r="I1687" s="10" t="s">
        <v>1978</v>
      </c>
      <c r="J1687" s="13" t="s">
        <v>1232</v>
      </c>
      <c r="K1687" s="13" t="s">
        <v>276</v>
      </c>
      <c r="L1687" s="13" t="s">
        <v>1972</v>
      </c>
      <c r="M1687" s="7" t="s">
        <v>253</v>
      </c>
      <c r="N1687" s="7" t="s">
        <v>253</v>
      </c>
      <c r="O1687" s="7" t="s">
        <v>254</v>
      </c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  <c r="AA1687" s="8"/>
      <c r="AB1687" s="8"/>
      <c r="AC1687" s="8"/>
      <c r="AD1687" s="8"/>
      <c r="AE1687" s="8"/>
    </row>
    <row r="1688">
      <c r="A1688" s="12">
        <v>55.0</v>
      </c>
      <c r="B1688" s="8" t="s">
        <v>342</v>
      </c>
      <c r="C1688" s="8" t="s">
        <v>1179</v>
      </c>
      <c r="I1688" s="10" t="s">
        <v>1980</v>
      </c>
      <c r="J1688" s="13" t="s">
        <v>1227</v>
      </c>
      <c r="K1688" s="13" t="s">
        <v>276</v>
      </c>
      <c r="L1688" s="13" t="s">
        <v>1972</v>
      </c>
      <c r="M1688" s="7" t="s">
        <v>253</v>
      </c>
      <c r="N1688" s="7" t="s">
        <v>253</v>
      </c>
      <c r="O1688" s="7" t="s">
        <v>254</v>
      </c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  <c r="AA1688" s="8"/>
      <c r="AB1688" s="8"/>
      <c r="AC1688" s="8"/>
      <c r="AD1688" s="8"/>
      <c r="AE1688" s="8"/>
    </row>
    <row r="1689">
      <c r="A1689" s="12">
        <v>55.0</v>
      </c>
      <c r="B1689" s="8" t="s">
        <v>342</v>
      </c>
      <c r="C1689" s="8" t="s">
        <v>1179</v>
      </c>
      <c r="I1689" s="10" t="s">
        <v>305</v>
      </c>
      <c r="J1689" s="13" t="s">
        <v>1230</v>
      </c>
      <c r="K1689" s="13" t="s">
        <v>276</v>
      </c>
      <c r="L1689" s="13" t="s">
        <v>1972</v>
      </c>
      <c r="M1689" s="7" t="s">
        <v>253</v>
      </c>
      <c r="N1689" s="7" t="s">
        <v>253</v>
      </c>
      <c r="O1689" s="7" t="s">
        <v>254</v>
      </c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  <c r="AA1689" s="8"/>
      <c r="AB1689" s="8"/>
      <c r="AC1689" s="8"/>
      <c r="AD1689" s="8"/>
      <c r="AE1689" s="8"/>
    </row>
    <row r="1690">
      <c r="A1690" s="12">
        <v>55.0</v>
      </c>
      <c r="B1690" s="8" t="s">
        <v>342</v>
      </c>
      <c r="C1690" s="8" t="s">
        <v>1179</v>
      </c>
      <c r="I1690" s="10" t="s">
        <v>285</v>
      </c>
      <c r="J1690" s="13" t="s">
        <v>1232</v>
      </c>
      <c r="K1690" s="13" t="s">
        <v>276</v>
      </c>
      <c r="L1690" s="13" t="s">
        <v>1972</v>
      </c>
      <c r="M1690" s="7" t="s">
        <v>253</v>
      </c>
      <c r="N1690" s="7" t="s">
        <v>253</v>
      </c>
      <c r="O1690" s="7" t="s">
        <v>254</v>
      </c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  <c r="AA1690" s="8"/>
      <c r="AB1690" s="8"/>
      <c r="AC1690" s="8"/>
      <c r="AD1690" s="8"/>
      <c r="AE1690" s="8"/>
    </row>
    <row r="1691">
      <c r="A1691" s="12">
        <v>55.0</v>
      </c>
      <c r="B1691" s="8" t="s">
        <v>342</v>
      </c>
      <c r="C1691" s="8" t="s">
        <v>1179</v>
      </c>
      <c r="I1691" s="10" t="s">
        <v>1893</v>
      </c>
      <c r="J1691" s="13" t="s">
        <v>1227</v>
      </c>
      <c r="K1691" s="13" t="s">
        <v>276</v>
      </c>
      <c r="L1691" s="13" t="s">
        <v>1972</v>
      </c>
      <c r="M1691" s="7" t="s">
        <v>253</v>
      </c>
      <c r="N1691" s="7" t="s">
        <v>253</v>
      </c>
      <c r="O1691" s="7" t="s">
        <v>254</v>
      </c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  <c r="AA1691" s="8"/>
      <c r="AB1691" s="8"/>
      <c r="AC1691" s="8"/>
      <c r="AD1691" s="8"/>
      <c r="AE1691" s="8"/>
    </row>
    <row r="1692">
      <c r="A1692" s="12">
        <v>55.0</v>
      </c>
      <c r="B1692" s="8" t="s">
        <v>342</v>
      </c>
      <c r="C1692" s="8" t="s">
        <v>1179</v>
      </c>
      <c r="I1692" s="10" t="s">
        <v>308</v>
      </c>
      <c r="J1692" s="13" t="s">
        <v>1230</v>
      </c>
      <c r="K1692" s="13" t="s">
        <v>276</v>
      </c>
      <c r="L1692" s="13" t="s">
        <v>1972</v>
      </c>
      <c r="M1692" s="7" t="s">
        <v>253</v>
      </c>
      <c r="N1692" s="7" t="s">
        <v>253</v>
      </c>
      <c r="O1692" s="7" t="s">
        <v>254</v>
      </c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  <c r="AA1692" s="8"/>
      <c r="AB1692" s="8"/>
      <c r="AC1692" s="8"/>
      <c r="AD1692" s="8"/>
      <c r="AE1692" s="8"/>
    </row>
    <row r="1693">
      <c r="A1693" s="12">
        <v>55.0</v>
      </c>
      <c r="B1693" s="8" t="s">
        <v>342</v>
      </c>
      <c r="C1693" s="8" t="s">
        <v>1179</v>
      </c>
      <c r="I1693" s="10" t="s">
        <v>309</v>
      </c>
      <c r="J1693" s="13" t="s">
        <v>1232</v>
      </c>
      <c r="K1693" s="13" t="s">
        <v>276</v>
      </c>
      <c r="L1693" s="13" t="s">
        <v>1972</v>
      </c>
      <c r="M1693" s="7" t="s">
        <v>253</v>
      </c>
      <c r="N1693" s="7" t="s">
        <v>253</v>
      </c>
      <c r="O1693" s="7" t="s">
        <v>254</v>
      </c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  <c r="AA1693" s="8"/>
      <c r="AB1693" s="8"/>
      <c r="AC1693" s="8"/>
      <c r="AD1693" s="8"/>
      <c r="AE1693" s="8"/>
    </row>
    <row r="1694">
      <c r="A1694" s="12">
        <v>55.0</v>
      </c>
      <c r="B1694" s="8" t="s">
        <v>342</v>
      </c>
      <c r="C1694" s="8" t="s">
        <v>1179</v>
      </c>
      <c r="I1694" s="10" t="s">
        <v>1981</v>
      </c>
      <c r="J1694" s="13" t="s">
        <v>1227</v>
      </c>
      <c r="K1694" s="13" t="s">
        <v>276</v>
      </c>
      <c r="L1694" s="13" t="s">
        <v>1972</v>
      </c>
      <c r="M1694" s="7" t="s">
        <v>253</v>
      </c>
      <c r="N1694" s="7" t="s">
        <v>253</v>
      </c>
      <c r="O1694" s="7" t="s">
        <v>254</v>
      </c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  <c r="AA1694" s="8"/>
      <c r="AB1694" s="8"/>
      <c r="AC1694" s="8"/>
      <c r="AD1694" s="8"/>
      <c r="AE1694" s="8"/>
    </row>
    <row r="1695">
      <c r="A1695" s="12">
        <v>55.0</v>
      </c>
      <c r="B1695" s="8" t="s">
        <v>342</v>
      </c>
      <c r="C1695" s="8" t="s">
        <v>1179</v>
      </c>
      <c r="I1695" s="10" t="s">
        <v>1982</v>
      </c>
      <c r="J1695" s="13" t="s">
        <v>1230</v>
      </c>
      <c r="K1695" s="13" t="s">
        <v>276</v>
      </c>
      <c r="L1695" s="13" t="s">
        <v>1972</v>
      </c>
      <c r="M1695" s="7" t="s">
        <v>253</v>
      </c>
      <c r="N1695" s="7" t="s">
        <v>253</v>
      </c>
      <c r="O1695" s="7" t="s">
        <v>254</v>
      </c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  <c r="AA1695" s="8"/>
      <c r="AB1695" s="8"/>
      <c r="AC1695" s="8"/>
      <c r="AD1695" s="8"/>
      <c r="AE1695" s="8"/>
    </row>
    <row r="1696">
      <c r="A1696" s="12">
        <v>55.0</v>
      </c>
      <c r="B1696" s="8" t="s">
        <v>342</v>
      </c>
      <c r="C1696" s="8" t="s">
        <v>1179</v>
      </c>
      <c r="I1696" s="10" t="s">
        <v>419</v>
      </c>
      <c r="J1696" s="13" t="s">
        <v>1232</v>
      </c>
      <c r="K1696" s="13" t="s">
        <v>276</v>
      </c>
      <c r="L1696" s="13" t="s">
        <v>1972</v>
      </c>
      <c r="M1696" s="7" t="s">
        <v>253</v>
      </c>
      <c r="N1696" s="7" t="s">
        <v>253</v>
      </c>
      <c r="O1696" s="7" t="s">
        <v>254</v>
      </c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  <c r="AA1696" s="8"/>
      <c r="AB1696" s="8"/>
      <c r="AC1696" s="8"/>
      <c r="AD1696" s="8"/>
      <c r="AE1696" s="8"/>
    </row>
    <row r="1697">
      <c r="A1697" s="12">
        <v>55.0</v>
      </c>
      <c r="B1697" s="8" t="s">
        <v>342</v>
      </c>
      <c r="C1697" s="8" t="s">
        <v>1179</v>
      </c>
      <c r="I1697" s="10" t="s">
        <v>1983</v>
      </c>
      <c r="J1697" s="13" t="s">
        <v>1227</v>
      </c>
      <c r="K1697" s="13" t="s">
        <v>276</v>
      </c>
      <c r="L1697" s="13" t="s">
        <v>1972</v>
      </c>
      <c r="M1697" s="7" t="s">
        <v>253</v>
      </c>
      <c r="N1697" s="7" t="s">
        <v>253</v>
      </c>
      <c r="O1697" s="7" t="s">
        <v>254</v>
      </c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  <c r="AA1697" s="8"/>
      <c r="AB1697" s="8"/>
      <c r="AC1697" s="8"/>
      <c r="AD1697" s="8"/>
      <c r="AE1697" s="8"/>
    </row>
    <row r="1698">
      <c r="A1698" s="12">
        <v>55.0</v>
      </c>
      <c r="B1698" s="8" t="s">
        <v>342</v>
      </c>
      <c r="C1698" s="8" t="s">
        <v>1179</v>
      </c>
      <c r="I1698" s="10" t="s">
        <v>1984</v>
      </c>
      <c r="J1698" s="13" t="s">
        <v>1230</v>
      </c>
      <c r="K1698" s="13" t="s">
        <v>276</v>
      </c>
      <c r="L1698" s="13" t="s">
        <v>1972</v>
      </c>
      <c r="M1698" s="7" t="s">
        <v>253</v>
      </c>
      <c r="N1698" s="7" t="s">
        <v>253</v>
      </c>
      <c r="O1698" s="7" t="s">
        <v>254</v>
      </c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  <c r="AA1698" s="8"/>
      <c r="AB1698" s="8"/>
      <c r="AC1698" s="8"/>
      <c r="AD1698" s="8"/>
      <c r="AE1698" s="8"/>
    </row>
    <row r="1699">
      <c r="A1699" s="12">
        <v>55.0</v>
      </c>
      <c r="B1699" s="8" t="s">
        <v>342</v>
      </c>
      <c r="C1699" s="8" t="s">
        <v>1179</v>
      </c>
      <c r="I1699" s="10" t="s">
        <v>426</v>
      </c>
      <c r="J1699" s="13" t="s">
        <v>1232</v>
      </c>
      <c r="K1699" s="13" t="s">
        <v>276</v>
      </c>
      <c r="L1699" s="13" t="s">
        <v>1972</v>
      </c>
      <c r="M1699" s="7" t="s">
        <v>253</v>
      </c>
      <c r="N1699" s="7" t="s">
        <v>253</v>
      </c>
      <c r="O1699" s="7" t="s">
        <v>254</v>
      </c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  <c r="AA1699" s="8"/>
      <c r="AB1699" s="8"/>
      <c r="AC1699" s="8"/>
      <c r="AD1699" s="8"/>
      <c r="AE1699" s="8"/>
    </row>
    <row r="1700">
      <c r="A1700" s="12">
        <v>55.0</v>
      </c>
      <c r="B1700" s="8" t="s">
        <v>342</v>
      </c>
      <c r="C1700" s="8" t="s">
        <v>1179</v>
      </c>
      <c r="I1700" s="10" t="s">
        <v>1570</v>
      </c>
      <c r="J1700" s="13" t="s">
        <v>1227</v>
      </c>
      <c r="K1700" s="13" t="s">
        <v>276</v>
      </c>
      <c r="L1700" s="13" t="s">
        <v>1972</v>
      </c>
      <c r="M1700" s="7" t="s">
        <v>253</v>
      </c>
      <c r="N1700" s="7" t="s">
        <v>253</v>
      </c>
      <c r="O1700" s="7" t="s">
        <v>254</v>
      </c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  <c r="AA1700" s="8"/>
      <c r="AB1700" s="8"/>
      <c r="AC1700" s="8"/>
      <c r="AD1700" s="8"/>
      <c r="AE1700" s="8"/>
    </row>
    <row r="1701">
      <c r="A1701" s="12">
        <v>55.0</v>
      </c>
      <c r="B1701" s="8" t="s">
        <v>342</v>
      </c>
      <c r="C1701" s="8" t="s">
        <v>1179</v>
      </c>
      <c r="I1701" s="10" t="s">
        <v>1985</v>
      </c>
      <c r="J1701" s="13" t="s">
        <v>1230</v>
      </c>
      <c r="K1701" s="13" t="s">
        <v>276</v>
      </c>
      <c r="L1701" s="13" t="s">
        <v>1972</v>
      </c>
      <c r="M1701" s="7" t="s">
        <v>253</v>
      </c>
      <c r="N1701" s="7" t="s">
        <v>253</v>
      </c>
      <c r="O1701" s="7" t="s">
        <v>254</v>
      </c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  <c r="AA1701" s="8"/>
      <c r="AB1701" s="8"/>
      <c r="AC1701" s="8"/>
      <c r="AD1701" s="8"/>
      <c r="AE1701" s="8"/>
    </row>
    <row r="1702">
      <c r="A1702" s="12">
        <v>55.0</v>
      </c>
      <c r="B1702" s="8" t="s">
        <v>342</v>
      </c>
      <c r="C1702" s="8" t="s">
        <v>1179</v>
      </c>
      <c r="I1702" s="10" t="s">
        <v>1558</v>
      </c>
      <c r="J1702" s="13" t="s">
        <v>1232</v>
      </c>
      <c r="K1702" s="13" t="s">
        <v>276</v>
      </c>
      <c r="L1702" s="13" t="s">
        <v>1972</v>
      </c>
      <c r="M1702" s="7" t="s">
        <v>253</v>
      </c>
      <c r="N1702" s="7" t="s">
        <v>253</v>
      </c>
      <c r="O1702" s="7" t="s">
        <v>254</v>
      </c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  <c r="AA1702" s="8"/>
      <c r="AB1702" s="8"/>
      <c r="AC1702" s="8"/>
      <c r="AD1702" s="8"/>
      <c r="AE1702" s="8"/>
    </row>
    <row r="1703">
      <c r="A1703" s="12">
        <v>55.0</v>
      </c>
      <c r="B1703" s="8" t="s">
        <v>342</v>
      </c>
      <c r="C1703" s="8" t="s">
        <v>1179</v>
      </c>
      <c r="I1703" s="10" t="s">
        <v>1986</v>
      </c>
      <c r="J1703" s="13" t="s">
        <v>1227</v>
      </c>
      <c r="K1703" s="13" t="s">
        <v>276</v>
      </c>
      <c r="L1703" s="13" t="s">
        <v>1972</v>
      </c>
      <c r="M1703" s="7" t="s">
        <v>253</v>
      </c>
      <c r="N1703" s="7" t="s">
        <v>253</v>
      </c>
      <c r="O1703" s="7" t="s">
        <v>254</v>
      </c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  <c r="AA1703" s="8"/>
      <c r="AB1703" s="8"/>
      <c r="AC1703" s="8"/>
      <c r="AD1703" s="8"/>
      <c r="AE1703" s="8"/>
    </row>
    <row r="1704">
      <c r="A1704" s="12">
        <v>55.0</v>
      </c>
      <c r="B1704" s="8" t="s">
        <v>342</v>
      </c>
      <c r="C1704" s="8" t="s">
        <v>1179</v>
      </c>
      <c r="I1704" s="10" t="s">
        <v>1756</v>
      </c>
      <c r="J1704" s="13" t="s">
        <v>1230</v>
      </c>
      <c r="K1704" s="13" t="s">
        <v>276</v>
      </c>
      <c r="L1704" s="13" t="s">
        <v>1972</v>
      </c>
      <c r="M1704" s="7" t="s">
        <v>253</v>
      </c>
      <c r="N1704" s="7" t="s">
        <v>253</v>
      </c>
      <c r="O1704" s="7" t="s">
        <v>254</v>
      </c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  <c r="AA1704" s="8"/>
      <c r="AB1704" s="8"/>
      <c r="AC1704" s="8"/>
      <c r="AD1704" s="8"/>
      <c r="AE1704" s="8"/>
    </row>
    <row r="1705">
      <c r="A1705" s="12">
        <v>55.0</v>
      </c>
      <c r="B1705" s="8" t="s">
        <v>342</v>
      </c>
      <c r="C1705" s="8" t="s">
        <v>1179</v>
      </c>
      <c r="I1705" s="10" t="s">
        <v>477</v>
      </c>
      <c r="J1705" s="13" t="s">
        <v>1232</v>
      </c>
      <c r="K1705" s="13" t="s">
        <v>276</v>
      </c>
      <c r="L1705" s="13" t="s">
        <v>1972</v>
      </c>
      <c r="M1705" s="7" t="s">
        <v>253</v>
      </c>
      <c r="N1705" s="7" t="s">
        <v>253</v>
      </c>
      <c r="O1705" s="7" t="s">
        <v>254</v>
      </c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  <c r="AA1705" s="8"/>
      <c r="AB1705" s="8"/>
      <c r="AC1705" s="8"/>
      <c r="AD1705" s="8"/>
      <c r="AE1705" s="8"/>
    </row>
    <row r="1706">
      <c r="A1706" s="12">
        <v>55.0</v>
      </c>
      <c r="B1706" s="8" t="s">
        <v>342</v>
      </c>
      <c r="C1706" s="8" t="s">
        <v>1179</v>
      </c>
      <c r="I1706" s="10" t="s">
        <v>427</v>
      </c>
      <c r="J1706" s="13" t="s">
        <v>1227</v>
      </c>
      <c r="K1706" s="13" t="s">
        <v>276</v>
      </c>
      <c r="L1706" s="13" t="s">
        <v>1972</v>
      </c>
      <c r="M1706" s="7" t="s">
        <v>253</v>
      </c>
      <c r="N1706" s="7" t="s">
        <v>253</v>
      </c>
      <c r="O1706" s="7" t="s">
        <v>254</v>
      </c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  <c r="AA1706" s="8"/>
      <c r="AB1706" s="8"/>
      <c r="AC1706" s="8"/>
      <c r="AD1706" s="8"/>
      <c r="AE1706" s="8"/>
    </row>
    <row r="1707">
      <c r="A1707" s="12">
        <v>55.0</v>
      </c>
      <c r="B1707" s="8" t="s">
        <v>342</v>
      </c>
      <c r="C1707" s="8" t="s">
        <v>1179</v>
      </c>
      <c r="I1707" s="10" t="s">
        <v>1988</v>
      </c>
      <c r="J1707" s="13" t="s">
        <v>1230</v>
      </c>
      <c r="K1707" s="13" t="s">
        <v>276</v>
      </c>
      <c r="L1707" s="13" t="s">
        <v>1972</v>
      </c>
      <c r="M1707" s="7" t="s">
        <v>253</v>
      </c>
      <c r="N1707" s="7" t="s">
        <v>253</v>
      </c>
      <c r="O1707" s="7" t="s">
        <v>254</v>
      </c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  <c r="AA1707" s="8"/>
      <c r="AB1707" s="8"/>
      <c r="AC1707" s="8"/>
      <c r="AD1707" s="8"/>
      <c r="AE1707" s="8"/>
    </row>
    <row r="1708">
      <c r="A1708" s="12">
        <v>55.0</v>
      </c>
      <c r="B1708" s="8" t="s">
        <v>342</v>
      </c>
      <c r="C1708" s="8" t="s">
        <v>1179</v>
      </c>
      <c r="I1708" s="10" t="s">
        <v>316</v>
      </c>
      <c r="J1708" s="13" t="s">
        <v>1232</v>
      </c>
      <c r="K1708" s="13" t="s">
        <v>276</v>
      </c>
      <c r="L1708" s="13" t="s">
        <v>1972</v>
      </c>
      <c r="M1708" s="7" t="s">
        <v>253</v>
      </c>
      <c r="N1708" s="7" t="s">
        <v>253</v>
      </c>
      <c r="O1708" s="7" t="s">
        <v>254</v>
      </c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  <c r="AA1708" s="8"/>
      <c r="AB1708" s="8"/>
      <c r="AC1708" s="8"/>
      <c r="AD1708" s="8"/>
      <c r="AE1708" s="8"/>
    </row>
    <row r="1709">
      <c r="A1709" s="12">
        <v>55.0</v>
      </c>
      <c r="B1709" s="8" t="s">
        <v>342</v>
      </c>
      <c r="C1709" s="8" t="s">
        <v>1179</v>
      </c>
      <c r="I1709" s="10" t="s">
        <v>1896</v>
      </c>
      <c r="J1709" s="13" t="s">
        <v>1227</v>
      </c>
      <c r="K1709" s="13" t="s">
        <v>276</v>
      </c>
      <c r="L1709" s="13" t="s">
        <v>1972</v>
      </c>
      <c r="M1709" s="7" t="s">
        <v>253</v>
      </c>
      <c r="N1709" s="7" t="s">
        <v>253</v>
      </c>
      <c r="O1709" s="7" t="s">
        <v>254</v>
      </c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  <c r="AA1709" s="8"/>
      <c r="AB1709" s="8"/>
      <c r="AC1709" s="8"/>
      <c r="AD1709" s="8"/>
      <c r="AE1709" s="8"/>
    </row>
    <row r="1710">
      <c r="A1710" s="12">
        <v>55.0</v>
      </c>
      <c r="B1710" s="8" t="s">
        <v>342</v>
      </c>
      <c r="C1710" s="8" t="s">
        <v>1179</v>
      </c>
      <c r="I1710" s="10" t="s">
        <v>318</v>
      </c>
      <c r="J1710" s="13" t="s">
        <v>1230</v>
      </c>
      <c r="K1710" s="13" t="s">
        <v>276</v>
      </c>
      <c r="L1710" s="13" t="s">
        <v>1972</v>
      </c>
      <c r="M1710" s="7" t="s">
        <v>253</v>
      </c>
      <c r="N1710" s="7" t="s">
        <v>253</v>
      </c>
      <c r="O1710" s="7" t="s">
        <v>254</v>
      </c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  <c r="AA1710" s="8"/>
      <c r="AB1710" s="8"/>
      <c r="AC1710" s="8"/>
      <c r="AD1710" s="8"/>
      <c r="AE1710" s="8"/>
    </row>
    <row r="1711">
      <c r="A1711" s="12">
        <v>55.0</v>
      </c>
      <c r="B1711" s="8" t="s">
        <v>342</v>
      </c>
      <c r="C1711" s="8" t="s">
        <v>1179</v>
      </c>
      <c r="I1711" s="10" t="s">
        <v>431</v>
      </c>
      <c r="J1711" s="13" t="s">
        <v>1232</v>
      </c>
      <c r="K1711" s="13" t="s">
        <v>276</v>
      </c>
      <c r="L1711" s="13" t="s">
        <v>1972</v>
      </c>
      <c r="M1711" s="7" t="s">
        <v>253</v>
      </c>
      <c r="N1711" s="7" t="s">
        <v>253</v>
      </c>
      <c r="O1711" s="7" t="s">
        <v>254</v>
      </c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  <c r="AA1711" s="8"/>
      <c r="AB1711" s="8"/>
      <c r="AC1711" s="8"/>
      <c r="AD1711" s="8"/>
      <c r="AE1711" s="8"/>
    </row>
    <row r="1712">
      <c r="A1712" s="12">
        <v>55.0</v>
      </c>
      <c r="B1712" s="8" t="s">
        <v>342</v>
      </c>
      <c r="C1712" s="8" t="s">
        <v>1179</v>
      </c>
      <c r="I1712" s="10" t="s">
        <v>1184</v>
      </c>
      <c r="J1712" s="13" t="s">
        <v>1227</v>
      </c>
      <c r="K1712" s="13" t="s">
        <v>276</v>
      </c>
      <c r="L1712" s="13" t="s">
        <v>1972</v>
      </c>
      <c r="M1712" s="7" t="s">
        <v>253</v>
      </c>
      <c r="N1712" s="7" t="s">
        <v>253</v>
      </c>
      <c r="O1712" s="7" t="s">
        <v>254</v>
      </c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  <c r="AA1712" s="8"/>
      <c r="AB1712" s="8"/>
      <c r="AC1712" s="8"/>
      <c r="AD1712" s="8"/>
      <c r="AE1712" s="8"/>
    </row>
    <row r="1713">
      <c r="A1713" s="12">
        <v>55.0</v>
      </c>
      <c r="B1713" s="8" t="s">
        <v>342</v>
      </c>
      <c r="C1713" s="8" t="s">
        <v>1179</v>
      </c>
      <c r="I1713" s="10" t="s">
        <v>339</v>
      </c>
      <c r="J1713" s="13" t="s">
        <v>1230</v>
      </c>
      <c r="K1713" s="13" t="s">
        <v>276</v>
      </c>
      <c r="L1713" s="13" t="s">
        <v>1972</v>
      </c>
      <c r="M1713" s="7" t="s">
        <v>253</v>
      </c>
      <c r="N1713" s="7" t="s">
        <v>253</v>
      </c>
      <c r="O1713" s="7" t="s">
        <v>254</v>
      </c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  <c r="AA1713" s="8"/>
      <c r="AB1713" s="8"/>
      <c r="AC1713" s="8"/>
      <c r="AD1713" s="8"/>
      <c r="AE1713" s="8"/>
    </row>
    <row r="1714">
      <c r="A1714" s="12">
        <v>55.0</v>
      </c>
      <c r="B1714" s="8" t="s">
        <v>342</v>
      </c>
      <c r="C1714" s="8" t="s">
        <v>1179</v>
      </c>
      <c r="I1714" s="10" t="s">
        <v>1989</v>
      </c>
      <c r="J1714" s="13" t="s">
        <v>1232</v>
      </c>
      <c r="K1714" s="13" t="s">
        <v>276</v>
      </c>
      <c r="L1714" s="13" t="s">
        <v>1972</v>
      </c>
      <c r="M1714" s="7" t="s">
        <v>253</v>
      </c>
      <c r="N1714" s="7" t="s">
        <v>253</v>
      </c>
      <c r="O1714" s="7" t="s">
        <v>254</v>
      </c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  <c r="AA1714" s="8"/>
      <c r="AB1714" s="8"/>
      <c r="AC1714" s="8"/>
      <c r="AD1714" s="8"/>
      <c r="AE1714" s="8"/>
    </row>
    <row r="1715">
      <c r="A1715" s="12">
        <v>55.0</v>
      </c>
      <c r="B1715" s="8" t="s">
        <v>342</v>
      </c>
      <c r="C1715" s="8" t="s">
        <v>1179</v>
      </c>
      <c r="I1715" s="10" t="s">
        <v>433</v>
      </c>
      <c r="J1715" s="13" t="s">
        <v>1227</v>
      </c>
      <c r="K1715" s="13" t="s">
        <v>276</v>
      </c>
      <c r="L1715" s="13" t="s">
        <v>1972</v>
      </c>
      <c r="M1715" s="7" t="s">
        <v>253</v>
      </c>
      <c r="N1715" s="7" t="s">
        <v>253</v>
      </c>
      <c r="O1715" s="7" t="s">
        <v>254</v>
      </c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  <c r="AA1715" s="8"/>
      <c r="AB1715" s="8"/>
      <c r="AC1715" s="8"/>
      <c r="AD1715" s="8"/>
      <c r="AE1715" s="8"/>
    </row>
    <row r="1716">
      <c r="A1716" s="12">
        <v>55.0</v>
      </c>
      <c r="B1716" s="8" t="s">
        <v>342</v>
      </c>
      <c r="C1716" s="8" t="s">
        <v>1179</v>
      </c>
      <c r="I1716" s="10" t="s">
        <v>463</v>
      </c>
      <c r="J1716" s="13" t="s">
        <v>1230</v>
      </c>
      <c r="K1716" s="13" t="s">
        <v>276</v>
      </c>
      <c r="L1716" s="13" t="s">
        <v>1972</v>
      </c>
      <c r="M1716" s="7" t="s">
        <v>253</v>
      </c>
      <c r="N1716" s="7" t="s">
        <v>253</v>
      </c>
      <c r="O1716" s="7" t="s">
        <v>254</v>
      </c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  <c r="AA1716" s="8"/>
      <c r="AB1716" s="8"/>
      <c r="AC1716" s="8"/>
      <c r="AD1716" s="8"/>
      <c r="AE1716" s="8"/>
    </row>
    <row r="1717">
      <c r="A1717" s="12">
        <v>55.0</v>
      </c>
      <c r="B1717" s="8" t="s">
        <v>342</v>
      </c>
      <c r="C1717" s="8" t="s">
        <v>1179</v>
      </c>
      <c r="I1717" s="10" t="s">
        <v>399</v>
      </c>
      <c r="J1717" s="13" t="s">
        <v>1232</v>
      </c>
      <c r="K1717" s="13" t="s">
        <v>276</v>
      </c>
      <c r="L1717" s="13" t="s">
        <v>1972</v>
      </c>
      <c r="M1717" s="7" t="s">
        <v>253</v>
      </c>
      <c r="N1717" s="7" t="s">
        <v>253</v>
      </c>
      <c r="O1717" s="7" t="s">
        <v>254</v>
      </c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  <c r="AA1717" s="8"/>
      <c r="AB1717" s="8"/>
      <c r="AC1717" s="8"/>
      <c r="AD1717" s="8"/>
      <c r="AE1717" s="8"/>
    </row>
    <row r="1718">
      <c r="A1718" s="12">
        <v>55.0</v>
      </c>
      <c r="B1718" s="8" t="s">
        <v>342</v>
      </c>
      <c r="C1718" s="8" t="s">
        <v>1179</v>
      </c>
      <c r="I1718" s="10" t="s">
        <v>434</v>
      </c>
      <c r="J1718" s="13" t="s">
        <v>1227</v>
      </c>
      <c r="K1718" s="13" t="s">
        <v>276</v>
      </c>
      <c r="L1718" s="13" t="s">
        <v>1972</v>
      </c>
      <c r="M1718" s="7" t="s">
        <v>253</v>
      </c>
      <c r="N1718" s="7" t="s">
        <v>253</v>
      </c>
      <c r="O1718" s="7" t="s">
        <v>254</v>
      </c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  <c r="AA1718" s="8"/>
      <c r="AB1718" s="8"/>
      <c r="AC1718" s="8"/>
      <c r="AD1718" s="8"/>
      <c r="AE1718" s="8"/>
    </row>
    <row r="1719">
      <c r="A1719" s="12">
        <v>55.0</v>
      </c>
      <c r="B1719" s="8" t="s">
        <v>342</v>
      </c>
      <c r="C1719" s="8" t="s">
        <v>1179</v>
      </c>
      <c r="I1719" s="10" t="s">
        <v>1990</v>
      </c>
      <c r="J1719" s="13" t="s">
        <v>1230</v>
      </c>
      <c r="K1719" s="13" t="s">
        <v>276</v>
      </c>
      <c r="L1719" s="13" t="s">
        <v>1972</v>
      </c>
      <c r="M1719" s="7" t="s">
        <v>253</v>
      </c>
      <c r="N1719" s="7" t="s">
        <v>253</v>
      </c>
      <c r="O1719" s="7" t="s">
        <v>254</v>
      </c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  <c r="AA1719" s="8"/>
      <c r="AB1719" s="8"/>
      <c r="AC1719" s="8"/>
      <c r="AD1719" s="8"/>
      <c r="AE1719" s="8"/>
    </row>
    <row r="1720">
      <c r="A1720" s="12">
        <v>55.0</v>
      </c>
      <c r="B1720" s="8" t="s">
        <v>342</v>
      </c>
      <c r="C1720" s="8" t="s">
        <v>1179</v>
      </c>
      <c r="I1720" s="10" t="s">
        <v>1991</v>
      </c>
      <c r="J1720" s="13" t="s">
        <v>1232</v>
      </c>
      <c r="K1720" s="13" t="s">
        <v>276</v>
      </c>
      <c r="L1720" s="13" t="s">
        <v>1972</v>
      </c>
      <c r="M1720" s="7" t="s">
        <v>253</v>
      </c>
      <c r="N1720" s="7" t="s">
        <v>253</v>
      </c>
      <c r="O1720" s="7" t="s">
        <v>254</v>
      </c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  <c r="AA1720" s="8"/>
      <c r="AB1720" s="8"/>
      <c r="AC1720" s="8"/>
      <c r="AD1720" s="8"/>
      <c r="AE1720" s="8"/>
    </row>
    <row r="1721">
      <c r="A1721" s="12">
        <v>55.0</v>
      </c>
      <c r="B1721" s="8" t="s">
        <v>342</v>
      </c>
      <c r="C1721" s="8" t="s">
        <v>1179</v>
      </c>
      <c r="I1721" s="10" t="s">
        <v>849</v>
      </c>
      <c r="J1721" s="13" t="s">
        <v>1227</v>
      </c>
      <c r="K1721" s="13" t="s">
        <v>276</v>
      </c>
      <c r="L1721" s="13" t="s">
        <v>1972</v>
      </c>
      <c r="M1721" s="7" t="s">
        <v>253</v>
      </c>
      <c r="N1721" s="7" t="s">
        <v>253</v>
      </c>
      <c r="O1721" s="7" t="s">
        <v>254</v>
      </c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  <c r="AA1721" s="8"/>
      <c r="AB1721" s="8"/>
      <c r="AC1721" s="8"/>
      <c r="AD1721" s="8"/>
      <c r="AE1721" s="8"/>
    </row>
    <row r="1722">
      <c r="A1722" s="12">
        <v>55.0</v>
      </c>
      <c r="B1722" s="8" t="s">
        <v>342</v>
      </c>
      <c r="C1722" s="8" t="s">
        <v>1179</v>
      </c>
      <c r="I1722" s="10" t="s">
        <v>1992</v>
      </c>
      <c r="J1722" s="13" t="s">
        <v>1230</v>
      </c>
      <c r="K1722" s="13" t="s">
        <v>276</v>
      </c>
      <c r="L1722" s="13" t="s">
        <v>1972</v>
      </c>
      <c r="M1722" s="7" t="s">
        <v>253</v>
      </c>
      <c r="N1722" s="7" t="s">
        <v>253</v>
      </c>
      <c r="O1722" s="7" t="s">
        <v>254</v>
      </c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  <c r="AA1722" s="8"/>
      <c r="AB1722" s="8"/>
      <c r="AC1722" s="8"/>
      <c r="AD1722" s="8"/>
      <c r="AE1722" s="8"/>
    </row>
    <row r="1723">
      <c r="A1723" s="12">
        <v>55.0</v>
      </c>
      <c r="B1723" s="8" t="s">
        <v>342</v>
      </c>
      <c r="C1723" s="8" t="s">
        <v>1179</v>
      </c>
      <c r="I1723" s="10" t="s">
        <v>435</v>
      </c>
      <c r="J1723" s="13" t="s">
        <v>1232</v>
      </c>
      <c r="K1723" s="13" t="s">
        <v>276</v>
      </c>
      <c r="L1723" s="13" t="s">
        <v>1972</v>
      </c>
      <c r="M1723" s="7" t="s">
        <v>253</v>
      </c>
      <c r="N1723" s="7" t="s">
        <v>253</v>
      </c>
      <c r="O1723" s="7" t="s">
        <v>254</v>
      </c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  <c r="AA1723" s="8"/>
      <c r="AB1723" s="8"/>
      <c r="AC1723" s="8"/>
      <c r="AD1723" s="8"/>
      <c r="AE1723" s="8"/>
    </row>
    <row r="1724">
      <c r="A1724" s="12">
        <v>55.0</v>
      </c>
      <c r="B1724" s="8" t="s">
        <v>342</v>
      </c>
      <c r="C1724" s="8" t="s">
        <v>1179</v>
      </c>
      <c r="I1724" s="10" t="s">
        <v>1582</v>
      </c>
      <c r="J1724" s="13" t="s">
        <v>1227</v>
      </c>
      <c r="K1724" s="13" t="s">
        <v>276</v>
      </c>
      <c r="L1724" s="13" t="s">
        <v>1972</v>
      </c>
      <c r="M1724" s="7" t="s">
        <v>253</v>
      </c>
      <c r="N1724" s="7" t="s">
        <v>253</v>
      </c>
      <c r="O1724" s="7" t="s">
        <v>254</v>
      </c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  <c r="AA1724" s="8"/>
      <c r="AB1724" s="8"/>
      <c r="AC1724" s="8"/>
      <c r="AD1724" s="8"/>
      <c r="AE1724" s="8"/>
    </row>
    <row r="1725">
      <c r="A1725" s="12">
        <v>56.0</v>
      </c>
      <c r="B1725" s="8" t="s">
        <v>343</v>
      </c>
      <c r="C1725" s="8" t="s">
        <v>1179</v>
      </c>
      <c r="D1725" s="25">
        <f>IF(COUNTIF($B$2:$B1725,$B1725)&gt;1,"",COUNTIF($B$2:$B$2505,$B1725))</f>
        <v>53</v>
      </c>
      <c r="E1725" s="25">
        <f>IF(COUNTIF($B$2:$B1725,$B1725)&gt;1,"",COUNTIFS($B$2:$B$2505,$B1725,$K$2:$K$2505,"PHÙ HỢP CAO"))</f>
        <v>3</v>
      </c>
      <c r="F1725" s="25">
        <f>IF(COUNTIF($B$2:$B1725,$B1725)&gt;1,"",COUNTIFS($B$2:$B$2505,$B1725,$K$2:$K$2505,"CÓ THỂ ĐI"))</f>
        <v>2</v>
      </c>
      <c r="G1725" s="25">
        <f>IF(COUNTIF($B$2:$B1725,$B1725)&gt;1,"",COUNTIFS($B$2:$B$2505,$B1725,$K$2:$K$2505,"CẦN SOÁT"))</f>
        <v>48</v>
      </c>
      <c r="H1725" s="26" t="str">
        <f>IFERROR(__xludf.DUMMYFUNCTION("IF(COUNTIF($B$2:$B1725,$B1725)&gt;1,"""",IFERROR(TEXTJOIN(CHAR(10),TRUE,BYROW(QUERY({$B$2:$B$2505,$J$2:$J$2505},""select Col2, count(Col2) where Col1 = '""&amp;$B1725&amp;""' group by Col2 order by count(Col2) desc label count(Col2) ''"",0),LAMBDA(r,INDEX(r,1,1)&amp;"" "&amp;"– ""&amp;INDEX(r,1,2)&amp;"" link""))),""""))"),"cách tính thuế hộ kinh doanh nhỏ lẻ – 27 link
cách tính thuế hộ kinh doanh – 26 link")</f>
        <v>cách tính thuế hộ kinh doanh nhỏ lẻ – 27 link
cách tính thuế hộ kinh doanh – 26 link</v>
      </c>
      <c r="I1725" s="10" t="s">
        <v>316</v>
      </c>
      <c r="J1725" s="13" t="s">
        <v>1243</v>
      </c>
      <c r="K1725" s="13" t="s">
        <v>251</v>
      </c>
      <c r="L1725" s="13" t="s">
        <v>2020</v>
      </c>
      <c r="M1725" s="7" t="s">
        <v>253</v>
      </c>
      <c r="N1725" s="7" t="s">
        <v>253</v>
      </c>
      <c r="O1725" s="7" t="s">
        <v>254</v>
      </c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  <c r="AA1725" s="8"/>
      <c r="AB1725" s="8"/>
      <c r="AC1725" s="8"/>
      <c r="AD1725" s="8"/>
      <c r="AE1725" s="8"/>
    </row>
    <row r="1726">
      <c r="A1726" s="12">
        <v>56.0</v>
      </c>
      <c r="B1726" s="8" t="s">
        <v>343</v>
      </c>
      <c r="C1726" s="8" t="s">
        <v>1179</v>
      </c>
      <c r="I1726" s="10" t="s">
        <v>309</v>
      </c>
      <c r="J1726" s="13" t="s">
        <v>1247</v>
      </c>
      <c r="K1726" s="13" t="s">
        <v>251</v>
      </c>
      <c r="L1726" s="13" t="s">
        <v>2021</v>
      </c>
      <c r="M1726" s="7" t="s">
        <v>253</v>
      </c>
      <c r="N1726" s="7" t="s">
        <v>253</v>
      </c>
      <c r="O1726" s="7" t="s">
        <v>254</v>
      </c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  <c r="AA1726" s="8"/>
      <c r="AB1726" s="8"/>
      <c r="AC1726" s="8"/>
      <c r="AD1726" s="8"/>
      <c r="AE1726" s="8"/>
    </row>
    <row r="1727">
      <c r="A1727" s="12">
        <v>56.0</v>
      </c>
      <c r="B1727" s="8" t="s">
        <v>343</v>
      </c>
      <c r="C1727" s="8" t="s">
        <v>1179</v>
      </c>
      <c r="I1727" s="10" t="s">
        <v>318</v>
      </c>
      <c r="J1727" s="13" t="s">
        <v>1243</v>
      </c>
      <c r="K1727" s="13" t="s">
        <v>251</v>
      </c>
      <c r="L1727" s="13" t="s">
        <v>2022</v>
      </c>
      <c r="M1727" s="7" t="s">
        <v>253</v>
      </c>
      <c r="N1727" s="7" t="s">
        <v>253</v>
      </c>
      <c r="O1727" s="7" t="s">
        <v>254</v>
      </c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  <c r="AA1727" s="8"/>
      <c r="AB1727" s="8"/>
      <c r="AC1727" s="8"/>
      <c r="AD1727" s="8"/>
      <c r="AE1727" s="8"/>
    </row>
    <row r="1728">
      <c r="A1728" s="12">
        <v>56.0</v>
      </c>
      <c r="B1728" s="8" t="s">
        <v>343</v>
      </c>
      <c r="C1728" s="8" t="s">
        <v>1179</v>
      </c>
      <c r="I1728" s="10" t="s">
        <v>477</v>
      </c>
      <c r="J1728" s="13" t="s">
        <v>1247</v>
      </c>
      <c r="K1728" s="13" t="s">
        <v>272</v>
      </c>
      <c r="L1728" s="13" t="s">
        <v>2023</v>
      </c>
      <c r="M1728" s="7" t="s">
        <v>253</v>
      </c>
      <c r="N1728" s="7" t="s">
        <v>253</v>
      </c>
      <c r="O1728" s="7" t="s">
        <v>254</v>
      </c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  <c r="AA1728" s="8"/>
      <c r="AB1728" s="8"/>
      <c r="AC1728" s="8"/>
      <c r="AD1728" s="8"/>
      <c r="AE1728" s="8"/>
    </row>
    <row r="1729">
      <c r="A1729" s="12">
        <v>56.0</v>
      </c>
      <c r="B1729" s="8" t="s">
        <v>343</v>
      </c>
      <c r="C1729" s="8" t="s">
        <v>1179</v>
      </c>
      <c r="I1729" s="10" t="s">
        <v>1233</v>
      </c>
      <c r="J1729" s="13" t="s">
        <v>1243</v>
      </c>
      <c r="K1729" s="13" t="s">
        <v>272</v>
      </c>
      <c r="L1729" s="13" t="s">
        <v>2024</v>
      </c>
      <c r="M1729" s="7" t="s">
        <v>253</v>
      </c>
      <c r="N1729" s="7" t="s">
        <v>253</v>
      </c>
      <c r="O1729" s="7" t="s">
        <v>254</v>
      </c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  <c r="AA1729" s="8"/>
      <c r="AB1729" s="8"/>
      <c r="AC1729" s="8"/>
      <c r="AD1729" s="8"/>
      <c r="AE1729" s="8"/>
    </row>
    <row r="1730">
      <c r="A1730" s="12">
        <v>56.0</v>
      </c>
      <c r="B1730" s="8" t="s">
        <v>343</v>
      </c>
      <c r="C1730" s="8" t="s">
        <v>1179</v>
      </c>
      <c r="I1730" s="10" t="s">
        <v>1180</v>
      </c>
      <c r="J1730" s="13" t="s">
        <v>1247</v>
      </c>
      <c r="K1730" s="13" t="s">
        <v>276</v>
      </c>
      <c r="L1730" s="13" t="s">
        <v>1972</v>
      </c>
      <c r="M1730" s="7" t="s">
        <v>253</v>
      </c>
      <c r="N1730" s="7" t="s">
        <v>253</v>
      </c>
      <c r="O1730" s="7" t="s">
        <v>254</v>
      </c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  <c r="AA1730" s="8"/>
      <c r="AB1730" s="8"/>
      <c r="AC1730" s="8"/>
      <c r="AD1730" s="8"/>
      <c r="AE1730" s="8"/>
    </row>
    <row r="1731">
      <c r="A1731" s="12">
        <v>56.0</v>
      </c>
      <c r="B1731" s="8" t="s">
        <v>343</v>
      </c>
      <c r="C1731" s="8" t="s">
        <v>1179</v>
      </c>
      <c r="I1731" s="10" t="s">
        <v>1228</v>
      </c>
      <c r="J1731" s="13" t="s">
        <v>1243</v>
      </c>
      <c r="K1731" s="13" t="s">
        <v>276</v>
      </c>
      <c r="L1731" s="13" t="s">
        <v>1972</v>
      </c>
      <c r="M1731" s="7" t="s">
        <v>253</v>
      </c>
      <c r="N1731" s="7" t="s">
        <v>253</v>
      </c>
      <c r="O1731" s="7" t="s">
        <v>254</v>
      </c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  <c r="AA1731" s="8"/>
      <c r="AB1731" s="8"/>
      <c r="AC1731" s="8"/>
      <c r="AD1731" s="8"/>
      <c r="AE1731" s="8"/>
    </row>
    <row r="1732">
      <c r="A1732" s="12">
        <v>56.0</v>
      </c>
      <c r="B1732" s="8" t="s">
        <v>343</v>
      </c>
      <c r="C1732" s="8" t="s">
        <v>1179</v>
      </c>
      <c r="I1732" s="10" t="s">
        <v>1198</v>
      </c>
      <c r="J1732" s="13" t="s">
        <v>1247</v>
      </c>
      <c r="K1732" s="13" t="s">
        <v>276</v>
      </c>
      <c r="L1732" s="13" t="s">
        <v>1972</v>
      </c>
      <c r="M1732" s="7" t="s">
        <v>253</v>
      </c>
      <c r="N1732" s="7" t="s">
        <v>253</v>
      </c>
      <c r="O1732" s="7" t="s">
        <v>254</v>
      </c>
      <c r="P1732" s="13" t="s">
        <v>300</v>
      </c>
      <c r="Q1732" s="8"/>
      <c r="R1732" s="8"/>
      <c r="S1732" s="8"/>
      <c r="T1732" s="8"/>
      <c r="U1732" s="8"/>
      <c r="V1732" s="8"/>
      <c r="W1732" s="8"/>
      <c r="X1732" s="8"/>
      <c r="Y1732" s="8"/>
      <c r="Z1732" s="8"/>
      <c r="AA1732" s="8"/>
      <c r="AB1732" s="8"/>
      <c r="AC1732" s="8"/>
      <c r="AD1732" s="8"/>
      <c r="AE1732" s="8"/>
    </row>
    <row r="1733">
      <c r="A1733" s="12">
        <v>56.0</v>
      </c>
      <c r="B1733" s="8" t="s">
        <v>343</v>
      </c>
      <c r="C1733" s="8" t="s">
        <v>1179</v>
      </c>
      <c r="I1733" s="10" t="s">
        <v>1210</v>
      </c>
      <c r="J1733" s="13" t="s">
        <v>1243</v>
      </c>
      <c r="K1733" s="13" t="s">
        <v>276</v>
      </c>
      <c r="L1733" s="13" t="s">
        <v>1972</v>
      </c>
      <c r="M1733" s="7" t="s">
        <v>253</v>
      </c>
      <c r="N1733" s="7" t="s">
        <v>253</v>
      </c>
      <c r="O1733" s="7" t="s">
        <v>254</v>
      </c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  <c r="AA1733" s="8"/>
      <c r="AB1733" s="8"/>
      <c r="AC1733" s="8"/>
      <c r="AD1733" s="8"/>
      <c r="AE1733" s="8"/>
    </row>
    <row r="1734">
      <c r="A1734" s="12">
        <v>56.0</v>
      </c>
      <c r="B1734" s="8" t="s">
        <v>343</v>
      </c>
      <c r="C1734" s="8" t="s">
        <v>1179</v>
      </c>
      <c r="I1734" s="10" t="s">
        <v>1973</v>
      </c>
      <c r="J1734" s="13" t="s">
        <v>1247</v>
      </c>
      <c r="K1734" s="13" t="s">
        <v>276</v>
      </c>
      <c r="L1734" s="13" t="s">
        <v>1972</v>
      </c>
      <c r="M1734" s="7" t="s">
        <v>253</v>
      </c>
      <c r="N1734" s="7" t="s">
        <v>253</v>
      </c>
      <c r="O1734" s="7" t="s">
        <v>254</v>
      </c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  <c r="AA1734" s="8"/>
      <c r="AB1734" s="8"/>
      <c r="AC1734" s="8"/>
      <c r="AD1734" s="8"/>
      <c r="AE1734" s="8"/>
    </row>
    <row r="1735">
      <c r="A1735" s="12">
        <v>56.0</v>
      </c>
      <c r="B1735" s="8" t="s">
        <v>343</v>
      </c>
      <c r="C1735" s="8" t="s">
        <v>1179</v>
      </c>
      <c r="I1735" s="10" t="s">
        <v>1974</v>
      </c>
      <c r="J1735" s="13" t="s">
        <v>1243</v>
      </c>
      <c r="K1735" s="13" t="s">
        <v>276</v>
      </c>
      <c r="L1735" s="13" t="s">
        <v>1972</v>
      </c>
      <c r="M1735" s="7" t="s">
        <v>253</v>
      </c>
      <c r="N1735" s="7" t="s">
        <v>253</v>
      </c>
      <c r="O1735" s="7" t="s">
        <v>254</v>
      </c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  <c r="AA1735" s="8"/>
      <c r="AB1735" s="8"/>
      <c r="AC1735" s="8"/>
      <c r="AD1735" s="8"/>
      <c r="AE1735" s="8"/>
    </row>
    <row r="1736">
      <c r="A1736" s="12">
        <v>56.0</v>
      </c>
      <c r="B1736" s="8" t="s">
        <v>343</v>
      </c>
      <c r="C1736" s="8" t="s">
        <v>1179</v>
      </c>
      <c r="I1736" s="10" t="s">
        <v>1975</v>
      </c>
      <c r="J1736" s="13" t="s">
        <v>1247</v>
      </c>
      <c r="K1736" s="13" t="s">
        <v>276</v>
      </c>
      <c r="L1736" s="13" t="s">
        <v>1972</v>
      </c>
      <c r="M1736" s="7" t="s">
        <v>253</v>
      </c>
      <c r="N1736" s="7" t="s">
        <v>253</v>
      </c>
      <c r="O1736" s="7" t="s">
        <v>254</v>
      </c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  <c r="AA1736" s="8"/>
      <c r="AB1736" s="8"/>
      <c r="AC1736" s="8"/>
      <c r="AD1736" s="8"/>
      <c r="AE1736" s="8"/>
    </row>
    <row r="1737">
      <c r="A1737" s="12">
        <v>56.0</v>
      </c>
      <c r="B1737" s="8" t="s">
        <v>343</v>
      </c>
      <c r="C1737" s="8" t="s">
        <v>1179</v>
      </c>
      <c r="I1737" s="10" t="s">
        <v>1977</v>
      </c>
      <c r="J1737" s="13" t="s">
        <v>1243</v>
      </c>
      <c r="K1737" s="13" t="s">
        <v>276</v>
      </c>
      <c r="L1737" s="13" t="s">
        <v>1972</v>
      </c>
      <c r="M1737" s="7" t="s">
        <v>253</v>
      </c>
      <c r="N1737" s="7" t="s">
        <v>253</v>
      </c>
      <c r="O1737" s="7" t="s">
        <v>254</v>
      </c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  <c r="AA1737" s="8"/>
      <c r="AB1737" s="8"/>
      <c r="AC1737" s="8"/>
      <c r="AD1737" s="8"/>
      <c r="AE1737" s="8"/>
    </row>
    <row r="1738">
      <c r="A1738" s="12">
        <v>56.0</v>
      </c>
      <c r="B1738" s="8" t="s">
        <v>343</v>
      </c>
      <c r="C1738" s="8" t="s">
        <v>1179</v>
      </c>
      <c r="I1738" s="10" t="s">
        <v>1627</v>
      </c>
      <c r="J1738" s="13" t="s">
        <v>1247</v>
      </c>
      <c r="K1738" s="13" t="s">
        <v>276</v>
      </c>
      <c r="L1738" s="13" t="s">
        <v>1972</v>
      </c>
      <c r="M1738" s="7" t="s">
        <v>253</v>
      </c>
      <c r="N1738" s="7" t="s">
        <v>253</v>
      </c>
      <c r="O1738" s="7" t="s">
        <v>254</v>
      </c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  <c r="AA1738" s="8"/>
      <c r="AB1738" s="8"/>
      <c r="AC1738" s="8"/>
      <c r="AD1738" s="8"/>
      <c r="AE1738" s="8"/>
    </row>
    <row r="1739">
      <c r="A1739" s="12">
        <v>56.0</v>
      </c>
      <c r="B1739" s="8" t="s">
        <v>343</v>
      </c>
      <c r="C1739" s="8" t="s">
        <v>1179</v>
      </c>
      <c r="I1739" s="10" t="s">
        <v>342</v>
      </c>
      <c r="J1739" s="13" t="s">
        <v>1243</v>
      </c>
      <c r="K1739" s="13" t="s">
        <v>276</v>
      </c>
      <c r="L1739" s="13" t="s">
        <v>1972</v>
      </c>
      <c r="M1739" s="7" t="s">
        <v>253</v>
      </c>
      <c r="N1739" s="7" t="s">
        <v>253</v>
      </c>
      <c r="O1739" s="7" t="s">
        <v>254</v>
      </c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  <c r="AA1739" s="8"/>
      <c r="AB1739" s="8"/>
      <c r="AC1739" s="8"/>
      <c r="AD1739" s="8"/>
      <c r="AE1739" s="8"/>
    </row>
    <row r="1740">
      <c r="A1740" s="12">
        <v>56.0</v>
      </c>
      <c r="B1740" s="8" t="s">
        <v>343</v>
      </c>
      <c r="C1740" s="8" t="s">
        <v>1179</v>
      </c>
      <c r="I1740" s="10" t="s">
        <v>1978</v>
      </c>
      <c r="J1740" s="13" t="s">
        <v>1247</v>
      </c>
      <c r="K1740" s="13" t="s">
        <v>276</v>
      </c>
      <c r="L1740" s="13" t="s">
        <v>1972</v>
      </c>
      <c r="M1740" s="7" t="s">
        <v>253</v>
      </c>
      <c r="N1740" s="7" t="s">
        <v>253</v>
      </c>
      <c r="O1740" s="7" t="s">
        <v>254</v>
      </c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  <c r="AA1740" s="8"/>
      <c r="AB1740" s="8"/>
      <c r="AC1740" s="8"/>
      <c r="AD1740" s="8"/>
      <c r="AE1740" s="8"/>
    </row>
    <row r="1741">
      <c r="A1741" s="12">
        <v>56.0</v>
      </c>
      <c r="B1741" s="8" t="s">
        <v>343</v>
      </c>
      <c r="C1741" s="8" t="s">
        <v>1179</v>
      </c>
      <c r="I1741" s="10" t="s">
        <v>1980</v>
      </c>
      <c r="J1741" s="13" t="s">
        <v>1243</v>
      </c>
      <c r="K1741" s="13" t="s">
        <v>276</v>
      </c>
      <c r="L1741" s="13" t="s">
        <v>1972</v>
      </c>
      <c r="M1741" s="7" t="s">
        <v>253</v>
      </c>
      <c r="N1741" s="7" t="s">
        <v>253</v>
      </c>
      <c r="O1741" s="7" t="s">
        <v>254</v>
      </c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  <c r="AA1741" s="8"/>
      <c r="AB1741" s="8"/>
      <c r="AC1741" s="8"/>
      <c r="AD1741" s="8"/>
      <c r="AE1741" s="8"/>
    </row>
    <row r="1742">
      <c r="A1742" s="12">
        <v>56.0</v>
      </c>
      <c r="B1742" s="8" t="s">
        <v>343</v>
      </c>
      <c r="C1742" s="8" t="s">
        <v>1179</v>
      </c>
      <c r="I1742" s="10" t="s">
        <v>305</v>
      </c>
      <c r="J1742" s="13" t="s">
        <v>1247</v>
      </c>
      <c r="K1742" s="13" t="s">
        <v>276</v>
      </c>
      <c r="L1742" s="13" t="s">
        <v>1972</v>
      </c>
      <c r="M1742" s="7" t="s">
        <v>253</v>
      </c>
      <c r="N1742" s="7" t="s">
        <v>253</v>
      </c>
      <c r="O1742" s="7" t="s">
        <v>254</v>
      </c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  <c r="AA1742" s="8"/>
      <c r="AB1742" s="8"/>
      <c r="AC1742" s="8"/>
      <c r="AD1742" s="8"/>
      <c r="AE1742" s="8"/>
    </row>
    <row r="1743">
      <c r="A1743" s="12">
        <v>56.0</v>
      </c>
      <c r="B1743" s="8" t="s">
        <v>343</v>
      </c>
      <c r="C1743" s="8" t="s">
        <v>1179</v>
      </c>
      <c r="I1743" s="10" t="s">
        <v>285</v>
      </c>
      <c r="J1743" s="13" t="s">
        <v>1243</v>
      </c>
      <c r="K1743" s="13" t="s">
        <v>276</v>
      </c>
      <c r="L1743" s="13" t="s">
        <v>1972</v>
      </c>
      <c r="M1743" s="7" t="s">
        <v>253</v>
      </c>
      <c r="N1743" s="7" t="s">
        <v>253</v>
      </c>
      <c r="O1743" s="7" t="s">
        <v>254</v>
      </c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  <c r="AA1743" s="8"/>
      <c r="AB1743" s="8"/>
      <c r="AC1743" s="8"/>
      <c r="AD1743" s="8"/>
      <c r="AE1743" s="8"/>
    </row>
    <row r="1744">
      <c r="A1744" s="12">
        <v>56.0</v>
      </c>
      <c r="B1744" s="8" t="s">
        <v>343</v>
      </c>
      <c r="C1744" s="8" t="s">
        <v>1179</v>
      </c>
      <c r="I1744" s="10" t="s">
        <v>1893</v>
      </c>
      <c r="J1744" s="13" t="s">
        <v>1247</v>
      </c>
      <c r="K1744" s="13" t="s">
        <v>276</v>
      </c>
      <c r="L1744" s="13" t="s">
        <v>1972</v>
      </c>
      <c r="M1744" s="7" t="s">
        <v>253</v>
      </c>
      <c r="N1744" s="7" t="s">
        <v>253</v>
      </c>
      <c r="O1744" s="7" t="s">
        <v>254</v>
      </c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  <c r="AA1744" s="8"/>
      <c r="AB1744" s="8"/>
      <c r="AC1744" s="8"/>
      <c r="AD1744" s="8"/>
      <c r="AE1744" s="8"/>
    </row>
    <row r="1745">
      <c r="A1745" s="12">
        <v>56.0</v>
      </c>
      <c r="B1745" s="8" t="s">
        <v>343</v>
      </c>
      <c r="C1745" s="8" t="s">
        <v>1179</v>
      </c>
      <c r="I1745" s="10" t="s">
        <v>308</v>
      </c>
      <c r="J1745" s="13" t="s">
        <v>1243</v>
      </c>
      <c r="K1745" s="13" t="s">
        <v>276</v>
      </c>
      <c r="L1745" s="13" t="s">
        <v>1972</v>
      </c>
      <c r="M1745" s="7" t="s">
        <v>253</v>
      </c>
      <c r="N1745" s="7" t="s">
        <v>253</v>
      </c>
      <c r="O1745" s="7" t="s">
        <v>254</v>
      </c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  <c r="AA1745" s="8"/>
      <c r="AB1745" s="8"/>
      <c r="AC1745" s="8"/>
      <c r="AD1745" s="8"/>
      <c r="AE1745" s="8"/>
    </row>
    <row r="1746">
      <c r="A1746" s="12">
        <v>56.0</v>
      </c>
      <c r="B1746" s="8" t="s">
        <v>343</v>
      </c>
      <c r="C1746" s="8" t="s">
        <v>1179</v>
      </c>
      <c r="I1746" s="10" t="s">
        <v>1981</v>
      </c>
      <c r="J1746" s="13" t="s">
        <v>1247</v>
      </c>
      <c r="K1746" s="13" t="s">
        <v>276</v>
      </c>
      <c r="L1746" s="13" t="s">
        <v>1972</v>
      </c>
      <c r="M1746" s="7" t="s">
        <v>253</v>
      </c>
      <c r="N1746" s="7" t="s">
        <v>253</v>
      </c>
      <c r="O1746" s="7" t="s">
        <v>254</v>
      </c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  <c r="AA1746" s="8"/>
      <c r="AB1746" s="8"/>
      <c r="AC1746" s="8"/>
      <c r="AD1746" s="8"/>
      <c r="AE1746" s="8"/>
    </row>
    <row r="1747">
      <c r="A1747" s="12">
        <v>56.0</v>
      </c>
      <c r="B1747" s="8" t="s">
        <v>343</v>
      </c>
      <c r="C1747" s="8" t="s">
        <v>1179</v>
      </c>
      <c r="I1747" s="10" t="s">
        <v>1982</v>
      </c>
      <c r="J1747" s="13" t="s">
        <v>1243</v>
      </c>
      <c r="K1747" s="13" t="s">
        <v>276</v>
      </c>
      <c r="L1747" s="13" t="s">
        <v>1972</v>
      </c>
      <c r="M1747" s="7" t="s">
        <v>253</v>
      </c>
      <c r="N1747" s="7" t="s">
        <v>253</v>
      </c>
      <c r="O1747" s="7" t="s">
        <v>254</v>
      </c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  <c r="AA1747" s="8"/>
      <c r="AB1747" s="8"/>
      <c r="AC1747" s="8"/>
      <c r="AD1747" s="8"/>
      <c r="AE1747" s="8"/>
    </row>
    <row r="1748">
      <c r="A1748" s="12">
        <v>56.0</v>
      </c>
      <c r="B1748" s="8" t="s">
        <v>343</v>
      </c>
      <c r="C1748" s="8" t="s">
        <v>1179</v>
      </c>
      <c r="I1748" s="10" t="s">
        <v>419</v>
      </c>
      <c r="J1748" s="13" t="s">
        <v>1247</v>
      </c>
      <c r="K1748" s="13" t="s">
        <v>276</v>
      </c>
      <c r="L1748" s="13" t="s">
        <v>1972</v>
      </c>
      <c r="M1748" s="7" t="s">
        <v>253</v>
      </c>
      <c r="N1748" s="7" t="s">
        <v>253</v>
      </c>
      <c r="O1748" s="7" t="s">
        <v>254</v>
      </c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  <c r="AA1748" s="8"/>
      <c r="AB1748" s="8"/>
      <c r="AC1748" s="8"/>
      <c r="AD1748" s="8"/>
      <c r="AE1748" s="8"/>
    </row>
    <row r="1749">
      <c r="A1749" s="12">
        <v>56.0</v>
      </c>
      <c r="B1749" s="8" t="s">
        <v>343</v>
      </c>
      <c r="C1749" s="8" t="s">
        <v>1179</v>
      </c>
      <c r="I1749" s="10" t="s">
        <v>1983</v>
      </c>
      <c r="J1749" s="13" t="s">
        <v>1243</v>
      </c>
      <c r="K1749" s="13" t="s">
        <v>276</v>
      </c>
      <c r="L1749" s="13" t="s">
        <v>1972</v>
      </c>
      <c r="M1749" s="7" t="s">
        <v>253</v>
      </c>
      <c r="N1749" s="7" t="s">
        <v>253</v>
      </c>
      <c r="O1749" s="7" t="s">
        <v>254</v>
      </c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  <c r="AA1749" s="8"/>
      <c r="AB1749" s="8"/>
      <c r="AC1749" s="8"/>
      <c r="AD1749" s="8"/>
      <c r="AE1749" s="8"/>
    </row>
    <row r="1750">
      <c r="A1750" s="12">
        <v>56.0</v>
      </c>
      <c r="B1750" s="8" t="s">
        <v>343</v>
      </c>
      <c r="C1750" s="8" t="s">
        <v>1179</v>
      </c>
      <c r="I1750" s="10" t="s">
        <v>1984</v>
      </c>
      <c r="J1750" s="13" t="s">
        <v>1247</v>
      </c>
      <c r="K1750" s="13" t="s">
        <v>276</v>
      </c>
      <c r="L1750" s="13" t="s">
        <v>1972</v>
      </c>
      <c r="M1750" s="7" t="s">
        <v>253</v>
      </c>
      <c r="N1750" s="7" t="s">
        <v>253</v>
      </c>
      <c r="O1750" s="7" t="s">
        <v>254</v>
      </c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  <c r="AA1750" s="8"/>
      <c r="AB1750" s="8"/>
      <c r="AC1750" s="8"/>
      <c r="AD1750" s="8"/>
      <c r="AE1750" s="8"/>
    </row>
    <row r="1751">
      <c r="A1751" s="12">
        <v>56.0</v>
      </c>
      <c r="B1751" s="8" t="s">
        <v>343</v>
      </c>
      <c r="C1751" s="8" t="s">
        <v>1179</v>
      </c>
      <c r="I1751" s="10" t="s">
        <v>1235</v>
      </c>
      <c r="J1751" s="13" t="s">
        <v>1243</v>
      </c>
      <c r="K1751" s="13" t="s">
        <v>276</v>
      </c>
      <c r="L1751" s="13" t="s">
        <v>1972</v>
      </c>
      <c r="M1751" s="7" t="s">
        <v>253</v>
      </c>
      <c r="N1751" s="7" t="s">
        <v>253</v>
      </c>
      <c r="O1751" s="7" t="s">
        <v>254</v>
      </c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  <c r="AA1751" s="8"/>
      <c r="AB1751" s="8"/>
      <c r="AC1751" s="8"/>
      <c r="AD1751" s="8"/>
      <c r="AE1751" s="8"/>
    </row>
    <row r="1752">
      <c r="A1752" s="12">
        <v>56.0</v>
      </c>
      <c r="B1752" s="8" t="s">
        <v>343</v>
      </c>
      <c r="C1752" s="8" t="s">
        <v>1179</v>
      </c>
      <c r="I1752" s="10" t="s">
        <v>426</v>
      </c>
      <c r="J1752" s="13" t="s">
        <v>1247</v>
      </c>
      <c r="K1752" s="13" t="s">
        <v>276</v>
      </c>
      <c r="L1752" s="13" t="s">
        <v>1972</v>
      </c>
      <c r="M1752" s="7" t="s">
        <v>253</v>
      </c>
      <c r="N1752" s="7" t="s">
        <v>253</v>
      </c>
      <c r="O1752" s="7" t="s">
        <v>254</v>
      </c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  <c r="AA1752" s="8"/>
      <c r="AB1752" s="8"/>
      <c r="AC1752" s="8"/>
      <c r="AD1752" s="8"/>
      <c r="AE1752" s="8"/>
    </row>
    <row r="1753">
      <c r="A1753" s="12">
        <v>56.0</v>
      </c>
      <c r="B1753" s="8" t="s">
        <v>343</v>
      </c>
      <c r="C1753" s="8" t="s">
        <v>1179</v>
      </c>
      <c r="I1753" s="10" t="s">
        <v>1570</v>
      </c>
      <c r="J1753" s="13" t="s">
        <v>1243</v>
      </c>
      <c r="K1753" s="13" t="s">
        <v>276</v>
      </c>
      <c r="L1753" s="13" t="s">
        <v>1972</v>
      </c>
      <c r="M1753" s="7" t="s">
        <v>253</v>
      </c>
      <c r="N1753" s="7" t="s">
        <v>253</v>
      </c>
      <c r="O1753" s="7" t="s">
        <v>254</v>
      </c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  <c r="AA1753" s="8"/>
      <c r="AB1753" s="8"/>
      <c r="AC1753" s="8"/>
      <c r="AD1753" s="8"/>
      <c r="AE1753" s="8"/>
    </row>
    <row r="1754">
      <c r="A1754" s="12">
        <v>56.0</v>
      </c>
      <c r="B1754" s="8" t="s">
        <v>343</v>
      </c>
      <c r="C1754" s="8" t="s">
        <v>1179</v>
      </c>
      <c r="I1754" s="10" t="s">
        <v>1985</v>
      </c>
      <c r="J1754" s="13" t="s">
        <v>1247</v>
      </c>
      <c r="K1754" s="13" t="s">
        <v>276</v>
      </c>
      <c r="L1754" s="13" t="s">
        <v>1972</v>
      </c>
      <c r="M1754" s="7" t="s">
        <v>253</v>
      </c>
      <c r="N1754" s="7" t="s">
        <v>253</v>
      </c>
      <c r="O1754" s="7" t="s">
        <v>254</v>
      </c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  <c r="AA1754" s="8"/>
      <c r="AB1754" s="8"/>
      <c r="AC1754" s="8"/>
      <c r="AD1754" s="8"/>
      <c r="AE1754" s="8"/>
    </row>
    <row r="1755">
      <c r="A1755" s="12">
        <v>56.0</v>
      </c>
      <c r="B1755" s="8" t="s">
        <v>343</v>
      </c>
      <c r="C1755" s="8" t="s">
        <v>1179</v>
      </c>
      <c r="I1755" s="10" t="s">
        <v>1558</v>
      </c>
      <c r="J1755" s="13" t="s">
        <v>1243</v>
      </c>
      <c r="K1755" s="13" t="s">
        <v>276</v>
      </c>
      <c r="L1755" s="13" t="s">
        <v>1972</v>
      </c>
      <c r="M1755" s="7" t="s">
        <v>253</v>
      </c>
      <c r="N1755" s="7" t="s">
        <v>253</v>
      </c>
      <c r="O1755" s="7" t="s">
        <v>254</v>
      </c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  <c r="AA1755" s="8"/>
      <c r="AB1755" s="8"/>
      <c r="AC1755" s="8"/>
      <c r="AD1755" s="8"/>
      <c r="AE1755" s="8"/>
    </row>
    <row r="1756">
      <c r="A1756" s="12">
        <v>56.0</v>
      </c>
      <c r="B1756" s="8" t="s">
        <v>343</v>
      </c>
      <c r="C1756" s="8" t="s">
        <v>1179</v>
      </c>
      <c r="I1756" s="10" t="s">
        <v>1986</v>
      </c>
      <c r="J1756" s="13" t="s">
        <v>1247</v>
      </c>
      <c r="K1756" s="13" t="s">
        <v>276</v>
      </c>
      <c r="L1756" s="13" t="s">
        <v>2025</v>
      </c>
      <c r="M1756" s="7" t="s">
        <v>253</v>
      </c>
      <c r="N1756" s="7" t="s">
        <v>253</v>
      </c>
      <c r="O1756" s="7" t="s">
        <v>254</v>
      </c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  <c r="AA1756" s="8"/>
      <c r="AB1756" s="8"/>
      <c r="AC1756" s="8"/>
      <c r="AD1756" s="8"/>
      <c r="AE1756" s="8"/>
    </row>
    <row r="1757">
      <c r="A1757" s="12">
        <v>56.0</v>
      </c>
      <c r="B1757" s="8" t="s">
        <v>343</v>
      </c>
      <c r="C1757" s="8" t="s">
        <v>1179</v>
      </c>
      <c r="I1757" s="10" t="s">
        <v>1756</v>
      </c>
      <c r="J1757" s="13" t="s">
        <v>1243</v>
      </c>
      <c r="K1757" s="13" t="s">
        <v>276</v>
      </c>
      <c r="L1757" s="13" t="s">
        <v>1972</v>
      </c>
      <c r="M1757" s="7" t="s">
        <v>253</v>
      </c>
      <c r="N1757" s="7" t="s">
        <v>253</v>
      </c>
      <c r="O1757" s="7" t="s">
        <v>254</v>
      </c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  <c r="AA1757" s="8"/>
      <c r="AB1757" s="8"/>
      <c r="AC1757" s="8"/>
      <c r="AD1757" s="8"/>
      <c r="AE1757" s="8"/>
    </row>
    <row r="1758">
      <c r="A1758" s="12">
        <v>56.0</v>
      </c>
      <c r="B1758" s="8" t="s">
        <v>343</v>
      </c>
      <c r="C1758" s="8" t="s">
        <v>1179</v>
      </c>
      <c r="I1758" s="10" t="s">
        <v>427</v>
      </c>
      <c r="J1758" s="13" t="s">
        <v>1247</v>
      </c>
      <c r="K1758" s="13" t="s">
        <v>276</v>
      </c>
      <c r="L1758" s="13" t="s">
        <v>1972</v>
      </c>
      <c r="M1758" s="7" t="s">
        <v>253</v>
      </c>
      <c r="N1758" s="7" t="s">
        <v>253</v>
      </c>
      <c r="O1758" s="7" t="s">
        <v>254</v>
      </c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  <c r="AA1758" s="8"/>
      <c r="AB1758" s="8"/>
      <c r="AC1758" s="8"/>
      <c r="AD1758" s="8"/>
      <c r="AE1758" s="8"/>
    </row>
    <row r="1759">
      <c r="A1759" s="12">
        <v>56.0</v>
      </c>
      <c r="B1759" s="8" t="s">
        <v>343</v>
      </c>
      <c r="C1759" s="8" t="s">
        <v>1179</v>
      </c>
      <c r="I1759" s="10" t="s">
        <v>1988</v>
      </c>
      <c r="J1759" s="13" t="s">
        <v>1243</v>
      </c>
      <c r="K1759" s="13" t="s">
        <v>276</v>
      </c>
      <c r="L1759" s="13" t="s">
        <v>1972</v>
      </c>
      <c r="M1759" s="7" t="s">
        <v>253</v>
      </c>
      <c r="N1759" s="7" t="s">
        <v>253</v>
      </c>
      <c r="O1759" s="7" t="s">
        <v>254</v>
      </c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  <c r="AA1759" s="8"/>
      <c r="AB1759" s="8"/>
      <c r="AC1759" s="8"/>
      <c r="AD1759" s="8"/>
      <c r="AE1759" s="8"/>
    </row>
    <row r="1760">
      <c r="A1760" s="12">
        <v>56.0</v>
      </c>
      <c r="B1760" s="8" t="s">
        <v>343</v>
      </c>
      <c r="C1760" s="8" t="s">
        <v>1179</v>
      </c>
      <c r="I1760" s="10" t="s">
        <v>1896</v>
      </c>
      <c r="J1760" s="13" t="s">
        <v>1247</v>
      </c>
      <c r="K1760" s="13" t="s">
        <v>276</v>
      </c>
      <c r="L1760" s="13" t="s">
        <v>1972</v>
      </c>
      <c r="M1760" s="7" t="s">
        <v>253</v>
      </c>
      <c r="N1760" s="7" t="s">
        <v>253</v>
      </c>
      <c r="O1760" s="7" t="s">
        <v>254</v>
      </c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  <c r="AA1760" s="8"/>
      <c r="AB1760" s="8"/>
      <c r="AC1760" s="8"/>
      <c r="AD1760" s="8"/>
      <c r="AE1760" s="8"/>
    </row>
    <row r="1761">
      <c r="A1761" s="12">
        <v>56.0</v>
      </c>
      <c r="B1761" s="8" t="s">
        <v>343</v>
      </c>
      <c r="C1761" s="8" t="s">
        <v>1179</v>
      </c>
      <c r="I1761" s="10" t="s">
        <v>730</v>
      </c>
      <c r="J1761" s="13" t="s">
        <v>1243</v>
      </c>
      <c r="K1761" s="13" t="s">
        <v>276</v>
      </c>
      <c r="L1761" s="13" t="s">
        <v>1972</v>
      </c>
      <c r="M1761" s="7" t="s">
        <v>253</v>
      </c>
      <c r="N1761" s="7" t="s">
        <v>253</v>
      </c>
      <c r="O1761" s="7" t="s">
        <v>254</v>
      </c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  <c r="AA1761" s="8"/>
      <c r="AB1761" s="8"/>
      <c r="AC1761" s="8"/>
      <c r="AD1761" s="8"/>
      <c r="AE1761" s="8"/>
    </row>
    <row r="1762">
      <c r="A1762" s="12">
        <v>56.0</v>
      </c>
      <c r="B1762" s="8" t="s">
        <v>343</v>
      </c>
      <c r="C1762" s="8" t="s">
        <v>1179</v>
      </c>
      <c r="I1762" s="10" t="s">
        <v>431</v>
      </c>
      <c r="J1762" s="13" t="s">
        <v>1247</v>
      </c>
      <c r="K1762" s="13" t="s">
        <v>276</v>
      </c>
      <c r="L1762" s="13" t="s">
        <v>1972</v>
      </c>
      <c r="M1762" s="7" t="s">
        <v>253</v>
      </c>
      <c r="N1762" s="7" t="s">
        <v>253</v>
      </c>
      <c r="O1762" s="7" t="s">
        <v>254</v>
      </c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  <c r="AA1762" s="8"/>
      <c r="AB1762" s="8"/>
      <c r="AC1762" s="8"/>
      <c r="AD1762" s="8"/>
      <c r="AE1762" s="8"/>
    </row>
    <row r="1763">
      <c r="A1763" s="12">
        <v>56.0</v>
      </c>
      <c r="B1763" s="8" t="s">
        <v>343</v>
      </c>
      <c r="C1763" s="8" t="s">
        <v>1179</v>
      </c>
      <c r="I1763" s="10" t="s">
        <v>1184</v>
      </c>
      <c r="J1763" s="13" t="s">
        <v>1243</v>
      </c>
      <c r="K1763" s="13" t="s">
        <v>276</v>
      </c>
      <c r="L1763" s="13" t="s">
        <v>2025</v>
      </c>
      <c r="M1763" s="7" t="s">
        <v>253</v>
      </c>
      <c r="N1763" s="7" t="s">
        <v>253</v>
      </c>
      <c r="O1763" s="7" t="s">
        <v>254</v>
      </c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  <c r="AA1763" s="8"/>
      <c r="AB1763" s="8"/>
      <c r="AC1763" s="8"/>
      <c r="AD1763" s="8"/>
      <c r="AE1763" s="8"/>
    </row>
    <row r="1764">
      <c r="A1764" s="12">
        <v>56.0</v>
      </c>
      <c r="B1764" s="8" t="s">
        <v>343</v>
      </c>
      <c r="C1764" s="8" t="s">
        <v>1179</v>
      </c>
      <c r="I1764" s="10" t="s">
        <v>339</v>
      </c>
      <c r="J1764" s="13" t="s">
        <v>1247</v>
      </c>
      <c r="K1764" s="13" t="s">
        <v>276</v>
      </c>
      <c r="L1764" s="13" t="s">
        <v>2026</v>
      </c>
      <c r="M1764" s="7" t="s">
        <v>253</v>
      </c>
      <c r="N1764" s="7" t="s">
        <v>253</v>
      </c>
      <c r="O1764" s="7" t="s">
        <v>254</v>
      </c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  <c r="AA1764" s="8"/>
      <c r="AB1764" s="8"/>
      <c r="AC1764" s="8"/>
      <c r="AD1764" s="8"/>
      <c r="AE1764" s="8"/>
    </row>
    <row r="1765">
      <c r="A1765" s="12">
        <v>56.0</v>
      </c>
      <c r="B1765" s="8" t="s">
        <v>343</v>
      </c>
      <c r="C1765" s="8" t="s">
        <v>1179</v>
      </c>
      <c r="I1765" s="10" t="s">
        <v>1989</v>
      </c>
      <c r="J1765" s="13" t="s">
        <v>1243</v>
      </c>
      <c r="K1765" s="13" t="s">
        <v>276</v>
      </c>
      <c r="L1765" s="13" t="s">
        <v>1972</v>
      </c>
      <c r="M1765" s="7" t="s">
        <v>253</v>
      </c>
      <c r="N1765" s="7" t="s">
        <v>253</v>
      </c>
      <c r="O1765" s="7" t="s">
        <v>254</v>
      </c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  <c r="AA1765" s="8"/>
      <c r="AB1765" s="8"/>
      <c r="AC1765" s="8"/>
      <c r="AD1765" s="8"/>
      <c r="AE1765" s="8"/>
    </row>
    <row r="1766">
      <c r="A1766" s="12">
        <v>56.0</v>
      </c>
      <c r="B1766" s="8" t="s">
        <v>343</v>
      </c>
      <c r="C1766" s="8" t="s">
        <v>1179</v>
      </c>
      <c r="I1766" s="10" t="s">
        <v>433</v>
      </c>
      <c r="J1766" s="13" t="s">
        <v>1247</v>
      </c>
      <c r="K1766" s="13" t="s">
        <v>276</v>
      </c>
      <c r="L1766" s="13" t="s">
        <v>1972</v>
      </c>
      <c r="M1766" s="7" t="s">
        <v>253</v>
      </c>
      <c r="N1766" s="7" t="s">
        <v>253</v>
      </c>
      <c r="O1766" s="7" t="s">
        <v>254</v>
      </c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  <c r="AA1766" s="8"/>
      <c r="AB1766" s="8"/>
      <c r="AC1766" s="8"/>
      <c r="AD1766" s="8"/>
      <c r="AE1766" s="8"/>
    </row>
    <row r="1767">
      <c r="A1767" s="12">
        <v>56.0</v>
      </c>
      <c r="B1767" s="8" t="s">
        <v>343</v>
      </c>
      <c r="C1767" s="8" t="s">
        <v>1179</v>
      </c>
      <c r="I1767" s="10" t="s">
        <v>463</v>
      </c>
      <c r="J1767" s="13" t="s">
        <v>1243</v>
      </c>
      <c r="K1767" s="13" t="s">
        <v>276</v>
      </c>
      <c r="L1767" s="13" t="s">
        <v>1972</v>
      </c>
      <c r="M1767" s="7" t="s">
        <v>253</v>
      </c>
      <c r="N1767" s="7" t="s">
        <v>253</v>
      </c>
      <c r="O1767" s="7" t="s">
        <v>254</v>
      </c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  <c r="AA1767" s="8"/>
      <c r="AB1767" s="8"/>
      <c r="AC1767" s="8"/>
      <c r="AD1767" s="8"/>
      <c r="AE1767" s="8"/>
    </row>
    <row r="1768">
      <c r="A1768" s="12">
        <v>56.0</v>
      </c>
      <c r="B1768" s="8" t="s">
        <v>343</v>
      </c>
      <c r="C1768" s="8" t="s">
        <v>1179</v>
      </c>
      <c r="I1768" s="10" t="s">
        <v>399</v>
      </c>
      <c r="J1768" s="13" t="s">
        <v>1247</v>
      </c>
      <c r="K1768" s="13" t="s">
        <v>276</v>
      </c>
      <c r="L1768" s="13" t="s">
        <v>1972</v>
      </c>
      <c r="M1768" s="7" t="s">
        <v>253</v>
      </c>
      <c r="N1768" s="7" t="s">
        <v>253</v>
      </c>
      <c r="O1768" s="7" t="s">
        <v>254</v>
      </c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  <c r="AA1768" s="8"/>
      <c r="AB1768" s="8"/>
      <c r="AC1768" s="8"/>
      <c r="AD1768" s="8"/>
      <c r="AE1768" s="8"/>
    </row>
    <row r="1769">
      <c r="A1769" s="12">
        <v>56.0</v>
      </c>
      <c r="B1769" s="8" t="s">
        <v>343</v>
      </c>
      <c r="C1769" s="8" t="s">
        <v>1179</v>
      </c>
      <c r="I1769" s="10" t="s">
        <v>434</v>
      </c>
      <c r="J1769" s="13" t="s">
        <v>1243</v>
      </c>
      <c r="K1769" s="13" t="s">
        <v>276</v>
      </c>
      <c r="L1769" s="13" t="s">
        <v>1972</v>
      </c>
      <c r="M1769" s="7" t="s">
        <v>253</v>
      </c>
      <c r="N1769" s="7" t="s">
        <v>253</v>
      </c>
      <c r="O1769" s="7" t="s">
        <v>254</v>
      </c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  <c r="AA1769" s="8"/>
      <c r="AB1769" s="8"/>
      <c r="AC1769" s="8"/>
      <c r="AD1769" s="8"/>
      <c r="AE1769" s="8"/>
    </row>
    <row r="1770">
      <c r="A1770" s="12">
        <v>56.0</v>
      </c>
      <c r="B1770" s="8" t="s">
        <v>343</v>
      </c>
      <c r="C1770" s="8" t="s">
        <v>1179</v>
      </c>
      <c r="I1770" s="10" t="s">
        <v>321</v>
      </c>
      <c r="J1770" s="13" t="s">
        <v>1247</v>
      </c>
      <c r="K1770" s="13" t="s">
        <v>276</v>
      </c>
      <c r="L1770" s="13" t="s">
        <v>364</v>
      </c>
      <c r="M1770" s="7" t="s">
        <v>253</v>
      </c>
      <c r="N1770" s="7" t="s">
        <v>253</v>
      </c>
      <c r="O1770" s="7" t="s">
        <v>254</v>
      </c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  <c r="AA1770" s="8"/>
      <c r="AB1770" s="8"/>
      <c r="AC1770" s="8"/>
      <c r="AD1770" s="8"/>
      <c r="AE1770" s="8"/>
    </row>
    <row r="1771">
      <c r="A1771" s="12">
        <v>56.0</v>
      </c>
      <c r="B1771" s="8" t="s">
        <v>343</v>
      </c>
      <c r="C1771" s="8" t="s">
        <v>1179</v>
      </c>
      <c r="I1771" s="10" t="s">
        <v>1990</v>
      </c>
      <c r="J1771" s="13" t="s">
        <v>1243</v>
      </c>
      <c r="K1771" s="13" t="s">
        <v>276</v>
      </c>
      <c r="L1771" s="13" t="s">
        <v>1972</v>
      </c>
      <c r="M1771" s="7" t="s">
        <v>253</v>
      </c>
      <c r="N1771" s="7" t="s">
        <v>253</v>
      </c>
      <c r="O1771" s="7" t="s">
        <v>254</v>
      </c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  <c r="AA1771" s="8"/>
      <c r="AB1771" s="8"/>
      <c r="AC1771" s="8"/>
      <c r="AD1771" s="8"/>
      <c r="AE1771" s="8"/>
    </row>
    <row r="1772">
      <c r="A1772" s="12">
        <v>56.0</v>
      </c>
      <c r="B1772" s="8" t="s">
        <v>343</v>
      </c>
      <c r="C1772" s="8" t="s">
        <v>1179</v>
      </c>
      <c r="I1772" s="10" t="s">
        <v>1991</v>
      </c>
      <c r="J1772" s="13" t="s">
        <v>1247</v>
      </c>
      <c r="K1772" s="13" t="s">
        <v>276</v>
      </c>
      <c r="L1772" s="13" t="s">
        <v>1972</v>
      </c>
      <c r="M1772" s="7" t="s">
        <v>253</v>
      </c>
      <c r="N1772" s="7" t="s">
        <v>253</v>
      </c>
      <c r="O1772" s="7" t="s">
        <v>254</v>
      </c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  <c r="AA1772" s="8"/>
      <c r="AB1772" s="8"/>
      <c r="AC1772" s="8"/>
      <c r="AD1772" s="8"/>
      <c r="AE1772" s="8"/>
    </row>
    <row r="1773">
      <c r="A1773" s="12">
        <v>56.0</v>
      </c>
      <c r="B1773" s="8" t="s">
        <v>343</v>
      </c>
      <c r="C1773" s="8" t="s">
        <v>1179</v>
      </c>
      <c r="I1773" s="10" t="s">
        <v>849</v>
      </c>
      <c r="J1773" s="13" t="s">
        <v>1243</v>
      </c>
      <c r="K1773" s="13" t="s">
        <v>276</v>
      </c>
      <c r="L1773" s="13" t="s">
        <v>1972</v>
      </c>
      <c r="M1773" s="7" t="s">
        <v>253</v>
      </c>
      <c r="N1773" s="7" t="s">
        <v>253</v>
      </c>
      <c r="O1773" s="7" t="s">
        <v>254</v>
      </c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  <c r="AA1773" s="8"/>
      <c r="AB1773" s="8"/>
      <c r="AC1773" s="8"/>
      <c r="AD1773" s="8"/>
      <c r="AE1773" s="8"/>
    </row>
    <row r="1774">
      <c r="A1774" s="12">
        <v>56.0</v>
      </c>
      <c r="B1774" s="8" t="s">
        <v>343</v>
      </c>
      <c r="C1774" s="8" t="s">
        <v>1179</v>
      </c>
      <c r="I1774" s="10" t="s">
        <v>1992</v>
      </c>
      <c r="J1774" s="13" t="s">
        <v>1247</v>
      </c>
      <c r="K1774" s="13" t="s">
        <v>276</v>
      </c>
      <c r="L1774" s="13" t="s">
        <v>1972</v>
      </c>
      <c r="M1774" s="7" t="s">
        <v>253</v>
      </c>
      <c r="N1774" s="7" t="s">
        <v>253</v>
      </c>
      <c r="O1774" s="7" t="s">
        <v>254</v>
      </c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  <c r="AA1774" s="8"/>
      <c r="AB1774" s="8"/>
      <c r="AC1774" s="8"/>
      <c r="AD1774" s="8"/>
      <c r="AE1774" s="8"/>
    </row>
    <row r="1775">
      <c r="A1775" s="12">
        <v>56.0</v>
      </c>
      <c r="B1775" s="8" t="s">
        <v>343</v>
      </c>
      <c r="C1775" s="8" t="s">
        <v>1179</v>
      </c>
      <c r="I1775" s="10" t="s">
        <v>435</v>
      </c>
      <c r="J1775" s="13" t="s">
        <v>1243</v>
      </c>
      <c r="K1775" s="13" t="s">
        <v>276</v>
      </c>
      <c r="L1775" s="13" t="s">
        <v>1972</v>
      </c>
      <c r="M1775" s="7" t="s">
        <v>253</v>
      </c>
      <c r="N1775" s="7" t="s">
        <v>253</v>
      </c>
      <c r="O1775" s="7" t="s">
        <v>254</v>
      </c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  <c r="AA1775" s="8"/>
      <c r="AB1775" s="8"/>
      <c r="AC1775" s="8"/>
      <c r="AD1775" s="8"/>
      <c r="AE1775" s="8"/>
    </row>
    <row r="1776">
      <c r="A1776" s="12">
        <v>56.0</v>
      </c>
      <c r="B1776" s="8" t="s">
        <v>343</v>
      </c>
      <c r="C1776" s="8" t="s">
        <v>1179</v>
      </c>
      <c r="I1776" s="10" t="s">
        <v>1582</v>
      </c>
      <c r="J1776" s="13" t="s">
        <v>1247</v>
      </c>
      <c r="K1776" s="13" t="s">
        <v>276</v>
      </c>
      <c r="L1776" s="13" t="s">
        <v>1972</v>
      </c>
      <c r="M1776" s="7" t="s">
        <v>253</v>
      </c>
      <c r="N1776" s="7" t="s">
        <v>253</v>
      </c>
      <c r="O1776" s="7" t="s">
        <v>254</v>
      </c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  <c r="AA1776" s="8"/>
      <c r="AB1776" s="8"/>
      <c r="AC1776" s="8"/>
      <c r="AD1776" s="8"/>
      <c r="AE1776" s="8"/>
    </row>
    <row r="1777">
      <c r="A1777" s="12">
        <v>56.0</v>
      </c>
      <c r="B1777" s="8" t="s">
        <v>343</v>
      </c>
      <c r="C1777" s="8" t="s">
        <v>1179</v>
      </c>
      <c r="I1777" s="10" t="s">
        <v>407</v>
      </c>
      <c r="J1777" s="13" t="s">
        <v>1243</v>
      </c>
      <c r="K1777" s="13" t="s">
        <v>276</v>
      </c>
      <c r="L1777" s="13" t="s">
        <v>1972</v>
      </c>
      <c r="M1777" s="7" t="s">
        <v>253</v>
      </c>
      <c r="N1777" s="7" t="s">
        <v>253</v>
      </c>
      <c r="O1777" s="7" t="s">
        <v>254</v>
      </c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  <c r="AA1777" s="8"/>
      <c r="AB1777" s="8"/>
      <c r="AC1777" s="8"/>
      <c r="AD1777" s="8"/>
      <c r="AE1777" s="8"/>
    </row>
    <row r="1778">
      <c r="A1778" s="12">
        <v>57.0</v>
      </c>
      <c r="B1778" s="8" t="s">
        <v>345</v>
      </c>
      <c r="C1778" s="8" t="s">
        <v>1255</v>
      </c>
      <c r="D1778" s="25">
        <f>IF(COUNTIF($B$2:$B1778,$B1778)&gt;1,"",COUNTIF($B$2:$B$2505,$B1778))</f>
        <v>66</v>
      </c>
      <c r="E1778" s="25">
        <f>IF(COUNTIF($B$2:$B1778,$B1778)&gt;1,"",COUNTIFS($B$2:$B$2505,$B1778,$K$2:$K$2505,"PHÙ HỢP CAO"))</f>
        <v>4</v>
      </c>
      <c r="F1778" s="25">
        <f>IF(COUNTIF($B$2:$B1778,$B1778)&gt;1,"",COUNTIFS($B$2:$B$2505,$B1778,$K$2:$K$2505,"CÓ THỂ ĐI"))</f>
        <v>1</v>
      </c>
      <c r="G1778" s="25">
        <f>IF(COUNTIF($B$2:$B1778,$B1778)&gt;1,"",COUNTIFS($B$2:$B$2505,$B1778,$K$2:$K$2505,"CẦN SOÁT"))</f>
        <v>61</v>
      </c>
      <c r="H1778" s="26" t="str">
        <f>IFERROR(__xludf.DUMMYFUNCTION("IF(COUNTIF($B$2:$B1778,$B1778)&gt;1,"""",IFERROR(TEXTJOIN(CHAR(10),TRUE,BYROW(QUERY({$B$2:$B$2505,$J$2:$J$2505},""select Col2, count(Col2) where Col1 = '""&amp;$B1778&amp;""' group by Col2 order by count(Col2) desc label count(Col2) ''"",0),LAMBDA(r,INDEX(r,1,1)&amp;"" "&amp;"– ""&amp;INDEX(r,1,2)&amp;"" link""))),""""))"),"cách tính lãi suất vay – 33 link
cách tính lãi suất vay ngân hàng – 33 link")</f>
        <v>cách tính lãi suất vay – 33 link
cách tính lãi suất vay ngân hàng – 33 link</v>
      </c>
      <c r="I1778" s="10" t="s">
        <v>1256</v>
      </c>
      <c r="J1778" s="13" t="s">
        <v>1264</v>
      </c>
      <c r="K1778" s="13" t="s">
        <v>251</v>
      </c>
      <c r="L1778" s="13" t="s">
        <v>2027</v>
      </c>
      <c r="M1778" s="7" t="s">
        <v>253</v>
      </c>
      <c r="N1778" s="7" t="s">
        <v>253</v>
      </c>
      <c r="O1778" s="7" t="s">
        <v>254</v>
      </c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  <c r="AA1778" s="8"/>
      <c r="AB1778" s="8"/>
      <c r="AC1778" s="8"/>
      <c r="AD1778" s="8"/>
      <c r="AE1778" s="8"/>
    </row>
    <row r="1779">
      <c r="A1779" s="12">
        <v>57.0</v>
      </c>
      <c r="B1779" s="8" t="s">
        <v>345</v>
      </c>
      <c r="C1779" s="8" t="s">
        <v>1255</v>
      </c>
      <c r="I1779" s="10" t="s">
        <v>1261</v>
      </c>
      <c r="J1779" s="13" t="s">
        <v>1671</v>
      </c>
      <c r="K1779" s="13" t="s">
        <v>251</v>
      </c>
      <c r="L1779" s="13" t="s">
        <v>2028</v>
      </c>
      <c r="M1779" s="7" t="s">
        <v>253</v>
      </c>
      <c r="N1779" s="7" t="s">
        <v>253</v>
      </c>
      <c r="O1779" s="7" t="s">
        <v>254</v>
      </c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  <c r="AA1779" s="8"/>
      <c r="AB1779" s="8"/>
      <c r="AC1779" s="8"/>
      <c r="AD1779" s="8"/>
      <c r="AE1779" s="8"/>
    </row>
    <row r="1780">
      <c r="A1780" s="12">
        <v>57.0</v>
      </c>
      <c r="B1780" s="8" t="s">
        <v>345</v>
      </c>
      <c r="C1780" s="8" t="s">
        <v>1255</v>
      </c>
      <c r="I1780" s="10" t="s">
        <v>1265</v>
      </c>
      <c r="J1780" s="13" t="s">
        <v>1264</v>
      </c>
      <c r="K1780" s="13" t="s">
        <v>251</v>
      </c>
      <c r="L1780" s="13" t="s">
        <v>2029</v>
      </c>
      <c r="M1780" s="7" t="s">
        <v>253</v>
      </c>
      <c r="N1780" s="7" t="s">
        <v>253</v>
      </c>
      <c r="O1780" s="7" t="s">
        <v>254</v>
      </c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  <c r="AA1780" s="8"/>
      <c r="AB1780" s="8"/>
      <c r="AC1780" s="8"/>
      <c r="AD1780" s="8"/>
      <c r="AE1780" s="8"/>
    </row>
    <row r="1781">
      <c r="A1781" s="12">
        <v>57.0</v>
      </c>
      <c r="B1781" s="8" t="s">
        <v>345</v>
      </c>
      <c r="C1781" s="8" t="s">
        <v>1255</v>
      </c>
      <c r="I1781" s="10" t="s">
        <v>1270</v>
      </c>
      <c r="J1781" s="13" t="s">
        <v>1671</v>
      </c>
      <c r="K1781" s="13" t="s">
        <v>251</v>
      </c>
      <c r="L1781" s="13" t="s">
        <v>2030</v>
      </c>
      <c r="M1781" s="7" t="s">
        <v>253</v>
      </c>
      <c r="N1781" s="7" t="s">
        <v>253</v>
      </c>
      <c r="O1781" s="7" t="s">
        <v>254</v>
      </c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  <c r="AA1781" s="8"/>
      <c r="AB1781" s="8"/>
      <c r="AC1781" s="8"/>
      <c r="AD1781" s="8"/>
      <c r="AE1781" s="8"/>
    </row>
    <row r="1782">
      <c r="A1782" s="12">
        <v>57.0</v>
      </c>
      <c r="B1782" s="8" t="s">
        <v>345</v>
      </c>
      <c r="C1782" s="8" t="s">
        <v>1255</v>
      </c>
      <c r="I1782" s="10" t="s">
        <v>1274</v>
      </c>
      <c r="J1782" s="13" t="s">
        <v>1264</v>
      </c>
      <c r="K1782" s="13" t="s">
        <v>272</v>
      </c>
      <c r="L1782" s="13" t="s">
        <v>2031</v>
      </c>
      <c r="M1782" s="7" t="s">
        <v>253</v>
      </c>
      <c r="N1782" s="7" t="s">
        <v>253</v>
      </c>
      <c r="O1782" s="7" t="s">
        <v>254</v>
      </c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  <c r="AA1782" s="8"/>
      <c r="AB1782" s="8"/>
      <c r="AC1782" s="8"/>
      <c r="AD1782" s="8"/>
      <c r="AE1782" s="8"/>
    </row>
    <row r="1783">
      <c r="A1783" s="12">
        <v>57.0</v>
      </c>
      <c r="B1783" s="8" t="s">
        <v>345</v>
      </c>
      <c r="C1783" s="8" t="s">
        <v>1255</v>
      </c>
      <c r="I1783" s="10" t="s">
        <v>1975</v>
      </c>
      <c r="J1783" s="13" t="s">
        <v>1671</v>
      </c>
      <c r="K1783" s="13" t="s">
        <v>276</v>
      </c>
      <c r="L1783" s="13" t="s">
        <v>2032</v>
      </c>
      <c r="M1783" s="7" t="s">
        <v>253</v>
      </c>
      <c r="N1783" s="7" t="s">
        <v>253</v>
      </c>
      <c r="O1783" s="7" t="s">
        <v>254</v>
      </c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  <c r="AA1783" s="8"/>
      <c r="AB1783" s="8"/>
      <c r="AC1783" s="8"/>
      <c r="AD1783" s="8"/>
      <c r="AE1783" s="8"/>
    </row>
    <row r="1784">
      <c r="A1784" s="12">
        <v>57.0</v>
      </c>
      <c r="B1784" s="8" t="s">
        <v>345</v>
      </c>
      <c r="C1784" s="8" t="s">
        <v>1255</v>
      </c>
      <c r="I1784" s="10" t="s">
        <v>1895</v>
      </c>
      <c r="J1784" s="13" t="s">
        <v>1264</v>
      </c>
      <c r="K1784" s="13" t="s">
        <v>276</v>
      </c>
      <c r="L1784" s="13" t="s">
        <v>2033</v>
      </c>
      <c r="M1784" s="7" t="s">
        <v>253</v>
      </c>
      <c r="N1784" s="7" t="s">
        <v>253</v>
      </c>
      <c r="O1784" s="7" t="s">
        <v>254</v>
      </c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  <c r="AA1784" s="8"/>
      <c r="AB1784" s="8"/>
      <c r="AC1784" s="8"/>
      <c r="AD1784" s="8"/>
      <c r="AE1784" s="8"/>
    </row>
    <row r="1785">
      <c r="A1785" s="12">
        <v>57.0</v>
      </c>
      <c r="B1785" s="8" t="s">
        <v>345</v>
      </c>
      <c r="C1785" s="8" t="s">
        <v>1255</v>
      </c>
      <c r="I1785" s="10" t="s">
        <v>389</v>
      </c>
      <c r="J1785" s="13" t="s">
        <v>1671</v>
      </c>
      <c r="K1785" s="13" t="s">
        <v>276</v>
      </c>
      <c r="L1785" s="13" t="s">
        <v>2034</v>
      </c>
      <c r="M1785" s="7" t="s">
        <v>253</v>
      </c>
      <c r="N1785" s="7" t="s">
        <v>253</v>
      </c>
      <c r="O1785" s="7" t="s">
        <v>254</v>
      </c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  <c r="AA1785" s="8"/>
      <c r="AB1785" s="8"/>
      <c r="AC1785" s="8"/>
      <c r="AD1785" s="8"/>
      <c r="AE1785" s="8"/>
    </row>
    <row r="1786">
      <c r="A1786" s="12">
        <v>57.0</v>
      </c>
      <c r="B1786" s="8" t="s">
        <v>345</v>
      </c>
      <c r="C1786" s="8" t="s">
        <v>1255</v>
      </c>
      <c r="I1786" s="10" t="s">
        <v>257</v>
      </c>
      <c r="J1786" s="13" t="s">
        <v>1264</v>
      </c>
      <c r="K1786" s="13" t="s">
        <v>276</v>
      </c>
      <c r="L1786" s="13" t="s">
        <v>1897</v>
      </c>
      <c r="M1786" s="7" t="s">
        <v>253</v>
      </c>
      <c r="N1786" s="7" t="s">
        <v>253</v>
      </c>
      <c r="O1786" s="7" t="s">
        <v>254</v>
      </c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  <c r="AA1786" s="8"/>
      <c r="AB1786" s="8"/>
      <c r="AC1786" s="8"/>
      <c r="AD1786" s="8"/>
      <c r="AE1786" s="8"/>
    </row>
    <row r="1787">
      <c r="A1787" s="12">
        <v>57.0</v>
      </c>
      <c r="B1787" s="8" t="s">
        <v>345</v>
      </c>
      <c r="C1787" s="8" t="s">
        <v>1255</v>
      </c>
      <c r="I1787" s="10" t="s">
        <v>2035</v>
      </c>
      <c r="J1787" s="13" t="s">
        <v>1671</v>
      </c>
      <c r="K1787" s="13" t="s">
        <v>276</v>
      </c>
      <c r="L1787" s="13" t="s">
        <v>2033</v>
      </c>
      <c r="M1787" s="7" t="s">
        <v>253</v>
      </c>
      <c r="N1787" s="7" t="s">
        <v>253</v>
      </c>
      <c r="O1787" s="7" t="s">
        <v>254</v>
      </c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  <c r="AA1787" s="8"/>
      <c r="AB1787" s="8"/>
      <c r="AC1787" s="8"/>
      <c r="AD1787" s="8"/>
      <c r="AE1787" s="8"/>
    </row>
    <row r="1788">
      <c r="A1788" s="12">
        <v>57.0</v>
      </c>
      <c r="B1788" s="8" t="s">
        <v>345</v>
      </c>
      <c r="C1788" s="8" t="s">
        <v>1255</v>
      </c>
      <c r="I1788" s="10" t="s">
        <v>1411</v>
      </c>
      <c r="J1788" s="13" t="s">
        <v>1264</v>
      </c>
      <c r="K1788" s="13" t="s">
        <v>276</v>
      </c>
      <c r="L1788" s="13" t="s">
        <v>1897</v>
      </c>
      <c r="M1788" s="7" t="s">
        <v>253</v>
      </c>
      <c r="N1788" s="7" t="s">
        <v>253</v>
      </c>
      <c r="O1788" s="7" t="s">
        <v>254</v>
      </c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  <c r="AA1788" s="8"/>
      <c r="AB1788" s="8"/>
      <c r="AC1788" s="8"/>
      <c r="AD1788" s="8"/>
      <c r="AE1788" s="8"/>
    </row>
    <row r="1789">
      <c r="A1789" s="12">
        <v>57.0</v>
      </c>
      <c r="B1789" s="8" t="s">
        <v>345</v>
      </c>
      <c r="C1789" s="8" t="s">
        <v>1255</v>
      </c>
      <c r="I1789" s="10" t="s">
        <v>374</v>
      </c>
      <c r="J1789" s="13" t="s">
        <v>1671</v>
      </c>
      <c r="K1789" s="13" t="s">
        <v>276</v>
      </c>
      <c r="L1789" s="13" t="s">
        <v>2033</v>
      </c>
      <c r="M1789" s="7" t="s">
        <v>253</v>
      </c>
      <c r="N1789" s="7" t="s">
        <v>253</v>
      </c>
      <c r="O1789" s="7" t="s">
        <v>254</v>
      </c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  <c r="AA1789" s="8"/>
      <c r="AB1789" s="8"/>
      <c r="AC1789" s="8"/>
      <c r="AD1789" s="8"/>
      <c r="AE1789" s="8"/>
    </row>
    <row r="1790">
      <c r="A1790" s="12">
        <v>57.0</v>
      </c>
      <c r="B1790" s="8" t="s">
        <v>345</v>
      </c>
      <c r="C1790" s="8" t="s">
        <v>1255</v>
      </c>
      <c r="I1790" s="10" t="s">
        <v>1648</v>
      </c>
      <c r="J1790" s="13" t="s">
        <v>1264</v>
      </c>
      <c r="K1790" s="13" t="s">
        <v>276</v>
      </c>
      <c r="L1790" s="13" t="s">
        <v>1897</v>
      </c>
      <c r="M1790" s="7" t="s">
        <v>253</v>
      </c>
      <c r="N1790" s="7" t="s">
        <v>253</v>
      </c>
      <c r="O1790" s="7" t="s">
        <v>254</v>
      </c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  <c r="AA1790" s="8"/>
      <c r="AB1790" s="8"/>
      <c r="AC1790" s="8"/>
      <c r="AD1790" s="8"/>
      <c r="AE1790" s="8"/>
    </row>
    <row r="1791">
      <c r="A1791" s="12">
        <v>57.0</v>
      </c>
      <c r="B1791" s="8" t="s">
        <v>345</v>
      </c>
      <c r="C1791" s="8" t="s">
        <v>1255</v>
      </c>
      <c r="I1791" s="10" t="s">
        <v>1106</v>
      </c>
      <c r="J1791" s="13" t="s">
        <v>1671</v>
      </c>
      <c r="K1791" s="13" t="s">
        <v>276</v>
      </c>
      <c r="L1791" s="13" t="s">
        <v>1897</v>
      </c>
      <c r="M1791" s="7" t="s">
        <v>253</v>
      </c>
      <c r="N1791" s="7" t="s">
        <v>253</v>
      </c>
      <c r="O1791" s="7" t="s">
        <v>254</v>
      </c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  <c r="AA1791" s="8"/>
      <c r="AB1791" s="8"/>
      <c r="AC1791" s="8"/>
      <c r="AD1791" s="8"/>
      <c r="AE1791" s="8"/>
    </row>
    <row r="1792">
      <c r="A1792" s="12">
        <v>57.0</v>
      </c>
      <c r="B1792" s="8" t="s">
        <v>345</v>
      </c>
      <c r="C1792" s="8" t="s">
        <v>1255</v>
      </c>
      <c r="I1792" s="10" t="s">
        <v>1901</v>
      </c>
      <c r="J1792" s="13" t="s">
        <v>1264</v>
      </c>
      <c r="K1792" s="13" t="s">
        <v>276</v>
      </c>
      <c r="L1792" s="13" t="s">
        <v>2033</v>
      </c>
      <c r="M1792" s="7" t="s">
        <v>253</v>
      </c>
      <c r="N1792" s="7" t="s">
        <v>253</v>
      </c>
      <c r="O1792" s="7" t="s">
        <v>254</v>
      </c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  <c r="AA1792" s="8"/>
      <c r="AB1792" s="8"/>
      <c r="AC1792" s="8"/>
      <c r="AD1792" s="8"/>
      <c r="AE1792" s="8"/>
    </row>
    <row r="1793">
      <c r="A1793" s="12">
        <v>57.0</v>
      </c>
      <c r="B1793" s="8" t="s">
        <v>345</v>
      </c>
      <c r="C1793" s="8" t="s">
        <v>1255</v>
      </c>
      <c r="I1793" s="10" t="s">
        <v>1504</v>
      </c>
      <c r="J1793" s="13" t="s">
        <v>1671</v>
      </c>
      <c r="K1793" s="13" t="s">
        <v>276</v>
      </c>
      <c r="L1793" s="13" t="s">
        <v>2032</v>
      </c>
      <c r="M1793" s="7" t="s">
        <v>253</v>
      </c>
      <c r="N1793" s="7" t="s">
        <v>253</v>
      </c>
      <c r="O1793" s="7" t="s">
        <v>254</v>
      </c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  <c r="AA1793" s="8"/>
      <c r="AB1793" s="8"/>
      <c r="AC1793" s="8"/>
      <c r="AD1793" s="8"/>
      <c r="AE1793" s="8"/>
    </row>
    <row r="1794">
      <c r="A1794" s="12">
        <v>57.0</v>
      </c>
      <c r="B1794" s="8" t="s">
        <v>345</v>
      </c>
      <c r="C1794" s="8" t="s">
        <v>1255</v>
      </c>
      <c r="I1794" s="10" t="s">
        <v>1154</v>
      </c>
      <c r="J1794" s="13" t="s">
        <v>1264</v>
      </c>
      <c r="K1794" s="13" t="s">
        <v>276</v>
      </c>
      <c r="L1794" s="13" t="s">
        <v>2032</v>
      </c>
      <c r="M1794" s="7" t="s">
        <v>253</v>
      </c>
      <c r="N1794" s="7" t="s">
        <v>253</v>
      </c>
      <c r="O1794" s="7" t="s">
        <v>254</v>
      </c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  <c r="AA1794" s="8"/>
      <c r="AB1794" s="8"/>
      <c r="AC1794" s="8"/>
      <c r="AD1794" s="8"/>
      <c r="AE1794" s="8"/>
    </row>
    <row r="1795">
      <c r="A1795" s="12">
        <v>57.0</v>
      </c>
      <c r="B1795" s="8" t="s">
        <v>345</v>
      </c>
      <c r="C1795" s="8" t="s">
        <v>1255</v>
      </c>
      <c r="I1795" s="10" t="s">
        <v>1298</v>
      </c>
      <c r="J1795" s="13" t="s">
        <v>1671</v>
      </c>
      <c r="K1795" s="13" t="s">
        <v>276</v>
      </c>
      <c r="L1795" s="13" t="s">
        <v>2033</v>
      </c>
      <c r="M1795" s="7" t="s">
        <v>253</v>
      </c>
      <c r="N1795" s="7" t="s">
        <v>253</v>
      </c>
      <c r="O1795" s="7" t="s">
        <v>254</v>
      </c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  <c r="AA1795" s="8"/>
      <c r="AB1795" s="8"/>
      <c r="AC1795" s="8"/>
      <c r="AD1795" s="8"/>
      <c r="AE1795" s="8"/>
    </row>
    <row r="1796">
      <c r="A1796" s="12">
        <v>57.0</v>
      </c>
      <c r="B1796" s="8" t="s">
        <v>345</v>
      </c>
      <c r="C1796" s="8" t="s">
        <v>1255</v>
      </c>
      <c r="I1796" s="10" t="s">
        <v>1339</v>
      </c>
      <c r="J1796" s="13" t="s">
        <v>1264</v>
      </c>
      <c r="K1796" s="13" t="s">
        <v>276</v>
      </c>
      <c r="L1796" s="13" t="s">
        <v>2033</v>
      </c>
      <c r="M1796" s="7" t="s">
        <v>253</v>
      </c>
      <c r="N1796" s="7" t="s">
        <v>253</v>
      </c>
      <c r="O1796" s="7" t="s">
        <v>254</v>
      </c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  <c r="AA1796" s="8"/>
      <c r="AB1796" s="8"/>
      <c r="AC1796" s="8"/>
      <c r="AD1796" s="8"/>
      <c r="AE1796" s="8"/>
    </row>
    <row r="1797">
      <c r="A1797" s="12">
        <v>57.0</v>
      </c>
      <c r="B1797" s="8" t="s">
        <v>345</v>
      </c>
      <c r="C1797" s="8" t="s">
        <v>1255</v>
      </c>
      <c r="I1797" s="10" t="s">
        <v>249</v>
      </c>
      <c r="J1797" s="13" t="s">
        <v>1671</v>
      </c>
      <c r="K1797" s="13" t="s">
        <v>276</v>
      </c>
      <c r="L1797" s="13" t="s">
        <v>1897</v>
      </c>
      <c r="M1797" s="7" t="s">
        <v>253</v>
      </c>
      <c r="N1797" s="7" t="s">
        <v>253</v>
      </c>
      <c r="O1797" s="7" t="s">
        <v>254</v>
      </c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  <c r="AA1797" s="8"/>
      <c r="AB1797" s="8"/>
      <c r="AC1797" s="8"/>
      <c r="AD1797" s="8"/>
      <c r="AE1797" s="8"/>
    </row>
    <row r="1798">
      <c r="A1798" s="12">
        <v>57.0</v>
      </c>
      <c r="B1798" s="8" t="s">
        <v>345</v>
      </c>
      <c r="C1798" s="8" t="s">
        <v>1255</v>
      </c>
      <c r="I1798" s="10" t="s">
        <v>1468</v>
      </c>
      <c r="J1798" s="13" t="s">
        <v>1264</v>
      </c>
      <c r="K1798" s="13" t="s">
        <v>276</v>
      </c>
      <c r="L1798" s="13" t="s">
        <v>2032</v>
      </c>
      <c r="M1798" s="7" t="s">
        <v>253</v>
      </c>
      <c r="N1798" s="7" t="s">
        <v>253</v>
      </c>
      <c r="O1798" s="7" t="s">
        <v>254</v>
      </c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  <c r="AA1798" s="8"/>
      <c r="AB1798" s="8"/>
      <c r="AC1798" s="8"/>
      <c r="AD1798" s="8"/>
      <c r="AE1798" s="8"/>
    </row>
    <row r="1799">
      <c r="A1799" s="12">
        <v>57.0</v>
      </c>
      <c r="B1799" s="8" t="s">
        <v>345</v>
      </c>
      <c r="C1799" s="8" t="s">
        <v>1255</v>
      </c>
      <c r="I1799" s="10" t="s">
        <v>1904</v>
      </c>
      <c r="J1799" s="13" t="s">
        <v>1671</v>
      </c>
      <c r="K1799" s="13" t="s">
        <v>276</v>
      </c>
      <c r="L1799" s="13" t="s">
        <v>1897</v>
      </c>
      <c r="M1799" s="7" t="s">
        <v>253</v>
      </c>
      <c r="N1799" s="7" t="s">
        <v>253</v>
      </c>
      <c r="O1799" s="7" t="s">
        <v>254</v>
      </c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  <c r="AA1799" s="8"/>
      <c r="AB1799" s="8"/>
      <c r="AC1799" s="8"/>
      <c r="AD1799" s="8"/>
      <c r="AE1799" s="8"/>
    </row>
    <row r="1800">
      <c r="A1800" s="12">
        <v>57.0</v>
      </c>
      <c r="B1800" s="8" t="s">
        <v>345</v>
      </c>
      <c r="C1800" s="8" t="s">
        <v>1255</v>
      </c>
      <c r="I1800" s="10" t="s">
        <v>313</v>
      </c>
      <c r="J1800" s="13" t="s">
        <v>1264</v>
      </c>
      <c r="K1800" s="13" t="s">
        <v>276</v>
      </c>
      <c r="L1800" s="13" t="s">
        <v>1748</v>
      </c>
      <c r="M1800" s="7" t="s">
        <v>253</v>
      </c>
      <c r="N1800" s="7" t="s">
        <v>253</v>
      </c>
      <c r="O1800" s="7" t="s">
        <v>254</v>
      </c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  <c r="AA1800" s="8"/>
      <c r="AB1800" s="8"/>
      <c r="AC1800" s="8"/>
      <c r="AD1800" s="8"/>
      <c r="AE1800" s="8"/>
    </row>
    <row r="1801">
      <c r="A1801" s="12">
        <v>57.0</v>
      </c>
      <c r="B1801" s="8" t="s">
        <v>345</v>
      </c>
      <c r="C1801" s="8" t="s">
        <v>1255</v>
      </c>
      <c r="I1801" s="10" t="s">
        <v>1294</v>
      </c>
      <c r="J1801" s="13" t="s">
        <v>1671</v>
      </c>
      <c r="K1801" s="13" t="s">
        <v>276</v>
      </c>
      <c r="L1801" s="13" t="s">
        <v>2033</v>
      </c>
      <c r="M1801" s="7" t="s">
        <v>253</v>
      </c>
      <c r="N1801" s="7" t="s">
        <v>253</v>
      </c>
      <c r="O1801" s="7" t="s">
        <v>254</v>
      </c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  <c r="AA1801" s="8"/>
      <c r="AB1801" s="8"/>
      <c r="AC1801" s="8"/>
      <c r="AD1801" s="8"/>
      <c r="AE1801" s="8"/>
    </row>
    <row r="1802">
      <c r="A1802" s="12">
        <v>57.0</v>
      </c>
      <c r="B1802" s="8" t="s">
        <v>345</v>
      </c>
      <c r="C1802" s="8" t="s">
        <v>1255</v>
      </c>
      <c r="I1802" s="10" t="s">
        <v>1906</v>
      </c>
      <c r="J1802" s="13" t="s">
        <v>1264</v>
      </c>
      <c r="K1802" s="13" t="s">
        <v>276</v>
      </c>
      <c r="L1802" s="13" t="s">
        <v>1897</v>
      </c>
      <c r="M1802" s="7" t="s">
        <v>253</v>
      </c>
      <c r="N1802" s="7" t="s">
        <v>253</v>
      </c>
      <c r="O1802" s="7" t="s">
        <v>254</v>
      </c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  <c r="AA1802" s="8"/>
      <c r="AB1802" s="8"/>
      <c r="AC1802" s="8"/>
      <c r="AD1802" s="8"/>
      <c r="AE1802" s="8"/>
    </row>
    <row r="1803">
      <c r="A1803" s="12">
        <v>57.0</v>
      </c>
      <c r="B1803" s="8" t="s">
        <v>345</v>
      </c>
      <c r="C1803" s="8" t="s">
        <v>1255</v>
      </c>
      <c r="I1803" s="10" t="s">
        <v>261</v>
      </c>
      <c r="J1803" s="13" t="s">
        <v>1671</v>
      </c>
      <c r="K1803" s="13" t="s">
        <v>276</v>
      </c>
      <c r="L1803" s="13" t="s">
        <v>1897</v>
      </c>
      <c r="M1803" s="7" t="s">
        <v>253</v>
      </c>
      <c r="N1803" s="7" t="s">
        <v>253</v>
      </c>
      <c r="O1803" s="7" t="s">
        <v>254</v>
      </c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  <c r="AA1803" s="8"/>
      <c r="AB1803" s="8"/>
      <c r="AC1803" s="8"/>
      <c r="AD1803" s="8"/>
      <c r="AE1803" s="8"/>
    </row>
    <row r="1804">
      <c r="A1804" s="12">
        <v>57.0</v>
      </c>
      <c r="B1804" s="8" t="s">
        <v>345</v>
      </c>
      <c r="C1804" s="8" t="s">
        <v>1255</v>
      </c>
      <c r="I1804" s="10" t="s">
        <v>1402</v>
      </c>
      <c r="J1804" s="13" t="s">
        <v>1264</v>
      </c>
      <c r="K1804" s="13" t="s">
        <v>276</v>
      </c>
      <c r="L1804" s="13" t="s">
        <v>1897</v>
      </c>
      <c r="M1804" s="7" t="s">
        <v>253</v>
      </c>
      <c r="N1804" s="7" t="s">
        <v>253</v>
      </c>
      <c r="O1804" s="7" t="s">
        <v>254</v>
      </c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  <c r="AA1804" s="8"/>
      <c r="AB1804" s="8"/>
      <c r="AC1804" s="8"/>
      <c r="AD1804" s="8"/>
      <c r="AE1804" s="8"/>
    </row>
    <row r="1805">
      <c r="A1805" s="12">
        <v>57.0</v>
      </c>
      <c r="B1805" s="8" t="s">
        <v>345</v>
      </c>
      <c r="C1805" s="8" t="s">
        <v>1255</v>
      </c>
      <c r="I1805" s="10" t="s">
        <v>1440</v>
      </c>
      <c r="J1805" s="13" t="s">
        <v>1671</v>
      </c>
      <c r="K1805" s="13" t="s">
        <v>276</v>
      </c>
      <c r="L1805" s="13" t="s">
        <v>2033</v>
      </c>
      <c r="M1805" s="7" t="s">
        <v>253</v>
      </c>
      <c r="N1805" s="7" t="s">
        <v>253</v>
      </c>
      <c r="O1805" s="7" t="s">
        <v>254</v>
      </c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  <c r="AA1805" s="8"/>
      <c r="AB1805" s="8"/>
      <c r="AC1805" s="8"/>
      <c r="AD1805" s="8"/>
      <c r="AE1805" s="8"/>
    </row>
    <row r="1806">
      <c r="A1806" s="12">
        <v>57.0</v>
      </c>
      <c r="B1806" s="8" t="s">
        <v>345</v>
      </c>
      <c r="C1806" s="8" t="s">
        <v>1255</v>
      </c>
      <c r="I1806" s="10" t="s">
        <v>1677</v>
      </c>
      <c r="J1806" s="13" t="s">
        <v>1264</v>
      </c>
      <c r="K1806" s="13" t="s">
        <v>276</v>
      </c>
      <c r="L1806" s="13" t="s">
        <v>1897</v>
      </c>
      <c r="M1806" s="7" t="s">
        <v>253</v>
      </c>
      <c r="N1806" s="7" t="s">
        <v>253</v>
      </c>
      <c r="O1806" s="7" t="s">
        <v>254</v>
      </c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  <c r="AA1806" s="8"/>
      <c r="AB1806" s="8"/>
      <c r="AC1806" s="8"/>
      <c r="AD1806" s="8"/>
      <c r="AE1806" s="8"/>
    </row>
    <row r="1807">
      <c r="A1807" s="12">
        <v>57.0</v>
      </c>
      <c r="B1807" s="8" t="s">
        <v>345</v>
      </c>
      <c r="C1807" s="8" t="s">
        <v>1255</v>
      </c>
      <c r="I1807" s="10" t="s">
        <v>1907</v>
      </c>
      <c r="J1807" s="13" t="s">
        <v>1671</v>
      </c>
      <c r="K1807" s="13" t="s">
        <v>276</v>
      </c>
      <c r="L1807" s="13" t="s">
        <v>1897</v>
      </c>
      <c r="M1807" s="7" t="s">
        <v>253</v>
      </c>
      <c r="N1807" s="7" t="s">
        <v>253</v>
      </c>
      <c r="O1807" s="7" t="s">
        <v>254</v>
      </c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  <c r="AA1807" s="8"/>
      <c r="AB1807" s="8"/>
      <c r="AC1807" s="8"/>
      <c r="AD1807" s="8"/>
      <c r="AE1807" s="8"/>
    </row>
    <row r="1808">
      <c r="A1808" s="12">
        <v>57.0</v>
      </c>
      <c r="B1808" s="8" t="s">
        <v>345</v>
      </c>
      <c r="C1808" s="8" t="s">
        <v>1255</v>
      </c>
      <c r="I1808" s="10" t="s">
        <v>1455</v>
      </c>
      <c r="J1808" s="13" t="s">
        <v>1264</v>
      </c>
      <c r="K1808" s="13" t="s">
        <v>276</v>
      </c>
      <c r="L1808" s="13" t="s">
        <v>1897</v>
      </c>
      <c r="M1808" s="7" t="s">
        <v>253</v>
      </c>
      <c r="N1808" s="7" t="s">
        <v>253</v>
      </c>
      <c r="O1808" s="7" t="s">
        <v>254</v>
      </c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  <c r="AA1808" s="8"/>
      <c r="AB1808" s="8"/>
      <c r="AC1808" s="8"/>
      <c r="AD1808" s="8"/>
      <c r="AE1808" s="8"/>
    </row>
    <row r="1809">
      <c r="A1809" s="12">
        <v>57.0</v>
      </c>
      <c r="B1809" s="8" t="s">
        <v>345</v>
      </c>
      <c r="C1809" s="8" t="s">
        <v>1255</v>
      </c>
      <c r="I1809" s="10" t="s">
        <v>1690</v>
      </c>
      <c r="J1809" s="13" t="s">
        <v>1671</v>
      </c>
      <c r="K1809" s="13" t="s">
        <v>276</v>
      </c>
      <c r="L1809" s="13" t="s">
        <v>1897</v>
      </c>
      <c r="M1809" s="7" t="s">
        <v>253</v>
      </c>
      <c r="N1809" s="7" t="s">
        <v>253</v>
      </c>
      <c r="O1809" s="7" t="s">
        <v>254</v>
      </c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  <c r="AA1809" s="8"/>
      <c r="AB1809" s="8"/>
      <c r="AC1809" s="8"/>
      <c r="AD1809" s="8"/>
      <c r="AE1809" s="8"/>
    </row>
    <row r="1810">
      <c r="A1810" s="12">
        <v>57.0</v>
      </c>
      <c r="B1810" s="8" t="s">
        <v>345</v>
      </c>
      <c r="C1810" s="8" t="s">
        <v>1255</v>
      </c>
      <c r="I1810" s="10" t="s">
        <v>334</v>
      </c>
      <c r="J1810" s="13" t="s">
        <v>1264</v>
      </c>
      <c r="K1810" s="13" t="s">
        <v>276</v>
      </c>
      <c r="L1810" s="13" t="s">
        <v>2032</v>
      </c>
      <c r="M1810" s="7" t="s">
        <v>253</v>
      </c>
      <c r="N1810" s="7" t="s">
        <v>253</v>
      </c>
      <c r="O1810" s="7" t="s">
        <v>254</v>
      </c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  <c r="AA1810" s="8"/>
      <c r="AB1810" s="8"/>
      <c r="AC1810" s="8"/>
      <c r="AD1810" s="8"/>
      <c r="AE1810" s="8"/>
    </row>
    <row r="1811">
      <c r="A1811" s="12">
        <v>57.0</v>
      </c>
      <c r="B1811" s="8" t="s">
        <v>345</v>
      </c>
      <c r="C1811" s="8" t="s">
        <v>1255</v>
      </c>
      <c r="I1811" s="10" t="s">
        <v>265</v>
      </c>
      <c r="J1811" s="13" t="s">
        <v>1671</v>
      </c>
      <c r="K1811" s="13" t="s">
        <v>276</v>
      </c>
      <c r="L1811" s="13" t="s">
        <v>1897</v>
      </c>
      <c r="M1811" s="7" t="s">
        <v>253</v>
      </c>
      <c r="N1811" s="7" t="s">
        <v>253</v>
      </c>
      <c r="O1811" s="7" t="s">
        <v>254</v>
      </c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  <c r="AA1811" s="8"/>
      <c r="AB1811" s="8"/>
      <c r="AC1811" s="8"/>
      <c r="AD1811" s="8"/>
      <c r="AE1811" s="8"/>
    </row>
    <row r="1812">
      <c r="A1812" s="12">
        <v>57.0</v>
      </c>
      <c r="B1812" s="8" t="s">
        <v>345</v>
      </c>
      <c r="C1812" s="8" t="s">
        <v>1255</v>
      </c>
      <c r="I1812" s="10" t="s">
        <v>1911</v>
      </c>
      <c r="J1812" s="13" t="s">
        <v>1264</v>
      </c>
      <c r="K1812" s="13" t="s">
        <v>276</v>
      </c>
      <c r="L1812" s="13" t="s">
        <v>1897</v>
      </c>
      <c r="M1812" s="7" t="s">
        <v>253</v>
      </c>
      <c r="N1812" s="7" t="s">
        <v>253</v>
      </c>
      <c r="O1812" s="7" t="s">
        <v>254</v>
      </c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  <c r="AA1812" s="8"/>
      <c r="AB1812" s="8"/>
      <c r="AC1812" s="8"/>
      <c r="AD1812" s="8"/>
      <c r="AE1812" s="8"/>
    </row>
    <row r="1813">
      <c r="A1813" s="12">
        <v>57.0</v>
      </c>
      <c r="B1813" s="8" t="s">
        <v>345</v>
      </c>
      <c r="C1813" s="8" t="s">
        <v>1255</v>
      </c>
      <c r="I1813" s="10" t="s">
        <v>944</v>
      </c>
      <c r="J1813" s="13" t="s">
        <v>1671</v>
      </c>
      <c r="K1813" s="13" t="s">
        <v>276</v>
      </c>
      <c r="L1813" s="13" t="s">
        <v>1748</v>
      </c>
      <c r="M1813" s="7" t="s">
        <v>253</v>
      </c>
      <c r="N1813" s="7" t="s">
        <v>253</v>
      </c>
      <c r="O1813" s="7" t="s">
        <v>254</v>
      </c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  <c r="AA1813" s="8"/>
      <c r="AB1813" s="8"/>
      <c r="AC1813" s="8"/>
      <c r="AD1813" s="8"/>
      <c r="AE1813" s="8"/>
    </row>
    <row r="1814">
      <c r="A1814" s="12">
        <v>57.0</v>
      </c>
      <c r="B1814" s="8" t="s">
        <v>345</v>
      </c>
      <c r="C1814" s="8" t="s">
        <v>1255</v>
      </c>
      <c r="I1814" s="10" t="s">
        <v>885</v>
      </c>
      <c r="J1814" s="13" t="s">
        <v>1264</v>
      </c>
      <c r="K1814" s="13" t="s">
        <v>276</v>
      </c>
      <c r="L1814" s="13" t="s">
        <v>2036</v>
      </c>
      <c r="M1814" s="7" t="s">
        <v>253</v>
      </c>
      <c r="N1814" s="7" t="s">
        <v>253</v>
      </c>
      <c r="O1814" s="7" t="s">
        <v>254</v>
      </c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  <c r="AA1814" s="8"/>
      <c r="AB1814" s="8"/>
      <c r="AC1814" s="8"/>
      <c r="AD1814" s="8"/>
      <c r="AE1814" s="8"/>
    </row>
    <row r="1815">
      <c r="A1815" s="12">
        <v>57.0</v>
      </c>
      <c r="B1815" s="8" t="s">
        <v>345</v>
      </c>
      <c r="C1815" s="8" t="s">
        <v>1255</v>
      </c>
      <c r="I1815" s="10" t="s">
        <v>1693</v>
      </c>
      <c r="J1815" s="13" t="s">
        <v>1671</v>
      </c>
      <c r="K1815" s="13" t="s">
        <v>276</v>
      </c>
      <c r="L1815" s="13" t="s">
        <v>1897</v>
      </c>
      <c r="M1815" s="7" t="s">
        <v>253</v>
      </c>
      <c r="N1815" s="7" t="s">
        <v>253</v>
      </c>
      <c r="O1815" s="7" t="s">
        <v>254</v>
      </c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  <c r="AA1815" s="8"/>
      <c r="AB1815" s="8"/>
      <c r="AC1815" s="8"/>
      <c r="AD1815" s="8"/>
      <c r="AE1815" s="8"/>
    </row>
    <row r="1816">
      <c r="A1816" s="12">
        <v>57.0</v>
      </c>
      <c r="B1816" s="8" t="s">
        <v>345</v>
      </c>
      <c r="C1816" s="8" t="s">
        <v>1255</v>
      </c>
      <c r="I1816" s="10" t="s">
        <v>1444</v>
      </c>
      <c r="J1816" s="13" t="s">
        <v>1264</v>
      </c>
      <c r="K1816" s="13" t="s">
        <v>276</v>
      </c>
      <c r="L1816" s="13" t="s">
        <v>1897</v>
      </c>
      <c r="M1816" s="7" t="s">
        <v>253</v>
      </c>
      <c r="N1816" s="7" t="s">
        <v>253</v>
      </c>
      <c r="O1816" s="7" t="s">
        <v>254</v>
      </c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  <c r="AA1816" s="8"/>
      <c r="AB1816" s="8"/>
      <c r="AC1816" s="8"/>
      <c r="AD1816" s="8"/>
      <c r="AE1816" s="8"/>
    </row>
    <row r="1817">
      <c r="A1817" s="12">
        <v>57.0</v>
      </c>
      <c r="B1817" s="8" t="s">
        <v>345</v>
      </c>
      <c r="C1817" s="8" t="s">
        <v>1255</v>
      </c>
      <c r="I1817" s="10" t="s">
        <v>2037</v>
      </c>
      <c r="J1817" s="13" t="s">
        <v>1671</v>
      </c>
      <c r="K1817" s="13" t="s">
        <v>276</v>
      </c>
      <c r="L1817" s="13" t="s">
        <v>2033</v>
      </c>
      <c r="M1817" s="7" t="s">
        <v>253</v>
      </c>
      <c r="N1817" s="7" t="s">
        <v>253</v>
      </c>
      <c r="O1817" s="7" t="s">
        <v>254</v>
      </c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  <c r="AA1817" s="8"/>
      <c r="AB1817" s="8"/>
      <c r="AC1817" s="8"/>
      <c r="AD1817" s="8"/>
      <c r="AE1817" s="8"/>
    </row>
    <row r="1818">
      <c r="A1818" s="12">
        <v>57.0</v>
      </c>
      <c r="B1818" s="8" t="s">
        <v>345</v>
      </c>
      <c r="C1818" s="8" t="s">
        <v>1255</v>
      </c>
      <c r="I1818" s="10" t="s">
        <v>1747</v>
      </c>
      <c r="J1818" s="13" t="s">
        <v>1264</v>
      </c>
      <c r="K1818" s="13" t="s">
        <v>276</v>
      </c>
      <c r="L1818" s="13" t="s">
        <v>1748</v>
      </c>
      <c r="M1818" s="7" t="s">
        <v>253</v>
      </c>
      <c r="N1818" s="7" t="s">
        <v>253</v>
      </c>
      <c r="O1818" s="7" t="s">
        <v>254</v>
      </c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  <c r="AA1818" s="8"/>
      <c r="AB1818" s="8"/>
      <c r="AC1818" s="8"/>
      <c r="AD1818" s="8"/>
      <c r="AE1818" s="8"/>
    </row>
    <row r="1819">
      <c r="A1819" s="12">
        <v>57.0</v>
      </c>
      <c r="B1819" s="8" t="s">
        <v>345</v>
      </c>
      <c r="C1819" s="8" t="s">
        <v>1255</v>
      </c>
      <c r="I1819" s="10" t="s">
        <v>911</v>
      </c>
      <c r="J1819" s="13" t="s">
        <v>1671</v>
      </c>
      <c r="K1819" s="13" t="s">
        <v>276</v>
      </c>
      <c r="L1819" s="13" t="s">
        <v>1897</v>
      </c>
      <c r="M1819" s="7" t="s">
        <v>253</v>
      </c>
      <c r="N1819" s="7" t="s">
        <v>253</v>
      </c>
      <c r="O1819" s="7" t="s">
        <v>254</v>
      </c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  <c r="AA1819" s="8"/>
      <c r="AB1819" s="8"/>
      <c r="AC1819" s="8"/>
      <c r="AD1819" s="8"/>
      <c r="AE1819" s="8"/>
    </row>
    <row r="1820">
      <c r="A1820" s="12">
        <v>57.0</v>
      </c>
      <c r="B1820" s="8" t="s">
        <v>345</v>
      </c>
      <c r="C1820" s="8" t="s">
        <v>1255</v>
      </c>
      <c r="I1820" s="10" t="s">
        <v>1912</v>
      </c>
      <c r="J1820" s="13" t="s">
        <v>1264</v>
      </c>
      <c r="K1820" s="13" t="s">
        <v>276</v>
      </c>
      <c r="L1820" s="13" t="s">
        <v>1897</v>
      </c>
      <c r="M1820" s="7" t="s">
        <v>253</v>
      </c>
      <c r="N1820" s="7" t="s">
        <v>253</v>
      </c>
      <c r="O1820" s="7" t="s">
        <v>254</v>
      </c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  <c r="AA1820" s="8"/>
      <c r="AB1820" s="8"/>
      <c r="AC1820" s="8"/>
      <c r="AD1820" s="8"/>
      <c r="AE1820" s="8"/>
    </row>
    <row r="1821">
      <c r="A1821" s="12">
        <v>57.0</v>
      </c>
      <c r="B1821" s="8" t="s">
        <v>345</v>
      </c>
      <c r="C1821" s="8" t="s">
        <v>1255</v>
      </c>
      <c r="I1821" s="10" t="s">
        <v>1406</v>
      </c>
      <c r="J1821" s="13" t="s">
        <v>1671</v>
      </c>
      <c r="K1821" s="13" t="s">
        <v>276</v>
      </c>
      <c r="L1821" s="13" t="s">
        <v>2038</v>
      </c>
      <c r="M1821" s="7" t="s">
        <v>253</v>
      </c>
      <c r="N1821" s="7" t="s">
        <v>253</v>
      </c>
      <c r="O1821" s="7" t="s">
        <v>254</v>
      </c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  <c r="AA1821" s="8"/>
      <c r="AB1821" s="8"/>
      <c r="AC1821" s="8"/>
      <c r="AD1821" s="8"/>
      <c r="AE1821" s="8"/>
    </row>
    <row r="1822">
      <c r="A1822" s="12">
        <v>57.0</v>
      </c>
      <c r="B1822" s="8" t="s">
        <v>345</v>
      </c>
      <c r="C1822" s="8" t="s">
        <v>1255</v>
      </c>
      <c r="I1822" s="10" t="s">
        <v>1913</v>
      </c>
      <c r="J1822" s="13" t="s">
        <v>1264</v>
      </c>
      <c r="K1822" s="13" t="s">
        <v>276</v>
      </c>
      <c r="L1822" s="13" t="s">
        <v>2033</v>
      </c>
      <c r="M1822" s="7" t="s">
        <v>253</v>
      </c>
      <c r="N1822" s="7" t="s">
        <v>253</v>
      </c>
      <c r="O1822" s="7" t="s">
        <v>254</v>
      </c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  <c r="AA1822" s="8"/>
      <c r="AB1822" s="8"/>
      <c r="AC1822" s="8"/>
      <c r="AD1822" s="8"/>
      <c r="AE1822" s="8"/>
    </row>
    <row r="1823">
      <c r="A1823" s="12">
        <v>57.0</v>
      </c>
      <c r="B1823" s="8" t="s">
        <v>345</v>
      </c>
      <c r="C1823" s="8" t="s">
        <v>1255</v>
      </c>
      <c r="I1823" s="10" t="s">
        <v>1749</v>
      </c>
      <c r="J1823" s="13" t="s">
        <v>1671</v>
      </c>
      <c r="K1823" s="13" t="s">
        <v>276</v>
      </c>
      <c r="L1823" s="13" t="s">
        <v>2039</v>
      </c>
      <c r="M1823" s="7" t="s">
        <v>253</v>
      </c>
      <c r="N1823" s="7" t="s">
        <v>253</v>
      </c>
      <c r="O1823" s="7" t="s">
        <v>254</v>
      </c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  <c r="AA1823" s="8"/>
      <c r="AB1823" s="8"/>
      <c r="AC1823" s="8"/>
      <c r="AD1823" s="8"/>
      <c r="AE1823" s="8"/>
    </row>
    <row r="1824">
      <c r="A1824" s="12">
        <v>57.0</v>
      </c>
      <c r="B1824" s="8" t="s">
        <v>345</v>
      </c>
      <c r="C1824" s="8" t="s">
        <v>1255</v>
      </c>
      <c r="I1824" s="10" t="s">
        <v>1694</v>
      </c>
      <c r="J1824" s="13" t="s">
        <v>1264</v>
      </c>
      <c r="K1824" s="13" t="s">
        <v>276</v>
      </c>
      <c r="L1824" s="13" t="s">
        <v>1897</v>
      </c>
      <c r="M1824" s="7" t="s">
        <v>253</v>
      </c>
      <c r="N1824" s="7" t="s">
        <v>253</v>
      </c>
      <c r="O1824" s="7" t="s">
        <v>254</v>
      </c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  <c r="AA1824" s="8"/>
      <c r="AB1824" s="8"/>
      <c r="AC1824" s="8"/>
      <c r="AD1824" s="8"/>
      <c r="AE1824" s="8"/>
    </row>
    <row r="1825">
      <c r="A1825" s="12">
        <v>57.0</v>
      </c>
      <c r="B1825" s="8" t="s">
        <v>345</v>
      </c>
      <c r="C1825" s="8" t="s">
        <v>1255</v>
      </c>
      <c r="I1825" s="10" t="s">
        <v>994</v>
      </c>
      <c r="J1825" s="13" t="s">
        <v>1671</v>
      </c>
      <c r="K1825" s="13" t="s">
        <v>276</v>
      </c>
      <c r="L1825" s="13" t="s">
        <v>1897</v>
      </c>
      <c r="M1825" s="7" t="s">
        <v>253</v>
      </c>
      <c r="N1825" s="7" t="s">
        <v>253</v>
      </c>
      <c r="O1825" s="7" t="s">
        <v>254</v>
      </c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  <c r="AA1825" s="8"/>
      <c r="AB1825" s="8"/>
      <c r="AC1825" s="8"/>
      <c r="AD1825" s="8"/>
      <c r="AE1825" s="8"/>
    </row>
    <row r="1826">
      <c r="A1826" s="12">
        <v>57.0</v>
      </c>
      <c r="B1826" s="8" t="s">
        <v>345</v>
      </c>
      <c r="C1826" s="8" t="s">
        <v>1255</v>
      </c>
      <c r="I1826" s="10" t="s">
        <v>372</v>
      </c>
      <c r="J1826" s="13" t="s">
        <v>1264</v>
      </c>
      <c r="K1826" s="13" t="s">
        <v>276</v>
      </c>
      <c r="L1826" s="13" t="s">
        <v>2032</v>
      </c>
      <c r="M1826" s="7" t="s">
        <v>253</v>
      </c>
      <c r="N1826" s="7" t="s">
        <v>253</v>
      </c>
      <c r="O1826" s="7" t="s">
        <v>254</v>
      </c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  <c r="AA1826" s="8"/>
      <c r="AB1826" s="8"/>
      <c r="AC1826" s="8"/>
      <c r="AD1826" s="8"/>
      <c r="AE1826" s="8"/>
    </row>
    <row r="1827">
      <c r="A1827" s="12">
        <v>57.0</v>
      </c>
      <c r="B1827" s="8" t="s">
        <v>345</v>
      </c>
      <c r="C1827" s="8" t="s">
        <v>1255</v>
      </c>
      <c r="I1827" s="10" t="s">
        <v>1514</v>
      </c>
      <c r="J1827" s="13" t="s">
        <v>1671</v>
      </c>
      <c r="K1827" s="13" t="s">
        <v>276</v>
      </c>
      <c r="L1827" s="13" t="s">
        <v>2039</v>
      </c>
      <c r="M1827" s="7" t="s">
        <v>253</v>
      </c>
      <c r="N1827" s="7" t="s">
        <v>253</v>
      </c>
      <c r="O1827" s="7" t="s">
        <v>254</v>
      </c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  <c r="AA1827" s="8"/>
      <c r="AB1827" s="8"/>
      <c r="AC1827" s="8"/>
      <c r="AD1827" s="8"/>
      <c r="AE1827" s="8"/>
    </row>
    <row r="1828">
      <c r="A1828" s="12">
        <v>57.0</v>
      </c>
      <c r="B1828" s="8" t="s">
        <v>345</v>
      </c>
      <c r="C1828" s="8" t="s">
        <v>1255</v>
      </c>
      <c r="I1828" s="10" t="s">
        <v>1737</v>
      </c>
      <c r="J1828" s="13" t="s">
        <v>1264</v>
      </c>
      <c r="K1828" s="13" t="s">
        <v>276</v>
      </c>
      <c r="L1828" s="13" t="s">
        <v>2040</v>
      </c>
      <c r="M1828" s="7" t="s">
        <v>253</v>
      </c>
      <c r="N1828" s="7" t="s">
        <v>253</v>
      </c>
      <c r="O1828" s="7" t="s">
        <v>254</v>
      </c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  <c r="AA1828" s="8"/>
      <c r="AB1828" s="8"/>
      <c r="AC1828" s="8"/>
      <c r="AD1828" s="8"/>
      <c r="AE1828" s="8"/>
    </row>
    <row r="1829">
      <c r="A1829" s="12">
        <v>57.0</v>
      </c>
      <c r="B1829" s="8" t="s">
        <v>345</v>
      </c>
      <c r="C1829" s="8" t="s">
        <v>1255</v>
      </c>
      <c r="I1829" s="10" t="s">
        <v>1475</v>
      </c>
      <c r="J1829" s="13" t="s">
        <v>1671</v>
      </c>
      <c r="K1829" s="13" t="s">
        <v>276</v>
      </c>
      <c r="L1829" s="13" t="s">
        <v>2033</v>
      </c>
      <c r="M1829" s="7" t="s">
        <v>253</v>
      </c>
      <c r="N1829" s="7" t="s">
        <v>253</v>
      </c>
      <c r="O1829" s="7" t="s">
        <v>254</v>
      </c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  <c r="AA1829" s="8"/>
      <c r="AB1829" s="8"/>
      <c r="AC1829" s="8"/>
      <c r="AD1829" s="8"/>
      <c r="AE1829" s="8"/>
    </row>
    <row r="1830">
      <c r="A1830" s="12">
        <v>57.0</v>
      </c>
      <c r="B1830" s="8" t="s">
        <v>345</v>
      </c>
      <c r="C1830" s="8" t="s">
        <v>1255</v>
      </c>
      <c r="I1830" s="10" t="s">
        <v>36</v>
      </c>
      <c r="J1830" s="13" t="s">
        <v>1264</v>
      </c>
      <c r="K1830" s="13" t="s">
        <v>276</v>
      </c>
      <c r="L1830" s="13" t="s">
        <v>2032</v>
      </c>
      <c r="M1830" s="7" t="s">
        <v>253</v>
      </c>
      <c r="N1830" s="7" t="s">
        <v>253</v>
      </c>
      <c r="O1830" s="7" t="s">
        <v>254</v>
      </c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  <c r="AA1830" s="8"/>
      <c r="AB1830" s="8"/>
      <c r="AC1830" s="8"/>
      <c r="AD1830" s="8"/>
      <c r="AE1830" s="8"/>
    </row>
    <row r="1831">
      <c r="A1831" s="12">
        <v>57.0</v>
      </c>
      <c r="B1831" s="8" t="s">
        <v>345</v>
      </c>
      <c r="C1831" s="8" t="s">
        <v>1255</v>
      </c>
      <c r="I1831" s="10" t="s">
        <v>845</v>
      </c>
      <c r="J1831" s="13" t="s">
        <v>1671</v>
      </c>
      <c r="K1831" s="13" t="s">
        <v>276</v>
      </c>
      <c r="L1831" s="13" t="s">
        <v>2033</v>
      </c>
      <c r="M1831" s="7" t="s">
        <v>253</v>
      </c>
      <c r="N1831" s="7" t="s">
        <v>253</v>
      </c>
      <c r="O1831" s="7" t="s">
        <v>254</v>
      </c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  <c r="AA1831" s="8"/>
      <c r="AB1831" s="8"/>
      <c r="AC1831" s="8"/>
      <c r="AD1831" s="8"/>
      <c r="AE1831" s="8"/>
    </row>
    <row r="1832">
      <c r="A1832" s="12">
        <v>57.0</v>
      </c>
      <c r="B1832" s="8" t="s">
        <v>345</v>
      </c>
      <c r="C1832" s="8" t="s">
        <v>1255</v>
      </c>
      <c r="I1832" s="10" t="s">
        <v>913</v>
      </c>
      <c r="J1832" s="13" t="s">
        <v>1264</v>
      </c>
      <c r="K1832" s="13" t="s">
        <v>276</v>
      </c>
      <c r="L1832" s="13" t="s">
        <v>2041</v>
      </c>
      <c r="M1832" s="7" t="s">
        <v>253</v>
      </c>
      <c r="N1832" s="7" t="s">
        <v>253</v>
      </c>
      <c r="O1832" s="7" t="s">
        <v>254</v>
      </c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  <c r="AA1832" s="8"/>
      <c r="AB1832" s="8"/>
      <c r="AC1832" s="8"/>
      <c r="AD1832" s="8"/>
      <c r="AE1832" s="8"/>
    </row>
    <row r="1833">
      <c r="A1833" s="12">
        <v>57.0</v>
      </c>
      <c r="B1833" s="8" t="s">
        <v>345</v>
      </c>
      <c r="C1833" s="8" t="s">
        <v>1255</v>
      </c>
      <c r="I1833" s="10" t="s">
        <v>1739</v>
      </c>
      <c r="J1833" s="13" t="s">
        <v>1671</v>
      </c>
      <c r="K1833" s="13" t="s">
        <v>276</v>
      </c>
      <c r="L1833" s="13" t="s">
        <v>2040</v>
      </c>
      <c r="M1833" s="7" t="s">
        <v>253</v>
      </c>
      <c r="N1833" s="7" t="s">
        <v>253</v>
      </c>
      <c r="O1833" s="7" t="s">
        <v>254</v>
      </c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  <c r="AA1833" s="8"/>
      <c r="AB1833" s="8"/>
      <c r="AC1833" s="8"/>
      <c r="AD1833" s="8"/>
      <c r="AE1833" s="8"/>
    </row>
    <row r="1834">
      <c r="A1834" s="12">
        <v>57.0</v>
      </c>
      <c r="B1834" s="8" t="s">
        <v>345</v>
      </c>
      <c r="C1834" s="8" t="s">
        <v>1255</v>
      </c>
      <c r="I1834" s="10" t="s">
        <v>1417</v>
      </c>
      <c r="J1834" s="13" t="s">
        <v>1264</v>
      </c>
      <c r="K1834" s="13" t="s">
        <v>276</v>
      </c>
      <c r="L1834" s="13" t="s">
        <v>1897</v>
      </c>
      <c r="M1834" s="7" t="s">
        <v>253</v>
      </c>
      <c r="N1834" s="7" t="s">
        <v>253</v>
      </c>
      <c r="O1834" s="7" t="s">
        <v>254</v>
      </c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  <c r="AA1834" s="8"/>
      <c r="AB1834" s="8"/>
      <c r="AC1834" s="8"/>
      <c r="AD1834" s="8"/>
      <c r="AE1834" s="8"/>
    </row>
    <row r="1835">
      <c r="A1835" s="12">
        <v>57.0</v>
      </c>
      <c r="B1835" s="8" t="s">
        <v>345</v>
      </c>
      <c r="C1835" s="8" t="s">
        <v>1255</v>
      </c>
      <c r="I1835" s="10" t="s">
        <v>917</v>
      </c>
      <c r="J1835" s="13" t="s">
        <v>1671</v>
      </c>
      <c r="K1835" s="13" t="s">
        <v>276</v>
      </c>
      <c r="L1835" s="13" t="s">
        <v>1897</v>
      </c>
      <c r="M1835" s="7" t="s">
        <v>253</v>
      </c>
      <c r="N1835" s="7" t="s">
        <v>253</v>
      </c>
      <c r="O1835" s="7" t="s">
        <v>254</v>
      </c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  <c r="AA1835" s="8"/>
      <c r="AB1835" s="8"/>
      <c r="AC1835" s="8"/>
      <c r="AD1835" s="8"/>
      <c r="AE1835" s="8"/>
    </row>
    <row r="1836">
      <c r="A1836" s="12">
        <v>57.0</v>
      </c>
      <c r="B1836" s="8" t="s">
        <v>345</v>
      </c>
      <c r="C1836" s="8" t="s">
        <v>1255</v>
      </c>
      <c r="I1836" s="10" t="s">
        <v>1312</v>
      </c>
      <c r="J1836" s="13" t="s">
        <v>1264</v>
      </c>
      <c r="K1836" s="13" t="s">
        <v>276</v>
      </c>
      <c r="L1836" s="13" t="s">
        <v>1897</v>
      </c>
      <c r="M1836" s="7" t="s">
        <v>253</v>
      </c>
      <c r="N1836" s="7" t="s">
        <v>253</v>
      </c>
      <c r="O1836" s="7" t="s">
        <v>254</v>
      </c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  <c r="AA1836" s="8"/>
      <c r="AB1836" s="8"/>
      <c r="AC1836" s="8"/>
      <c r="AD1836" s="8"/>
      <c r="AE1836" s="8"/>
    </row>
    <row r="1837">
      <c r="A1837" s="12">
        <v>57.0</v>
      </c>
      <c r="B1837" s="8" t="s">
        <v>345</v>
      </c>
      <c r="C1837" s="8" t="s">
        <v>1255</v>
      </c>
      <c r="I1837" s="10" t="s">
        <v>2042</v>
      </c>
      <c r="J1837" s="13" t="s">
        <v>1671</v>
      </c>
      <c r="K1837" s="13" t="s">
        <v>276</v>
      </c>
      <c r="L1837" s="13" t="s">
        <v>2033</v>
      </c>
      <c r="M1837" s="7" t="s">
        <v>253</v>
      </c>
      <c r="N1837" s="7" t="s">
        <v>253</v>
      </c>
      <c r="O1837" s="7" t="s">
        <v>254</v>
      </c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  <c r="AA1837" s="8"/>
      <c r="AB1837" s="8"/>
      <c r="AC1837" s="8"/>
      <c r="AD1837" s="8"/>
      <c r="AE1837" s="8"/>
    </row>
    <row r="1838">
      <c r="A1838" s="12">
        <v>57.0</v>
      </c>
      <c r="B1838" s="8" t="s">
        <v>345</v>
      </c>
      <c r="C1838" s="8" t="s">
        <v>1255</v>
      </c>
      <c r="I1838" s="10" t="s">
        <v>1740</v>
      </c>
      <c r="J1838" s="13" t="s">
        <v>1264</v>
      </c>
      <c r="K1838" s="13" t="s">
        <v>276</v>
      </c>
      <c r="L1838" s="13" t="s">
        <v>1897</v>
      </c>
      <c r="M1838" s="7" t="s">
        <v>253</v>
      </c>
      <c r="N1838" s="7" t="s">
        <v>253</v>
      </c>
      <c r="O1838" s="7" t="s">
        <v>254</v>
      </c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  <c r="AA1838" s="8"/>
      <c r="AB1838" s="8"/>
      <c r="AC1838" s="8"/>
      <c r="AD1838" s="8"/>
      <c r="AE1838" s="8"/>
    </row>
    <row r="1839">
      <c r="A1839" s="12">
        <v>57.0</v>
      </c>
      <c r="B1839" s="8" t="s">
        <v>345</v>
      </c>
      <c r="C1839" s="8" t="s">
        <v>1255</v>
      </c>
      <c r="I1839" s="10" t="s">
        <v>1146</v>
      </c>
      <c r="J1839" s="13" t="s">
        <v>1671</v>
      </c>
      <c r="K1839" s="13" t="s">
        <v>276</v>
      </c>
      <c r="L1839" s="13" t="s">
        <v>2033</v>
      </c>
      <c r="M1839" s="7" t="s">
        <v>253</v>
      </c>
      <c r="N1839" s="7" t="s">
        <v>253</v>
      </c>
      <c r="O1839" s="7" t="s">
        <v>254</v>
      </c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  <c r="AA1839" s="8"/>
      <c r="AB1839" s="8"/>
      <c r="AC1839" s="8"/>
      <c r="AD1839" s="8"/>
      <c r="AE1839" s="8"/>
    </row>
    <row r="1840">
      <c r="A1840" s="12">
        <v>57.0</v>
      </c>
      <c r="B1840" s="8" t="s">
        <v>345</v>
      </c>
      <c r="C1840" s="8" t="s">
        <v>1255</v>
      </c>
      <c r="I1840" s="10" t="s">
        <v>1493</v>
      </c>
      <c r="J1840" s="13" t="s">
        <v>1264</v>
      </c>
      <c r="K1840" s="13" t="s">
        <v>276</v>
      </c>
      <c r="L1840" s="13" t="s">
        <v>2034</v>
      </c>
      <c r="M1840" s="7" t="s">
        <v>253</v>
      </c>
      <c r="N1840" s="7" t="s">
        <v>253</v>
      </c>
      <c r="O1840" s="7" t="s">
        <v>254</v>
      </c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  <c r="AA1840" s="8"/>
      <c r="AB1840" s="8"/>
      <c r="AC1840" s="8"/>
      <c r="AD1840" s="8"/>
      <c r="AE1840" s="8"/>
    </row>
    <row r="1841">
      <c r="A1841" s="12">
        <v>57.0</v>
      </c>
      <c r="B1841" s="8" t="s">
        <v>345</v>
      </c>
      <c r="C1841" s="8" t="s">
        <v>1255</v>
      </c>
      <c r="I1841" s="10" t="s">
        <v>1917</v>
      </c>
      <c r="J1841" s="13" t="s">
        <v>1671</v>
      </c>
      <c r="K1841" s="13" t="s">
        <v>276</v>
      </c>
      <c r="L1841" s="13" t="s">
        <v>1897</v>
      </c>
      <c r="M1841" s="7" t="s">
        <v>253</v>
      </c>
      <c r="N1841" s="7" t="s">
        <v>253</v>
      </c>
      <c r="O1841" s="7" t="s">
        <v>254</v>
      </c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  <c r="AA1841" s="8"/>
      <c r="AB1841" s="8"/>
      <c r="AC1841" s="8"/>
      <c r="AD1841" s="8"/>
      <c r="AE1841" s="8"/>
    </row>
    <row r="1842">
      <c r="A1842" s="12">
        <v>57.0</v>
      </c>
      <c r="B1842" s="8" t="s">
        <v>345</v>
      </c>
      <c r="C1842" s="8" t="s">
        <v>1255</v>
      </c>
      <c r="I1842" s="10" t="s">
        <v>1918</v>
      </c>
      <c r="J1842" s="13" t="s">
        <v>1264</v>
      </c>
      <c r="K1842" s="13" t="s">
        <v>276</v>
      </c>
      <c r="L1842" s="13" t="s">
        <v>2033</v>
      </c>
      <c r="M1842" s="7" t="s">
        <v>253</v>
      </c>
      <c r="N1842" s="7" t="s">
        <v>253</v>
      </c>
      <c r="O1842" s="7" t="s">
        <v>254</v>
      </c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  <c r="AA1842" s="8"/>
      <c r="AB1842" s="8"/>
      <c r="AC1842" s="8"/>
      <c r="AD1842" s="8"/>
      <c r="AE1842" s="8"/>
    </row>
    <row r="1843">
      <c r="A1843" s="12">
        <v>57.0</v>
      </c>
      <c r="B1843" s="8" t="s">
        <v>345</v>
      </c>
      <c r="C1843" s="8" t="s">
        <v>1255</v>
      </c>
      <c r="I1843" s="10" t="s">
        <v>2043</v>
      </c>
      <c r="J1843" s="13" t="s">
        <v>1671</v>
      </c>
      <c r="K1843" s="13" t="s">
        <v>276</v>
      </c>
      <c r="L1843" s="13" t="s">
        <v>2033</v>
      </c>
      <c r="M1843" s="7" t="s">
        <v>253</v>
      </c>
      <c r="N1843" s="7" t="s">
        <v>253</v>
      </c>
      <c r="O1843" s="7" t="s">
        <v>254</v>
      </c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  <c r="AA1843" s="8"/>
      <c r="AB1843" s="8"/>
      <c r="AC1843" s="8"/>
      <c r="AD1843" s="8"/>
      <c r="AE1843" s="8"/>
    </row>
    <row r="1844">
      <c r="A1844" s="12">
        <v>58.0</v>
      </c>
      <c r="B1844" s="8" t="s">
        <v>334</v>
      </c>
      <c r="C1844" s="8" t="s">
        <v>1255</v>
      </c>
      <c r="D1844" s="25">
        <f>IF(COUNTIF($B$2:$B1844,$B1844)&gt;1,"",COUNTIF($B$2:$B$2505,$B1844))</f>
        <v>32</v>
      </c>
      <c r="E1844" s="25">
        <f>IF(COUNTIF($B$2:$B1844,$B1844)&gt;1,"",COUNTIFS($B$2:$B$2505,$B1844,$K$2:$K$2505,"PHÙ HỢP CAO"))</f>
        <v>4</v>
      </c>
      <c r="F1844" s="25">
        <f>IF(COUNTIF($B$2:$B1844,$B1844)&gt;1,"",COUNTIFS($B$2:$B$2505,$B1844,$K$2:$K$2505,"CÓ THỂ ĐI"))</f>
        <v>1</v>
      </c>
      <c r="G1844" s="25">
        <f>IF(COUNTIF($B$2:$B1844,$B1844)&gt;1,"",COUNTIFS($B$2:$B$2505,$B1844,$K$2:$K$2505,"CẦN SOÁT"))</f>
        <v>27</v>
      </c>
      <c r="H1844" s="26" t="str">
        <f>IFERROR(__xludf.DUMMYFUNCTION("IF(COUNTIF($B$2:$B1844,$B1844)&gt;1,"""",IFERROR(TEXTJOIN(CHAR(10),TRUE,BYROW(QUERY({$B$2:$B$2505,$J$2:$J$2505},""select Col2, count(Col2) where Col1 = '""&amp;$B1844&amp;""' group by Col2 order by count(Col2) desc label count(Col2) ''"",0),LAMBDA(r,INDEX(r,1,1)&amp;"" "&amp;"– ""&amp;INDEX(r,1,2)&amp;"" link""))),""""))"),"lãi suất vay thế chấp sổ hồng – 8 link
lãi suất vay thế chấp sổ đỏ – 8 link
vay thế chấp sổ đỏ – 8 link
vay thế chấp sổ đỏ ngân hàng – 8 link")</f>
        <v>lãi suất vay thế chấp sổ hồng – 8 link
lãi suất vay thế chấp sổ đỏ – 8 link
vay thế chấp sổ đỏ – 8 link
vay thế chấp sổ đỏ ngân hàng – 8 link</v>
      </c>
      <c r="I1844" s="10" t="s">
        <v>337</v>
      </c>
      <c r="J1844" s="13" t="s">
        <v>1279</v>
      </c>
      <c r="K1844" s="13" t="s">
        <v>251</v>
      </c>
      <c r="L1844" s="13" t="s">
        <v>2044</v>
      </c>
      <c r="M1844" s="7" t="s">
        <v>253</v>
      </c>
      <c r="N1844" s="7" t="s">
        <v>253</v>
      </c>
      <c r="O1844" s="7" t="s">
        <v>254</v>
      </c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  <c r="AA1844" s="8"/>
      <c r="AB1844" s="8"/>
      <c r="AC1844" s="8"/>
      <c r="AD1844" s="8"/>
      <c r="AE1844" s="8"/>
    </row>
    <row r="1845">
      <c r="A1845" s="12">
        <v>58.0</v>
      </c>
      <c r="B1845" s="8" t="s">
        <v>334</v>
      </c>
      <c r="C1845" s="8" t="s">
        <v>1255</v>
      </c>
      <c r="I1845" s="10" t="s">
        <v>1280</v>
      </c>
      <c r="J1845" s="13" t="s">
        <v>1282</v>
      </c>
      <c r="K1845" s="13" t="s">
        <v>251</v>
      </c>
      <c r="L1845" s="13" t="s">
        <v>2045</v>
      </c>
      <c r="M1845" s="7" t="s">
        <v>253</v>
      </c>
      <c r="N1845" s="7" t="s">
        <v>253</v>
      </c>
      <c r="O1845" s="7" t="s">
        <v>254</v>
      </c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  <c r="AA1845" s="8"/>
      <c r="AB1845" s="8"/>
      <c r="AC1845" s="8"/>
      <c r="AD1845" s="8"/>
      <c r="AE1845" s="8"/>
    </row>
    <row r="1846">
      <c r="A1846" s="12">
        <v>58.0</v>
      </c>
      <c r="B1846" s="8" t="s">
        <v>334</v>
      </c>
      <c r="C1846" s="8" t="s">
        <v>1255</v>
      </c>
      <c r="I1846" s="10" t="s">
        <v>1283</v>
      </c>
      <c r="J1846" s="13" t="s">
        <v>1285</v>
      </c>
      <c r="K1846" s="13" t="s">
        <v>251</v>
      </c>
      <c r="L1846" s="13" t="s">
        <v>2046</v>
      </c>
      <c r="M1846" s="7" t="s">
        <v>253</v>
      </c>
      <c r="N1846" s="7" t="s">
        <v>253</v>
      </c>
      <c r="O1846" s="7" t="s">
        <v>254</v>
      </c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  <c r="AA1846" s="8"/>
      <c r="AB1846" s="8"/>
      <c r="AC1846" s="8"/>
      <c r="AD1846" s="8"/>
      <c r="AE1846" s="8"/>
    </row>
    <row r="1847">
      <c r="A1847" s="12">
        <v>58.0</v>
      </c>
      <c r="B1847" s="8" t="s">
        <v>334</v>
      </c>
      <c r="C1847" s="8" t="s">
        <v>1255</v>
      </c>
      <c r="I1847" s="10" t="s">
        <v>855</v>
      </c>
      <c r="J1847" s="13" t="s">
        <v>1288</v>
      </c>
      <c r="K1847" s="13" t="s">
        <v>251</v>
      </c>
      <c r="L1847" s="13" t="s">
        <v>2047</v>
      </c>
      <c r="M1847" s="7" t="s">
        <v>253</v>
      </c>
      <c r="N1847" s="7" t="s">
        <v>253</v>
      </c>
      <c r="O1847" s="7" t="s">
        <v>254</v>
      </c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  <c r="AA1847" s="8"/>
      <c r="AB1847" s="8"/>
      <c r="AC1847" s="8"/>
      <c r="AD1847" s="8"/>
      <c r="AE1847" s="8"/>
    </row>
    <row r="1848">
      <c r="A1848" s="12">
        <v>58.0</v>
      </c>
      <c r="B1848" s="8" t="s">
        <v>334</v>
      </c>
      <c r="C1848" s="8" t="s">
        <v>1255</v>
      </c>
      <c r="I1848" s="10" t="s">
        <v>1290</v>
      </c>
      <c r="J1848" s="13" t="s">
        <v>1279</v>
      </c>
      <c r="K1848" s="13" t="s">
        <v>272</v>
      </c>
      <c r="L1848" s="13" t="s">
        <v>2048</v>
      </c>
      <c r="M1848" s="7" t="s">
        <v>253</v>
      </c>
      <c r="N1848" s="7" t="s">
        <v>253</v>
      </c>
      <c r="O1848" s="7" t="s">
        <v>254</v>
      </c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  <c r="AA1848" s="8"/>
      <c r="AB1848" s="8"/>
      <c r="AC1848" s="8"/>
      <c r="AD1848" s="8"/>
      <c r="AE1848" s="8"/>
    </row>
    <row r="1849">
      <c r="A1849" s="12">
        <v>58.0</v>
      </c>
      <c r="B1849" s="8" t="s">
        <v>334</v>
      </c>
      <c r="C1849" s="8" t="s">
        <v>1255</v>
      </c>
      <c r="I1849" s="10" t="s">
        <v>2049</v>
      </c>
      <c r="J1849" s="13" t="s">
        <v>1282</v>
      </c>
      <c r="K1849" s="13" t="s">
        <v>276</v>
      </c>
      <c r="L1849" s="13" t="s">
        <v>2050</v>
      </c>
      <c r="M1849" s="7" t="s">
        <v>253</v>
      </c>
      <c r="N1849" s="7" t="s">
        <v>253</v>
      </c>
      <c r="O1849" s="7" t="s">
        <v>254</v>
      </c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  <c r="AA1849" s="8"/>
      <c r="AB1849" s="8"/>
      <c r="AC1849" s="8"/>
      <c r="AD1849" s="8"/>
      <c r="AE1849" s="8"/>
    </row>
    <row r="1850">
      <c r="A1850" s="12">
        <v>58.0</v>
      </c>
      <c r="B1850" s="8" t="s">
        <v>334</v>
      </c>
      <c r="C1850" s="8" t="s">
        <v>1255</v>
      </c>
      <c r="I1850" s="10" t="s">
        <v>2051</v>
      </c>
      <c r="J1850" s="13" t="s">
        <v>1285</v>
      </c>
      <c r="K1850" s="13" t="s">
        <v>276</v>
      </c>
      <c r="L1850" s="13" t="s">
        <v>2050</v>
      </c>
      <c r="M1850" s="7" t="s">
        <v>253</v>
      </c>
      <c r="N1850" s="7" t="s">
        <v>253</v>
      </c>
      <c r="O1850" s="7" t="s">
        <v>254</v>
      </c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  <c r="AA1850" s="8"/>
      <c r="AB1850" s="8"/>
      <c r="AC1850" s="8"/>
      <c r="AD1850" s="8"/>
      <c r="AE1850" s="8"/>
    </row>
    <row r="1851">
      <c r="A1851" s="12">
        <v>58.0</v>
      </c>
      <c r="B1851" s="8" t="s">
        <v>334</v>
      </c>
      <c r="C1851" s="8" t="s">
        <v>1255</v>
      </c>
      <c r="I1851" s="10" t="s">
        <v>1893</v>
      </c>
      <c r="J1851" s="13" t="s">
        <v>1288</v>
      </c>
      <c r="K1851" s="13" t="s">
        <v>276</v>
      </c>
      <c r="L1851" s="13" t="s">
        <v>2050</v>
      </c>
      <c r="M1851" s="7" t="s">
        <v>253</v>
      </c>
      <c r="N1851" s="7" t="s">
        <v>253</v>
      </c>
      <c r="O1851" s="7" t="s">
        <v>254</v>
      </c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  <c r="AA1851" s="8"/>
      <c r="AB1851" s="8"/>
      <c r="AC1851" s="8"/>
      <c r="AD1851" s="8"/>
      <c r="AE1851" s="8"/>
    </row>
    <row r="1852">
      <c r="A1852" s="12">
        <v>58.0</v>
      </c>
      <c r="B1852" s="8" t="s">
        <v>334</v>
      </c>
      <c r="C1852" s="8" t="s">
        <v>1255</v>
      </c>
      <c r="I1852" s="10" t="s">
        <v>1895</v>
      </c>
      <c r="J1852" s="13" t="s">
        <v>1279</v>
      </c>
      <c r="K1852" s="13" t="s">
        <v>276</v>
      </c>
      <c r="L1852" s="13" t="s">
        <v>2050</v>
      </c>
      <c r="M1852" s="7" t="s">
        <v>253</v>
      </c>
      <c r="N1852" s="7" t="s">
        <v>253</v>
      </c>
      <c r="O1852" s="7" t="s">
        <v>254</v>
      </c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  <c r="AA1852" s="8"/>
      <c r="AB1852" s="8"/>
      <c r="AC1852" s="8"/>
      <c r="AD1852" s="8"/>
      <c r="AE1852" s="8"/>
    </row>
    <row r="1853">
      <c r="A1853" s="12">
        <v>58.0</v>
      </c>
      <c r="B1853" s="8" t="s">
        <v>334</v>
      </c>
      <c r="C1853" s="8" t="s">
        <v>1255</v>
      </c>
      <c r="I1853" s="10" t="s">
        <v>1730</v>
      </c>
      <c r="J1853" s="13" t="s">
        <v>1282</v>
      </c>
      <c r="K1853" s="13" t="s">
        <v>276</v>
      </c>
      <c r="L1853" s="13" t="s">
        <v>2050</v>
      </c>
      <c r="M1853" s="7" t="s">
        <v>253</v>
      </c>
      <c r="N1853" s="7" t="s">
        <v>253</v>
      </c>
      <c r="O1853" s="7" t="s">
        <v>254</v>
      </c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  <c r="AA1853" s="8"/>
      <c r="AB1853" s="8"/>
      <c r="AC1853" s="8"/>
      <c r="AD1853" s="8"/>
      <c r="AE1853" s="8"/>
    </row>
    <row r="1854">
      <c r="A1854" s="12">
        <v>58.0</v>
      </c>
      <c r="B1854" s="8" t="s">
        <v>334</v>
      </c>
      <c r="C1854" s="8" t="s">
        <v>1255</v>
      </c>
      <c r="I1854" s="10" t="s">
        <v>1896</v>
      </c>
      <c r="J1854" s="13" t="s">
        <v>1285</v>
      </c>
      <c r="K1854" s="13" t="s">
        <v>276</v>
      </c>
      <c r="L1854" s="13" t="s">
        <v>2050</v>
      </c>
      <c r="M1854" s="7" t="s">
        <v>253</v>
      </c>
      <c r="N1854" s="7" t="s">
        <v>253</v>
      </c>
      <c r="O1854" s="7" t="s">
        <v>254</v>
      </c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  <c r="AA1854" s="8"/>
      <c r="AB1854" s="8"/>
      <c r="AC1854" s="8"/>
      <c r="AD1854" s="8"/>
      <c r="AE1854" s="8"/>
    </row>
    <row r="1855">
      <c r="A1855" s="12">
        <v>58.0</v>
      </c>
      <c r="B1855" s="8" t="s">
        <v>334</v>
      </c>
      <c r="C1855" s="8" t="s">
        <v>1255</v>
      </c>
      <c r="I1855" s="10" t="s">
        <v>1519</v>
      </c>
      <c r="J1855" s="13" t="s">
        <v>1288</v>
      </c>
      <c r="K1855" s="13" t="s">
        <v>276</v>
      </c>
      <c r="L1855" s="13" t="s">
        <v>2050</v>
      </c>
      <c r="M1855" s="7" t="s">
        <v>253</v>
      </c>
      <c r="N1855" s="7" t="s">
        <v>253</v>
      </c>
      <c r="O1855" s="7" t="s">
        <v>254</v>
      </c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  <c r="AA1855" s="8"/>
      <c r="AB1855" s="8"/>
      <c r="AC1855" s="8"/>
      <c r="AD1855" s="8"/>
      <c r="AE1855" s="8"/>
    </row>
    <row r="1856">
      <c r="A1856" s="12">
        <v>58.0</v>
      </c>
      <c r="B1856" s="8" t="s">
        <v>334</v>
      </c>
      <c r="C1856" s="8" t="s">
        <v>1255</v>
      </c>
      <c r="I1856" s="10" t="s">
        <v>1898</v>
      </c>
      <c r="J1856" s="13" t="s">
        <v>1279</v>
      </c>
      <c r="K1856" s="13" t="s">
        <v>276</v>
      </c>
      <c r="L1856" s="13" t="s">
        <v>2050</v>
      </c>
      <c r="M1856" s="7" t="s">
        <v>253</v>
      </c>
      <c r="N1856" s="7" t="s">
        <v>253</v>
      </c>
      <c r="O1856" s="7" t="s">
        <v>254</v>
      </c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  <c r="AA1856" s="8"/>
      <c r="AB1856" s="8"/>
      <c r="AC1856" s="8"/>
      <c r="AD1856" s="8"/>
      <c r="AE1856" s="8"/>
    </row>
    <row r="1857">
      <c r="A1857" s="12">
        <v>58.0</v>
      </c>
      <c r="B1857" s="8" t="s">
        <v>334</v>
      </c>
      <c r="C1857" s="8" t="s">
        <v>1255</v>
      </c>
      <c r="I1857" s="10" t="s">
        <v>1901</v>
      </c>
      <c r="J1857" s="13" t="s">
        <v>1282</v>
      </c>
      <c r="K1857" s="13" t="s">
        <v>276</v>
      </c>
      <c r="L1857" s="13" t="s">
        <v>2050</v>
      </c>
      <c r="M1857" s="7" t="s">
        <v>253</v>
      </c>
      <c r="N1857" s="7" t="s">
        <v>253</v>
      </c>
      <c r="O1857" s="7" t="s">
        <v>254</v>
      </c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  <c r="AA1857" s="8"/>
      <c r="AB1857" s="8"/>
      <c r="AC1857" s="8"/>
      <c r="AD1857" s="8"/>
      <c r="AE1857" s="8"/>
    </row>
    <row r="1858">
      <c r="A1858" s="12">
        <v>58.0</v>
      </c>
      <c r="B1858" s="8" t="s">
        <v>334</v>
      </c>
      <c r="C1858" s="8" t="s">
        <v>1255</v>
      </c>
      <c r="I1858" s="10" t="s">
        <v>1504</v>
      </c>
      <c r="J1858" s="13" t="s">
        <v>1285</v>
      </c>
      <c r="K1858" s="13" t="s">
        <v>276</v>
      </c>
      <c r="L1858" s="13" t="s">
        <v>2050</v>
      </c>
      <c r="M1858" s="7" t="s">
        <v>253</v>
      </c>
      <c r="N1858" s="7" t="s">
        <v>253</v>
      </c>
      <c r="O1858" s="7" t="s">
        <v>254</v>
      </c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  <c r="AA1858" s="8"/>
      <c r="AB1858" s="8"/>
      <c r="AC1858" s="8"/>
      <c r="AD1858" s="8"/>
      <c r="AE1858" s="8"/>
    </row>
    <row r="1859">
      <c r="A1859" s="12">
        <v>58.0</v>
      </c>
      <c r="B1859" s="8" t="s">
        <v>334</v>
      </c>
      <c r="C1859" s="8" t="s">
        <v>1255</v>
      </c>
      <c r="I1859" s="10" t="s">
        <v>1154</v>
      </c>
      <c r="J1859" s="13" t="s">
        <v>1288</v>
      </c>
      <c r="K1859" s="13" t="s">
        <v>276</v>
      </c>
      <c r="L1859" s="13" t="s">
        <v>2050</v>
      </c>
      <c r="M1859" s="7" t="s">
        <v>253</v>
      </c>
      <c r="N1859" s="7" t="s">
        <v>253</v>
      </c>
      <c r="O1859" s="7" t="s">
        <v>254</v>
      </c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  <c r="AA1859" s="8"/>
      <c r="AB1859" s="8"/>
      <c r="AC1859" s="8"/>
      <c r="AD1859" s="8"/>
      <c r="AE1859" s="8"/>
    </row>
    <row r="1860">
      <c r="A1860" s="12">
        <v>58.0</v>
      </c>
      <c r="B1860" s="8" t="s">
        <v>334</v>
      </c>
      <c r="C1860" s="8" t="s">
        <v>1255</v>
      </c>
      <c r="I1860" s="10" t="s">
        <v>1294</v>
      </c>
      <c r="J1860" s="13" t="s">
        <v>1279</v>
      </c>
      <c r="K1860" s="13" t="s">
        <v>276</v>
      </c>
      <c r="L1860" s="13" t="s">
        <v>2050</v>
      </c>
      <c r="M1860" s="7" t="s">
        <v>253</v>
      </c>
      <c r="N1860" s="7" t="s">
        <v>253</v>
      </c>
      <c r="O1860" s="7" t="s">
        <v>254</v>
      </c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  <c r="AA1860" s="8"/>
      <c r="AB1860" s="8"/>
      <c r="AC1860" s="8"/>
      <c r="AD1860" s="8"/>
      <c r="AE1860" s="8"/>
    </row>
    <row r="1861">
      <c r="A1861" s="12">
        <v>58.0</v>
      </c>
      <c r="B1861" s="8" t="s">
        <v>334</v>
      </c>
      <c r="C1861" s="8" t="s">
        <v>1255</v>
      </c>
      <c r="I1861" s="10" t="s">
        <v>270</v>
      </c>
      <c r="J1861" s="13" t="s">
        <v>1282</v>
      </c>
      <c r="K1861" s="13" t="s">
        <v>276</v>
      </c>
      <c r="L1861" s="13" t="s">
        <v>2050</v>
      </c>
      <c r="M1861" s="7" t="s">
        <v>253</v>
      </c>
      <c r="N1861" s="7" t="s">
        <v>253</v>
      </c>
      <c r="O1861" s="7" t="s">
        <v>254</v>
      </c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  <c r="AA1861" s="8"/>
      <c r="AB1861" s="8"/>
      <c r="AC1861" s="8"/>
      <c r="AD1861" s="8"/>
      <c r="AE1861" s="8"/>
    </row>
    <row r="1862">
      <c r="A1862" s="12">
        <v>58.0</v>
      </c>
      <c r="B1862" s="8" t="s">
        <v>334</v>
      </c>
      <c r="C1862" s="8" t="s">
        <v>1255</v>
      </c>
      <c r="I1862" s="10" t="s">
        <v>643</v>
      </c>
      <c r="J1862" s="13" t="s">
        <v>1285</v>
      </c>
      <c r="K1862" s="13" t="s">
        <v>276</v>
      </c>
      <c r="L1862" s="13" t="s">
        <v>2050</v>
      </c>
      <c r="M1862" s="7" t="s">
        <v>253</v>
      </c>
      <c r="N1862" s="7" t="s">
        <v>253</v>
      </c>
      <c r="O1862" s="7" t="s">
        <v>254</v>
      </c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  <c r="AA1862" s="8"/>
      <c r="AB1862" s="8"/>
      <c r="AC1862" s="8"/>
      <c r="AD1862" s="8"/>
      <c r="AE1862" s="8"/>
    </row>
    <row r="1863">
      <c r="A1863" s="12">
        <v>58.0</v>
      </c>
      <c r="B1863" s="8" t="s">
        <v>334</v>
      </c>
      <c r="C1863" s="8" t="s">
        <v>1255</v>
      </c>
      <c r="I1863" s="10" t="s">
        <v>294</v>
      </c>
      <c r="J1863" s="13" t="s">
        <v>1288</v>
      </c>
      <c r="K1863" s="13" t="s">
        <v>276</v>
      </c>
      <c r="L1863" s="13" t="s">
        <v>2052</v>
      </c>
      <c r="M1863" s="7" t="s">
        <v>253</v>
      </c>
      <c r="N1863" s="7" t="s">
        <v>253</v>
      </c>
      <c r="O1863" s="7" t="s">
        <v>254</v>
      </c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  <c r="AA1863" s="8"/>
      <c r="AB1863" s="8"/>
      <c r="AC1863" s="8"/>
      <c r="AD1863" s="8"/>
      <c r="AE1863" s="8"/>
    </row>
    <row r="1864">
      <c r="A1864" s="12">
        <v>58.0</v>
      </c>
      <c r="B1864" s="8" t="s">
        <v>334</v>
      </c>
      <c r="C1864" s="8" t="s">
        <v>1255</v>
      </c>
      <c r="I1864" s="10" t="s">
        <v>265</v>
      </c>
      <c r="J1864" s="13" t="s">
        <v>1279</v>
      </c>
      <c r="K1864" s="13" t="s">
        <v>276</v>
      </c>
      <c r="L1864" s="13" t="s">
        <v>2050</v>
      </c>
      <c r="M1864" s="7" t="s">
        <v>253</v>
      </c>
      <c r="N1864" s="7" t="s">
        <v>253</v>
      </c>
      <c r="O1864" s="7" t="s">
        <v>254</v>
      </c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  <c r="AA1864" s="8"/>
      <c r="AB1864" s="8"/>
      <c r="AC1864" s="8"/>
      <c r="AD1864" s="8"/>
      <c r="AE1864" s="8"/>
    </row>
    <row r="1865">
      <c r="A1865" s="12">
        <v>58.0</v>
      </c>
      <c r="B1865" s="8" t="s">
        <v>334</v>
      </c>
      <c r="C1865" s="8" t="s">
        <v>1255</v>
      </c>
      <c r="I1865" s="10" t="s">
        <v>1914</v>
      </c>
      <c r="J1865" s="13" t="s">
        <v>1282</v>
      </c>
      <c r="K1865" s="13" t="s">
        <v>276</v>
      </c>
      <c r="L1865" s="13" t="s">
        <v>2050</v>
      </c>
      <c r="M1865" s="7" t="s">
        <v>253</v>
      </c>
      <c r="N1865" s="7" t="s">
        <v>253</v>
      </c>
      <c r="O1865" s="7" t="s">
        <v>254</v>
      </c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  <c r="AA1865" s="8"/>
      <c r="AB1865" s="8"/>
      <c r="AC1865" s="8"/>
      <c r="AD1865" s="8"/>
      <c r="AE1865" s="8"/>
    </row>
    <row r="1866">
      <c r="A1866" s="12">
        <v>58.0</v>
      </c>
      <c r="B1866" s="8" t="s">
        <v>334</v>
      </c>
      <c r="C1866" s="8" t="s">
        <v>1255</v>
      </c>
      <c r="I1866" s="10" t="s">
        <v>934</v>
      </c>
      <c r="J1866" s="13" t="s">
        <v>1285</v>
      </c>
      <c r="K1866" s="13" t="s">
        <v>276</v>
      </c>
      <c r="L1866" s="13" t="s">
        <v>2050</v>
      </c>
      <c r="M1866" s="7" t="s">
        <v>253</v>
      </c>
      <c r="N1866" s="7" t="s">
        <v>253</v>
      </c>
      <c r="O1866" s="7" t="s">
        <v>254</v>
      </c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  <c r="AA1866" s="8"/>
      <c r="AB1866" s="8"/>
      <c r="AC1866" s="8"/>
      <c r="AD1866" s="8"/>
      <c r="AE1866" s="8"/>
    </row>
    <row r="1867">
      <c r="A1867" s="12">
        <v>58.0</v>
      </c>
      <c r="B1867" s="8" t="s">
        <v>334</v>
      </c>
      <c r="C1867" s="8" t="s">
        <v>1255</v>
      </c>
      <c r="I1867" s="10" t="s">
        <v>1915</v>
      </c>
      <c r="J1867" s="13" t="s">
        <v>1288</v>
      </c>
      <c r="K1867" s="13" t="s">
        <v>276</v>
      </c>
      <c r="L1867" s="13" t="s">
        <v>2050</v>
      </c>
      <c r="M1867" s="7" t="s">
        <v>253</v>
      </c>
      <c r="N1867" s="7" t="s">
        <v>253</v>
      </c>
      <c r="O1867" s="7" t="s">
        <v>254</v>
      </c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  <c r="AA1867" s="8"/>
      <c r="AB1867" s="8"/>
      <c r="AC1867" s="8"/>
      <c r="AD1867" s="8"/>
      <c r="AE1867" s="8"/>
    </row>
    <row r="1868">
      <c r="A1868" s="12">
        <v>58.0</v>
      </c>
      <c r="B1868" s="8" t="s">
        <v>334</v>
      </c>
      <c r="C1868" s="8" t="s">
        <v>1255</v>
      </c>
      <c r="I1868" s="10" t="s">
        <v>2053</v>
      </c>
      <c r="J1868" s="13" t="s">
        <v>1279</v>
      </c>
      <c r="K1868" s="13" t="s">
        <v>276</v>
      </c>
      <c r="L1868" s="13" t="s">
        <v>2050</v>
      </c>
      <c r="M1868" s="7" t="s">
        <v>253</v>
      </c>
      <c r="N1868" s="7" t="s">
        <v>253</v>
      </c>
      <c r="O1868" s="7" t="s">
        <v>254</v>
      </c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  <c r="AA1868" s="8"/>
      <c r="AB1868" s="8"/>
      <c r="AC1868" s="8"/>
      <c r="AD1868" s="8"/>
      <c r="AE1868" s="8"/>
    </row>
    <row r="1869">
      <c r="A1869" s="12">
        <v>58.0</v>
      </c>
      <c r="B1869" s="8" t="s">
        <v>334</v>
      </c>
      <c r="C1869" s="8" t="s">
        <v>1255</v>
      </c>
      <c r="I1869" s="10" t="s">
        <v>1916</v>
      </c>
      <c r="J1869" s="13" t="s">
        <v>1282</v>
      </c>
      <c r="K1869" s="13" t="s">
        <v>276</v>
      </c>
      <c r="L1869" s="13" t="s">
        <v>2050</v>
      </c>
      <c r="M1869" s="7" t="s">
        <v>253</v>
      </c>
      <c r="N1869" s="7" t="s">
        <v>253</v>
      </c>
      <c r="O1869" s="7" t="s">
        <v>254</v>
      </c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  <c r="AA1869" s="8"/>
      <c r="AB1869" s="8"/>
      <c r="AC1869" s="8"/>
      <c r="AD1869" s="8"/>
      <c r="AE1869" s="8"/>
    </row>
    <row r="1870">
      <c r="A1870" s="12">
        <v>58.0</v>
      </c>
      <c r="B1870" s="8" t="s">
        <v>334</v>
      </c>
      <c r="C1870" s="8" t="s">
        <v>1255</v>
      </c>
      <c r="I1870" s="10" t="s">
        <v>1138</v>
      </c>
      <c r="J1870" s="13" t="s">
        <v>1285</v>
      </c>
      <c r="K1870" s="13" t="s">
        <v>276</v>
      </c>
      <c r="L1870" s="13" t="s">
        <v>2050</v>
      </c>
      <c r="M1870" s="7" t="s">
        <v>253</v>
      </c>
      <c r="N1870" s="7" t="s">
        <v>253</v>
      </c>
      <c r="O1870" s="7" t="s">
        <v>254</v>
      </c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  <c r="AA1870" s="8"/>
      <c r="AB1870" s="8"/>
      <c r="AC1870" s="8"/>
      <c r="AD1870" s="8"/>
      <c r="AE1870" s="8"/>
    </row>
    <row r="1871">
      <c r="A1871" s="12">
        <v>58.0</v>
      </c>
      <c r="B1871" s="8" t="s">
        <v>334</v>
      </c>
      <c r="C1871" s="8" t="s">
        <v>1255</v>
      </c>
      <c r="I1871" s="10" t="s">
        <v>36</v>
      </c>
      <c r="J1871" s="13" t="s">
        <v>1288</v>
      </c>
      <c r="K1871" s="13" t="s">
        <v>276</v>
      </c>
      <c r="L1871" s="13" t="s">
        <v>2050</v>
      </c>
      <c r="M1871" s="7" t="s">
        <v>253</v>
      </c>
      <c r="N1871" s="7" t="s">
        <v>253</v>
      </c>
      <c r="O1871" s="7" t="s">
        <v>254</v>
      </c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  <c r="AA1871" s="8"/>
      <c r="AB1871" s="8"/>
      <c r="AC1871" s="8"/>
      <c r="AD1871" s="8"/>
      <c r="AE1871" s="8"/>
    </row>
    <row r="1872">
      <c r="A1872" s="12">
        <v>58.0</v>
      </c>
      <c r="B1872" s="8" t="s">
        <v>334</v>
      </c>
      <c r="C1872" s="8" t="s">
        <v>1255</v>
      </c>
      <c r="I1872" s="10" t="s">
        <v>1302</v>
      </c>
      <c r="J1872" s="13" t="s">
        <v>1279</v>
      </c>
      <c r="K1872" s="13" t="s">
        <v>276</v>
      </c>
      <c r="L1872" s="13" t="s">
        <v>2050</v>
      </c>
      <c r="M1872" s="7" t="s">
        <v>253</v>
      </c>
      <c r="N1872" s="7" t="s">
        <v>253</v>
      </c>
      <c r="O1872" s="7" t="s">
        <v>254</v>
      </c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  <c r="AA1872" s="8"/>
      <c r="AB1872" s="8"/>
      <c r="AC1872" s="8"/>
      <c r="AD1872" s="8"/>
      <c r="AE1872" s="8"/>
    </row>
    <row r="1873">
      <c r="A1873" s="12">
        <v>58.0</v>
      </c>
      <c r="B1873" s="8" t="s">
        <v>334</v>
      </c>
      <c r="C1873" s="8" t="s">
        <v>1255</v>
      </c>
      <c r="I1873" s="10" t="s">
        <v>1310</v>
      </c>
      <c r="J1873" s="13" t="s">
        <v>1282</v>
      </c>
      <c r="K1873" s="13" t="s">
        <v>276</v>
      </c>
      <c r="L1873" s="13" t="s">
        <v>2050</v>
      </c>
      <c r="M1873" s="7" t="s">
        <v>253</v>
      </c>
      <c r="N1873" s="7" t="s">
        <v>253</v>
      </c>
      <c r="O1873" s="7" t="s">
        <v>254</v>
      </c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  <c r="AA1873" s="8"/>
      <c r="AB1873" s="8"/>
      <c r="AC1873" s="8"/>
      <c r="AD1873" s="8"/>
      <c r="AE1873" s="8"/>
    </row>
    <row r="1874">
      <c r="A1874" s="12">
        <v>58.0</v>
      </c>
      <c r="B1874" s="8" t="s">
        <v>334</v>
      </c>
      <c r="C1874" s="8" t="s">
        <v>1255</v>
      </c>
      <c r="I1874" s="10" t="s">
        <v>1274</v>
      </c>
      <c r="J1874" s="13" t="s">
        <v>1285</v>
      </c>
      <c r="K1874" s="13" t="s">
        <v>276</v>
      </c>
      <c r="L1874" s="13" t="s">
        <v>2050</v>
      </c>
      <c r="M1874" s="7" t="s">
        <v>253</v>
      </c>
      <c r="N1874" s="7" t="s">
        <v>253</v>
      </c>
      <c r="O1874" s="7" t="s">
        <v>254</v>
      </c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  <c r="AA1874" s="8"/>
      <c r="AB1874" s="8"/>
      <c r="AC1874" s="8"/>
      <c r="AD1874" s="8"/>
      <c r="AE1874" s="8"/>
    </row>
    <row r="1875">
      <c r="A1875" s="12">
        <v>58.0</v>
      </c>
      <c r="B1875" s="8" t="s">
        <v>334</v>
      </c>
      <c r="C1875" s="8" t="s">
        <v>1255</v>
      </c>
      <c r="I1875" s="10" t="s">
        <v>1918</v>
      </c>
      <c r="J1875" s="13" t="s">
        <v>1288</v>
      </c>
      <c r="K1875" s="13" t="s">
        <v>276</v>
      </c>
      <c r="L1875" s="13" t="s">
        <v>2050</v>
      </c>
      <c r="M1875" s="7" t="s">
        <v>253</v>
      </c>
      <c r="N1875" s="7" t="s">
        <v>253</v>
      </c>
      <c r="O1875" s="7" t="s">
        <v>254</v>
      </c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  <c r="AA1875" s="8"/>
      <c r="AB1875" s="8"/>
      <c r="AC1875" s="8"/>
      <c r="AD1875" s="8"/>
      <c r="AE1875" s="8"/>
    </row>
    <row r="1876">
      <c r="A1876" s="12">
        <v>59.0</v>
      </c>
      <c r="B1876" s="8" t="s">
        <v>294</v>
      </c>
      <c r="C1876" s="8" t="s">
        <v>1255</v>
      </c>
      <c r="D1876" s="25">
        <f>IF(COUNTIF($B$2:$B1876,$B1876)&gt;1,"",COUNTIF($B$2:$B$2505,$B1876))</f>
        <v>38</v>
      </c>
      <c r="E1876" s="25">
        <f>IF(COUNTIF($B$2:$B1876,$B1876)&gt;1,"",COUNTIFS($B$2:$B$2505,$B1876,$K$2:$K$2505,"PHÙ HỢP CAO"))</f>
        <v>2</v>
      </c>
      <c r="F1876" s="25">
        <f>IF(COUNTIF($B$2:$B1876,$B1876)&gt;1,"",COUNTIFS($B$2:$B$2505,$B1876,$K$2:$K$2505,"CÓ THỂ ĐI"))</f>
        <v>3</v>
      </c>
      <c r="G1876" s="25">
        <f>IF(COUNTIF($B$2:$B1876,$B1876)&gt;1,"",COUNTIFS($B$2:$B$2505,$B1876,$K$2:$K$2505,"CẦN SOÁT"))</f>
        <v>33</v>
      </c>
      <c r="H1876" s="26" t="str">
        <f>IFERROR(__xludf.DUMMYFUNCTION("IF(COUNTIF($B$2:$B1876,$B1876)&gt;1,"""",IFERROR(TEXTJOIN(CHAR(10),TRUE,BYROW(QUERY({$B$2:$B$2505,$J$2:$J$2505},""select Col2, count(Col2) where Col1 = '""&amp;$B1876&amp;""' group by Col2 order by count(Col2) desc label count(Col2) ''"",0),LAMBDA(r,INDEX(r,1,1)&amp;"" "&amp;"– ""&amp;INDEX(r,1,2)&amp;"" link""))),""""))"),"hồ sơ thủ tục xóa thế chấp – 10 link
thủ tục xóa thế chấp – 10 link
thủ tục giải chấp sổ đỏ – 9 link
xóa thế chấp sổ đỏ – 9 link")</f>
        <v>hồ sơ thủ tục xóa thế chấp – 10 link
thủ tục xóa thế chấp – 10 link
thủ tục giải chấp sổ đỏ – 9 link
xóa thế chấp sổ đỏ – 9 link</v>
      </c>
      <c r="I1876" s="10" t="s">
        <v>1294</v>
      </c>
      <c r="J1876" s="13" t="s">
        <v>1296</v>
      </c>
      <c r="K1876" s="13" t="s">
        <v>251</v>
      </c>
      <c r="L1876" s="13" t="s">
        <v>2054</v>
      </c>
      <c r="M1876" s="7" t="s">
        <v>253</v>
      </c>
      <c r="N1876" s="7" t="s">
        <v>253</v>
      </c>
      <c r="O1876" s="7" t="s">
        <v>254</v>
      </c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  <c r="AA1876" s="8"/>
      <c r="AB1876" s="8"/>
      <c r="AC1876" s="8"/>
      <c r="AD1876" s="8"/>
      <c r="AE1876" s="8"/>
    </row>
    <row r="1877">
      <c r="A1877" s="12">
        <v>59.0</v>
      </c>
      <c r="B1877" s="8" t="s">
        <v>294</v>
      </c>
      <c r="C1877" s="8" t="s">
        <v>1255</v>
      </c>
      <c r="I1877" s="10" t="s">
        <v>1298</v>
      </c>
      <c r="J1877" s="13" t="s">
        <v>1301</v>
      </c>
      <c r="K1877" s="13" t="s">
        <v>251</v>
      </c>
      <c r="L1877" s="13" t="s">
        <v>2055</v>
      </c>
      <c r="M1877" s="7" t="s">
        <v>253</v>
      </c>
      <c r="N1877" s="7" t="s">
        <v>253</v>
      </c>
      <c r="O1877" s="7" t="s">
        <v>254</v>
      </c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  <c r="AA1877" s="8"/>
      <c r="AB1877" s="8"/>
      <c r="AC1877" s="8"/>
      <c r="AD1877" s="8"/>
      <c r="AE1877" s="8"/>
    </row>
    <row r="1878">
      <c r="A1878" s="12">
        <v>59.0</v>
      </c>
      <c r="B1878" s="8" t="s">
        <v>294</v>
      </c>
      <c r="C1878" s="8" t="s">
        <v>1255</v>
      </c>
      <c r="I1878" s="10" t="s">
        <v>1302</v>
      </c>
      <c r="J1878" s="13" t="s">
        <v>1306</v>
      </c>
      <c r="K1878" s="13" t="s">
        <v>272</v>
      </c>
      <c r="L1878" s="13" t="s">
        <v>2056</v>
      </c>
      <c r="M1878" s="7" t="s">
        <v>253</v>
      </c>
      <c r="N1878" s="7" t="s">
        <v>253</v>
      </c>
      <c r="O1878" s="7" t="s">
        <v>254</v>
      </c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  <c r="AA1878" s="8"/>
      <c r="AB1878" s="8"/>
      <c r="AC1878" s="8"/>
      <c r="AD1878" s="8"/>
      <c r="AE1878" s="8"/>
    </row>
    <row r="1879">
      <c r="A1879" s="12">
        <v>59.0</v>
      </c>
      <c r="B1879" s="8" t="s">
        <v>294</v>
      </c>
      <c r="C1879" s="8" t="s">
        <v>1255</v>
      </c>
      <c r="I1879" s="10" t="s">
        <v>1519</v>
      </c>
      <c r="J1879" s="13" t="s">
        <v>2057</v>
      </c>
      <c r="K1879" s="13" t="s">
        <v>272</v>
      </c>
      <c r="L1879" s="13" t="s">
        <v>2058</v>
      </c>
      <c r="M1879" s="7" t="s">
        <v>253</v>
      </c>
      <c r="N1879" s="7" t="s">
        <v>253</v>
      </c>
      <c r="O1879" s="7" t="s">
        <v>254</v>
      </c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  <c r="AA1879" s="8"/>
      <c r="AB1879" s="8"/>
      <c r="AC1879" s="8"/>
      <c r="AD1879" s="8"/>
      <c r="AE1879" s="8"/>
    </row>
    <row r="1880">
      <c r="A1880" s="12">
        <v>59.0</v>
      </c>
      <c r="B1880" s="8" t="s">
        <v>294</v>
      </c>
      <c r="C1880" s="8" t="s">
        <v>1255</v>
      </c>
      <c r="I1880" s="10" t="s">
        <v>1914</v>
      </c>
      <c r="J1880" s="13" t="s">
        <v>1296</v>
      </c>
      <c r="K1880" s="13" t="s">
        <v>272</v>
      </c>
      <c r="L1880" s="13" t="s">
        <v>2059</v>
      </c>
      <c r="M1880" s="7" t="s">
        <v>253</v>
      </c>
      <c r="N1880" s="7" t="s">
        <v>253</v>
      </c>
      <c r="O1880" s="7" t="s">
        <v>254</v>
      </c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  <c r="AA1880" s="8"/>
      <c r="AB1880" s="8"/>
      <c r="AC1880" s="8"/>
      <c r="AD1880" s="8"/>
      <c r="AE1880" s="8"/>
    </row>
    <row r="1881">
      <c r="A1881" s="12">
        <v>59.0</v>
      </c>
      <c r="B1881" s="8" t="s">
        <v>294</v>
      </c>
      <c r="C1881" s="8" t="s">
        <v>1255</v>
      </c>
      <c r="I1881" s="10" t="s">
        <v>2049</v>
      </c>
      <c r="J1881" s="13" t="s">
        <v>1301</v>
      </c>
      <c r="K1881" s="13" t="s">
        <v>276</v>
      </c>
      <c r="L1881" s="13" t="s">
        <v>2050</v>
      </c>
      <c r="M1881" s="7" t="s">
        <v>253</v>
      </c>
      <c r="N1881" s="7" t="s">
        <v>253</v>
      </c>
      <c r="O1881" s="7" t="s">
        <v>254</v>
      </c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  <c r="AA1881" s="8"/>
      <c r="AB1881" s="8"/>
      <c r="AC1881" s="8"/>
      <c r="AD1881" s="8"/>
      <c r="AE1881" s="8"/>
    </row>
    <row r="1882">
      <c r="A1882" s="12">
        <v>59.0</v>
      </c>
      <c r="B1882" s="8" t="s">
        <v>294</v>
      </c>
      <c r="C1882" s="8" t="s">
        <v>1255</v>
      </c>
      <c r="I1882" s="10" t="s">
        <v>2051</v>
      </c>
      <c r="J1882" s="13" t="s">
        <v>1306</v>
      </c>
      <c r="K1882" s="13" t="s">
        <v>276</v>
      </c>
      <c r="L1882" s="13" t="s">
        <v>2050</v>
      </c>
      <c r="M1882" s="7" t="s">
        <v>253</v>
      </c>
      <c r="N1882" s="7" t="s">
        <v>253</v>
      </c>
      <c r="O1882" s="7" t="s">
        <v>254</v>
      </c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  <c r="AA1882" s="8"/>
      <c r="AB1882" s="8"/>
      <c r="AC1882" s="8"/>
      <c r="AD1882" s="8"/>
      <c r="AE1882" s="8"/>
    </row>
    <row r="1883">
      <c r="A1883" s="12">
        <v>59.0</v>
      </c>
      <c r="B1883" s="8" t="s">
        <v>294</v>
      </c>
      <c r="C1883" s="8" t="s">
        <v>1255</v>
      </c>
      <c r="I1883" s="10" t="s">
        <v>1893</v>
      </c>
      <c r="J1883" s="13" t="s">
        <v>2057</v>
      </c>
      <c r="K1883" s="13" t="s">
        <v>276</v>
      </c>
      <c r="L1883" s="13" t="s">
        <v>2050</v>
      </c>
      <c r="M1883" s="7" t="s">
        <v>253</v>
      </c>
      <c r="N1883" s="7" t="s">
        <v>253</v>
      </c>
      <c r="O1883" s="7" t="s">
        <v>254</v>
      </c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  <c r="AA1883" s="8"/>
      <c r="AB1883" s="8"/>
      <c r="AC1883" s="8"/>
      <c r="AD1883" s="8"/>
      <c r="AE1883" s="8"/>
    </row>
    <row r="1884">
      <c r="A1884" s="12">
        <v>59.0</v>
      </c>
      <c r="B1884" s="8" t="s">
        <v>294</v>
      </c>
      <c r="C1884" s="8" t="s">
        <v>1255</v>
      </c>
      <c r="I1884" s="10" t="s">
        <v>1895</v>
      </c>
      <c r="J1884" s="13" t="s">
        <v>1296</v>
      </c>
      <c r="K1884" s="13" t="s">
        <v>276</v>
      </c>
      <c r="L1884" s="13" t="s">
        <v>2050</v>
      </c>
      <c r="M1884" s="7" t="s">
        <v>253</v>
      </c>
      <c r="N1884" s="7" t="s">
        <v>253</v>
      </c>
      <c r="O1884" s="7" t="s">
        <v>254</v>
      </c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  <c r="AA1884" s="8"/>
      <c r="AB1884" s="8"/>
      <c r="AC1884" s="8"/>
      <c r="AD1884" s="8"/>
      <c r="AE1884" s="8"/>
    </row>
    <row r="1885">
      <c r="A1885" s="12">
        <v>59.0</v>
      </c>
      <c r="B1885" s="8" t="s">
        <v>294</v>
      </c>
      <c r="C1885" s="8" t="s">
        <v>1255</v>
      </c>
      <c r="I1885" s="10" t="s">
        <v>1730</v>
      </c>
      <c r="J1885" s="13" t="s">
        <v>1301</v>
      </c>
      <c r="K1885" s="13" t="s">
        <v>276</v>
      </c>
      <c r="L1885" s="13" t="s">
        <v>2050</v>
      </c>
      <c r="M1885" s="7" t="s">
        <v>253</v>
      </c>
      <c r="N1885" s="7" t="s">
        <v>253</v>
      </c>
      <c r="O1885" s="7" t="s">
        <v>254</v>
      </c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  <c r="AA1885" s="8"/>
      <c r="AB1885" s="8"/>
      <c r="AC1885" s="8"/>
      <c r="AD1885" s="8"/>
      <c r="AE1885" s="8"/>
    </row>
    <row r="1886">
      <c r="A1886" s="12">
        <v>59.0</v>
      </c>
      <c r="B1886" s="8" t="s">
        <v>294</v>
      </c>
      <c r="C1886" s="8" t="s">
        <v>1255</v>
      </c>
      <c r="I1886" s="10" t="s">
        <v>1896</v>
      </c>
      <c r="J1886" s="13" t="s">
        <v>1306</v>
      </c>
      <c r="K1886" s="13" t="s">
        <v>276</v>
      </c>
      <c r="L1886" s="13" t="s">
        <v>2050</v>
      </c>
      <c r="M1886" s="7" t="s">
        <v>253</v>
      </c>
      <c r="N1886" s="7" t="s">
        <v>253</v>
      </c>
      <c r="O1886" s="7" t="s">
        <v>254</v>
      </c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  <c r="AA1886" s="8"/>
      <c r="AB1886" s="8"/>
      <c r="AC1886" s="8"/>
      <c r="AD1886" s="8"/>
      <c r="AE1886" s="8"/>
    </row>
    <row r="1887">
      <c r="A1887" s="12">
        <v>59.0</v>
      </c>
      <c r="B1887" s="8" t="s">
        <v>294</v>
      </c>
      <c r="C1887" s="8" t="s">
        <v>1255</v>
      </c>
      <c r="I1887" s="10" t="s">
        <v>1898</v>
      </c>
      <c r="J1887" s="13" t="s">
        <v>2057</v>
      </c>
      <c r="K1887" s="13" t="s">
        <v>276</v>
      </c>
      <c r="L1887" s="13" t="s">
        <v>2050</v>
      </c>
      <c r="M1887" s="7" t="s">
        <v>253</v>
      </c>
      <c r="N1887" s="7" t="s">
        <v>253</v>
      </c>
      <c r="O1887" s="7" t="s">
        <v>254</v>
      </c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  <c r="AA1887" s="8"/>
      <c r="AB1887" s="8"/>
      <c r="AC1887" s="8"/>
      <c r="AD1887" s="8"/>
      <c r="AE1887" s="8"/>
    </row>
    <row r="1888">
      <c r="A1888" s="12">
        <v>59.0</v>
      </c>
      <c r="B1888" s="8" t="s">
        <v>294</v>
      </c>
      <c r="C1888" s="8" t="s">
        <v>1255</v>
      </c>
      <c r="I1888" s="10" t="s">
        <v>855</v>
      </c>
      <c r="J1888" s="13" t="s">
        <v>1296</v>
      </c>
      <c r="K1888" s="13" t="s">
        <v>276</v>
      </c>
      <c r="L1888" s="13" t="s">
        <v>2050</v>
      </c>
      <c r="M1888" s="7" t="s">
        <v>253</v>
      </c>
      <c r="N1888" s="7" t="s">
        <v>253</v>
      </c>
      <c r="O1888" s="7" t="s">
        <v>254</v>
      </c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  <c r="AA1888" s="8"/>
      <c r="AB1888" s="8"/>
      <c r="AC1888" s="8"/>
      <c r="AD1888" s="8"/>
      <c r="AE1888" s="8"/>
    </row>
    <row r="1889">
      <c r="A1889" s="12">
        <v>59.0</v>
      </c>
      <c r="B1889" s="8" t="s">
        <v>294</v>
      </c>
      <c r="C1889" s="8" t="s">
        <v>1255</v>
      </c>
      <c r="I1889" s="10" t="s">
        <v>1290</v>
      </c>
      <c r="J1889" s="13" t="s">
        <v>1301</v>
      </c>
      <c r="K1889" s="13" t="s">
        <v>276</v>
      </c>
      <c r="L1889" s="13" t="s">
        <v>2050</v>
      </c>
      <c r="M1889" s="7" t="s">
        <v>253</v>
      </c>
      <c r="N1889" s="7" t="s">
        <v>253</v>
      </c>
      <c r="O1889" s="7" t="s">
        <v>254</v>
      </c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  <c r="AA1889" s="8"/>
      <c r="AB1889" s="8"/>
      <c r="AC1889" s="8"/>
      <c r="AD1889" s="8"/>
      <c r="AE1889" s="8"/>
    </row>
    <row r="1890">
      <c r="A1890" s="12">
        <v>59.0</v>
      </c>
      <c r="B1890" s="8" t="s">
        <v>294</v>
      </c>
      <c r="C1890" s="8" t="s">
        <v>1255</v>
      </c>
      <c r="I1890" s="10" t="s">
        <v>1346</v>
      </c>
      <c r="J1890" s="13" t="s">
        <v>1306</v>
      </c>
      <c r="K1890" s="13" t="s">
        <v>276</v>
      </c>
      <c r="L1890" s="13" t="s">
        <v>2060</v>
      </c>
      <c r="M1890" s="7" t="s">
        <v>253</v>
      </c>
      <c r="N1890" s="7" t="s">
        <v>253</v>
      </c>
      <c r="O1890" s="7" t="s">
        <v>254</v>
      </c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  <c r="AA1890" s="8"/>
      <c r="AB1890" s="8"/>
      <c r="AC1890" s="8"/>
      <c r="AD1890" s="8"/>
      <c r="AE1890" s="8"/>
    </row>
    <row r="1891">
      <c r="A1891" s="12">
        <v>59.0</v>
      </c>
      <c r="B1891" s="8" t="s">
        <v>294</v>
      </c>
      <c r="C1891" s="8" t="s">
        <v>1255</v>
      </c>
      <c r="I1891" s="10" t="s">
        <v>1901</v>
      </c>
      <c r="J1891" s="13" t="s">
        <v>2057</v>
      </c>
      <c r="K1891" s="13" t="s">
        <v>276</v>
      </c>
      <c r="L1891" s="13" t="s">
        <v>2050</v>
      </c>
      <c r="M1891" s="7" t="s">
        <v>253</v>
      </c>
      <c r="N1891" s="7" t="s">
        <v>253</v>
      </c>
      <c r="O1891" s="7" t="s">
        <v>254</v>
      </c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  <c r="AA1891" s="8"/>
      <c r="AB1891" s="8"/>
      <c r="AC1891" s="8"/>
      <c r="AD1891" s="8"/>
      <c r="AE1891" s="8"/>
    </row>
    <row r="1892">
      <c r="A1892" s="12">
        <v>59.0</v>
      </c>
      <c r="B1892" s="8" t="s">
        <v>294</v>
      </c>
      <c r="C1892" s="8" t="s">
        <v>1255</v>
      </c>
      <c r="I1892" s="10" t="s">
        <v>1504</v>
      </c>
      <c r="J1892" s="13" t="s">
        <v>1296</v>
      </c>
      <c r="K1892" s="13" t="s">
        <v>276</v>
      </c>
      <c r="L1892" s="13" t="s">
        <v>2050</v>
      </c>
      <c r="M1892" s="7" t="s">
        <v>253</v>
      </c>
      <c r="N1892" s="7" t="s">
        <v>253</v>
      </c>
      <c r="O1892" s="7" t="s">
        <v>254</v>
      </c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  <c r="AA1892" s="8"/>
      <c r="AB1892" s="8"/>
      <c r="AC1892" s="8"/>
      <c r="AD1892" s="8"/>
      <c r="AE1892" s="8"/>
    </row>
    <row r="1893">
      <c r="A1893" s="12">
        <v>59.0</v>
      </c>
      <c r="B1893" s="8" t="s">
        <v>294</v>
      </c>
      <c r="C1893" s="8" t="s">
        <v>1255</v>
      </c>
      <c r="I1893" s="10" t="s">
        <v>1154</v>
      </c>
      <c r="J1893" s="13" t="s">
        <v>1301</v>
      </c>
      <c r="K1893" s="13" t="s">
        <v>276</v>
      </c>
      <c r="L1893" s="13" t="s">
        <v>2050</v>
      </c>
      <c r="M1893" s="7" t="s">
        <v>253</v>
      </c>
      <c r="N1893" s="7" t="s">
        <v>253</v>
      </c>
      <c r="O1893" s="7" t="s">
        <v>254</v>
      </c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  <c r="AA1893" s="8"/>
      <c r="AB1893" s="8"/>
      <c r="AC1893" s="8"/>
      <c r="AD1893" s="8"/>
      <c r="AE1893" s="8"/>
    </row>
    <row r="1894">
      <c r="A1894" s="12">
        <v>59.0</v>
      </c>
      <c r="B1894" s="8" t="s">
        <v>294</v>
      </c>
      <c r="C1894" s="8" t="s">
        <v>1255</v>
      </c>
      <c r="I1894" s="10" t="s">
        <v>1283</v>
      </c>
      <c r="J1894" s="13" t="s">
        <v>1306</v>
      </c>
      <c r="K1894" s="13" t="s">
        <v>276</v>
      </c>
      <c r="L1894" s="13" t="s">
        <v>2050</v>
      </c>
      <c r="M1894" s="7" t="s">
        <v>253</v>
      </c>
      <c r="N1894" s="7" t="s">
        <v>253</v>
      </c>
      <c r="O1894" s="7" t="s">
        <v>254</v>
      </c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  <c r="AA1894" s="8"/>
      <c r="AB1894" s="8"/>
      <c r="AC1894" s="8"/>
      <c r="AD1894" s="8"/>
      <c r="AE1894" s="8"/>
    </row>
    <row r="1895">
      <c r="A1895" s="12">
        <v>59.0</v>
      </c>
      <c r="B1895" s="8" t="s">
        <v>294</v>
      </c>
      <c r="C1895" s="8" t="s">
        <v>1255</v>
      </c>
      <c r="I1895" s="10" t="s">
        <v>270</v>
      </c>
      <c r="J1895" s="13" t="s">
        <v>2057</v>
      </c>
      <c r="K1895" s="13" t="s">
        <v>276</v>
      </c>
      <c r="L1895" s="13" t="s">
        <v>2050</v>
      </c>
      <c r="M1895" s="7" t="s">
        <v>253</v>
      </c>
      <c r="N1895" s="7" t="s">
        <v>253</v>
      </c>
      <c r="O1895" s="7" t="s">
        <v>254</v>
      </c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  <c r="AA1895" s="8"/>
      <c r="AB1895" s="8"/>
      <c r="AC1895" s="8"/>
      <c r="AD1895" s="8"/>
      <c r="AE1895" s="8"/>
    </row>
    <row r="1896">
      <c r="A1896" s="12">
        <v>59.0</v>
      </c>
      <c r="B1896" s="8" t="s">
        <v>294</v>
      </c>
      <c r="C1896" s="8" t="s">
        <v>1255</v>
      </c>
      <c r="I1896" s="10" t="s">
        <v>643</v>
      </c>
      <c r="J1896" s="13" t="s">
        <v>1296</v>
      </c>
      <c r="K1896" s="13" t="s">
        <v>276</v>
      </c>
      <c r="L1896" s="13" t="s">
        <v>2050</v>
      </c>
      <c r="M1896" s="7" t="s">
        <v>253</v>
      </c>
      <c r="N1896" s="7" t="s">
        <v>253</v>
      </c>
      <c r="O1896" s="7" t="s">
        <v>254</v>
      </c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  <c r="AA1896" s="8"/>
      <c r="AB1896" s="8"/>
      <c r="AC1896" s="8"/>
      <c r="AD1896" s="8"/>
      <c r="AE1896" s="8"/>
    </row>
    <row r="1897">
      <c r="A1897" s="12">
        <v>59.0</v>
      </c>
      <c r="B1897" s="8" t="s">
        <v>294</v>
      </c>
      <c r="C1897" s="8" t="s">
        <v>1255</v>
      </c>
      <c r="I1897" s="10" t="s">
        <v>334</v>
      </c>
      <c r="J1897" s="13" t="s">
        <v>1301</v>
      </c>
      <c r="K1897" s="13" t="s">
        <v>276</v>
      </c>
      <c r="L1897" s="13" t="s">
        <v>2052</v>
      </c>
      <c r="M1897" s="7" t="s">
        <v>253</v>
      </c>
      <c r="N1897" s="7" t="s">
        <v>253</v>
      </c>
      <c r="O1897" s="7" t="s">
        <v>254</v>
      </c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  <c r="AA1897" s="8"/>
      <c r="AB1897" s="8"/>
      <c r="AC1897" s="8"/>
      <c r="AD1897" s="8"/>
      <c r="AE1897" s="8"/>
    </row>
    <row r="1898">
      <c r="A1898" s="12">
        <v>59.0</v>
      </c>
      <c r="B1898" s="8" t="s">
        <v>294</v>
      </c>
      <c r="C1898" s="8" t="s">
        <v>1255</v>
      </c>
      <c r="I1898" s="10" t="s">
        <v>979</v>
      </c>
      <c r="J1898" s="13" t="s">
        <v>1306</v>
      </c>
      <c r="K1898" s="13" t="s">
        <v>276</v>
      </c>
      <c r="L1898" s="13" t="s">
        <v>2060</v>
      </c>
      <c r="M1898" s="7" t="s">
        <v>253</v>
      </c>
      <c r="N1898" s="7" t="s">
        <v>253</v>
      </c>
      <c r="O1898" s="7" t="s">
        <v>254</v>
      </c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  <c r="AA1898" s="8"/>
      <c r="AB1898" s="8"/>
      <c r="AC1898" s="8"/>
      <c r="AD1898" s="8"/>
      <c r="AE1898" s="8"/>
    </row>
    <row r="1899">
      <c r="A1899" s="12">
        <v>59.0</v>
      </c>
      <c r="B1899" s="8" t="s">
        <v>294</v>
      </c>
      <c r="C1899" s="8" t="s">
        <v>1255</v>
      </c>
      <c r="I1899" s="10" t="s">
        <v>265</v>
      </c>
      <c r="J1899" s="13" t="s">
        <v>2057</v>
      </c>
      <c r="K1899" s="13" t="s">
        <v>276</v>
      </c>
      <c r="L1899" s="13" t="s">
        <v>2050</v>
      </c>
      <c r="M1899" s="7" t="s">
        <v>253</v>
      </c>
      <c r="N1899" s="7" t="s">
        <v>253</v>
      </c>
      <c r="O1899" s="7" t="s">
        <v>254</v>
      </c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  <c r="AA1899" s="8"/>
      <c r="AB1899" s="8"/>
      <c r="AC1899" s="8"/>
      <c r="AD1899" s="8"/>
      <c r="AE1899" s="8"/>
    </row>
    <row r="1900">
      <c r="A1900" s="12">
        <v>59.0</v>
      </c>
      <c r="B1900" s="8" t="s">
        <v>294</v>
      </c>
      <c r="C1900" s="8" t="s">
        <v>1255</v>
      </c>
      <c r="I1900" s="10" t="s">
        <v>1280</v>
      </c>
      <c r="J1900" s="13" t="s">
        <v>1296</v>
      </c>
      <c r="K1900" s="13" t="s">
        <v>276</v>
      </c>
      <c r="L1900" s="13" t="s">
        <v>2050</v>
      </c>
      <c r="M1900" s="7" t="s">
        <v>253</v>
      </c>
      <c r="N1900" s="7" t="s">
        <v>253</v>
      </c>
      <c r="O1900" s="7" t="s">
        <v>254</v>
      </c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  <c r="AA1900" s="8"/>
      <c r="AB1900" s="8"/>
      <c r="AC1900" s="8"/>
      <c r="AD1900" s="8"/>
      <c r="AE1900" s="8"/>
    </row>
    <row r="1901">
      <c r="A1901" s="12">
        <v>59.0</v>
      </c>
      <c r="B1901" s="8" t="s">
        <v>294</v>
      </c>
      <c r="C1901" s="8" t="s">
        <v>1255</v>
      </c>
      <c r="I1901" s="10" t="s">
        <v>1484</v>
      </c>
      <c r="J1901" s="13" t="s">
        <v>1301</v>
      </c>
      <c r="K1901" s="13" t="s">
        <v>276</v>
      </c>
      <c r="L1901" s="13" t="s">
        <v>2060</v>
      </c>
      <c r="M1901" s="7" t="s">
        <v>253</v>
      </c>
      <c r="N1901" s="7" t="s">
        <v>253</v>
      </c>
      <c r="O1901" s="7" t="s">
        <v>254</v>
      </c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  <c r="AA1901" s="8"/>
      <c r="AB1901" s="8"/>
      <c r="AC1901" s="8"/>
      <c r="AD1901" s="8"/>
      <c r="AE1901" s="8"/>
    </row>
    <row r="1902">
      <c r="A1902" s="12">
        <v>59.0</v>
      </c>
      <c r="B1902" s="8" t="s">
        <v>294</v>
      </c>
      <c r="C1902" s="8" t="s">
        <v>1255</v>
      </c>
      <c r="I1902" s="10" t="s">
        <v>934</v>
      </c>
      <c r="J1902" s="13" t="s">
        <v>1306</v>
      </c>
      <c r="K1902" s="13" t="s">
        <v>276</v>
      </c>
      <c r="L1902" s="13" t="s">
        <v>2050</v>
      </c>
      <c r="M1902" s="7" t="s">
        <v>253</v>
      </c>
      <c r="N1902" s="7" t="s">
        <v>253</v>
      </c>
      <c r="O1902" s="7" t="s">
        <v>254</v>
      </c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  <c r="AA1902" s="8"/>
      <c r="AB1902" s="8"/>
      <c r="AC1902" s="8"/>
      <c r="AD1902" s="8"/>
      <c r="AE1902" s="8"/>
    </row>
    <row r="1903">
      <c r="A1903" s="12">
        <v>59.0</v>
      </c>
      <c r="B1903" s="8" t="s">
        <v>294</v>
      </c>
      <c r="C1903" s="8" t="s">
        <v>1255</v>
      </c>
      <c r="I1903" s="10" t="s">
        <v>337</v>
      </c>
      <c r="J1903" s="13" t="s">
        <v>2057</v>
      </c>
      <c r="K1903" s="13" t="s">
        <v>276</v>
      </c>
      <c r="L1903" s="13" t="s">
        <v>2052</v>
      </c>
      <c r="M1903" s="7" t="s">
        <v>253</v>
      </c>
      <c r="N1903" s="7" t="s">
        <v>253</v>
      </c>
      <c r="O1903" s="7" t="s">
        <v>254</v>
      </c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  <c r="AA1903" s="8"/>
      <c r="AB1903" s="8"/>
      <c r="AC1903" s="8"/>
      <c r="AD1903" s="8"/>
      <c r="AE1903" s="8"/>
    </row>
    <row r="1904">
      <c r="A1904" s="12">
        <v>59.0</v>
      </c>
      <c r="B1904" s="8" t="s">
        <v>294</v>
      </c>
      <c r="C1904" s="8" t="s">
        <v>1255</v>
      </c>
      <c r="I1904" s="10" t="s">
        <v>1351</v>
      </c>
      <c r="J1904" s="13" t="s">
        <v>1296</v>
      </c>
      <c r="K1904" s="13" t="s">
        <v>276</v>
      </c>
      <c r="L1904" s="13" t="s">
        <v>2060</v>
      </c>
      <c r="M1904" s="7" t="s">
        <v>253</v>
      </c>
      <c r="N1904" s="7" t="s">
        <v>253</v>
      </c>
      <c r="O1904" s="7" t="s">
        <v>254</v>
      </c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  <c r="AA1904" s="8"/>
      <c r="AB1904" s="8"/>
      <c r="AC1904" s="8"/>
      <c r="AD1904" s="8"/>
      <c r="AE1904" s="8"/>
    </row>
    <row r="1905">
      <c r="A1905" s="12">
        <v>59.0</v>
      </c>
      <c r="B1905" s="8" t="s">
        <v>294</v>
      </c>
      <c r="C1905" s="8" t="s">
        <v>1255</v>
      </c>
      <c r="I1905" s="10" t="s">
        <v>1915</v>
      </c>
      <c r="J1905" s="13" t="s">
        <v>1301</v>
      </c>
      <c r="K1905" s="13" t="s">
        <v>276</v>
      </c>
      <c r="L1905" s="13" t="s">
        <v>2050</v>
      </c>
      <c r="M1905" s="7" t="s">
        <v>253</v>
      </c>
      <c r="N1905" s="7" t="s">
        <v>253</v>
      </c>
      <c r="O1905" s="7" t="s">
        <v>254</v>
      </c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  <c r="AA1905" s="8"/>
      <c r="AB1905" s="8"/>
      <c r="AC1905" s="8"/>
      <c r="AD1905" s="8"/>
      <c r="AE1905" s="8"/>
    </row>
    <row r="1906">
      <c r="A1906" s="12">
        <v>59.0</v>
      </c>
      <c r="B1906" s="8" t="s">
        <v>294</v>
      </c>
      <c r="C1906" s="8" t="s">
        <v>1255</v>
      </c>
      <c r="I1906" s="10" t="s">
        <v>2053</v>
      </c>
      <c r="J1906" s="13" t="s">
        <v>1306</v>
      </c>
      <c r="K1906" s="13" t="s">
        <v>276</v>
      </c>
      <c r="L1906" s="13" t="s">
        <v>2050</v>
      </c>
      <c r="M1906" s="7" t="s">
        <v>253</v>
      </c>
      <c r="N1906" s="7" t="s">
        <v>253</v>
      </c>
      <c r="O1906" s="7" t="s">
        <v>254</v>
      </c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  <c r="AA1906" s="8"/>
      <c r="AB1906" s="8"/>
      <c r="AC1906" s="8"/>
      <c r="AD1906" s="8"/>
      <c r="AE1906" s="8"/>
    </row>
    <row r="1907">
      <c r="A1907" s="12">
        <v>59.0</v>
      </c>
      <c r="B1907" s="8" t="s">
        <v>294</v>
      </c>
      <c r="C1907" s="8" t="s">
        <v>1255</v>
      </c>
      <c r="I1907" s="10" t="s">
        <v>1916</v>
      </c>
      <c r="J1907" s="13" t="s">
        <v>2057</v>
      </c>
      <c r="K1907" s="13" t="s">
        <v>276</v>
      </c>
      <c r="L1907" s="13" t="s">
        <v>2050</v>
      </c>
      <c r="M1907" s="7" t="s">
        <v>253</v>
      </c>
      <c r="N1907" s="7" t="s">
        <v>253</v>
      </c>
      <c r="O1907" s="7" t="s">
        <v>254</v>
      </c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  <c r="AA1907" s="8"/>
      <c r="AB1907" s="8"/>
      <c r="AC1907" s="8"/>
      <c r="AD1907" s="8"/>
      <c r="AE1907" s="8"/>
    </row>
    <row r="1908">
      <c r="A1908" s="12">
        <v>59.0</v>
      </c>
      <c r="B1908" s="8" t="s">
        <v>294</v>
      </c>
      <c r="C1908" s="8" t="s">
        <v>1255</v>
      </c>
      <c r="I1908" s="10" t="s">
        <v>1138</v>
      </c>
      <c r="J1908" s="13" t="s">
        <v>1296</v>
      </c>
      <c r="K1908" s="13" t="s">
        <v>276</v>
      </c>
      <c r="L1908" s="13" t="s">
        <v>2050</v>
      </c>
      <c r="M1908" s="7" t="s">
        <v>253</v>
      </c>
      <c r="N1908" s="7" t="s">
        <v>253</v>
      </c>
      <c r="O1908" s="7" t="s">
        <v>254</v>
      </c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  <c r="AA1908" s="8"/>
      <c r="AB1908" s="8"/>
      <c r="AC1908" s="8"/>
      <c r="AD1908" s="8"/>
      <c r="AE1908" s="8"/>
    </row>
    <row r="1909">
      <c r="A1909" s="12">
        <v>59.0</v>
      </c>
      <c r="B1909" s="8" t="s">
        <v>294</v>
      </c>
      <c r="C1909" s="8" t="s">
        <v>1255</v>
      </c>
      <c r="I1909" s="10" t="s">
        <v>36</v>
      </c>
      <c r="J1909" s="13" t="s">
        <v>1301</v>
      </c>
      <c r="K1909" s="13" t="s">
        <v>276</v>
      </c>
      <c r="L1909" s="13" t="s">
        <v>2050</v>
      </c>
      <c r="M1909" s="7" t="s">
        <v>253</v>
      </c>
      <c r="N1909" s="7" t="s">
        <v>253</v>
      </c>
      <c r="O1909" s="7" t="s">
        <v>254</v>
      </c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  <c r="AA1909" s="8"/>
      <c r="AB1909" s="8"/>
      <c r="AC1909" s="8"/>
      <c r="AD1909" s="8"/>
      <c r="AE1909" s="8"/>
    </row>
    <row r="1910">
      <c r="A1910" s="12">
        <v>59.0</v>
      </c>
      <c r="B1910" s="8" t="s">
        <v>294</v>
      </c>
      <c r="C1910" s="8" t="s">
        <v>1255</v>
      </c>
      <c r="I1910" s="10" t="s">
        <v>983</v>
      </c>
      <c r="J1910" s="13" t="s">
        <v>1306</v>
      </c>
      <c r="K1910" s="13" t="s">
        <v>276</v>
      </c>
      <c r="L1910" s="13" t="s">
        <v>2060</v>
      </c>
      <c r="M1910" s="7" t="s">
        <v>253</v>
      </c>
      <c r="N1910" s="7" t="s">
        <v>253</v>
      </c>
      <c r="O1910" s="7" t="s">
        <v>254</v>
      </c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  <c r="AA1910" s="8"/>
      <c r="AB1910" s="8"/>
      <c r="AC1910" s="8"/>
      <c r="AD1910" s="8"/>
      <c r="AE1910" s="8"/>
    </row>
    <row r="1911">
      <c r="A1911" s="12">
        <v>59.0</v>
      </c>
      <c r="B1911" s="8" t="s">
        <v>294</v>
      </c>
      <c r="C1911" s="8" t="s">
        <v>1255</v>
      </c>
      <c r="I1911" s="10" t="s">
        <v>1310</v>
      </c>
      <c r="J1911" s="13" t="s">
        <v>2057</v>
      </c>
      <c r="K1911" s="13" t="s">
        <v>276</v>
      </c>
      <c r="L1911" s="13" t="s">
        <v>2050</v>
      </c>
      <c r="M1911" s="7" t="s">
        <v>253</v>
      </c>
      <c r="N1911" s="7" t="s">
        <v>253</v>
      </c>
      <c r="O1911" s="7" t="s">
        <v>254</v>
      </c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  <c r="AA1911" s="8"/>
      <c r="AB1911" s="8"/>
      <c r="AC1911" s="8"/>
      <c r="AD1911" s="8"/>
      <c r="AE1911" s="8"/>
    </row>
    <row r="1912">
      <c r="A1912" s="12">
        <v>59.0</v>
      </c>
      <c r="B1912" s="8" t="s">
        <v>294</v>
      </c>
      <c r="C1912" s="8" t="s">
        <v>1255</v>
      </c>
      <c r="I1912" s="10" t="s">
        <v>1274</v>
      </c>
      <c r="J1912" s="13" t="s">
        <v>1296</v>
      </c>
      <c r="K1912" s="13" t="s">
        <v>276</v>
      </c>
      <c r="L1912" s="13" t="s">
        <v>2050</v>
      </c>
      <c r="M1912" s="7" t="s">
        <v>253</v>
      </c>
      <c r="N1912" s="7" t="s">
        <v>253</v>
      </c>
      <c r="O1912" s="7" t="s">
        <v>254</v>
      </c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  <c r="AA1912" s="8"/>
      <c r="AB1912" s="8"/>
      <c r="AC1912" s="8"/>
      <c r="AD1912" s="8"/>
      <c r="AE1912" s="8"/>
    </row>
    <row r="1913">
      <c r="A1913" s="12">
        <v>59.0</v>
      </c>
      <c r="B1913" s="8" t="s">
        <v>294</v>
      </c>
      <c r="C1913" s="8" t="s">
        <v>1255</v>
      </c>
      <c r="I1913" s="10" t="s">
        <v>1918</v>
      </c>
      <c r="J1913" s="13" t="s">
        <v>1301</v>
      </c>
      <c r="K1913" s="13" t="s">
        <v>276</v>
      </c>
      <c r="L1913" s="13" t="s">
        <v>2050</v>
      </c>
      <c r="M1913" s="7" t="s">
        <v>253</v>
      </c>
      <c r="N1913" s="7" t="s">
        <v>253</v>
      </c>
      <c r="O1913" s="7" t="s">
        <v>254</v>
      </c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  <c r="AA1913" s="8"/>
      <c r="AB1913" s="8"/>
      <c r="AC1913" s="8"/>
      <c r="AD1913" s="8"/>
      <c r="AE1913" s="8"/>
    </row>
    <row r="1914">
      <c r="A1914" s="12">
        <v>60.0</v>
      </c>
      <c r="B1914" s="8" t="s">
        <v>354</v>
      </c>
      <c r="C1914" s="8" t="s">
        <v>1308</v>
      </c>
      <c r="D1914" s="25">
        <f>IF(COUNTIF($B$2:$B1914,$B1914)&gt;1,"",COUNTIF($B$2:$B$2505,$B1914))</f>
        <v>42</v>
      </c>
      <c r="E1914" s="25">
        <f>IF(COUNTIF($B$2:$B1914,$B1914)&gt;1,"",COUNTIFS($B$2:$B$2505,$B1914,$K$2:$K$2505,"PHÙ HỢP CAO"))</f>
        <v>4</v>
      </c>
      <c r="F1914" s="25">
        <f>IF(COUNTIF($B$2:$B1914,$B1914)&gt;1,"",COUNTIFS($B$2:$B$2505,$B1914,$K$2:$K$2505,"CÓ THỂ ĐI"))</f>
        <v>1</v>
      </c>
      <c r="G1914" s="25">
        <f>IF(COUNTIF($B$2:$B1914,$B1914)&gt;1,"",COUNTIFS($B$2:$B$2505,$B1914,$K$2:$K$2505,"CẦN SOÁT"))</f>
        <v>37</v>
      </c>
      <c r="H1914" s="26" t="str">
        <f>IFERROR(__xludf.DUMMYFUNCTION("IF(COUNTIF($B$2:$B1914,$B1914)&gt;1,"""",IFERROR(TEXTJOIN(CHAR(10),TRUE,BYROW(QUERY({$B$2:$B$2505,$J$2:$J$2505},""select Col2, count(Col2) where Col1 = '""&amp;$B1914&amp;""' group by Col2 order by count(Col2) desc label count(Col2) ''"",0),LAMBDA(r,INDEX(r,1,1)&amp;"" "&amp;"– ""&amp;INDEX(r,1,2)&amp;"" link""))),""""))"),"lãi suất gửi tiết kiệm ngân hàng – 6 link
lãi suất ngân hàng – 6 link
lãi suất ngân hàng hiện nay – 6 link
lãi suất ngân hàng hôm nay – 6 link
lãi suất ngân hàng nào cao nhất – 6 link
lãi suất ngân hàng tiền gửi – 6 link
lãi suất tiền gửi ngân hàng – 6 li"&amp;"nk")</f>
        <v>lãi suất gửi tiết kiệm ngân hàng – 6 link
lãi suất ngân hàng – 6 link
lãi suất ngân hàng hiện nay – 6 link
lãi suất ngân hàng hôm nay – 6 link
lãi suất ngân hàng nào cao nhất – 6 link
lãi suất ngân hàng tiền gửi – 6 link
lãi suất tiền gửi ngân hàng – 6 link</v>
      </c>
      <c r="I1914" s="10" t="s">
        <v>1309</v>
      </c>
      <c r="J1914" s="13" t="s">
        <v>1663</v>
      </c>
      <c r="K1914" s="13" t="s">
        <v>251</v>
      </c>
      <c r="L1914" s="13" t="s">
        <v>2061</v>
      </c>
      <c r="M1914" s="7" t="s">
        <v>253</v>
      </c>
      <c r="N1914" s="7" t="s">
        <v>253</v>
      </c>
      <c r="O1914" s="7" t="s">
        <v>254</v>
      </c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  <c r="AA1914" s="8"/>
      <c r="AB1914" s="8"/>
      <c r="AC1914" s="8"/>
      <c r="AD1914" s="8"/>
      <c r="AE1914" s="8"/>
    </row>
    <row r="1915">
      <c r="A1915" s="12">
        <v>60.0</v>
      </c>
      <c r="B1915" s="8" t="s">
        <v>354</v>
      </c>
      <c r="C1915" s="8" t="s">
        <v>1308</v>
      </c>
      <c r="I1915" s="10" t="s">
        <v>1314</v>
      </c>
      <c r="J1915" s="13" t="s">
        <v>1664</v>
      </c>
      <c r="K1915" s="13" t="s">
        <v>251</v>
      </c>
      <c r="L1915" s="13" t="s">
        <v>2062</v>
      </c>
      <c r="M1915" s="7" t="s">
        <v>253</v>
      </c>
      <c r="N1915" s="7" t="s">
        <v>253</v>
      </c>
      <c r="O1915" s="7" t="s">
        <v>254</v>
      </c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  <c r="AA1915" s="8"/>
      <c r="AB1915" s="8"/>
      <c r="AC1915" s="8"/>
      <c r="AD1915" s="8"/>
      <c r="AE1915" s="8"/>
    </row>
    <row r="1916">
      <c r="A1916" s="12">
        <v>60.0</v>
      </c>
      <c r="B1916" s="8" t="s">
        <v>354</v>
      </c>
      <c r="C1916" s="8" t="s">
        <v>1308</v>
      </c>
      <c r="I1916" s="10" t="s">
        <v>1318</v>
      </c>
      <c r="J1916" s="13" t="s">
        <v>1665</v>
      </c>
      <c r="K1916" s="13" t="s">
        <v>251</v>
      </c>
      <c r="L1916" s="13" t="s">
        <v>2063</v>
      </c>
      <c r="M1916" s="7" t="s">
        <v>253</v>
      </c>
      <c r="N1916" s="7" t="s">
        <v>253</v>
      </c>
      <c r="O1916" s="7" t="s">
        <v>254</v>
      </c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  <c r="AA1916" s="8"/>
      <c r="AB1916" s="8"/>
      <c r="AC1916" s="8"/>
      <c r="AD1916" s="8"/>
      <c r="AE1916" s="8"/>
    </row>
    <row r="1917">
      <c r="A1917" s="12">
        <v>60.0</v>
      </c>
      <c r="B1917" s="8" t="s">
        <v>354</v>
      </c>
      <c r="C1917" s="8" t="s">
        <v>1308</v>
      </c>
      <c r="I1917" s="10" t="s">
        <v>1321</v>
      </c>
      <c r="J1917" s="13" t="s">
        <v>1666</v>
      </c>
      <c r="K1917" s="13" t="s">
        <v>251</v>
      </c>
      <c r="L1917" s="13" t="s">
        <v>2064</v>
      </c>
      <c r="M1917" s="7" t="s">
        <v>253</v>
      </c>
      <c r="N1917" s="7" t="s">
        <v>253</v>
      </c>
      <c r="O1917" s="7" t="s">
        <v>254</v>
      </c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  <c r="AA1917" s="8"/>
      <c r="AB1917" s="8"/>
      <c r="AC1917" s="8"/>
      <c r="AD1917" s="8"/>
      <c r="AE1917" s="8"/>
    </row>
    <row r="1918">
      <c r="A1918" s="12">
        <v>60.0</v>
      </c>
      <c r="B1918" s="8" t="s">
        <v>354</v>
      </c>
      <c r="C1918" s="8" t="s">
        <v>1308</v>
      </c>
      <c r="I1918" s="10" t="s">
        <v>1325</v>
      </c>
      <c r="J1918" s="13" t="s">
        <v>1667</v>
      </c>
      <c r="K1918" s="13" t="s">
        <v>272</v>
      </c>
      <c r="L1918" s="13" t="s">
        <v>2065</v>
      </c>
      <c r="M1918" s="7" t="s">
        <v>253</v>
      </c>
      <c r="N1918" s="7" t="s">
        <v>253</v>
      </c>
      <c r="O1918" s="7" t="s">
        <v>254</v>
      </c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  <c r="AA1918" s="8"/>
      <c r="AB1918" s="8"/>
      <c r="AC1918" s="8"/>
      <c r="AD1918" s="8"/>
      <c r="AE1918" s="8"/>
    </row>
    <row r="1919">
      <c r="A1919" s="12">
        <v>60.0</v>
      </c>
      <c r="B1919" s="8" t="s">
        <v>354</v>
      </c>
      <c r="C1919" s="8" t="s">
        <v>1308</v>
      </c>
      <c r="I1919" s="10" t="s">
        <v>361</v>
      </c>
      <c r="J1919" s="13" t="s">
        <v>1668</v>
      </c>
      <c r="K1919" s="13" t="s">
        <v>276</v>
      </c>
      <c r="L1919" s="13" t="s">
        <v>2066</v>
      </c>
      <c r="M1919" s="7" t="s">
        <v>253</v>
      </c>
      <c r="N1919" s="7" t="s">
        <v>253</v>
      </c>
      <c r="O1919" s="7" t="s">
        <v>254</v>
      </c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  <c r="AA1919" s="8"/>
      <c r="AB1919" s="8"/>
      <c r="AC1919" s="8"/>
      <c r="AD1919" s="8"/>
      <c r="AE1919" s="8"/>
    </row>
    <row r="1920">
      <c r="A1920" s="12">
        <v>60.0</v>
      </c>
      <c r="B1920" s="8" t="s">
        <v>354</v>
      </c>
      <c r="C1920" s="8" t="s">
        <v>1308</v>
      </c>
      <c r="I1920" s="10" t="s">
        <v>1372</v>
      </c>
      <c r="J1920" s="13" t="s">
        <v>1669</v>
      </c>
      <c r="K1920" s="13" t="s">
        <v>276</v>
      </c>
      <c r="L1920" s="13" t="s">
        <v>1758</v>
      </c>
      <c r="M1920" s="7" t="s">
        <v>253</v>
      </c>
      <c r="N1920" s="7" t="s">
        <v>253</v>
      </c>
      <c r="O1920" s="7" t="s">
        <v>254</v>
      </c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  <c r="AA1920" s="8"/>
      <c r="AB1920" s="8"/>
      <c r="AC1920" s="8"/>
      <c r="AD1920" s="8"/>
      <c r="AE1920" s="8"/>
    </row>
    <row r="1921">
      <c r="A1921" s="12">
        <v>60.0</v>
      </c>
      <c r="B1921" s="8" t="s">
        <v>354</v>
      </c>
      <c r="C1921" s="8" t="s">
        <v>1308</v>
      </c>
      <c r="I1921" s="10" t="s">
        <v>1759</v>
      </c>
      <c r="J1921" s="13" t="s">
        <v>1663</v>
      </c>
      <c r="K1921" s="13" t="s">
        <v>276</v>
      </c>
      <c r="L1921" s="13" t="s">
        <v>1758</v>
      </c>
      <c r="M1921" s="7" t="s">
        <v>253</v>
      </c>
      <c r="N1921" s="7" t="s">
        <v>253</v>
      </c>
      <c r="O1921" s="7" t="s">
        <v>254</v>
      </c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  <c r="AA1921" s="8"/>
      <c r="AB1921" s="8"/>
      <c r="AC1921" s="8"/>
      <c r="AD1921" s="8"/>
      <c r="AE1921" s="8"/>
    </row>
    <row r="1922">
      <c r="A1922" s="12">
        <v>60.0</v>
      </c>
      <c r="B1922" s="8" t="s">
        <v>354</v>
      </c>
      <c r="C1922" s="8" t="s">
        <v>1308</v>
      </c>
      <c r="I1922" s="10" t="s">
        <v>1760</v>
      </c>
      <c r="J1922" s="13" t="s">
        <v>1664</v>
      </c>
      <c r="K1922" s="13" t="s">
        <v>276</v>
      </c>
      <c r="L1922" s="13" t="s">
        <v>1758</v>
      </c>
      <c r="M1922" s="7" t="s">
        <v>253</v>
      </c>
      <c r="N1922" s="7" t="s">
        <v>253</v>
      </c>
      <c r="O1922" s="7" t="s">
        <v>254</v>
      </c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  <c r="AA1922" s="8"/>
      <c r="AB1922" s="8"/>
      <c r="AC1922" s="8"/>
      <c r="AD1922" s="8"/>
      <c r="AE1922" s="8"/>
    </row>
    <row r="1923">
      <c r="A1923" s="12">
        <v>60.0</v>
      </c>
      <c r="B1923" s="8" t="s">
        <v>354</v>
      </c>
      <c r="C1923" s="8" t="s">
        <v>1308</v>
      </c>
      <c r="I1923" s="10" t="s">
        <v>2067</v>
      </c>
      <c r="J1923" s="13" t="s">
        <v>1665</v>
      </c>
      <c r="K1923" s="13" t="s">
        <v>276</v>
      </c>
      <c r="L1923" s="13" t="s">
        <v>2066</v>
      </c>
      <c r="M1923" s="7" t="s">
        <v>253</v>
      </c>
      <c r="N1923" s="7" t="s">
        <v>253</v>
      </c>
      <c r="O1923" s="7" t="s">
        <v>254</v>
      </c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  <c r="AA1923" s="8"/>
      <c r="AB1923" s="8"/>
      <c r="AC1923" s="8"/>
      <c r="AD1923" s="8"/>
      <c r="AE1923" s="8"/>
    </row>
    <row r="1924">
      <c r="A1924" s="12">
        <v>60.0</v>
      </c>
      <c r="B1924" s="8" t="s">
        <v>354</v>
      </c>
      <c r="C1924" s="8" t="s">
        <v>1308</v>
      </c>
      <c r="I1924" s="10" t="s">
        <v>1761</v>
      </c>
      <c r="J1924" s="13" t="s">
        <v>1666</v>
      </c>
      <c r="K1924" s="13" t="s">
        <v>276</v>
      </c>
      <c r="L1924" s="13" t="s">
        <v>1758</v>
      </c>
      <c r="M1924" s="7" t="s">
        <v>253</v>
      </c>
      <c r="N1924" s="7" t="s">
        <v>253</v>
      </c>
      <c r="O1924" s="7" t="s">
        <v>254</v>
      </c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  <c r="AA1924" s="8"/>
      <c r="AB1924" s="8"/>
      <c r="AC1924" s="8"/>
      <c r="AD1924" s="8"/>
      <c r="AE1924" s="8"/>
    </row>
    <row r="1925">
      <c r="A1925" s="12">
        <v>60.0</v>
      </c>
      <c r="B1925" s="8" t="s">
        <v>354</v>
      </c>
      <c r="C1925" s="8" t="s">
        <v>1308</v>
      </c>
      <c r="I1925" s="10" t="s">
        <v>1433</v>
      </c>
      <c r="J1925" s="13" t="s">
        <v>1667</v>
      </c>
      <c r="K1925" s="13" t="s">
        <v>276</v>
      </c>
      <c r="L1925" s="13" t="s">
        <v>1758</v>
      </c>
      <c r="M1925" s="7" t="s">
        <v>253</v>
      </c>
      <c r="N1925" s="7" t="s">
        <v>253</v>
      </c>
      <c r="O1925" s="7" t="s">
        <v>254</v>
      </c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  <c r="AA1925" s="8"/>
      <c r="AB1925" s="8"/>
      <c r="AC1925" s="8"/>
      <c r="AD1925" s="8"/>
      <c r="AE1925" s="8"/>
    </row>
    <row r="1926">
      <c r="A1926" s="12">
        <v>60.0</v>
      </c>
      <c r="B1926" s="8" t="s">
        <v>354</v>
      </c>
      <c r="C1926" s="8" t="s">
        <v>1308</v>
      </c>
      <c r="I1926" s="10" t="s">
        <v>1336</v>
      </c>
      <c r="J1926" s="13" t="s">
        <v>1668</v>
      </c>
      <c r="K1926" s="13" t="s">
        <v>276</v>
      </c>
      <c r="L1926" s="13" t="s">
        <v>2066</v>
      </c>
      <c r="M1926" s="7" t="s">
        <v>253</v>
      </c>
      <c r="N1926" s="7" t="s">
        <v>253</v>
      </c>
      <c r="O1926" s="7" t="s">
        <v>254</v>
      </c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  <c r="AA1926" s="8"/>
      <c r="AB1926" s="8"/>
      <c r="AC1926" s="8"/>
      <c r="AD1926" s="8"/>
      <c r="AE1926" s="8"/>
    </row>
    <row r="1927">
      <c r="A1927" s="12">
        <v>60.0</v>
      </c>
      <c r="B1927" s="8" t="s">
        <v>354</v>
      </c>
      <c r="C1927" s="8" t="s">
        <v>1308</v>
      </c>
      <c r="I1927" s="10" t="s">
        <v>1904</v>
      </c>
      <c r="J1927" s="13" t="s">
        <v>1669</v>
      </c>
      <c r="K1927" s="13" t="s">
        <v>276</v>
      </c>
      <c r="L1927" s="13" t="s">
        <v>2066</v>
      </c>
      <c r="M1927" s="7" t="s">
        <v>253</v>
      </c>
      <c r="N1927" s="7" t="s">
        <v>253</v>
      </c>
      <c r="O1927" s="7" t="s">
        <v>254</v>
      </c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  <c r="AA1927" s="8"/>
      <c r="AB1927" s="8"/>
      <c r="AC1927" s="8"/>
      <c r="AD1927" s="8"/>
      <c r="AE1927" s="8"/>
    </row>
    <row r="1928">
      <c r="A1928" s="12">
        <v>60.0</v>
      </c>
      <c r="B1928" s="8" t="s">
        <v>354</v>
      </c>
      <c r="C1928" s="8" t="s">
        <v>1308</v>
      </c>
      <c r="I1928" s="10" t="s">
        <v>1389</v>
      </c>
      <c r="J1928" s="13" t="s">
        <v>1663</v>
      </c>
      <c r="K1928" s="13" t="s">
        <v>276</v>
      </c>
      <c r="L1928" s="13" t="s">
        <v>1758</v>
      </c>
      <c r="M1928" s="7" t="s">
        <v>253</v>
      </c>
      <c r="N1928" s="7" t="s">
        <v>253</v>
      </c>
      <c r="O1928" s="7" t="s">
        <v>254</v>
      </c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  <c r="AA1928" s="8"/>
      <c r="AB1928" s="8"/>
      <c r="AC1928" s="8"/>
      <c r="AD1928" s="8"/>
      <c r="AE1928" s="8"/>
    </row>
    <row r="1929">
      <c r="A1929" s="12">
        <v>60.0</v>
      </c>
      <c r="B1929" s="8" t="s">
        <v>354</v>
      </c>
      <c r="C1929" s="8" t="s">
        <v>1308</v>
      </c>
      <c r="I1929" s="10" t="s">
        <v>1767</v>
      </c>
      <c r="J1929" s="13" t="s">
        <v>1664</v>
      </c>
      <c r="K1929" s="13" t="s">
        <v>276</v>
      </c>
      <c r="L1929" s="13" t="s">
        <v>1758</v>
      </c>
      <c r="M1929" s="7" t="s">
        <v>253</v>
      </c>
      <c r="N1929" s="7" t="s">
        <v>253</v>
      </c>
      <c r="O1929" s="7" t="s">
        <v>254</v>
      </c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  <c r="AA1929" s="8"/>
      <c r="AB1929" s="8"/>
      <c r="AC1929" s="8"/>
      <c r="AD1929" s="8"/>
      <c r="AE1929" s="8"/>
    </row>
    <row r="1930">
      <c r="A1930" s="12">
        <v>60.0</v>
      </c>
      <c r="B1930" s="8" t="s">
        <v>354</v>
      </c>
      <c r="C1930" s="8" t="s">
        <v>1308</v>
      </c>
      <c r="I1930" s="10" t="s">
        <v>1397</v>
      </c>
      <c r="J1930" s="13" t="s">
        <v>1665</v>
      </c>
      <c r="K1930" s="13" t="s">
        <v>276</v>
      </c>
      <c r="L1930" s="13" t="s">
        <v>1758</v>
      </c>
      <c r="M1930" s="7" t="s">
        <v>253</v>
      </c>
      <c r="N1930" s="7" t="s">
        <v>253</v>
      </c>
      <c r="O1930" s="7" t="s">
        <v>254</v>
      </c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  <c r="AA1930" s="8"/>
      <c r="AB1930" s="8"/>
      <c r="AC1930" s="8"/>
      <c r="AD1930" s="8"/>
      <c r="AE1930" s="8"/>
    </row>
    <row r="1931">
      <c r="A1931" s="12">
        <v>60.0</v>
      </c>
      <c r="B1931" s="8" t="s">
        <v>354</v>
      </c>
      <c r="C1931" s="8" t="s">
        <v>1308</v>
      </c>
      <c r="I1931" s="10" t="s">
        <v>672</v>
      </c>
      <c r="J1931" s="13" t="s">
        <v>1666</v>
      </c>
      <c r="K1931" s="13" t="s">
        <v>276</v>
      </c>
      <c r="L1931" s="13" t="s">
        <v>1758</v>
      </c>
      <c r="M1931" s="7" t="s">
        <v>253</v>
      </c>
      <c r="N1931" s="7" t="s">
        <v>253</v>
      </c>
      <c r="O1931" s="7" t="s">
        <v>254</v>
      </c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  <c r="AA1931" s="8"/>
      <c r="AB1931" s="8"/>
      <c r="AC1931" s="8"/>
      <c r="AD1931" s="8"/>
      <c r="AE1931" s="8"/>
    </row>
    <row r="1932">
      <c r="A1932" s="12">
        <v>60.0</v>
      </c>
      <c r="B1932" s="8" t="s">
        <v>354</v>
      </c>
      <c r="C1932" s="8" t="s">
        <v>1308</v>
      </c>
      <c r="I1932" s="10" t="s">
        <v>1769</v>
      </c>
      <c r="J1932" s="13" t="s">
        <v>1667</v>
      </c>
      <c r="K1932" s="13" t="s">
        <v>276</v>
      </c>
      <c r="L1932" s="13" t="s">
        <v>1780</v>
      </c>
      <c r="M1932" s="7" t="s">
        <v>253</v>
      </c>
      <c r="N1932" s="7" t="s">
        <v>253</v>
      </c>
      <c r="O1932" s="7" t="s">
        <v>254</v>
      </c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  <c r="AA1932" s="8"/>
      <c r="AB1932" s="8"/>
      <c r="AC1932" s="8"/>
      <c r="AD1932" s="8"/>
      <c r="AE1932" s="8"/>
    </row>
    <row r="1933">
      <c r="A1933" s="12">
        <v>60.0</v>
      </c>
      <c r="B1933" s="8" t="s">
        <v>354</v>
      </c>
      <c r="C1933" s="8" t="s">
        <v>1308</v>
      </c>
      <c r="I1933" s="10" t="s">
        <v>2068</v>
      </c>
      <c r="J1933" s="13" t="s">
        <v>1668</v>
      </c>
      <c r="K1933" s="13" t="s">
        <v>276</v>
      </c>
      <c r="L1933" s="13" t="s">
        <v>2066</v>
      </c>
      <c r="M1933" s="7" t="s">
        <v>253</v>
      </c>
      <c r="N1933" s="7" t="s">
        <v>253</v>
      </c>
      <c r="O1933" s="7" t="s">
        <v>254</v>
      </c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  <c r="AA1933" s="8"/>
      <c r="AB1933" s="8"/>
      <c r="AC1933" s="8"/>
      <c r="AD1933" s="8"/>
      <c r="AE1933" s="8"/>
    </row>
    <row r="1934">
      <c r="A1934" s="12">
        <v>60.0</v>
      </c>
      <c r="B1934" s="8" t="s">
        <v>354</v>
      </c>
      <c r="C1934" s="8" t="s">
        <v>1308</v>
      </c>
      <c r="I1934" s="10" t="s">
        <v>1428</v>
      </c>
      <c r="J1934" s="13" t="s">
        <v>1669</v>
      </c>
      <c r="K1934" s="13" t="s">
        <v>276</v>
      </c>
      <c r="L1934" s="13" t="s">
        <v>1758</v>
      </c>
      <c r="M1934" s="7" t="s">
        <v>253</v>
      </c>
      <c r="N1934" s="7" t="s">
        <v>253</v>
      </c>
      <c r="O1934" s="7" t="s">
        <v>254</v>
      </c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  <c r="AA1934" s="8"/>
      <c r="AB1934" s="8"/>
      <c r="AC1934" s="8"/>
      <c r="AD1934" s="8"/>
      <c r="AE1934" s="8"/>
    </row>
    <row r="1935">
      <c r="A1935" s="12">
        <v>60.0</v>
      </c>
      <c r="B1935" s="8" t="s">
        <v>354</v>
      </c>
      <c r="C1935" s="8" t="s">
        <v>1308</v>
      </c>
      <c r="I1935" s="10" t="s">
        <v>1331</v>
      </c>
      <c r="J1935" s="13" t="s">
        <v>1663</v>
      </c>
      <c r="K1935" s="13" t="s">
        <v>276</v>
      </c>
      <c r="L1935" s="13" t="s">
        <v>1758</v>
      </c>
      <c r="M1935" s="7" t="s">
        <v>253</v>
      </c>
      <c r="N1935" s="7" t="s">
        <v>253</v>
      </c>
      <c r="O1935" s="7" t="s">
        <v>254</v>
      </c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  <c r="AA1935" s="8"/>
      <c r="AB1935" s="8"/>
      <c r="AC1935" s="8"/>
      <c r="AD1935" s="8"/>
      <c r="AE1935" s="8"/>
    </row>
    <row r="1936">
      <c r="A1936" s="12">
        <v>60.0</v>
      </c>
      <c r="B1936" s="8" t="s">
        <v>354</v>
      </c>
      <c r="C1936" s="8" t="s">
        <v>1308</v>
      </c>
      <c r="I1936" s="10" t="s">
        <v>363</v>
      </c>
      <c r="J1936" s="13" t="s">
        <v>1664</v>
      </c>
      <c r="K1936" s="13" t="s">
        <v>276</v>
      </c>
      <c r="L1936" s="13" t="s">
        <v>1758</v>
      </c>
      <c r="M1936" s="7" t="s">
        <v>253</v>
      </c>
      <c r="N1936" s="7" t="s">
        <v>253</v>
      </c>
      <c r="O1936" s="7" t="s">
        <v>254</v>
      </c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  <c r="AA1936" s="8"/>
      <c r="AB1936" s="8"/>
      <c r="AC1936" s="8"/>
      <c r="AD1936" s="8"/>
      <c r="AE1936" s="8"/>
    </row>
    <row r="1937">
      <c r="A1937" s="12">
        <v>60.0</v>
      </c>
      <c r="B1937" s="8" t="s">
        <v>354</v>
      </c>
      <c r="C1937" s="8" t="s">
        <v>1308</v>
      </c>
      <c r="I1937" s="10" t="s">
        <v>356</v>
      </c>
      <c r="J1937" s="13" t="s">
        <v>1665</v>
      </c>
      <c r="K1937" s="13" t="s">
        <v>276</v>
      </c>
      <c r="L1937" s="13" t="s">
        <v>2069</v>
      </c>
      <c r="M1937" s="7" t="s">
        <v>253</v>
      </c>
      <c r="N1937" s="7" t="s">
        <v>253</v>
      </c>
      <c r="O1937" s="7" t="s">
        <v>254</v>
      </c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  <c r="AA1937" s="8"/>
      <c r="AB1937" s="8"/>
      <c r="AC1937" s="8"/>
      <c r="AD1937" s="8"/>
      <c r="AE1937" s="8"/>
    </row>
    <row r="1938">
      <c r="A1938" s="12">
        <v>60.0</v>
      </c>
      <c r="B1938" s="8" t="s">
        <v>354</v>
      </c>
      <c r="C1938" s="8" t="s">
        <v>1308</v>
      </c>
      <c r="I1938" s="10" t="s">
        <v>1771</v>
      </c>
      <c r="J1938" s="13" t="s">
        <v>1666</v>
      </c>
      <c r="K1938" s="13" t="s">
        <v>276</v>
      </c>
      <c r="L1938" s="13" t="s">
        <v>1780</v>
      </c>
      <c r="M1938" s="7" t="s">
        <v>253</v>
      </c>
      <c r="N1938" s="7" t="s">
        <v>253</v>
      </c>
      <c r="O1938" s="7" t="s">
        <v>254</v>
      </c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  <c r="AA1938" s="8"/>
      <c r="AB1938" s="8"/>
      <c r="AC1938" s="8"/>
      <c r="AD1938" s="8"/>
      <c r="AE1938" s="8"/>
    </row>
    <row r="1939">
      <c r="A1939" s="12">
        <v>60.0</v>
      </c>
      <c r="B1939" s="8" t="s">
        <v>354</v>
      </c>
      <c r="C1939" s="8" t="s">
        <v>1308</v>
      </c>
      <c r="I1939" s="10" t="s">
        <v>1363</v>
      </c>
      <c r="J1939" s="13" t="s">
        <v>1667</v>
      </c>
      <c r="K1939" s="13" t="s">
        <v>276</v>
      </c>
      <c r="L1939" s="13" t="s">
        <v>2066</v>
      </c>
      <c r="M1939" s="7" t="s">
        <v>253</v>
      </c>
      <c r="N1939" s="7" t="s">
        <v>253</v>
      </c>
      <c r="O1939" s="7" t="s">
        <v>254</v>
      </c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  <c r="AA1939" s="8"/>
      <c r="AB1939" s="8"/>
      <c r="AC1939" s="8"/>
      <c r="AD1939" s="8"/>
      <c r="AE1939" s="8"/>
    </row>
    <row r="1940">
      <c r="A1940" s="12">
        <v>60.0</v>
      </c>
      <c r="B1940" s="8" t="s">
        <v>354</v>
      </c>
      <c r="C1940" s="8" t="s">
        <v>1308</v>
      </c>
      <c r="I1940" s="10" t="s">
        <v>890</v>
      </c>
      <c r="J1940" s="13" t="s">
        <v>1668</v>
      </c>
      <c r="K1940" s="13" t="s">
        <v>276</v>
      </c>
      <c r="L1940" s="13" t="s">
        <v>1758</v>
      </c>
      <c r="M1940" s="7" t="s">
        <v>253</v>
      </c>
      <c r="N1940" s="7" t="s">
        <v>253</v>
      </c>
      <c r="O1940" s="7" t="s">
        <v>254</v>
      </c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  <c r="AA1940" s="8"/>
      <c r="AB1940" s="8"/>
      <c r="AC1940" s="8"/>
      <c r="AD1940" s="8"/>
      <c r="AE1940" s="8"/>
    </row>
    <row r="1941">
      <c r="A1941" s="12">
        <v>60.0</v>
      </c>
      <c r="B1941" s="8" t="s">
        <v>354</v>
      </c>
      <c r="C1941" s="8" t="s">
        <v>1308</v>
      </c>
      <c r="I1941" s="10" t="s">
        <v>1399</v>
      </c>
      <c r="J1941" s="13" t="s">
        <v>1669</v>
      </c>
      <c r="K1941" s="13" t="s">
        <v>276</v>
      </c>
      <c r="L1941" s="13" t="s">
        <v>1758</v>
      </c>
      <c r="M1941" s="7" t="s">
        <v>253</v>
      </c>
      <c r="N1941" s="7" t="s">
        <v>253</v>
      </c>
      <c r="O1941" s="7" t="s">
        <v>254</v>
      </c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  <c r="AA1941" s="8"/>
      <c r="AB1941" s="8"/>
      <c r="AC1941" s="8"/>
      <c r="AD1941" s="8"/>
      <c r="AE1941" s="8"/>
    </row>
    <row r="1942">
      <c r="A1942" s="12">
        <v>60.0</v>
      </c>
      <c r="B1942" s="8" t="s">
        <v>354</v>
      </c>
      <c r="C1942" s="8" t="s">
        <v>1308</v>
      </c>
      <c r="I1942" s="10" t="s">
        <v>766</v>
      </c>
      <c r="J1942" s="13" t="s">
        <v>1663</v>
      </c>
      <c r="K1942" s="13" t="s">
        <v>276</v>
      </c>
      <c r="L1942" s="13" t="s">
        <v>1758</v>
      </c>
      <c r="M1942" s="7" t="s">
        <v>253</v>
      </c>
      <c r="N1942" s="7" t="s">
        <v>253</v>
      </c>
      <c r="O1942" s="7" t="s">
        <v>254</v>
      </c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  <c r="AA1942" s="8"/>
      <c r="AB1942" s="8"/>
      <c r="AC1942" s="8"/>
      <c r="AD1942" s="8"/>
      <c r="AE1942" s="8"/>
    </row>
    <row r="1943">
      <c r="A1943" s="12">
        <v>60.0</v>
      </c>
      <c r="B1943" s="8" t="s">
        <v>354</v>
      </c>
      <c r="C1943" s="8" t="s">
        <v>1308</v>
      </c>
      <c r="I1943" s="10" t="s">
        <v>2070</v>
      </c>
      <c r="J1943" s="13" t="s">
        <v>1664</v>
      </c>
      <c r="K1943" s="13" t="s">
        <v>276</v>
      </c>
      <c r="L1943" s="13" t="s">
        <v>2066</v>
      </c>
      <c r="M1943" s="7" t="s">
        <v>253</v>
      </c>
      <c r="N1943" s="7" t="s">
        <v>253</v>
      </c>
      <c r="O1943" s="7" t="s">
        <v>254</v>
      </c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  <c r="AA1943" s="8"/>
      <c r="AB1943" s="8"/>
      <c r="AC1943" s="8"/>
      <c r="AD1943" s="8"/>
      <c r="AE1943" s="8"/>
    </row>
    <row r="1944">
      <c r="A1944" s="12">
        <v>60.0</v>
      </c>
      <c r="B1944" s="8" t="s">
        <v>354</v>
      </c>
      <c r="C1944" s="8" t="s">
        <v>1308</v>
      </c>
      <c r="I1944" s="10" t="s">
        <v>1392</v>
      </c>
      <c r="J1944" s="13" t="s">
        <v>1665</v>
      </c>
      <c r="K1944" s="13" t="s">
        <v>276</v>
      </c>
      <c r="L1944" s="13" t="s">
        <v>1758</v>
      </c>
      <c r="M1944" s="7" t="s">
        <v>253</v>
      </c>
      <c r="N1944" s="7" t="s">
        <v>253</v>
      </c>
      <c r="O1944" s="7" t="s">
        <v>254</v>
      </c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  <c r="AA1944" s="8"/>
      <c r="AB1944" s="8"/>
      <c r="AC1944" s="8"/>
      <c r="AD1944" s="8"/>
      <c r="AE1944" s="8"/>
    </row>
    <row r="1945">
      <c r="A1945" s="12">
        <v>60.0</v>
      </c>
      <c r="B1945" s="8" t="s">
        <v>354</v>
      </c>
      <c r="C1945" s="8" t="s">
        <v>1308</v>
      </c>
      <c r="I1945" s="10" t="s">
        <v>1395</v>
      </c>
      <c r="J1945" s="13" t="s">
        <v>1666</v>
      </c>
      <c r="K1945" s="13" t="s">
        <v>276</v>
      </c>
      <c r="L1945" s="13" t="s">
        <v>1758</v>
      </c>
      <c r="M1945" s="7" t="s">
        <v>253</v>
      </c>
      <c r="N1945" s="7" t="s">
        <v>253</v>
      </c>
      <c r="O1945" s="7" t="s">
        <v>254</v>
      </c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  <c r="AA1945" s="8"/>
      <c r="AB1945" s="8"/>
      <c r="AC1945" s="8"/>
      <c r="AD1945" s="8"/>
      <c r="AE1945" s="8"/>
    </row>
    <row r="1946">
      <c r="A1946" s="12">
        <v>60.0</v>
      </c>
      <c r="B1946" s="8" t="s">
        <v>354</v>
      </c>
      <c r="C1946" s="8" t="s">
        <v>1308</v>
      </c>
      <c r="I1946" s="10" t="s">
        <v>1351</v>
      </c>
      <c r="J1946" s="13" t="s">
        <v>1667</v>
      </c>
      <c r="K1946" s="13" t="s">
        <v>276</v>
      </c>
      <c r="L1946" s="13" t="s">
        <v>1758</v>
      </c>
      <c r="M1946" s="7" t="s">
        <v>253</v>
      </c>
      <c r="N1946" s="7" t="s">
        <v>253</v>
      </c>
      <c r="O1946" s="7" t="s">
        <v>254</v>
      </c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  <c r="AA1946" s="8"/>
      <c r="AB1946" s="8"/>
      <c r="AC1946" s="8"/>
      <c r="AD1946" s="8"/>
      <c r="AE1946" s="8"/>
    </row>
    <row r="1947">
      <c r="A1947" s="12">
        <v>60.0</v>
      </c>
      <c r="B1947" s="8" t="s">
        <v>354</v>
      </c>
      <c r="C1947" s="8" t="s">
        <v>1308</v>
      </c>
      <c r="I1947" s="10" t="s">
        <v>1772</v>
      </c>
      <c r="J1947" s="13" t="s">
        <v>1668</v>
      </c>
      <c r="K1947" s="13" t="s">
        <v>276</v>
      </c>
      <c r="L1947" s="13" t="s">
        <v>1758</v>
      </c>
      <c r="M1947" s="7" t="s">
        <v>253</v>
      </c>
      <c r="N1947" s="7" t="s">
        <v>253</v>
      </c>
      <c r="O1947" s="7" t="s">
        <v>254</v>
      </c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  <c r="AA1947" s="8"/>
      <c r="AB1947" s="8"/>
      <c r="AC1947" s="8"/>
      <c r="AD1947" s="8"/>
      <c r="AE1947" s="8"/>
    </row>
    <row r="1948">
      <c r="A1948" s="12">
        <v>60.0</v>
      </c>
      <c r="B1948" s="8" t="s">
        <v>354</v>
      </c>
      <c r="C1948" s="8" t="s">
        <v>1308</v>
      </c>
      <c r="I1948" s="10" t="s">
        <v>956</v>
      </c>
      <c r="J1948" s="13" t="s">
        <v>1669</v>
      </c>
      <c r="K1948" s="13" t="s">
        <v>276</v>
      </c>
      <c r="L1948" s="13" t="s">
        <v>2071</v>
      </c>
      <c r="M1948" s="7" t="s">
        <v>253</v>
      </c>
      <c r="N1948" s="7" t="s">
        <v>253</v>
      </c>
      <c r="O1948" s="7" t="s">
        <v>254</v>
      </c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  <c r="AA1948" s="8"/>
      <c r="AB1948" s="8"/>
      <c r="AC1948" s="8"/>
      <c r="AD1948" s="8"/>
      <c r="AE1948" s="8"/>
    </row>
    <row r="1949">
      <c r="A1949" s="12">
        <v>60.0</v>
      </c>
      <c r="B1949" s="8" t="s">
        <v>354</v>
      </c>
      <c r="C1949" s="8" t="s">
        <v>1308</v>
      </c>
      <c r="I1949" s="10" t="s">
        <v>983</v>
      </c>
      <c r="J1949" s="13" t="s">
        <v>1663</v>
      </c>
      <c r="K1949" s="13" t="s">
        <v>276</v>
      </c>
      <c r="L1949" s="13" t="s">
        <v>2066</v>
      </c>
      <c r="M1949" s="7" t="s">
        <v>253</v>
      </c>
      <c r="N1949" s="7" t="s">
        <v>253</v>
      </c>
      <c r="O1949" s="7" t="s">
        <v>254</v>
      </c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  <c r="AA1949" s="8"/>
      <c r="AB1949" s="8"/>
      <c r="AC1949" s="8"/>
      <c r="AD1949" s="8"/>
      <c r="AE1949" s="8"/>
    </row>
    <row r="1950">
      <c r="A1950" s="12">
        <v>60.0</v>
      </c>
      <c r="B1950" s="8" t="s">
        <v>354</v>
      </c>
      <c r="C1950" s="8" t="s">
        <v>1308</v>
      </c>
      <c r="I1950" s="10" t="s">
        <v>1773</v>
      </c>
      <c r="J1950" s="13" t="s">
        <v>1664</v>
      </c>
      <c r="K1950" s="13" t="s">
        <v>276</v>
      </c>
      <c r="L1950" s="13" t="s">
        <v>1758</v>
      </c>
      <c r="M1950" s="7" t="s">
        <v>253</v>
      </c>
      <c r="N1950" s="7" t="s">
        <v>253</v>
      </c>
      <c r="O1950" s="7" t="s">
        <v>254</v>
      </c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  <c r="AA1950" s="8"/>
      <c r="AB1950" s="8"/>
      <c r="AC1950" s="8"/>
      <c r="AD1950" s="8"/>
      <c r="AE1950" s="8"/>
    </row>
    <row r="1951">
      <c r="A1951" s="12">
        <v>60.0</v>
      </c>
      <c r="B1951" s="8" t="s">
        <v>354</v>
      </c>
      <c r="C1951" s="8" t="s">
        <v>1308</v>
      </c>
      <c r="I1951" s="10" t="s">
        <v>412</v>
      </c>
      <c r="J1951" s="13" t="s">
        <v>1665</v>
      </c>
      <c r="K1951" s="13" t="s">
        <v>276</v>
      </c>
      <c r="L1951" s="13" t="s">
        <v>1758</v>
      </c>
      <c r="M1951" s="7" t="s">
        <v>253</v>
      </c>
      <c r="N1951" s="7" t="s">
        <v>253</v>
      </c>
      <c r="O1951" s="7" t="s">
        <v>254</v>
      </c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  <c r="AA1951" s="8"/>
      <c r="AB1951" s="8"/>
      <c r="AC1951" s="8"/>
      <c r="AD1951" s="8"/>
      <c r="AE1951" s="8"/>
    </row>
    <row r="1952">
      <c r="A1952" s="12">
        <v>60.0</v>
      </c>
      <c r="B1952" s="8" t="s">
        <v>354</v>
      </c>
      <c r="C1952" s="8" t="s">
        <v>1308</v>
      </c>
      <c r="I1952" s="10" t="s">
        <v>2043</v>
      </c>
      <c r="J1952" s="13" t="s">
        <v>1666</v>
      </c>
      <c r="K1952" s="13" t="s">
        <v>276</v>
      </c>
      <c r="L1952" s="13" t="s">
        <v>2066</v>
      </c>
      <c r="M1952" s="7" t="s">
        <v>253</v>
      </c>
      <c r="N1952" s="7" t="s">
        <v>253</v>
      </c>
      <c r="O1952" s="7" t="s">
        <v>254</v>
      </c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  <c r="AA1952" s="8"/>
      <c r="AB1952" s="8"/>
      <c r="AC1952" s="8"/>
      <c r="AD1952" s="8"/>
      <c r="AE1952" s="8"/>
    </row>
    <row r="1953">
      <c r="A1953" s="12">
        <v>60.0</v>
      </c>
      <c r="B1953" s="8" t="s">
        <v>354</v>
      </c>
      <c r="C1953" s="8" t="s">
        <v>1308</v>
      </c>
      <c r="I1953" s="10" t="s">
        <v>1017</v>
      </c>
      <c r="J1953" s="13" t="s">
        <v>1667</v>
      </c>
      <c r="K1953" s="13" t="s">
        <v>276</v>
      </c>
      <c r="L1953" s="13" t="s">
        <v>2072</v>
      </c>
      <c r="M1953" s="7" t="s">
        <v>253</v>
      </c>
      <c r="N1953" s="7" t="s">
        <v>253</v>
      </c>
      <c r="O1953" s="7" t="s">
        <v>254</v>
      </c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  <c r="AA1953" s="8"/>
      <c r="AB1953" s="8"/>
      <c r="AC1953" s="8"/>
      <c r="AD1953" s="8"/>
      <c r="AE1953" s="8"/>
    </row>
    <row r="1954">
      <c r="A1954" s="12">
        <v>60.0</v>
      </c>
      <c r="B1954" s="8" t="s">
        <v>354</v>
      </c>
      <c r="C1954" s="8" t="s">
        <v>1308</v>
      </c>
      <c r="I1954" s="10" t="s">
        <v>1774</v>
      </c>
      <c r="J1954" s="13" t="s">
        <v>1668</v>
      </c>
      <c r="K1954" s="13" t="s">
        <v>276</v>
      </c>
      <c r="L1954" s="13" t="s">
        <v>1758</v>
      </c>
      <c r="M1954" s="7" t="s">
        <v>253</v>
      </c>
      <c r="N1954" s="7" t="s">
        <v>253</v>
      </c>
      <c r="O1954" s="7" t="s">
        <v>254</v>
      </c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  <c r="AA1954" s="8"/>
      <c r="AB1954" s="8"/>
      <c r="AC1954" s="8"/>
      <c r="AD1954" s="8"/>
      <c r="AE1954" s="8"/>
    </row>
    <row r="1955">
      <c r="A1955" s="12">
        <v>60.0</v>
      </c>
      <c r="B1955" s="8" t="s">
        <v>354</v>
      </c>
      <c r="C1955" s="8" t="s">
        <v>1308</v>
      </c>
      <c r="I1955" s="10" t="s">
        <v>1883</v>
      </c>
      <c r="J1955" s="13" t="s">
        <v>1669</v>
      </c>
      <c r="K1955" s="13" t="s">
        <v>276</v>
      </c>
      <c r="L1955" s="13" t="s">
        <v>2066</v>
      </c>
      <c r="M1955" s="7" t="s">
        <v>253</v>
      </c>
      <c r="N1955" s="7" t="s">
        <v>253</v>
      </c>
      <c r="O1955" s="7" t="s">
        <v>254</v>
      </c>
      <c r="P1955" s="8"/>
      <c r="Q1955" s="8"/>
      <c r="R1955" s="8"/>
      <c r="S1955" s="8"/>
      <c r="T1955" s="8"/>
      <c r="U1955" s="8"/>
      <c r="V1955" s="8"/>
      <c r="W1955" s="8"/>
      <c r="X1955" s="8"/>
      <c r="Y1955" s="8"/>
      <c r="Z1955" s="8"/>
      <c r="AA1955" s="8"/>
      <c r="AB1955" s="8"/>
      <c r="AC1955" s="8"/>
      <c r="AD1955" s="8"/>
      <c r="AE1955" s="8"/>
    </row>
    <row r="1956">
      <c r="A1956" s="12">
        <v>61.0</v>
      </c>
      <c r="B1956" s="8" t="s">
        <v>356</v>
      </c>
      <c r="C1956" s="8" t="s">
        <v>1308</v>
      </c>
      <c r="D1956" s="25">
        <f>IF(COUNTIF($B$2:$B1956,$B1956)&gt;1,"",COUNTIF($B$2:$B$2505,$B1956))</f>
        <v>53</v>
      </c>
      <c r="E1956" s="25">
        <f>IF(COUNTIF($B$2:$B1956,$B1956)&gt;1,"",COUNTIFS($B$2:$B$2505,$B1956,$K$2:$K$2505,"PHÙ HỢP CAO"))</f>
        <v>3</v>
      </c>
      <c r="F1956" s="25">
        <f>IF(COUNTIF($B$2:$B1956,$B1956)&gt;1,"",COUNTIFS($B$2:$B$2505,$B1956,$K$2:$K$2505,"CÓ THỂ ĐI"))</f>
        <v>2</v>
      </c>
      <c r="G1956" s="25">
        <f>IF(COUNTIF($B$2:$B1956,$B1956)&gt;1,"",COUNTIFS($B$2:$B$2505,$B1956,$K$2:$K$2505,"CẦN SOÁT"))</f>
        <v>48</v>
      </c>
      <c r="H1956" s="26" t="str">
        <f>IFERROR(__xludf.DUMMYFUNCTION("IF(COUNTIF($B$2:$B1956,$B1956)&gt;1,"""",IFERROR(TEXTJOIN(CHAR(10),TRUE,BYROW(QUERY({$B$2:$B$2505,$J$2:$J$2505},""select Col2, count(Col2) where Col1 = '""&amp;$B1956&amp;""' group by Col2 order by count(Col2) desc label count(Col2) ''"",0),LAMBDA(r,INDEX(r,1,1)&amp;"" "&amp;"– ""&amp;INDEX(r,1,2)&amp;"" link""))),""""))"),"cách tính lãi suất tiết kiệm ngân hàng – 14 link
cách tính lãi suất ngân hàng – 13 link
tính lãi suất ngân hàng – 13 link
tính lãi suất tiết kiệm – 13 link")</f>
        <v>cách tính lãi suất tiết kiệm ngân hàng – 14 link
cách tính lãi suất ngân hàng – 13 link
tính lãi suất ngân hàng – 13 link
tính lãi suất tiết kiệm – 13 link</v>
      </c>
      <c r="I1956" s="10" t="s">
        <v>1328</v>
      </c>
      <c r="J1956" s="13" t="s">
        <v>1672</v>
      </c>
      <c r="K1956" s="13" t="s">
        <v>251</v>
      </c>
      <c r="L1956" s="13" t="s">
        <v>2073</v>
      </c>
      <c r="M1956" s="7" t="s">
        <v>253</v>
      </c>
      <c r="N1956" s="7" t="s">
        <v>253</v>
      </c>
      <c r="O1956" s="7" t="s">
        <v>254</v>
      </c>
      <c r="P1956" s="8"/>
      <c r="Q1956" s="8"/>
      <c r="R1956" s="8"/>
      <c r="S1956" s="8"/>
      <c r="T1956" s="8"/>
      <c r="U1956" s="8"/>
      <c r="V1956" s="8"/>
      <c r="W1956" s="8"/>
      <c r="X1956" s="8"/>
      <c r="Y1956" s="8"/>
      <c r="Z1956" s="8"/>
      <c r="AA1956" s="8"/>
      <c r="AB1956" s="8"/>
      <c r="AC1956" s="8"/>
      <c r="AD1956" s="8"/>
      <c r="AE1956" s="8"/>
    </row>
    <row r="1957">
      <c r="A1957" s="12">
        <v>61.0</v>
      </c>
      <c r="B1957" s="8" t="s">
        <v>356</v>
      </c>
      <c r="C1957" s="8" t="s">
        <v>1308</v>
      </c>
      <c r="I1957" s="10" t="s">
        <v>1331</v>
      </c>
      <c r="J1957" s="13" t="s">
        <v>1673</v>
      </c>
      <c r="K1957" s="13" t="s">
        <v>251</v>
      </c>
      <c r="L1957" s="13" t="s">
        <v>2074</v>
      </c>
      <c r="M1957" s="7" t="s">
        <v>253</v>
      </c>
      <c r="N1957" s="7" t="s">
        <v>253</v>
      </c>
      <c r="O1957" s="7" t="s">
        <v>254</v>
      </c>
      <c r="P1957" s="8"/>
      <c r="Q1957" s="8"/>
      <c r="R1957" s="8"/>
      <c r="S1957" s="8"/>
      <c r="T1957" s="8"/>
      <c r="U1957" s="8"/>
      <c r="V1957" s="8"/>
      <c r="W1957" s="8"/>
      <c r="X1957" s="8"/>
      <c r="Y1957" s="8"/>
      <c r="Z1957" s="8"/>
      <c r="AA1957" s="8"/>
      <c r="AB1957" s="8"/>
      <c r="AC1957" s="8"/>
      <c r="AD1957" s="8"/>
      <c r="AE1957" s="8"/>
    </row>
    <row r="1958">
      <c r="A1958" s="12">
        <v>61.0</v>
      </c>
      <c r="B1958" s="8" t="s">
        <v>356</v>
      </c>
      <c r="C1958" s="8" t="s">
        <v>1308</v>
      </c>
      <c r="I1958" s="10" t="s">
        <v>766</v>
      </c>
      <c r="J1958" s="13" t="s">
        <v>1674</v>
      </c>
      <c r="K1958" s="13" t="s">
        <v>251</v>
      </c>
      <c r="L1958" s="13" t="s">
        <v>2075</v>
      </c>
      <c r="M1958" s="7" t="s">
        <v>253</v>
      </c>
      <c r="N1958" s="7" t="s">
        <v>253</v>
      </c>
      <c r="O1958" s="7" t="s">
        <v>254</v>
      </c>
      <c r="P1958" s="8"/>
      <c r="Q1958" s="8"/>
      <c r="R1958" s="8"/>
      <c r="S1958" s="8"/>
      <c r="T1958" s="8"/>
      <c r="U1958" s="8"/>
      <c r="V1958" s="8"/>
      <c r="W1958" s="8"/>
      <c r="X1958" s="8"/>
      <c r="Y1958" s="8"/>
      <c r="Z1958" s="8"/>
      <c r="AA1958" s="8"/>
      <c r="AB1958" s="8"/>
      <c r="AC1958" s="8"/>
      <c r="AD1958" s="8"/>
      <c r="AE1958" s="8"/>
    </row>
    <row r="1959">
      <c r="A1959" s="12">
        <v>61.0</v>
      </c>
      <c r="B1959" s="8" t="s">
        <v>356</v>
      </c>
      <c r="C1959" s="8" t="s">
        <v>1308</v>
      </c>
      <c r="I1959" s="10" t="s">
        <v>1336</v>
      </c>
      <c r="J1959" s="13" t="s">
        <v>1675</v>
      </c>
      <c r="K1959" s="13" t="s">
        <v>272</v>
      </c>
      <c r="L1959" s="13" t="s">
        <v>2076</v>
      </c>
      <c r="M1959" s="7" t="s">
        <v>253</v>
      </c>
      <c r="N1959" s="7" t="s">
        <v>253</v>
      </c>
      <c r="O1959" s="7" t="s">
        <v>254</v>
      </c>
      <c r="P1959" s="8"/>
      <c r="Q1959" s="8"/>
      <c r="R1959" s="8"/>
      <c r="S1959" s="8"/>
      <c r="T1959" s="8"/>
      <c r="U1959" s="8"/>
      <c r="V1959" s="8"/>
      <c r="W1959" s="8"/>
      <c r="X1959" s="8"/>
      <c r="Y1959" s="8"/>
      <c r="Z1959" s="8"/>
      <c r="AA1959" s="8"/>
      <c r="AB1959" s="8"/>
      <c r="AC1959" s="8"/>
      <c r="AD1959" s="8"/>
      <c r="AE1959" s="8"/>
    </row>
    <row r="1960">
      <c r="A1960" s="12">
        <v>61.0</v>
      </c>
      <c r="B1960" s="8" t="s">
        <v>356</v>
      </c>
      <c r="C1960" s="8" t="s">
        <v>1308</v>
      </c>
      <c r="I1960" s="10" t="s">
        <v>1339</v>
      </c>
      <c r="J1960" s="13" t="s">
        <v>1672</v>
      </c>
      <c r="K1960" s="13" t="s">
        <v>272</v>
      </c>
      <c r="L1960" s="13" t="s">
        <v>2077</v>
      </c>
      <c r="M1960" s="7" t="s">
        <v>253</v>
      </c>
      <c r="N1960" s="7" t="s">
        <v>253</v>
      </c>
      <c r="O1960" s="7" t="s">
        <v>254</v>
      </c>
      <c r="P1960" s="8"/>
      <c r="Q1960" s="8"/>
      <c r="R1960" s="8"/>
      <c r="S1960" s="8"/>
      <c r="T1960" s="8"/>
      <c r="U1960" s="8"/>
      <c r="V1960" s="8"/>
      <c r="W1960" s="8"/>
      <c r="X1960" s="8"/>
      <c r="Y1960" s="8"/>
      <c r="Z1960" s="8"/>
      <c r="AA1960" s="8"/>
      <c r="AB1960" s="8"/>
      <c r="AC1960" s="8"/>
      <c r="AD1960" s="8"/>
      <c r="AE1960" s="8"/>
    </row>
    <row r="1961">
      <c r="A1961" s="12">
        <v>61.0</v>
      </c>
      <c r="B1961" s="8" t="s">
        <v>356</v>
      </c>
      <c r="C1961" s="8" t="s">
        <v>1308</v>
      </c>
      <c r="I1961" s="10" t="s">
        <v>1975</v>
      </c>
      <c r="J1961" s="13" t="s">
        <v>1673</v>
      </c>
      <c r="K1961" s="13" t="s">
        <v>276</v>
      </c>
      <c r="L1961" s="13" t="s">
        <v>2078</v>
      </c>
      <c r="M1961" s="7" t="s">
        <v>253</v>
      </c>
      <c r="N1961" s="7" t="s">
        <v>253</v>
      </c>
      <c r="O1961" s="7" t="s">
        <v>254</v>
      </c>
      <c r="P1961" s="8"/>
      <c r="Q1961" s="8"/>
      <c r="R1961" s="8"/>
      <c r="S1961" s="8"/>
      <c r="T1961" s="8"/>
      <c r="U1961" s="8"/>
      <c r="V1961" s="8"/>
      <c r="W1961" s="8"/>
      <c r="X1961" s="8"/>
      <c r="Y1961" s="8"/>
      <c r="Z1961" s="8"/>
      <c r="AA1961" s="8"/>
      <c r="AB1961" s="8"/>
      <c r="AC1961" s="8"/>
      <c r="AD1961" s="8"/>
      <c r="AE1961" s="8"/>
    </row>
    <row r="1962">
      <c r="A1962" s="12">
        <v>61.0</v>
      </c>
      <c r="B1962" s="8" t="s">
        <v>356</v>
      </c>
      <c r="C1962" s="8" t="s">
        <v>1308</v>
      </c>
      <c r="I1962" s="10" t="s">
        <v>1270</v>
      </c>
      <c r="J1962" s="13" t="s">
        <v>1674</v>
      </c>
      <c r="K1962" s="13" t="s">
        <v>276</v>
      </c>
      <c r="L1962" s="13" t="s">
        <v>2078</v>
      </c>
      <c r="M1962" s="7" t="s">
        <v>253</v>
      </c>
      <c r="N1962" s="7" t="s">
        <v>253</v>
      </c>
      <c r="O1962" s="7" t="s">
        <v>254</v>
      </c>
      <c r="P1962" s="8"/>
      <c r="Q1962" s="8"/>
      <c r="R1962" s="8"/>
      <c r="S1962" s="8"/>
      <c r="T1962" s="8"/>
      <c r="U1962" s="8"/>
      <c r="V1962" s="8"/>
      <c r="W1962" s="8"/>
      <c r="X1962" s="8"/>
      <c r="Y1962" s="8"/>
      <c r="Z1962" s="8"/>
      <c r="AA1962" s="8"/>
      <c r="AB1962" s="8"/>
      <c r="AC1962" s="8"/>
      <c r="AD1962" s="8"/>
      <c r="AE1962" s="8"/>
    </row>
    <row r="1963">
      <c r="A1963" s="12">
        <v>61.0</v>
      </c>
      <c r="B1963" s="8" t="s">
        <v>356</v>
      </c>
      <c r="C1963" s="8" t="s">
        <v>1308</v>
      </c>
      <c r="I1963" s="10" t="s">
        <v>1372</v>
      </c>
      <c r="J1963" s="13" t="s">
        <v>1675</v>
      </c>
      <c r="K1963" s="13" t="s">
        <v>276</v>
      </c>
      <c r="L1963" s="13" t="s">
        <v>1758</v>
      </c>
      <c r="M1963" s="7" t="s">
        <v>253</v>
      </c>
      <c r="N1963" s="7" t="s">
        <v>253</v>
      </c>
      <c r="O1963" s="7" t="s">
        <v>254</v>
      </c>
      <c r="P1963" s="8"/>
      <c r="Q1963" s="8"/>
      <c r="R1963" s="8"/>
      <c r="S1963" s="8"/>
      <c r="T1963" s="8"/>
      <c r="U1963" s="8"/>
      <c r="V1963" s="8"/>
      <c r="W1963" s="8"/>
      <c r="X1963" s="8"/>
      <c r="Y1963" s="8"/>
      <c r="Z1963" s="8"/>
      <c r="AA1963" s="8"/>
      <c r="AB1963" s="8"/>
      <c r="AC1963" s="8"/>
      <c r="AD1963" s="8"/>
      <c r="AE1963" s="8"/>
    </row>
    <row r="1964">
      <c r="A1964" s="12">
        <v>61.0</v>
      </c>
      <c r="B1964" s="8" t="s">
        <v>356</v>
      </c>
      <c r="C1964" s="8" t="s">
        <v>1308</v>
      </c>
      <c r="I1964" s="10" t="s">
        <v>1759</v>
      </c>
      <c r="J1964" s="13" t="s">
        <v>1672</v>
      </c>
      <c r="K1964" s="13" t="s">
        <v>276</v>
      </c>
      <c r="L1964" s="13" t="s">
        <v>1758</v>
      </c>
      <c r="M1964" s="7" t="s">
        <v>253</v>
      </c>
      <c r="N1964" s="7" t="s">
        <v>253</v>
      </c>
      <c r="O1964" s="7" t="s">
        <v>254</v>
      </c>
      <c r="P1964" s="8"/>
      <c r="Q1964" s="8"/>
      <c r="R1964" s="8"/>
      <c r="S1964" s="8"/>
      <c r="T1964" s="8"/>
      <c r="U1964" s="8"/>
      <c r="V1964" s="8"/>
      <c r="W1964" s="8"/>
      <c r="X1964" s="8"/>
      <c r="Y1964" s="8"/>
      <c r="Z1964" s="8"/>
      <c r="AA1964" s="8"/>
      <c r="AB1964" s="8"/>
      <c r="AC1964" s="8"/>
      <c r="AD1964" s="8"/>
      <c r="AE1964" s="8"/>
    </row>
    <row r="1965">
      <c r="A1965" s="12">
        <v>61.0</v>
      </c>
      <c r="B1965" s="8" t="s">
        <v>356</v>
      </c>
      <c r="C1965" s="8" t="s">
        <v>1308</v>
      </c>
      <c r="I1965" s="10" t="s">
        <v>1760</v>
      </c>
      <c r="J1965" s="13" t="s">
        <v>1673</v>
      </c>
      <c r="K1965" s="13" t="s">
        <v>276</v>
      </c>
      <c r="L1965" s="13" t="s">
        <v>1758</v>
      </c>
      <c r="M1965" s="7" t="s">
        <v>253</v>
      </c>
      <c r="N1965" s="7" t="s">
        <v>253</v>
      </c>
      <c r="O1965" s="7" t="s">
        <v>254</v>
      </c>
      <c r="P1965" s="8"/>
      <c r="Q1965" s="8"/>
      <c r="R1965" s="8"/>
      <c r="S1965" s="8"/>
      <c r="T1965" s="8"/>
      <c r="U1965" s="8"/>
      <c r="V1965" s="8"/>
      <c r="W1965" s="8"/>
      <c r="X1965" s="8"/>
      <c r="Y1965" s="8"/>
      <c r="Z1965" s="8"/>
      <c r="AA1965" s="8"/>
      <c r="AB1965" s="8"/>
      <c r="AC1965" s="8"/>
      <c r="AD1965" s="8"/>
      <c r="AE1965" s="8"/>
    </row>
    <row r="1966">
      <c r="A1966" s="12">
        <v>61.0</v>
      </c>
      <c r="B1966" s="8" t="s">
        <v>356</v>
      </c>
      <c r="C1966" s="8" t="s">
        <v>1308</v>
      </c>
      <c r="I1966" s="10" t="s">
        <v>1761</v>
      </c>
      <c r="J1966" s="13" t="s">
        <v>1674</v>
      </c>
      <c r="K1966" s="13" t="s">
        <v>276</v>
      </c>
      <c r="L1966" s="13" t="s">
        <v>1758</v>
      </c>
      <c r="M1966" s="7" t="s">
        <v>253</v>
      </c>
      <c r="N1966" s="7" t="s">
        <v>253</v>
      </c>
      <c r="O1966" s="7" t="s">
        <v>254</v>
      </c>
      <c r="P1966" s="8"/>
      <c r="Q1966" s="8"/>
      <c r="R1966" s="8"/>
      <c r="S1966" s="8"/>
      <c r="T1966" s="8"/>
      <c r="U1966" s="8"/>
      <c r="V1966" s="8"/>
      <c r="W1966" s="8"/>
      <c r="X1966" s="8"/>
      <c r="Y1966" s="8"/>
      <c r="Z1966" s="8"/>
      <c r="AA1966" s="8"/>
      <c r="AB1966" s="8"/>
      <c r="AC1966" s="8"/>
      <c r="AD1966" s="8"/>
      <c r="AE1966" s="8"/>
    </row>
    <row r="1967">
      <c r="A1967" s="12">
        <v>61.0</v>
      </c>
      <c r="B1967" s="8" t="s">
        <v>356</v>
      </c>
      <c r="C1967" s="8" t="s">
        <v>1308</v>
      </c>
      <c r="I1967" s="10" t="s">
        <v>1314</v>
      </c>
      <c r="J1967" s="13" t="s">
        <v>1675</v>
      </c>
      <c r="K1967" s="13" t="s">
        <v>276</v>
      </c>
      <c r="L1967" s="13" t="s">
        <v>1758</v>
      </c>
      <c r="M1967" s="7" t="s">
        <v>253</v>
      </c>
      <c r="N1967" s="7" t="s">
        <v>253</v>
      </c>
      <c r="O1967" s="7" t="s">
        <v>254</v>
      </c>
      <c r="P1967" s="8"/>
      <c r="Q1967" s="8"/>
      <c r="R1967" s="8"/>
      <c r="S1967" s="8"/>
      <c r="T1967" s="8"/>
      <c r="U1967" s="8"/>
      <c r="V1967" s="8"/>
      <c r="W1967" s="8"/>
      <c r="X1967" s="8"/>
      <c r="Y1967" s="8"/>
      <c r="Z1967" s="8"/>
      <c r="AA1967" s="8"/>
      <c r="AB1967" s="8"/>
      <c r="AC1967" s="8"/>
      <c r="AD1967" s="8"/>
      <c r="AE1967" s="8"/>
    </row>
    <row r="1968">
      <c r="A1968" s="12">
        <v>61.0</v>
      </c>
      <c r="B1968" s="8" t="s">
        <v>356</v>
      </c>
      <c r="C1968" s="8" t="s">
        <v>1308</v>
      </c>
      <c r="I1968" s="10" t="s">
        <v>1901</v>
      </c>
      <c r="J1968" s="13" t="s">
        <v>1672</v>
      </c>
      <c r="K1968" s="13" t="s">
        <v>276</v>
      </c>
      <c r="L1968" s="13" t="s">
        <v>2078</v>
      </c>
      <c r="M1968" s="7" t="s">
        <v>253</v>
      </c>
      <c r="N1968" s="7" t="s">
        <v>253</v>
      </c>
      <c r="O1968" s="7" t="s">
        <v>254</v>
      </c>
      <c r="P1968" s="8"/>
      <c r="Q1968" s="8"/>
      <c r="R1968" s="8"/>
      <c r="S1968" s="8"/>
      <c r="T1968" s="8"/>
      <c r="U1968" s="8"/>
      <c r="V1968" s="8"/>
      <c r="W1968" s="8"/>
      <c r="X1968" s="8"/>
      <c r="Y1968" s="8"/>
      <c r="Z1968" s="8"/>
      <c r="AA1968" s="8"/>
      <c r="AB1968" s="8"/>
      <c r="AC1968" s="8"/>
      <c r="AD1968" s="8"/>
      <c r="AE1968" s="8"/>
    </row>
    <row r="1969">
      <c r="A1969" s="12">
        <v>61.0</v>
      </c>
      <c r="B1969" s="8" t="s">
        <v>356</v>
      </c>
      <c r="C1969" s="8" t="s">
        <v>1308</v>
      </c>
      <c r="I1969" s="10" t="s">
        <v>1433</v>
      </c>
      <c r="J1969" s="13" t="s">
        <v>1673</v>
      </c>
      <c r="K1969" s="13" t="s">
        <v>276</v>
      </c>
      <c r="L1969" s="13" t="s">
        <v>1758</v>
      </c>
      <c r="M1969" s="7" t="s">
        <v>253</v>
      </c>
      <c r="N1969" s="7" t="s">
        <v>253</v>
      </c>
      <c r="O1969" s="7" t="s">
        <v>254</v>
      </c>
      <c r="P1969" s="8"/>
      <c r="Q1969" s="8"/>
      <c r="R1969" s="8"/>
      <c r="S1969" s="8"/>
      <c r="T1969" s="8"/>
      <c r="U1969" s="8"/>
      <c r="V1969" s="8"/>
      <c r="W1969" s="8"/>
      <c r="X1969" s="8"/>
      <c r="Y1969" s="8"/>
      <c r="Z1969" s="8"/>
      <c r="AA1969" s="8"/>
      <c r="AB1969" s="8"/>
      <c r="AC1969" s="8"/>
      <c r="AD1969" s="8"/>
      <c r="AE1969" s="8"/>
    </row>
    <row r="1970">
      <c r="A1970" s="12">
        <v>61.0</v>
      </c>
      <c r="B1970" s="8" t="s">
        <v>356</v>
      </c>
      <c r="C1970" s="8" t="s">
        <v>1308</v>
      </c>
      <c r="I1970" s="10" t="s">
        <v>1468</v>
      </c>
      <c r="J1970" s="13" t="s">
        <v>1674</v>
      </c>
      <c r="K1970" s="13" t="s">
        <v>276</v>
      </c>
      <c r="L1970" s="13" t="s">
        <v>2078</v>
      </c>
      <c r="M1970" s="7" t="s">
        <v>253</v>
      </c>
      <c r="N1970" s="7" t="s">
        <v>253</v>
      </c>
      <c r="O1970" s="7" t="s">
        <v>254</v>
      </c>
      <c r="P1970" s="8"/>
      <c r="Q1970" s="8"/>
      <c r="R1970" s="8"/>
      <c r="S1970" s="8"/>
      <c r="T1970" s="8"/>
      <c r="U1970" s="8"/>
      <c r="V1970" s="8"/>
      <c r="W1970" s="8"/>
      <c r="X1970" s="8"/>
      <c r="Y1970" s="8"/>
      <c r="Z1970" s="8"/>
      <c r="AA1970" s="8"/>
      <c r="AB1970" s="8"/>
      <c r="AC1970" s="8"/>
      <c r="AD1970" s="8"/>
      <c r="AE1970" s="8"/>
    </row>
    <row r="1971">
      <c r="A1971" s="12">
        <v>61.0</v>
      </c>
      <c r="B1971" s="8" t="s">
        <v>356</v>
      </c>
      <c r="C1971" s="8" t="s">
        <v>1308</v>
      </c>
      <c r="I1971" s="10" t="s">
        <v>940</v>
      </c>
      <c r="J1971" s="13" t="s">
        <v>1675</v>
      </c>
      <c r="K1971" s="13" t="s">
        <v>276</v>
      </c>
      <c r="L1971" s="13" t="s">
        <v>2078</v>
      </c>
      <c r="M1971" s="7" t="s">
        <v>253</v>
      </c>
      <c r="N1971" s="7" t="s">
        <v>253</v>
      </c>
      <c r="O1971" s="7" t="s">
        <v>254</v>
      </c>
      <c r="P1971" s="8"/>
      <c r="Q1971" s="8"/>
      <c r="R1971" s="8"/>
      <c r="S1971" s="8"/>
      <c r="T1971" s="8"/>
      <c r="U1971" s="8"/>
      <c r="V1971" s="8"/>
      <c r="W1971" s="8"/>
      <c r="X1971" s="8"/>
      <c r="Y1971" s="8"/>
      <c r="Z1971" s="8"/>
      <c r="AA1971" s="8"/>
      <c r="AB1971" s="8"/>
      <c r="AC1971" s="8"/>
      <c r="AD1971" s="8"/>
      <c r="AE1971" s="8"/>
    </row>
    <row r="1972">
      <c r="A1972" s="12">
        <v>61.0</v>
      </c>
      <c r="B1972" s="8" t="s">
        <v>356</v>
      </c>
      <c r="C1972" s="8" t="s">
        <v>1308</v>
      </c>
      <c r="I1972" s="10" t="s">
        <v>1318</v>
      </c>
      <c r="J1972" s="13" t="s">
        <v>1672</v>
      </c>
      <c r="K1972" s="13" t="s">
        <v>276</v>
      </c>
      <c r="L1972" s="13" t="s">
        <v>1758</v>
      </c>
      <c r="M1972" s="7" t="s">
        <v>253</v>
      </c>
      <c r="N1972" s="7" t="s">
        <v>253</v>
      </c>
      <c r="O1972" s="7" t="s">
        <v>254</v>
      </c>
      <c r="P1972" s="8"/>
      <c r="Q1972" s="8"/>
      <c r="R1972" s="8"/>
      <c r="S1972" s="8"/>
      <c r="T1972" s="8"/>
      <c r="U1972" s="8"/>
      <c r="V1972" s="8"/>
      <c r="W1972" s="8"/>
      <c r="X1972" s="8"/>
      <c r="Y1972" s="8"/>
      <c r="Z1972" s="8"/>
      <c r="AA1972" s="8"/>
      <c r="AB1972" s="8"/>
      <c r="AC1972" s="8"/>
      <c r="AD1972" s="8"/>
      <c r="AE1972" s="8"/>
    </row>
    <row r="1973">
      <c r="A1973" s="12">
        <v>61.0</v>
      </c>
      <c r="B1973" s="8" t="s">
        <v>356</v>
      </c>
      <c r="C1973" s="8" t="s">
        <v>1308</v>
      </c>
      <c r="I1973" s="10" t="s">
        <v>354</v>
      </c>
      <c r="J1973" s="13" t="s">
        <v>1673</v>
      </c>
      <c r="K1973" s="13" t="s">
        <v>276</v>
      </c>
      <c r="L1973" s="13" t="s">
        <v>2079</v>
      </c>
      <c r="M1973" s="7" t="s">
        <v>253</v>
      </c>
      <c r="N1973" s="7" t="s">
        <v>253</v>
      </c>
      <c r="O1973" s="7" t="s">
        <v>254</v>
      </c>
      <c r="P1973" s="8"/>
      <c r="Q1973" s="8"/>
      <c r="R1973" s="8"/>
      <c r="S1973" s="8"/>
      <c r="T1973" s="8"/>
      <c r="U1973" s="8"/>
      <c r="V1973" s="8"/>
      <c r="W1973" s="8"/>
      <c r="X1973" s="8"/>
      <c r="Y1973" s="8"/>
      <c r="Z1973" s="8"/>
      <c r="AA1973" s="8"/>
      <c r="AB1973" s="8"/>
      <c r="AC1973" s="8"/>
      <c r="AD1973" s="8"/>
      <c r="AE1973" s="8"/>
    </row>
    <row r="1974">
      <c r="A1974" s="12">
        <v>61.0</v>
      </c>
      <c r="B1974" s="8" t="s">
        <v>356</v>
      </c>
      <c r="C1974" s="8" t="s">
        <v>1308</v>
      </c>
      <c r="I1974" s="10" t="s">
        <v>1389</v>
      </c>
      <c r="J1974" s="13" t="s">
        <v>1674</v>
      </c>
      <c r="K1974" s="13" t="s">
        <v>276</v>
      </c>
      <c r="L1974" s="13" t="s">
        <v>1758</v>
      </c>
      <c r="M1974" s="7" t="s">
        <v>253</v>
      </c>
      <c r="N1974" s="7" t="s">
        <v>253</v>
      </c>
      <c r="O1974" s="7" t="s">
        <v>254</v>
      </c>
      <c r="P1974" s="8"/>
      <c r="Q1974" s="8"/>
      <c r="R1974" s="8"/>
      <c r="S1974" s="8"/>
      <c r="T1974" s="8"/>
      <c r="U1974" s="8"/>
      <c r="V1974" s="8"/>
      <c r="W1974" s="8"/>
      <c r="X1974" s="8"/>
      <c r="Y1974" s="8"/>
      <c r="Z1974" s="8"/>
      <c r="AA1974" s="8"/>
      <c r="AB1974" s="8"/>
      <c r="AC1974" s="8"/>
      <c r="AD1974" s="8"/>
      <c r="AE1974" s="8"/>
    </row>
    <row r="1975">
      <c r="A1975" s="12">
        <v>61.0</v>
      </c>
      <c r="B1975" s="8" t="s">
        <v>356</v>
      </c>
      <c r="C1975" s="8" t="s">
        <v>1308</v>
      </c>
      <c r="I1975" s="10" t="s">
        <v>1767</v>
      </c>
      <c r="J1975" s="13" t="s">
        <v>1675</v>
      </c>
      <c r="K1975" s="13" t="s">
        <v>276</v>
      </c>
      <c r="L1975" s="13" t="s">
        <v>1758</v>
      </c>
      <c r="M1975" s="7" t="s">
        <v>253</v>
      </c>
      <c r="N1975" s="7" t="s">
        <v>253</v>
      </c>
      <c r="O1975" s="7" t="s">
        <v>254</v>
      </c>
      <c r="P1975" s="8"/>
      <c r="Q1975" s="8"/>
      <c r="R1975" s="8"/>
      <c r="S1975" s="8"/>
      <c r="T1975" s="8"/>
      <c r="U1975" s="8"/>
      <c r="V1975" s="8"/>
      <c r="W1975" s="8"/>
      <c r="X1975" s="8"/>
      <c r="Y1975" s="8"/>
      <c r="Z1975" s="8"/>
      <c r="AA1975" s="8"/>
      <c r="AB1975" s="8"/>
      <c r="AC1975" s="8"/>
      <c r="AD1975" s="8"/>
      <c r="AE1975" s="8"/>
    </row>
    <row r="1976">
      <c r="A1976" s="12">
        <v>61.0</v>
      </c>
      <c r="B1976" s="8" t="s">
        <v>356</v>
      </c>
      <c r="C1976" s="8" t="s">
        <v>1308</v>
      </c>
      <c r="I1976" s="10" t="s">
        <v>1397</v>
      </c>
      <c r="J1976" s="13" t="s">
        <v>1672</v>
      </c>
      <c r="K1976" s="13" t="s">
        <v>276</v>
      </c>
      <c r="L1976" s="13" t="s">
        <v>1758</v>
      </c>
      <c r="M1976" s="7" t="s">
        <v>253</v>
      </c>
      <c r="N1976" s="7" t="s">
        <v>253</v>
      </c>
      <c r="O1976" s="7" t="s">
        <v>254</v>
      </c>
      <c r="P1976" s="8"/>
      <c r="Q1976" s="8"/>
      <c r="R1976" s="8"/>
      <c r="S1976" s="8"/>
      <c r="T1976" s="8"/>
      <c r="U1976" s="8"/>
      <c r="V1976" s="8"/>
      <c r="W1976" s="8"/>
      <c r="X1976" s="8"/>
      <c r="Y1976" s="8"/>
      <c r="Z1976" s="8"/>
      <c r="AA1976" s="8"/>
      <c r="AB1976" s="8"/>
      <c r="AC1976" s="8"/>
      <c r="AD1976" s="8"/>
      <c r="AE1976" s="8"/>
    </row>
    <row r="1977">
      <c r="A1977" s="12">
        <v>61.0</v>
      </c>
      <c r="B1977" s="8" t="s">
        <v>356</v>
      </c>
      <c r="C1977" s="8" t="s">
        <v>1308</v>
      </c>
      <c r="I1977" s="10" t="s">
        <v>672</v>
      </c>
      <c r="J1977" s="13" t="s">
        <v>1673</v>
      </c>
      <c r="K1977" s="13" t="s">
        <v>276</v>
      </c>
      <c r="L1977" s="13" t="s">
        <v>1758</v>
      </c>
      <c r="M1977" s="7" t="s">
        <v>253</v>
      </c>
      <c r="N1977" s="7" t="s">
        <v>253</v>
      </c>
      <c r="O1977" s="7" t="s">
        <v>254</v>
      </c>
      <c r="P1977" s="8"/>
      <c r="Q1977" s="8"/>
      <c r="R1977" s="8"/>
      <c r="S1977" s="8"/>
      <c r="T1977" s="8"/>
      <c r="U1977" s="8"/>
      <c r="V1977" s="8"/>
      <c r="W1977" s="8"/>
      <c r="X1977" s="8"/>
      <c r="Y1977" s="8"/>
      <c r="Z1977" s="8"/>
      <c r="AA1977" s="8"/>
      <c r="AB1977" s="8"/>
      <c r="AC1977" s="8"/>
      <c r="AD1977" s="8"/>
      <c r="AE1977" s="8"/>
    </row>
    <row r="1978">
      <c r="A1978" s="12">
        <v>61.0</v>
      </c>
      <c r="B1978" s="8" t="s">
        <v>356</v>
      </c>
      <c r="C1978" s="8" t="s">
        <v>1308</v>
      </c>
      <c r="I1978" s="10" t="s">
        <v>1769</v>
      </c>
      <c r="J1978" s="13" t="s">
        <v>1674</v>
      </c>
      <c r="K1978" s="13" t="s">
        <v>276</v>
      </c>
      <c r="L1978" s="13" t="s">
        <v>1780</v>
      </c>
      <c r="M1978" s="7" t="s">
        <v>253</v>
      </c>
      <c r="N1978" s="7" t="s">
        <v>253</v>
      </c>
      <c r="O1978" s="7" t="s">
        <v>254</v>
      </c>
      <c r="P1978" s="8"/>
      <c r="Q1978" s="8"/>
      <c r="R1978" s="8"/>
      <c r="S1978" s="8"/>
      <c r="T1978" s="8"/>
      <c r="U1978" s="8"/>
      <c r="V1978" s="8"/>
      <c r="W1978" s="8"/>
      <c r="X1978" s="8"/>
      <c r="Y1978" s="8"/>
      <c r="Z1978" s="8"/>
      <c r="AA1978" s="8"/>
      <c r="AB1978" s="8"/>
      <c r="AC1978" s="8"/>
      <c r="AD1978" s="8"/>
      <c r="AE1978" s="8"/>
    </row>
    <row r="1979">
      <c r="A1979" s="12">
        <v>61.0</v>
      </c>
      <c r="B1979" s="8" t="s">
        <v>356</v>
      </c>
      <c r="C1979" s="8" t="s">
        <v>1308</v>
      </c>
      <c r="I1979" s="10" t="s">
        <v>1309</v>
      </c>
      <c r="J1979" s="13" t="s">
        <v>1675</v>
      </c>
      <c r="K1979" s="13" t="s">
        <v>276</v>
      </c>
      <c r="L1979" s="13" t="s">
        <v>1758</v>
      </c>
      <c r="M1979" s="7" t="s">
        <v>253</v>
      </c>
      <c r="N1979" s="7" t="s">
        <v>253</v>
      </c>
      <c r="O1979" s="7" t="s">
        <v>254</v>
      </c>
      <c r="P1979" s="8"/>
      <c r="Q1979" s="8"/>
      <c r="R1979" s="8"/>
      <c r="S1979" s="8"/>
      <c r="T1979" s="8"/>
      <c r="U1979" s="8"/>
      <c r="V1979" s="8"/>
      <c r="W1979" s="8"/>
      <c r="X1979" s="8"/>
      <c r="Y1979" s="8"/>
      <c r="Z1979" s="8"/>
      <c r="AA1979" s="8"/>
      <c r="AB1979" s="8"/>
      <c r="AC1979" s="8"/>
      <c r="AD1979" s="8"/>
      <c r="AE1979" s="8"/>
    </row>
    <row r="1980">
      <c r="A1980" s="12">
        <v>61.0</v>
      </c>
      <c r="B1980" s="8" t="s">
        <v>356</v>
      </c>
      <c r="C1980" s="8" t="s">
        <v>1308</v>
      </c>
      <c r="I1980" s="10" t="s">
        <v>864</v>
      </c>
      <c r="J1980" s="13" t="s">
        <v>1672</v>
      </c>
      <c r="K1980" s="13" t="s">
        <v>276</v>
      </c>
      <c r="L1980" s="13" t="s">
        <v>2078</v>
      </c>
      <c r="M1980" s="7" t="s">
        <v>253</v>
      </c>
      <c r="N1980" s="7" t="s">
        <v>253</v>
      </c>
      <c r="O1980" s="7" t="s">
        <v>254</v>
      </c>
      <c r="P1980" s="8"/>
      <c r="Q1980" s="8"/>
      <c r="R1980" s="8"/>
      <c r="S1980" s="8"/>
      <c r="T1980" s="8"/>
      <c r="U1980" s="8"/>
      <c r="V1980" s="8"/>
      <c r="W1980" s="8"/>
      <c r="X1980" s="8"/>
      <c r="Y1980" s="8"/>
      <c r="Z1980" s="8"/>
      <c r="AA1980" s="8"/>
      <c r="AB1980" s="8"/>
      <c r="AC1980" s="8"/>
      <c r="AD1980" s="8"/>
      <c r="AE1980" s="8"/>
    </row>
    <row r="1981">
      <c r="A1981" s="12">
        <v>61.0</v>
      </c>
      <c r="B1981" s="8" t="s">
        <v>356</v>
      </c>
      <c r="C1981" s="8" t="s">
        <v>1308</v>
      </c>
      <c r="I1981" s="10" t="s">
        <v>1428</v>
      </c>
      <c r="J1981" s="13" t="s">
        <v>1673</v>
      </c>
      <c r="K1981" s="13" t="s">
        <v>276</v>
      </c>
      <c r="L1981" s="13" t="s">
        <v>1758</v>
      </c>
      <c r="M1981" s="7" t="s">
        <v>253</v>
      </c>
      <c r="N1981" s="7" t="s">
        <v>253</v>
      </c>
      <c r="O1981" s="7" t="s">
        <v>254</v>
      </c>
      <c r="P1981" s="8"/>
      <c r="Q1981" s="8"/>
      <c r="R1981" s="8"/>
      <c r="S1981" s="8"/>
      <c r="T1981" s="8"/>
      <c r="U1981" s="8"/>
      <c r="V1981" s="8"/>
      <c r="W1981" s="8"/>
      <c r="X1981" s="8"/>
      <c r="Y1981" s="8"/>
      <c r="Z1981" s="8"/>
      <c r="AA1981" s="8"/>
      <c r="AB1981" s="8"/>
      <c r="AC1981" s="8"/>
      <c r="AD1981" s="8"/>
      <c r="AE1981" s="8"/>
    </row>
    <row r="1982">
      <c r="A1982" s="12">
        <v>61.0</v>
      </c>
      <c r="B1982" s="8" t="s">
        <v>356</v>
      </c>
      <c r="C1982" s="8" t="s">
        <v>1308</v>
      </c>
      <c r="I1982" s="10" t="s">
        <v>334</v>
      </c>
      <c r="J1982" s="13" t="s">
        <v>1674</v>
      </c>
      <c r="K1982" s="13" t="s">
        <v>276</v>
      </c>
      <c r="L1982" s="13" t="s">
        <v>2078</v>
      </c>
      <c r="M1982" s="7" t="s">
        <v>253</v>
      </c>
      <c r="N1982" s="7" t="s">
        <v>253</v>
      </c>
      <c r="O1982" s="7" t="s">
        <v>254</v>
      </c>
      <c r="P1982" s="8"/>
      <c r="Q1982" s="8"/>
      <c r="R1982" s="8"/>
      <c r="S1982" s="8"/>
      <c r="T1982" s="8"/>
      <c r="U1982" s="8"/>
      <c r="V1982" s="8"/>
      <c r="W1982" s="8"/>
      <c r="X1982" s="8"/>
      <c r="Y1982" s="8"/>
      <c r="Z1982" s="8"/>
      <c r="AA1982" s="8"/>
      <c r="AB1982" s="8"/>
      <c r="AC1982" s="8"/>
      <c r="AD1982" s="8"/>
      <c r="AE1982" s="8"/>
    </row>
    <row r="1983">
      <c r="A1983" s="12">
        <v>61.0</v>
      </c>
      <c r="B1983" s="8" t="s">
        <v>356</v>
      </c>
      <c r="C1983" s="8" t="s">
        <v>1308</v>
      </c>
      <c r="I1983" s="10" t="s">
        <v>363</v>
      </c>
      <c r="J1983" s="13" t="s">
        <v>1675</v>
      </c>
      <c r="K1983" s="13" t="s">
        <v>276</v>
      </c>
      <c r="L1983" s="13" t="s">
        <v>1758</v>
      </c>
      <c r="M1983" s="7" t="s">
        <v>253</v>
      </c>
      <c r="N1983" s="7" t="s">
        <v>253</v>
      </c>
      <c r="O1983" s="7" t="s">
        <v>254</v>
      </c>
      <c r="P1983" s="8"/>
      <c r="Q1983" s="8"/>
      <c r="R1983" s="8"/>
      <c r="S1983" s="8"/>
      <c r="T1983" s="8"/>
      <c r="U1983" s="8"/>
      <c r="V1983" s="8"/>
      <c r="W1983" s="8"/>
      <c r="X1983" s="8"/>
      <c r="Y1983" s="8"/>
      <c r="Z1983" s="8"/>
      <c r="AA1983" s="8"/>
      <c r="AB1983" s="8"/>
      <c r="AC1983" s="8"/>
      <c r="AD1983" s="8"/>
      <c r="AE1983" s="8"/>
    </row>
    <row r="1984">
      <c r="A1984" s="12">
        <v>61.0</v>
      </c>
      <c r="B1984" s="8" t="s">
        <v>356</v>
      </c>
      <c r="C1984" s="8" t="s">
        <v>1308</v>
      </c>
      <c r="I1984" s="10" t="s">
        <v>1265</v>
      </c>
      <c r="J1984" s="13" t="s">
        <v>1672</v>
      </c>
      <c r="K1984" s="13" t="s">
        <v>276</v>
      </c>
      <c r="L1984" s="13" t="s">
        <v>2078</v>
      </c>
      <c r="M1984" s="7" t="s">
        <v>253</v>
      </c>
      <c r="N1984" s="7" t="s">
        <v>253</v>
      </c>
      <c r="O1984" s="7" t="s">
        <v>254</v>
      </c>
      <c r="P1984" s="8"/>
      <c r="Q1984" s="8"/>
      <c r="R1984" s="8"/>
      <c r="S1984" s="8"/>
      <c r="T1984" s="8"/>
      <c r="U1984" s="8"/>
      <c r="V1984" s="8"/>
      <c r="W1984" s="8"/>
      <c r="X1984" s="8"/>
      <c r="Y1984" s="8"/>
      <c r="Z1984" s="8"/>
      <c r="AA1984" s="8"/>
      <c r="AB1984" s="8"/>
      <c r="AC1984" s="8"/>
      <c r="AD1984" s="8"/>
      <c r="AE1984" s="8"/>
    </row>
    <row r="1985">
      <c r="A1985" s="12">
        <v>61.0</v>
      </c>
      <c r="B1985" s="8" t="s">
        <v>356</v>
      </c>
      <c r="C1985" s="8" t="s">
        <v>1308</v>
      </c>
      <c r="I1985" s="10" t="s">
        <v>885</v>
      </c>
      <c r="J1985" s="13" t="s">
        <v>1673</v>
      </c>
      <c r="K1985" s="13" t="s">
        <v>276</v>
      </c>
      <c r="L1985" s="13" t="s">
        <v>2078</v>
      </c>
      <c r="M1985" s="7" t="s">
        <v>253</v>
      </c>
      <c r="N1985" s="7" t="s">
        <v>253</v>
      </c>
      <c r="O1985" s="7" t="s">
        <v>254</v>
      </c>
      <c r="P1985" s="8"/>
      <c r="Q1985" s="8"/>
      <c r="R1985" s="8"/>
      <c r="S1985" s="8"/>
      <c r="T1985" s="8"/>
      <c r="U1985" s="8"/>
      <c r="V1985" s="8"/>
      <c r="W1985" s="8"/>
      <c r="X1985" s="8"/>
      <c r="Y1985" s="8"/>
      <c r="Z1985" s="8"/>
      <c r="AA1985" s="8"/>
      <c r="AB1985" s="8"/>
      <c r="AC1985" s="8"/>
      <c r="AD1985" s="8"/>
      <c r="AE1985" s="8"/>
    </row>
    <row r="1986">
      <c r="A1986" s="12">
        <v>61.0</v>
      </c>
      <c r="B1986" s="8" t="s">
        <v>356</v>
      </c>
      <c r="C1986" s="8" t="s">
        <v>1308</v>
      </c>
      <c r="I1986" s="10" t="s">
        <v>1771</v>
      </c>
      <c r="J1986" s="13" t="s">
        <v>1674</v>
      </c>
      <c r="K1986" s="13" t="s">
        <v>276</v>
      </c>
      <c r="L1986" s="13" t="s">
        <v>1780</v>
      </c>
      <c r="M1986" s="7" t="s">
        <v>253</v>
      </c>
      <c r="N1986" s="7" t="s">
        <v>253</v>
      </c>
      <c r="O1986" s="7" t="s">
        <v>254</v>
      </c>
      <c r="P1986" s="8"/>
      <c r="Q1986" s="8"/>
      <c r="R1986" s="8"/>
      <c r="S1986" s="8"/>
      <c r="T1986" s="8"/>
      <c r="U1986" s="8"/>
      <c r="V1986" s="8"/>
      <c r="W1986" s="8"/>
      <c r="X1986" s="8"/>
      <c r="Y1986" s="8"/>
      <c r="Z1986" s="8"/>
      <c r="AA1986" s="8"/>
      <c r="AB1986" s="8"/>
      <c r="AC1986" s="8"/>
      <c r="AD1986" s="8"/>
      <c r="AE1986" s="8"/>
    </row>
    <row r="1987">
      <c r="A1987" s="12">
        <v>61.0</v>
      </c>
      <c r="B1987" s="8" t="s">
        <v>356</v>
      </c>
      <c r="C1987" s="8" t="s">
        <v>1308</v>
      </c>
      <c r="I1987" s="10" t="s">
        <v>890</v>
      </c>
      <c r="J1987" s="13" t="s">
        <v>1675</v>
      </c>
      <c r="K1987" s="13" t="s">
        <v>276</v>
      </c>
      <c r="L1987" s="13" t="s">
        <v>1758</v>
      </c>
      <c r="M1987" s="7" t="s">
        <v>253</v>
      </c>
      <c r="N1987" s="7" t="s">
        <v>253</v>
      </c>
      <c r="O1987" s="7" t="s">
        <v>254</v>
      </c>
      <c r="P1987" s="8"/>
      <c r="Q1987" s="8"/>
      <c r="R1987" s="8"/>
      <c r="S1987" s="8"/>
      <c r="T1987" s="8"/>
      <c r="U1987" s="8"/>
      <c r="V1987" s="8"/>
      <c r="W1987" s="8"/>
      <c r="X1987" s="8"/>
      <c r="Y1987" s="8"/>
      <c r="Z1987" s="8"/>
      <c r="AA1987" s="8"/>
      <c r="AB1987" s="8"/>
      <c r="AC1987" s="8"/>
      <c r="AD1987" s="8"/>
      <c r="AE1987" s="8"/>
    </row>
    <row r="1988">
      <c r="A1988" s="12">
        <v>61.0</v>
      </c>
      <c r="B1988" s="8" t="s">
        <v>356</v>
      </c>
      <c r="C1988" s="8" t="s">
        <v>1308</v>
      </c>
      <c r="I1988" s="10" t="s">
        <v>1747</v>
      </c>
      <c r="J1988" s="13" t="s">
        <v>1672</v>
      </c>
      <c r="K1988" s="13" t="s">
        <v>276</v>
      </c>
      <c r="L1988" s="13" t="s">
        <v>2078</v>
      </c>
      <c r="M1988" s="7" t="s">
        <v>253</v>
      </c>
      <c r="N1988" s="7" t="s">
        <v>253</v>
      </c>
      <c r="O1988" s="7" t="s">
        <v>254</v>
      </c>
      <c r="P1988" s="8"/>
      <c r="Q1988" s="8"/>
      <c r="R1988" s="8"/>
      <c r="S1988" s="8"/>
      <c r="T1988" s="8"/>
      <c r="U1988" s="8"/>
      <c r="V1988" s="8"/>
      <c r="W1988" s="8"/>
      <c r="X1988" s="8"/>
      <c r="Y1988" s="8"/>
      <c r="Z1988" s="8"/>
      <c r="AA1988" s="8"/>
      <c r="AB1988" s="8"/>
      <c r="AC1988" s="8"/>
      <c r="AD1988" s="8"/>
      <c r="AE1988" s="8"/>
    </row>
    <row r="1989">
      <c r="A1989" s="12">
        <v>61.0</v>
      </c>
      <c r="B1989" s="8" t="s">
        <v>356</v>
      </c>
      <c r="C1989" s="8" t="s">
        <v>1308</v>
      </c>
      <c r="I1989" s="10" t="s">
        <v>1399</v>
      </c>
      <c r="J1989" s="13" t="s">
        <v>1673</v>
      </c>
      <c r="K1989" s="13" t="s">
        <v>276</v>
      </c>
      <c r="L1989" s="13" t="s">
        <v>1758</v>
      </c>
      <c r="M1989" s="7" t="s">
        <v>253</v>
      </c>
      <c r="N1989" s="7" t="s">
        <v>253</v>
      </c>
      <c r="O1989" s="7" t="s">
        <v>254</v>
      </c>
      <c r="P1989" s="8"/>
      <c r="Q1989" s="8"/>
      <c r="R1989" s="8"/>
      <c r="S1989" s="8"/>
      <c r="T1989" s="8"/>
      <c r="U1989" s="8"/>
      <c r="V1989" s="8"/>
      <c r="W1989" s="8"/>
      <c r="X1989" s="8"/>
      <c r="Y1989" s="8"/>
      <c r="Z1989" s="8"/>
      <c r="AA1989" s="8"/>
      <c r="AB1989" s="8"/>
      <c r="AC1989" s="8"/>
      <c r="AD1989" s="8"/>
      <c r="AE1989" s="8"/>
    </row>
    <row r="1990">
      <c r="A1990" s="12">
        <v>61.0</v>
      </c>
      <c r="B1990" s="8" t="s">
        <v>356</v>
      </c>
      <c r="C1990" s="8" t="s">
        <v>1308</v>
      </c>
      <c r="I1990" s="10" t="s">
        <v>1473</v>
      </c>
      <c r="J1990" s="13" t="s">
        <v>1674</v>
      </c>
      <c r="K1990" s="13" t="s">
        <v>276</v>
      </c>
      <c r="L1990" s="13" t="s">
        <v>2078</v>
      </c>
      <c r="M1990" s="7" t="s">
        <v>253</v>
      </c>
      <c r="N1990" s="7" t="s">
        <v>253</v>
      </c>
      <c r="O1990" s="7" t="s">
        <v>254</v>
      </c>
      <c r="P1990" s="8"/>
      <c r="Q1990" s="8"/>
      <c r="R1990" s="8"/>
      <c r="S1990" s="8"/>
      <c r="T1990" s="8"/>
      <c r="U1990" s="8"/>
      <c r="V1990" s="8"/>
      <c r="W1990" s="8"/>
      <c r="X1990" s="8"/>
      <c r="Y1990" s="8"/>
      <c r="Z1990" s="8"/>
      <c r="AA1990" s="8"/>
      <c r="AB1990" s="8"/>
      <c r="AC1990" s="8"/>
      <c r="AD1990" s="8"/>
      <c r="AE1990" s="8"/>
    </row>
    <row r="1991">
      <c r="A1991" s="12">
        <v>61.0</v>
      </c>
      <c r="B1991" s="8" t="s">
        <v>356</v>
      </c>
      <c r="C1991" s="8" t="s">
        <v>1308</v>
      </c>
      <c r="I1991" s="10" t="s">
        <v>345</v>
      </c>
      <c r="J1991" s="13" t="s">
        <v>1675</v>
      </c>
      <c r="K1991" s="13" t="s">
        <v>276</v>
      </c>
      <c r="L1991" s="13" t="s">
        <v>2078</v>
      </c>
      <c r="M1991" s="7" t="s">
        <v>253</v>
      </c>
      <c r="N1991" s="7" t="s">
        <v>253</v>
      </c>
      <c r="O1991" s="7" t="s">
        <v>254</v>
      </c>
      <c r="P1991" s="8"/>
      <c r="Q1991" s="8"/>
      <c r="R1991" s="8"/>
      <c r="S1991" s="8"/>
      <c r="T1991" s="8"/>
      <c r="U1991" s="8"/>
      <c r="V1991" s="8"/>
      <c r="W1991" s="8"/>
      <c r="X1991" s="8"/>
      <c r="Y1991" s="8"/>
      <c r="Z1991" s="8"/>
      <c r="AA1991" s="8"/>
      <c r="AB1991" s="8"/>
      <c r="AC1991" s="8"/>
      <c r="AD1991" s="8"/>
      <c r="AE1991" s="8"/>
    </row>
    <row r="1992">
      <c r="A1992" s="12">
        <v>61.0</v>
      </c>
      <c r="B1992" s="8" t="s">
        <v>356</v>
      </c>
      <c r="C1992" s="8" t="s">
        <v>1308</v>
      </c>
      <c r="I1992" s="10" t="s">
        <v>1392</v>
      </c>
      <c r="J1992" s="13" t="s">
        <v>1672</v>
      </c>
      <c r="K1992" s="13" t="s">
        <v>276</v>
      </c>
      <c r="L1992" s="13" t="s">
        <v>1758</v>
      </c>
      <c r="M1992" s="7" t="s">
        <v>253</v>
      </c>
      <c r="N1992" s="7" t="s">
        <v>253</v>
      </c>
      <c r="O1992" s="7" t="s">
        <v>254</v>
      </c>
      <c r="P1992" s="8"/>
      <c r="Q1992" s="8"/>
      <c r="R1992" s="8"/>
      <c r="S1992" s="8"/>
      <c r="T1992" s="8"/>
      <c r="U1992" s="8"/>
      <c r="V1992" s="8"/>
      <c r="W1992" s="8"/>
      <c r="X1992" s="8"/>
      <c r="Y1992" s="8"/>
      <c r="Z1992" s="8"/>
      <c r="AA1992" s="8"/>
      <c r="AB1992" s="8"/>
      <c r="AC1992" s="8"/>
      <c r="AD1992" s="8"/>
      <c r="AE1992" s="8"/>
    </row>
    <row r="1993">
      <c r="A1993" s="12">
        <v>61.0</v>
      </c>
      <c r="B1993" s="8" t="s">
        <v>356</v>
      </c>
      <c r="C1993" s="8" t="s">
        <v>1308</v>
      </c>
      <c r="I1993" s="10" t="s">
        <v>1395</v>
      </c>
      <c r="J1993" s="13" t="s">
        <v>1673</v>
      </c>
      <c r="K1993" s="13" t="s">
        <v>276</v>
      </c>
      <c r="L1993" s="13" t="s">
        <v>1758</v>
      </c>
      <c r="M1993" s="7" t="s">
        <v>253</v>
      </c>
      <c r="N1993" s="7" t="s">
        <v>253</v>
      </c>
      <c r="O1993" s="7" t="s">
        <v>254</v>
      </c>
      <c r="P1993" s="8"/>
      <c r="Q1993" s="8"/>
      <c r="R1993" s="8"/>
      <c r="S1993" s="8"/>
      <c r="T1993" s="8"/>
      <c r="U1993" s="8"/>
      <c r="V1993" s="8"/>
      <c r="W1993" s="8"/>
      <c r="X1993" s="8"/>
      <c r="Y1993" s="8"/>
      <c r="Z1993" s="8"/>
      <c r="AA1993" s="8"/>
      <c r="AB1993" s="8"/>
      <c r="AC1993" s="8"/>
      <c r="AD1993" s="8"/>
      <c r="AE1993" s="8"/>
    </row>
    <row r="1994">
      <c r="A1994" s="12">
        <v>61.0</v>
      </c>
      <c r="B1994" s="8" t="s">
        <v>356</v>
      </c>
      <c r="C1994" s="8" t="s">
        <v>1308</v>
      </c>
      <c r="I1994" s="10" t="s">
        <v>1354</v>
      </c>
      <c r="J1994" s="13" t="s">
        <v>1674</v>
      </c>
      <c r="K1994" s="13" t="s">
        <v>276</v>
      </c>
      <c r="L1994" s="13" t="s">
        <v>2078</v>
      </c>
      <c r="M1994" s="7" t="s">
        <v>253</v>
      </c>
      <c r="N1994" s="7" t="s">
        <v>253</v>
      </c>
      <c r="O1994" s="7" t="s">
        <v>254</v>
      </c>
      <c r="P1994" s="8"/>
      <c r="Q1994" s="8"/>
      <c r="R1994" s="8"/>
      <c r="S1994" s="8"/>
      <c r="T1994" s="8"/>
      <c r="U1994" s="8"/>
      <c r="V1994" s="8"/>
      <c r="W1994" s="8"/>
      <c r="X1994" s="8"/>
      <c r="Y1994" s="8"/>
      <c r="Z1994" s="8"/>
      <c r="AA1994" s="8"/>
      <c r="AB1994" s="8"/>
      <c r="AC1994" s="8"/>
      <c r="AD1994" s="8"/>
      <c r="AE1994" s="8"/>
    </row>
    <row r="1995">
      <c r="A1995" s="12">
        <v>61.0</v>
      </c>
      <c r="B1995" s="8" t="s">
        <v>356</v>
      </c>
      <c r="C1995" s="8" t="s">
        <v>1308</v>
      </c>
      <c r="I1995" s="10" t="s">
        <v>372</v>
      </c>
      <c r="J1995" s="13" t="s">
        <v>1675</v>
      </c>
      <c r="K1995" s="13" t="s">
        <v>276</v>
      </c>
      <c r="L1995" s="13" t="s">
        <v>2078</v>
      </c>
      <c r="M1995" s="7" t="s">
        <v>253</v>
      </c>
      <c r="N1995" s="7" t="s">
        <v>253</v>
      </c>
      <c r="O1995" s="7" t="s">
        <v>254</v>
      </c>
      <c r="P1995" s="8"/>
      <c r="Q1995" s="8"/>
      <c r="R1995" s="8"/>
      <c r="S1995" s="8"/>
      <c r="T1995" s="8"/>
      <c r="U1995" s="8"/>
      <c r="V1995" s="8"/>
      <c r="W1995" s="8"/>
      <c r="X1995" s="8"/>
      <c r="Y1995" s="8"/>
      <c r="Z1995" s="8"/>
      <c r="AA1995" s="8"/>
      <c r="AB1995" s="8"/>
      <c r="AC1995" s="8"/>
      <c r="AD1995" s="8"/>
      <c r="AE1995" s="8"/>
    </row>
    <row r="1996">
      <c r="A1996" s="12">
        <v>61.0</v>
      </c>
      <c r="B1996" s="8" t="s">
        <v>356</v>
      </c>
      <c r="C1996" s="8" t="s">
        <v>1308</v>
      </c>
      <c r="I1996" s="10" t="s">
        <v>1351</v>
      </c>
      <c r="J1996" s="13" t="s">
        <v>1672</v>
      </c>
      <c r="K1996" s="13" t="s">
        <v>276</v>
      </c>
      <c r="L1996" s="13" t="s">
        <v>1758</v>
      </c>
      <c r="M1996" s="7" t="s">
        <v>253</v>
      </c>
      <c r="N1996" s="7" t="s">
        <v>253</v>
      </c>
      <c r="O1996" s="7" t="s">
        <v>254</v>
      </c>
      <c r="P1996" s="8"/>
      <c r="Q1996" s="8"/>
      <c r="R1996" s="8"/>
      <c r="S1996" s="8"/>
      <c r="T1996" s="8"/>
      <c r="U1996" s="8"/>
      <c r="V1996" s="8"/>
      <c r="W1996" s="8"/>
      <c r="X1996" s="8"/>
      <c r="Y1996" s="8"/>
      <c r="Z1996" s="8"/>
      <c r="AA1996" s="8"/>
      <c r="AB1996" s="8"/>
      <c r="AC1996" s="8"/>
      <c r="AD1996" s="8"/>
      <c r="AE1996" s="8"/>
    </row>
    <row r="1997">
      <c r="A1997" s="12">
        <v>61.0</v>
      </c>
      <c r="B1997" s="8" t="s">
        <v>356</v>
      </c>
      <c r="C1997" s="8" t="s">
        <v>1308</v>
      </c>
      <c r="I1997" s="10" t="s">
        <v>1772</v>
      </c>
      <c r="J1997" s="13" t="s">
        <v>1673</v>
      </c>
      <c r="K1997" s="13" t="s">
        <v>276</v>
      </c>
      <c r="L1997" s="13" t="s">
        <v>1758</v>
      </c>
      <c r="M1997" s="7" t="s">
        <v>253</v>
      </c>
      <c r="N1997" s="7" t="s">
        <v>253</v>
      </c>
      <c r="O1997" s="7" t="s">
        <v>254</v>
      </c>
      <c r="P1997" s="8"/>
      <c r="Q1997" s="8"/>
      <c r="R1997" s="8"/>
      <c r="S1997" s="8"/>
      <c r="T1997" s="8"/>
      <c r="U1997" s="8"/>
      <c r="V1997" s="8"/>
      <c r="W1997" s="8"/>
      <c r="X1997" s="8"/>
      <c r="Y1997" s="8"/>
      <c r="Z1997" s="8"/>
      <c r="AA1997" s="8"/>
      <c r="AB1997" s="8"/>
      <c r="AC1997" s="8"/>
      <c r="AD1997" s="8"/>
      <c r="AE1997" s="8"/>
    </row>
    <row r="1998">
      <c r="A1998" s="12">
        <v>61.0</v>
      </c>
      <c r="B1998" s="8" t="s">
        <v>356</v>
      </c>
      <c r="C1998" s="8" t="s">
        <v>1308</v>
      </c>
      <c r="I1998" s="10" t="s">
        <v>956</v>
      </c>
      <c r="J1998" s="13" t="s">
        <v>1674</v>
      </c>
      <c r="K1998" s="13" t="s">
        <v>276</v>
      </c>
      <c r="L1998" s="13" t="s">
        <v>1758</v>
      </c>
      <c r="M1998" s="7" t="s">
        <v>253</v>
      </c>
      <c r="N1998" s="7" t="s">
        <v>253</v>
      </c>
      <c r="O1998" s="7" t="s">
        <v>254</v>
      </c>
      <c r="P1998" s="8"/>
      <c r="Q1998" s="8"/>
      <c r="R1998" s="8"/>
      <c r="S1998" s="8"/>
      <c r="T1998" s="8"/>
      <c r="U1998" s="8"/>
      <c r="V1998" s="8"/>
      <c r="W1998" s="8"/>
      <c r="X1998" s="8"/>
      <c r="Y1998" s="8"/>
      <c r="Z1998" s="8"/>
      <c r="AA1998" s="8"/>
      <c r="AB1998" s="8"/>
      <c r="AC1998" s="8"/>
      <c r="AD1998" s="8"/>
      <c r="AE1998" s="8"/>
    </row>
    <row r="1999">
      <c r="A1999" s="12">
        <v>61.0</v>
      </c>
      <c r="B1999" s="8" t="s">
        <v>356</v>
      </c>
      <c r="C1999" s="8" t="s">
        <v>1308</v>
      </c>
      <c r="I1999" s="10" t="s">
        <v>1598</v>
      </c>
      <c r="J1999" s="13" t="s">
        <v>1675</v>
      </c>
      <c r="K1999" s="13" t="s">
        <v>276</v>
      </c>
      <c r="L1999" s="13" t="s">
        <v>2080</v>
      </c>
      <c r="M1999" s="7" t="s">
        <v>253</v>
      </c>
      <c r="N1999" s="7" t="s">
        <v>253</v>
      </c>
      <c r="O1999" s="7" t="s">
        <v>254</v>
      </c>
      <c r="P1999" s="8"/>
      <c r="Q1999" s="8"/>
      <c r="R1999" s="8"/>
      <c r="S1999" s="8"/>
      <c r="T1999" s="8"/>
      <c r="U1999" s="8"/>
      <c r="V1999" s="8"/>
      <c r="W1999" s="8"/>
      <c r="X1999" s="8"/>
      <c r="Y1999" s="8"/>
      <c r="Z1999" s="8"/>
      <c r="AA1999" s="8"/>
      <c r="AB1999" s="8"/>
      <c r="AC1999" s="8"/>
      <c r="AD1999" s="8"/>
      <c r="AE1999" s="8"/>
    </row>
    <row r="2000">
      <c r="A2000" s="12">
        <v>61.0</v>
      </c>
      <c r="B2000" s="8" t="s">
        <v>356</v>
      </c>
      <c r="C2000" s="8" t="s">
        <v>1308</v>
      </c>
      <c r="I2000" s="10" t="s">
        <v>1325</v>
      </c>
      <c r="J2000" s="13" t="s">
        <v>1672</v>
      </c>
      <c r="K2000" s="13" t="s">
        <v>276</v>
      </c>
      <c r="L2000" s="13" t="s">
        <v>1758</v>
      </c>
      <c r="M2000" s="7" t="s">
        <v>253</v>
      </c>
      <c r="N2000" s="7" t="s">
        <v>253</v>
      </c>
      <c r="O2000" s="7" t="s">
        <v>254</v>
      </c>
      <c r="P2000" s="8"/>
      <c r="Q2000" s="8"/>
      <c r="R2000" s="8"/>
      <c r="S2000" s="8"/>
      <c r="T2000" s="8"/>
      <c r="U2000" s="8"/>
      <c r="V2000" s="8"/>
      <c r="W2000" s="8"/>
      <c r="X2000" s="8"/>
      <c r="Y2000" s="8"/>
      <c r="Z2000" s="8"/>
      <c r="AA2000" s="8"/>
      <c r="AB2000" s="8"/>
      <c r="AC2000" s="8"/>
      <c r="AD2000" s="8"/>
      <c r="AE2000" s="8"/>
    </row>
    <row r="2001">
      <c r="A2001" s="12">
        <v>61.0</v>
      </c>
      <c r="B2001" s="8" t="s">
        <v>356</v>
      </c>
      <c r="C2001" s="8" t="s">
        <v>1308</v>
      </c>
      <c r="I2001" s="10" t="s">
        <v>913</v>
      </c>
      <c r="J2001" s="13" t="s">
        <v>1673</v>
      </c>
      <c r="K2001" s="13" t="s">
        <v>276</v>
      </c>
      <c r="L2001" s="13" t="s">
        <v>2078</v>
      </c>
      <c r="M2001" s="7" t="s">
        <v>253</v>
      </c>
      <c r="N2001" s="7" t="s">
        <v>253</v>
      </c>
      <c r="O2001" s="7" t="s">
        <v>254</v>
      </c>
      <c r="P2001" s="8"/>
      <c r="Q2001" s="8"/>
      <c r="R2001" s="8"/>
      <c r="S2001" s="8"/>
      <c r="T2001" s="8"/>
      <c r="U2001" s="8"/>
      <c r="V2001" s="8"/>
      <c r="W2001" s="8"/>
      <c r="X2001" s="8"/>
      <c r="Y2001" s="8"/>
      <c r="Z2001" s="8"/>
      <c r="AA2001" s="8"/>
      <c r="AB2001" s="8"/>
      <c r="AC2001" s="8"/>
      <c r="AD2001" s="8"/>
      <c r="AE2001" s="8"/>
    </row>
    <row r="2002">
      <c r="A2002" s="12">
        <v>61.0</v>
      </c>
      <c r="B2002" s="8" t="s">
        <v>356</v>
      </c>
      <c r="C2002" s="8" t="s">
        <v>1308</v>
      </c>
      <c r="I2002" s="10" t="s">
        <v>1773</v>
      </c>
      <c r="J2002" s="13" t="s">
        <v>1674</v>
      </c>
      <c r="K2002" s="13" t="s">
        <v>276</v>
      </c>
      <c r="L2002" s="13" t="s">
        <v>1758</v>
      </c>
      <c r="M2002" s="7" t="s">
        <v>253</v>
      </c>
      <c r="N2002" s="7" t="s">
        <v>253</v>
      </c>
      <c r="O2002" s="7" t="s">
        <v>254</v>
      </c>
      <c r="P2002" s="8"/>
      <c r="Q2002" s="8"/>
      <c r="R2002" s="8"/>
      <c r="S2002" s="8"/>
      <c r="T2002" s="8"/>
      <c r="U2002" s="8"/>
      <c r="V2002" s="8"/>
      <c r="W2002" s="8"/>
      <c r="X2002" s="8"/>
      <c r="Y2002" s="8"/>
      <c r="Z2002" s="8"/>
      <c r="AA2002" s="8"/>
      <c r="AB2002" s="8"/>
      <c r="AC2002" s="8"/>
      <c r="AD2002" s="8"/>
      <c r="AE2002" s="8"/>
    </row>
    <row r="2003">
      <c r="A2003" s="12">
        <v>61.0</v>
      </c>
      <c r="B2003" s="8" t="s">
        <v>356</v>
      </c>
      <c r="C2003" s="8" t="s">
        <v>1308</v>
      </c>
      <c r="I2003" s="10" t="s">
        <v>412</v>
      </c>
      <c r="J2003" s="13" t="s">
        <v>1675</v>
      </c>
      <c r="K2003" s="13" t="s">
        <v>276</v>
      </c>
      <c r="L2003" s="13" t="s">
        <v>1758</v>
      </c>
      <c r="M2003" s="7" t="s">
        <v>253</v>
      </c>
      <c r="N2003" s="7" t="s">
        <v>253</v>
      </c>
      <c r="O2003" s="7" t="s">
        <v>254</v>
      </c>
      <c r="P2003" s="8"/>
      <c r="Q2003" s="8"/>
      <c r="R2003" s="8"/>
      <c r="S2003" s="8"/>
      <c r="T2003" s="8"/>
      <c r="U2003" s="8"/>
      <c r="V2003" s="8"/>
      <c r="W2003" s="8"/>
      <c r="X2003" s="8"/>
      <c r="Y2003" s="8"/>
      <c r="Z2003" s="8"/>
      <c r="AA2003" s="8"/>
      <c r="AB2003" s="8"/>
      <c r="AC2003" s="8"/>
      <c r="AD2003" s="8"/>
      <c r="AE2003" s="8"/>
    </row>
    <row r="2004">
      <c r="A2004" s="12">
        <v>61.0</v>
      </c>
      <c r="B2004" s="8" t="s">
        <v>356</v>
      </c>
      <c r="C2004" s="8" t="s">
        <v>1308</v>
      </c>
      <c r="I2004" s="10" t="s">
        <v>1740</v>
      </c>
      <c r="J2004" s="13" t="s">
        <v>1672</v>
      </c>
      <c r="K2004" s="13" t="s">
        <v>276</v>
      </c>
      <c r="L2004" s="13" t="s">
        <v>2078</v>
      </c>
      <c r="M2004" s="7" t="s">
        <v>253</v>
      </c>
      <c r="N2004" s="7" t="s">
        <v>253</v>
      </c>
      <c r="O2004" s="7" t="s">
        <v>254</v>
      </c>
      <c r="P2004" s="8"/>
      <c r="Q2004" s="8"/>
      <c r="R2004" s="8"/>
      <c r="S2004" s="8"/>
      <c r="T2004" s="8"/>
      <c r="U2004" s="8"/>
      <c r="V2004" s="8"/>
      <c r="W2004" s="8"/>
      <c r="X2004" s="8"/>
      <c r="Y2004" s="8"/>
      <c r="Z2004" s="8"/>
      <c r="AA2004" s="8"/>
      <c r="AB2004" s="8"/>
      <c r="AC2004" s="8"/>
      <c r="AD2004" s="8"/>
      <c r="AE2004" s="8"/>
    </row>
    <row r="2005">
      <c r="A2005" s="12">
        <v>61.0</v>
      </c>
      <c r="B2005" s="8" t="s">
        <v>356</v>
      </c>
      <c r="C2005" s="8" t="s">
        <v>1308</v>
      </c>
      <c r="I2005" s="10" t="s">
        <v>1493</v>
      </c>
      <c r="J2005" s="13" t="s">
        <v>1673</v>
      </c>
      <c r="K2005" s="13" t="s">
        <v>276</v>
      </c>
      <c r="L2005" s="13" t="s">
        <v>2078</v>
      </c>
      <c r="M2005" s="7" t="s">
        <v>253</v>
      </c>
      <c r="N2005" s="7" t="s">
        <v>253</v>
      </c>
      <c r="O2005" s="7" t="s">
        <v>254</v>
      </c>
      <c r="P2005" s="8"/>
      <c r="Q2005" s="8"/>
      <c r="R2005" s="8"/>
      <c r="S2005" s="8"/>
      <c r="T2005" s="8"/>
      <c r="U2005" s="8"/>
      <c r="V2005" s="8"/>
      <c r="W2005" s="8"/>
      <c r="X2005" s="8"/>
      <c r="Y2005" s="8"/>
      <c r="Z2005" s="8"/>
      <c r="AA2005" s="8"/>
      <c r="AB2005" s="8"/>
      <c r="AC2005" s="8"/>
      <c r="AD2005" s="8"/>
      <c r="AE2005" s="8"/>
    </row>
    <row r="2006">
      <c r="A2006" s="12">
        <v>61.0</v>
      </c>
      <c r="B2006" s="8" t="s">
        <v>356</v>
      </c>
      <c r="C2006" s="8" t="s">
        <v>1308</v>
      </c>
      <c r="I2006" s="10" t="s">
        <v>1321</v>
      </c>
      <c r="J2006" s="13" t="s">
        <v>1674</v>
      </c>
      <c r="K2006" s="13" t="s">
        <v>276</v>
      </c>
      <c r="L2006" s="13" t="s">
        <v>2078</v>
      </c>
      <c r="M2006" s="7" t="s">
        <v>253</v>
      </c>
      <c r="N2006" s="7" t="s">
        <v>253</v>
      </c>
      <c r="O2006" s="7" t="s">
        <v>254</v>
      </c>
      <c r="P2006" s="8"/>
      <c r="Q2006" s="8"/>
      <c r="R2006" s="8"/>
      <c r="S2006" s="8"/>
      <c r="T2006" s="8"/>
      <c r="U2006" s="8"/>
      <c r="V2006" s="8"/>
      <c r="W2006" s="8"/>
      <c r="X2006" s="8"/>
      <c r="Y2006" s="8"/>
      <c r="Z2006" s="8"/>
      <c r="AA2006" s="8"/>
      <c r="AB2006" s="8"/>
      <c r="AC2006" s="8"/>
      <c r="AD2006" s="8"/>
      <c r="AE2006" s="8"/>
    </row>
    <row r="2007">
      <c r="A2007" s="12">
        <v>61.0</v>
      </c>
      <c r="B2007" s="8" t="s">
        <v>356</v>
      </c>
      <c r="C2007" s="8" t="s">
        <v>1308</v>
      </c>
      <c r="I2007" s="10" t="s">
        <v>1017</v>
      </c>
      <c r="J2007" s="13" t="s">
        <v>1675</v>
      </c>
      <c r="K2007" s="13" t="s">
        <v>276</v>
      </c>
      <c r="L2007" s="13" t="s">
        <v>1758</v>
      </c>
      <c r="M2007" s="7" t="s">
        <v>253</v>
      </c>
      <c r="N2007" s="7" t="s">
        <v>253</v>
      </c>
      <c r="O2007" s="7" t="s">
        <v>254</v>
      </c>
      <c r="P2007" s="8"/>
      <c r="Q2007" s="8"/>
      <c r="R2007" s="8"/>
      <c r="S2007" s="8"/>
      <c r="T2007" s="8"/>
      <c r="U2007" s="8"/>
      <c r="V2007" s="8"/>
      <c r="W2007" s="8"/>
      <c r="X2007" s="8"/>
      <c r="Y2007" s="8"/>
      <c r="Z2007" s="8"/>
      <c r="AA2007" s="8"/>
      <c r="AB2007" s="8"/>
      <c r="AC2007" s="8"/>
      <c r="AD2007" s="8"/>
      <c r="AE2007" s="8"/>
    </row>
    <row r="2008">
      <c r="A2008" s="12">
        <v>61.0</v>
      </c>
      <c r="B2008" s="8" t="s">
        <v>356</v>
      </c>
      <c r="C2008" s="8" t="s">
        <v>1308</v>
      </c>
      <c r="I2008" s="10" t="s">
        <v>1774</v>
      </c>
      <c r="J2008" s="13" t="s">
        <v>1672</v>
      </c>
      <c r="K2008" s="13" t="s">
        <v>276</v>
      </c>
      <c r="L2008" s="13" t="s">
        <v>1758</v>
      </c>
      <c r="M2008" s="7" t="s">
        <v>253</v>
      </c>
      <c r="N2008" s="7" t="s">
        <v>253</v>
      </c>
      <c r="O2008" s="7" t="s">
        <v>254</v>
      </c>
      <c r="P2008" s="8"/>
      <c r="Q2008" s="8"/>
      <c r="R2008" s="8"/>
      <c r="S2008" s="8"/>
      <c r="T2008" s="8"/>
      <c r="U2008" s="8"/>
      <c r="V2008" s="8"/>
      <c r="W2008" s="8"/>
      <c r="X2008" s="8"/>
      <c r="Y2008" s="8"/>
      <c r="Z2008" s="8"/>
      <c r="AA2008" s="8"/>
      <c r="AB2008" s="8"/>
      <c r="AC2008" s="8"/>
      <c r="AD2008" s="8"/>
      <c r="AE2008" s="8"/>
    </row>
    <row r="2009">
      <c r="A2009" s="12">
        <v>62.0</v>
      </c>
      <c r="B2009" s="8" t="s">
        <v>359</v>
      </c>
      <c r="C2009" s="8" t="s">
        <v>1308</v>
      </c>
      <c r="D2009" s="25">
        <f>IF(COUNTIF($B$2:$B2009,$B2009)&gt;1,"",COUNTIF($B$2:$B$2505,$B2009))</f>
        <v>19</v>
      </c>
      <c r="E2009" s="25">
        <f>IF(COUNTIF($B$2:$B2009,$B2009)&gt;1,"",COUNTIFS($B$2:$B$2505,$B2009,$K$2:$K$2505,"PHÙ HỢP CAO"))</f>
        <v>3</v>
      </c>
      <c r="F2009" s="25">
        <f>IF(COUNTIF($B$2:$B2009,$B2009)&gt;1,"",COUNTIFS($B$2:$B$2505,$B2009,$K$2:$K$2505,"CÓ THỂ ĐI"))</f>
        <v>2</v>
      </c>
      <c r="G2009" s="25">
        <f>IF(COUNTIF($B$2:$B2009,$B2009)&gt;1,"",COUNTIFS($B$2:$B$2505,$B2009,$K$2:$K$2505,"CẦN SOÁT"))</f>
        <v>14</v>
      </c>
      <c r="H2009" s="26" t="str">
        <f>IFERROR(__xludf.DUMMYFUNCTION("IF(COUNTIF($B$2:$B2009,$B2009)&gt;1,"""",IFERROR(TEXTJOIN(CHAR(10),TRUE,BYROW(QUERY({$B$2:$B$2505,$J$2:$J$2505},""select Col2, count(Col2) where Col1 = '""&amp;$B2009&amp;""' group by Col2 order by count(Col2) desc label count(Col2) ''"",0),LAMBDA(r,INDEX(r,1,1)&amp;"" "&amp;"– ""&amp;INDEX(r,1,2)&amp;"" link""))),""""))"),"rút tiền tiết kiệm trước thời hạn – 10 link
rút tiết kiệm trước hạn – 9 link")</f>
        <v>rút tiền tiết kiệm trước thời hạn – 10 link
rút tiết kiệm trước hạn – 9 link</v>
      </c>
      <c r="I2009" s="10" t="s">
        <v>1346</v>
      </c>
      <c r="J2009" s="13" t="s">
        <v>1350</v>
      </c>
      <c r="K2009" s="13" t="s">
        <v>251</v>
      </c>
      <c r="L2009" s="13" t="s">
        <v>2081</v>
      </c>
      <c r="M2009" s="7" t="s">
        <v>253</v>
      </c>
      <c r="N2009" s="7" t="s">
        <v>253</v>
      </c>
      <c r="O2009" s="7" t="s">
        <v>254</v>
      </c>
      <c r="P2009" s="8"/>
      <c r="Q2009" s="8"/>
      <c r="R2009" s="8"/>
      <c r="S2009" s="8"/>
      <c r="T2009" s="8"/>
      <c r="U2009" s="8"/>
      <c r="V2009" s="8"/>
      <c r="W2009" s="8"/>
      <c r="X2009" s="8"/>
      <c r="Y2009" s="8"/>
      <c r="Z2009" s="8"/>
      <c r="AA2009" s="8"/>
      <c r="AB2009" s="8"/>
      <c r="AC2009" s="8"/>
      <c r="AD2009" s="8"/>
      <c r="AE2009" s="8"/>
    </row>
    <row r="2010">
      <c r="A2010" s="12">
        <v>62.0</v>
      </c>
      <c r="B2010" s="8" t="s">
        <v>359</v>
      </c>
      <c r="C2010" s="8" t="s">
        <v>1308</v>
      </c>
      <c r="I2010" s="10" t="s">
        <v>1351</v>
      </c>
      <c r="J2010" s="13" t="s">
        <v>1353</v>
      </c>
      <c r="K2010" s="13" t="s">
        <v>251</v>
      </c>
      <c r="L2010" s="13" t="s">
        <v>2082</v>
      </c>
      <c r="M2010" s="7" t="s">
        <v>253</v>
      </c>
      <c r="N2010" s="7" t="s">
        <v>253</v>
      </c>
      <c r="O2010" s="7" t="s">
        <v>254</v>
      </c>
      <c r="P2010" s="8"/>
      <c r="Q2010" s="8"/>
      <c r="R2010" s="8"/>
      <c r="S2010" s="8"/>
      <c r="T2010" s="8"/>
      <c r="U2010" s="8"/>
      <c r="V2010" s="8"/>
      <c r="W2010" s="8"/>
      <c r="X2010" s="8"/>
      <c r="Y2010" s="8"/>
      <c r="Z2010" s="8"/>
      <c r="AA2010" s="8"/>
      <c r="AB2010" s="8"/>
      <c r="AC2010" s="8"/>
      <c r="AD2010" s="8"/>
      <c r="AE2010" s="8"/>
    </row>
    <row r="2011">
      <c r="A2011" s="12">
        <v>62.0</v>
      </c>
      <c r="B2011" s="8" t="s">
        <v>359</v>
      </c>
      <c r="C2011" s="8" t="s">
        <v>1308</v>
      </c>
      <c r="I2011" s="10" t="s">
        <v>1354</v>
      </c>
      <c r="J2011" s="13" t="s">
        <v>1350</v>
      </c>
      <c r="K2011" s="13" t="s">
        <v>251</v>
      </c>
      <c r="L2011" s="13" t="s">
        <v>2083</v>
      </c>
      <c r="M2011" s="7" t="s">
        <v>253</v>
      </c>
      <c r="N2011" s="7" t="s">
        <v>253</v>
      </c>
      <c r="O2011" s="7" t="s">
        <v>254</v>
      </c>
      <c r="P2011" s="8"/>
      <c r="Q2011" s="8"/>
      <c r="R2011" s="8"/>
      <c r="S2011" s="8"/>
      <c r="T2011" s="8"/>
      <c r="U2011" s="8"/>
      <c r="V2011" s="8"/>
      <c r="W2011" s="8"/>
      <c r="X2011" s="8"/>
      <c r="Y2011" s="8"/>
      <c r="Z2011" s="8"/>
      <c r="AA2011" s="8"/>
      <c r="AB2011" s="8"/>
      <c r="AC2011" s="8"/>
      <c r="AD2011" s="8"/>
      <c r="AE2011" s="8"/>
    </row>
    <row r="2012">
      <c r="A2012" s="12">
        <v>62.0</v>
      </c>
      <c r="B2012" s="8" t="s">
        <v>359</v>
      </c>
      <c r="C2012" s="8" t="s">
        <v>1308</v>
      </c>
      <c r="I2012" s="10" t="s">
        <v>1359</v>
      </c>
      <c r="J2012" s="13" t="s">
        <v>1353</v>
      </c>
      <c r="K2012" s="13" t="s">
        <v>272</v>
      </c>
      <c r="L2012" s="13" t="s">
        <v>2084</v>
      </c>
      <c r="M2012" s="7" t="s">
        <v>253</v>
      </c>
      <c r="N2012" s="7" t="s">
        <v>253</v>
      </c>
      <c r="O2012" s="7" t="s">
        <v>254</v>
      </c>
      <c r="P2012" s="8"/>
      <c r="Q2012" s="8"/>
      <c r="R2012" s="8"/>
      <c r="S2012" s="8"/>
      <c r="T2012" s="8"/>
      <c r="U2012" s="8"/>
      <c r="V2012" s="8"/>
      <c r="W2012" s="8"/>
      <c r="X2012" s="8"/>
      <c r="Y2012" s="8"/>
      <c r="Z2012" s="8"/>
      <c r="AA2012" s="8"/>
      <c r="AB2012" s="8"/>
      <c r="AC2012" s="8"/>
      <c r="AD2012" s="8"/>
      <c r="AE2012" s="8"/>
    </row>
    <row r="2013">
      <c r="A2013" s="12">
        <v>62.0</v>
      </c>
      <c r="B2013" s="8" t="s">
        <v>359</v>
      </c>
      <c r="C2013" s="8" t="s">
        <v>1308</v>
      </c>
      <c r="I2013" s="10" t="s">
        <v>1361</v>
      </c>
      <c r="J2013" s="13" t="s">
        <v>1350</v>
      </c>
      <c r="K2013" s="13" t="s">
        <v>272</v>
      </c>
      <c r="L2013" s="13" t="s">
        <v>2085</v>
      </c>
      <c r="M2013" s="7" t="s">
        <v>253</v>
      </c>
      <c r="N2013" s="7" t="s">
        <v>253</v>
      </c>
      <c r="O2013" s="7" t="s">
        <v>254</v>
      </c>
      <c r="P2013" s="8"/>
      <c r="Q2013" s="8"/>
      <c r="R2013" s="8"/>
      <c r="S2013" s="8"/>
      <c r="T2013" s="8"/>
      <c r="U2013" s="8"/>
      <c r="V2013" s="8"/>
      <c r="W2013" s="8"/>
      <c r="X2013" s="8"/>
      <c r="Y2013" s="8"/>
      <c r="Z2013" s="8"/>
      <c r="AA2013" s="8"/>
      <c r="AB2013" s="8"/>
      <c r="AC2013" s="8"/>
      <c r="AD2013" s="8"/>
      <c r="AE2013" s="8"/>
    </row>
    <row r="2014">
      <c r="A2014" s="12">
        <v>62.0</v>
      </c>
      <c r="B2014" s="8" t="s">
        <v>359</v>
      </c>
      <c r="C2014" s="8" t="s">
        <v>1308</v>
      </c>
      <c r="I2014" s="10" t="s">
        <v>361</v>
      </c>
      <c r="J2014" s="13" t="s">
        <v>1353</v>
      </c>
      <c r="K2014" s="13" t="s">
        <v>276</v>
      </c>
      <c r="L2014" s="13" t="s">
        <v>2086</v>
      </c>
      <c r="M2014" s="7" t="s">
        <v>253</v>
      </c>
      <c r="N2014" s="7" t="s">
        <v>253</v>
      </c>
      <c r="O2014" s="7" t="s">
        <v>254</v>
      </c>
      <c r="P2014" s="8"/>
      <c r="Q2014" s="8"/>
      <c r="R2014" s="8"/>
      <c r="S2014" s="8"/>
      <c r="T2014" s="8"/>
      <c r="U2014" s="8"/>
      <c r="V2014" s="8"/>
      <c r="W2014" s="8"/>
      <c r="X2014" s="8"/>
      <c r="Y2014" s="8"/>
      <c r="Z2014" s="8"/>
      <c r="AA2014" s="8"/>
      <c r="AB2014" s="8"/>
      <c r="AC2014" s="8"/>
      <c r="AD2014" s="8"/>
      <c r="AE2014" s="8"/>
    </row>
    <row r="2015">
      <c r="A2015" s="12">
        <v>62.0</v>
      </c>
      <c r="B2015" s="8" t="s">
        <v>359</v>
      </c>
      <c r="C2015" s="8" t="s">
        <v>1308</v>
      </c>
      <c r="I2015" s="10" t="s">
        <v>1298</v>
      </c>
      <c r="J2015" s="13" t="s">
        <v>1350</v>
      </c>
      <c r="K2015" s="13" t="s">
        <v>276</v>
      </c>
      <c r="L2015" s="13" t="s">
        <v>2087</v>
      </c>
      <c r="M2015" s="7" t="s">
        <v>253</v>
      </c>
      <c r="N2015" s="7" t="s">
        <v>253</v>
      </c>
      <c r="O2015" s="7" t="s">
        <v>254</v>
      </c>
      <c r="P2015" s="8"/>
      <c r="Q2015" s="8"/>
      <c r="R2015" s="8"/>
      <c r="S2015" s="8"/>
      <c r="T2015" s="8"/>
      <c r="U2015" s="8"/>
      <c r="V2015" s="8"/>
      <c r="W2015" s="8"/>
      <c r="X2015" s="8"/>
      <c r="Y2015" s="8"/>
      <c r="Z2015" s="8"/>
      <c r="AA2015" s="8"/>
      <c r="AB2015" s="8"/>
      <c r="AC2015" s="8"/>
      <c r="AD2015" s="8"/>
      <c r="AE2015" s="8"/>
    </row>
    <row r="2016">
      <c r="A2016" s="12">
        <v>62.0</v>
      </c>
      <c r="B2016" s="8" t="s">
        <v>359</v>
      </c>
      <c r="C2016" s="8" t="s">
        <v>1308</v>
      </c>
      <c r="I2016" s="10" t="s">
        <v>1339</v>
      </c>
      <c r="J2016" s="13" t="s">
        <v>1353</v>
      </c>
      <c r="K2016" s="13" t="s">
        <v>276</v>
      </c>
      <c r="L2016" s="13" t="s">
        <v>2086</v>
      </c>
      <c r="M2016" s="7" t="s">
        <v>253</v>
      </c>
      <c r="N2016" s="7" t="s">
        <v>253</v>
      </c>
      <c r="O2016" s="7" t="s">
        <v>254</v>
      </c>
      <c r="P2016" s="8"/>
      <c r="Q2016" s="8"/>
      <c r="R2016" s="8"/>
      <c r="S2016" s="8"/>
      <c r="T2016" s="8"/>
      <c r="U2016" s="8"/>
      <c r="V2016" s="8"/>
      <c r="W2016" s="8"/>
      <c r="X2016" s="8"/>
      <c r="Y2016" s="8"/>
      <c r="Z2016" s="8"/>
      <c r="AA2016" s="8"/>
      <c r="AB2016" s="8"/>
      <c r="AC2016" s="8"/>
      <c r="AD2016" s="8"/>
      <c r="AE2016" s="8"/>
    </row>
    <row r="2017">
      <c r="A2017" s="12">
        <v>62.0</v>
      </c>
      <c r="B2017" s="8" t="s">
        <v>359</v>
      </c>
      <c r="C2017" s="8" t="s">
        <v>1308</v>
      </c>
      <c r="I2017" s="10" t="s">
        <v>1294</v>
      </c>
      <c r="J2017" s="13" t="s">
        <v>1350</v>
      </c>
      <c r="K2017" s="13" t="s">
        <v>276</v>
      </c>
      <c r="L2017" s="13" t="s">
        <v>2060</v>
      </c>
      <c r="M2017" s="7" t="s">
        <v>253</v>
      </c>
      <c r="N2017" s="7" t="s">
        <v>253</v>
      </c>
      <c r="O2017" s="7" t="s">
        <v>254</v>
      </c>
      <c r="P2017" s="8"/>
      <c r="Q2017" s="8"/>
      <c r="R2017" s="8"/>
      <c r="S2017" s="8"/>
      <c r="T2017" s="8"/>
      <c r="U2017" s="8"/>
      <c r="V2017" s="8"/>
      <c r="W2017" s="8"/>
      <c r="X2017" s="8"/>
      <c r="Y2017" s="8"/>
      <c r="Z2017" s="8"/>
      <c r="AA2017" s="8"/>
      <c r="AB2017" s="8"/>
      <c r="AC2017" s="8"/>
      <c r="AD2017" s="8"/>
      <c r="AE2017" s="8"/>
    </row>
    <row r="2018">
      <c r="A2018" s="12">
        <v>62.0</v>
      </c>
      <c r="B2018" s="8" t="s">
        <v>359</v>
      </c>
      <c r="C2018" s="8" t="s">
        <v>1308</v>
      </c>
      <c r="I2018" s="10" t="s">
        <v>979</v>
      </c>
      <c r="J2018" s="13" t="s">
        <v>1353</v>
      </c>
      <c r="K2018" s="13" t="s">
        <v>276</v>
      </c>
      <c r="L2018" s="13" t="s">
        <v>2060</v>
      </c>
      <c r="M2018" s="7" t="s">
        <v>253</v>
      </c>
      <c r="N2018" s="7" t="s">
        <v>253</v>
      </c>
      <c r="O2018" s="7" t="s">
        <v>254</v>
      </c>
      <c r="P2018" s="8"/>
      <c r="Q2018" s="8"/>
      <c r="R2018" s="8"/>
      <c r="S2018" s="8"/>
      <c r="T2018" s="8"/>
      <c r="U2018" s="8"/>
      <c r="V2018" s="8"/>
      <c r="W2018" s="8"/>
      <c r="X2018" s="8"/>
      <c r="Y2018" s="8"/>
      <c r="Z2018" s="8"/>
      <c r="AA2018" s="8"/>
      <c r="AB2018" s="8"/>
      <c r="AC2018" s="8"/>
      <c r="AD2018" s="8"/>
      <c r="AE2018" s="8"/>
    </row>
    <row r="2019">
      <c r="A2019" s="12">
        <v>62.0</v>
      </c>
      <c r="B2019" s="8" t="s">
        <v>359</v>
      </c>
      <c r="C2019" s="8" t="s">
        <v>1308</v>
      </c>
      <c r="I2019" s="10" t="s">
        <v>1363</v>
      </c>
      <c r="J2019" s="13" t="s">
        <v>1350</v>
      </c>
      <c r="K2019" s="13" t="s">
        <v>276</v>
      </c>
      <c r="L2019" s="13" t="s">
        <v>2086</v>
      </c>
      <c r="M2019" s="7" t="s">
        <v>253</v>
      </c>
      <c r="N2019" s="7" t="s">
        <v>253</v>
      </c>
      <c r="O2019" s="7" t="s">
        <v>254</v>
      </c>
      <c r="P2019" s="8"/>
      <c r="Q2019" s="8"/>
      <c r="R2019" s="8"/>
      <c r="S2019" s="8"/>
      <c r="T2019" s="8"/>
      <c r="U2019" s="8"/>
      <c r="V2019" s="8"/>
      <c r="W2019" s="8"/>
      <c r="X2019" s="8"/>
      <c r="Y2019" s="8"/>
      <c r="Z2019" s="8"/>
      <c r="AA2019" s="8"/>
      <c r="AB2019" s="8"/>
      <c r="AC2019" s="8"/>
      <c r="AD2019" s="8"/>
      <c r="AE2019" s="8"/>
    </row>
    <row r="2020">
      <c r="A2020" s="12">
        <v>62.0</v>
      </c>
      <c r="B2020" s="8" t="s">
        <v>359</v>
      </c>
      <c r="C2020" s="8" t="s">
        <v>1308</v>
      </c>
      <c r="I2020" s="10" t="s">
        <v>987</v>
      </c>
      <c r="J2020" s="13" t="s">
        <v>1353</v>
      </c>
      <c r="K2020" s="13" t="s">
        <v>276</v>
      </c>
      <c r="L2020" s="13" t="s">
        <v>2088</v>
      </c>
      <c r="M2020" s="7" t="s">
        <v>253</v>
      </c>
      <c r="N2020" s="7" t="s">
        <v>253</v>
      </c>
      <c r="O2020" s="7" t="s">
        <v>254</v>
      </c>
      <c r="P2020" s="8"/>
      <c r="Q2020" s="8"/>
      <c r="R2020" s="8"/>
      <c r="S2020" s="8"/>
      <c r="T2020" s="8"/>
      <c r="U2020" s="8"/>
      <c r="V2020" s="8"/>
      <c r="W2020" s="8"/>
      <c r="X2020" s="8"/>
      <c r="Y2020" s="8"/>
      <c r="Z2020" s="8"/>
      <c r="AA2020" s="8"/>
      <c r="AB2020" s="8"/>
      <c r="AC2020" s="8"/>
      <c r="AD2020" s="8"/>
      <c r="AE2020" s="8"/>
    </row>
    <row r="2021">
      <c r="A2021" s="12">
        <v>62.0</v>
      </c>
      <c r="B2021" s="8" t="s">
        <v>359</v>
      </c>
      <c r="C2021" s="8" t="s">
        <v>1308</v>
      </c>
      <c r="I2021" s="10" t="s">
        <v>1484</v>
      </c>
      <c r="J2021" s="13" t="s">
        <v>1350</v>
      </c>
      <c r="K2021" s="13" t="s">
        <v>276</v>
      </c>
      <c r="L2021" s="13" t="s">
        <v>2060</v>
      </c>
      <c r="M2021" s="7" t="s">
        <v>253</v>
      </c>
      <c r="N2021" s="7" t="s">
        <v>253</v>
      </c>
      <c r="O2021" s="7" t="s">
        <v>254</v>
      </c>
      <c r="P2021" s="8"/>
      <c r="Q2021" s="8"/>
      <c r="R2021" s="8"/>
      <c r="S2021" s="8"/>
      <c r="T2021" s="8"/>
      <c r="U2021" s="8"/>
      <c r="V2021" s="8"/>
      <c r="W2021" s="8"/>
      <c r="X2021" s="8"/>
      <c r="Y2021" s="8"/>
      <c r="Z2021" s="8"/>
      <c r="AA2021" s="8"/>
      <c r="AB2021" s="8"/>
      <c r="AC2021" s="8"/>
      <c r="AD2021" s="8"/>
      <c r="AE2021" s="8"/>
    </row>
    <row r="2022">
      <c r="A2022" s="12">
        <v>62.0</v>
      </c>
      <c r="B2022" s="8" t="s">
        <v>359</v>
      </c>
      <c r="C2022" s="8" t="s">
        <v>1308</v>
      </c>
      <c r="I2022" s="10" t="s">
        <v>1549</v>
      </c>
      <c r="J2022" s="13" t="s">
        <v>1353</v>
      </c>
      <c r="K2022" s="13" t="s">
        <v>276</v>
      </c>
      <c r="L2022" s="13" t="s">
        <v>2088</v>
      </c>
      <c r="M2022" s="7" t="s">
        <v>253</v>
      </c>
      <c r="N2022" s="7" t="s">
        <v>253</v>
      </c>
      <c r="O2022" s="7" t="s">
        <v>254</v>
      </c>
      <c r="P2022" s="8"/>
      <c r="Q2022" s="8"/>
      <c r="R2022" s="8"/>
      <c r="S2022" s="8"/>
      <c r="T2022" s="8"/>
      <c r="U2022" s="8"/>
      <c r="V2022" s="8"/>
      <c r="W2022" s="8"/>
      <c r="X2022" s="8"/>
      <c r="Y2022" s="8"/>
      <c r="Z2022" s="8"/>
      <c r="AA2022" s="8"/>
      <c r="AB2022" s="8"/>
      <c r="AC2022" s="8"/>
      <c r="AD2022" s="8"/>
      <c r="AE2022" s="8"/>
    </row>
    <row r="2023">
      <c r="A2023" s="12">
        <v>62.0</v>
      </c>
      <c r="B2023" s="8" t="s">
        <v>359</v>
      </c>
      <c r="C2023" s="8" t="s">
        <v>1308</v>
      </c>
      <c r="I2023" s="10" t="s">
        <v>881</v>
      </c>
      <c r="J2023" s="13" t="s">
        <v>1350</v>
      </c>
      <c r="K2023" s="13" t="s">
        <v>276</v>
      </c>
      <c r="L2023" s="13" t="s">
        <v>2086</v>
      </c>
      <c r="M2023" s="7" t="s">
        <v>253</v>
      </c>
      <c r="N2023" s="7" t="s">
        <v>253</v>
      </c>
      <c r="O2023" s="7" t="s">
        <v>254</v>
      </c>
      <c r="P2023" s="8"/>
      <c r="Q2023" s="8"/>
      <c r="R2023" s="8"/>
      <c r="S2023" s="8"/>
      <c r="T2023" s="8"/>
      <c r="U2023" s="8"/>
      <c r="V2023" s="8"/>
      <c r="W2023" s="8"/>
      <c r="X2023" s="8"/>
      <c r="Y2023" s="8"/>
      <c r="Z2023" s="8"/>
      <c r="AA2023" s="8"/>
      <c r="AB2023" s="8"/>
      <c r="AC2023" s="8"/>
      <c r="AD2023" s="8"/>
      <c r="AE2023" s="8"/>
    </row>
    <row r="2024">
      <c r="A2024" s="12">
        <v>62.0</v>
      </c>
      <c r="B2024" s="8" t="s">
        <v>359</v>
      </c>
      <c r="C2024" s="8" t="s">
        <v>1308</v>
      </c>
      <c r="I2024" s="10" t="s">
        <v>956</v>
      </c>
      <c r="J2024" s="13" t="s">
        <v>1353</v>
      </c>
      <c r="K2024" s="13" t="s">
        <v>276</v>
      </c>
      <c r="L2024" s="13" t="s">
        <v>2086</v>
      </c>
      <c r="M2024" s="7" t="s">
        <v>253</v>
      </c>
      <c r="N2024" s="7" t="s">
        <v>253</v>
      </c>
      <c r="O2024" s="7" t="s">
        <v>254</v>
      </c>
      <c r="P2024" s="8"/>
      <c r="Q2024" s="8"/>
      <c r="R2024" s="8"/>
      <c r="S2024" s="8"/>
      <c r="T2024" s="8"/>
      <c r="U2024" s="8"/>
      <c r="V2024" s="8"/>
      <c r="W2024" s="8"/>
      <c r="X2024" s="8"/>
      <c r="Y2024" s="8"/>
      <c r="Z2024" s="8"/>
      <c r="AA2024" s="8"/>
      <c r="AB2024" s="8"/>
      <c r="AC2024" s="8"/>
      <c r="AD2024" s="8"/>
      <c r="AE2024" s="8"/>
    </row>
    <row r="2025">
      <c r="A2025" s="12">
        <v>62.0</v>
      </c>
      <c r="B2025" s="8" t="s">
        <v>359</v>
      </c>
      <c r="C2025" s="8" t="s">
        <v>1308</v>
      </c>
      <c r="I2025" s="10" t="s">
        <v>983</v>
      </c>
      <c r="J2025" s="13" t="s">
        <v>1350</v>
      </c>
      <c r="K2025" s="13" t="s">
        <v>276</v>
      </c>
      <c r="L2025" s="13" t="s">
        <v>2089</v>
      </c>
      <c r="M2025" s="7" t="s">
        <v>253</v>
      </c>
      <c r="N2025" s="7" t="s">
        <v>253</v>
      </c>
      <c r="O2025" s="7" t="s">
        <v>254</v>
      </c>
      <c r="P2025" s="8"/>
      <c r="Q2025" s="8"/>
      <c r="R2025" s="8"/>
      <c r="S2025" s="8"/>
      <c r="T2025" s="8"/>
      <c r="U2025" s="8"/>
      <c r="V2025" s="8"/>
      <c r="W2025" s="8"/>
      <c r="X2025" s="8"/>
      <c r="Y2025" s="8"/>
      <c r="Z2025" s="8"/>
      <c r="AA2025" s="8"/>
      <c r="AB2025" s="8"/>
      <c r="AC2025" s="8"/>
      <c r="AD2025" s="8"/>
      <c r="AE2025" s="8"/>
    </row>
    <row r="2026">
      <c r="A2026" s="12">
        <v>62.0</v>
      </c>
      <c r="B2026" s="8" t="s">
        <v>359</v>
      </c>
      <c r="C2026" s="8" t="s">
        <v>1308</v>
      </c>
      <c r="I2026" s="10" t="s">
        <v>1740</v>
      </c>
      <c r="J2026" s="13" t="s">
        <v>1353</v>
      </c>
      <c r="K2026" s="13" t="s">
        <v>276</v>
      </c>
      <c r="L2026" s="13" t="s">
        <v>2088</v>
      </c>
      <c r="M2026" s="7" t="s">
        <v>253</v>
      </c>
      <c r="N2026" s="7" t="s">
        <v>253</v>
      </c>
      <c r="O2026" s="7" t="s">
        <v>254</v>
      </c>
      <c r="P2026" s="8"/>
      <c r="Q2026" s="8"/>
      <c r="R2026" s="8"/>
      <c r="S2026" s="8"/>
      <c r="T2026" s="8"/>
      <c r="U2026" s="8"/>
      <c r="V2026" s="8"/>
      <c r="W2026" s="8"/>
      <c r="X2026" s="8"/>
      <c r="Y2026" s="8"/>
      <c r="Z2026" s="8"/>
      <c r="AA2026" s="8"/>
      <c r="AB2026" s="8"/>
      <c r="AC2026" s="8"/>
      <c r="AD2026" s="8"/>
      <c r="AE2026" s="8"/>
    </row>
    <row r="2027">
      <c r="A2027" s="12">
        <v>62.0</v>
      </c>
      <c r="B2027" s="8" t="s">
        <v>359</v>
      </c>
      <c r="C2027" s="8" t="s">
        <v>1308</v>
      </c>
      <c r="I2027" s="10" t="s">
        <v>1321</v>
      </c>
      <c r="J2027" s="13" t="s">
        <v>1350</v>
      </c>
      <c r="K2027" s="13" t="s">
        <v>276</v>
      </c>
      <c r="L2027" s="13" t="s">
        <v>2088</v>
      </c>
      <c r="M2027" s="7" t="s">
        <v>253</v>
      </c>
      <c r="N2027" s="7" t="s">
        <v>253</v>
      </c>
      <c r="O2027" s="7" t="s">
        <v>254</v>
      </c>
      <c r="P2027" s="8"/>
      <c r="Q2027" s="8"/>
      <c r="R2027" s="8"/>
      <c r="S2027" s="8"/>
      <c r="T2027" s="8"/>
      <c r="U2027" s="8"/>
      <c r="V2027" s="8"/>
      <c r="W2027" s="8"/>
      <c r="X2027" s="8"/>
      <c r="Y2027" s="8"/>
      <c r="Z2027" s="8"/>
      <c r="AA2027" s="8"/>
      <c r="AB2027" s="8"/>
      <c r="AC2027" s="8"/>
      <c r="AD2027" s="8"/>
      <c r="AE2027" s="8"/>
    </row>
    <row r="2028">
      <c r="A2028" s="12">
        <v>63.0</v>
      </c>
      <c r="B2028" s="8" t="s">
        <v>361</v>
      </c>
      <c r="C2028" s="8" t="s">
        <v>1308</v>
      </c>
      <c r="D2028" s="25">
        <f>IF(COUNTIF($B$2:$B2028,$B2028)&gt;1,"",COUNTIF($B$2:$B$2505,$B2028))</f>
        <v>41</v>
      </c>
      <c r="E2028" s="25">
        <f>IF(COUNTIF($B$2:$B2028,$B2028)&gt;1,"",COUNTIFS($B$2:$B$2505,$B2028,$K$2:$K$2505,"PHÙ HỢP CAO"))</f>
        <v>4</v>
      </c>
      <c r="F2028" s="25">
        <f>IF(COUNTIF($B$2:$B2028,$B2028)&gt;1,"",COUNTIFS($B$2:$B$2505,$B2028,$K$2:$K$2505,"CÓ THỂ ĐI"))</f>
        <v>1</v>
      </c>
      <c r="G2028" s="25">
        <f>IF(COUNTIF($B$2:$B2028,$B2028)&gt;1,"",COUNTIFS($B$2:$B$2505,$B2028,$K$2:$K$2505,"CẦN SOÁT"))</f>
        <v>36</v>
      </c>
      <c r="H2028" s="26" t="str">
        <f>IFERROR(__xludf.DUMMYFUNCTION("IF(COUNTIF($B$2:$B2028,$B2028)&gt;1,"""",IFERROR(TEXTJOIN(CHAR(10),TRUE,BYROW(QUERY({$B$2:$B$2505,$J$2:$J$2505},""select Col2, count(Col2) where Col1 = '""&amp;$B2028&amp;""' group by Col2 order by count(Col2) desc label count(Col2) ''"",0),LAMBDA(r,INDEX(r,1,1)&amp;"" "&amp;"– ""&amp;INDEX(r,1,2)&amp;"" link""))),""""))"),"sổ tiết kiệm ngân hàng – 21 link
sổ tiết kiệm – 20 link")</f>
        <v>sổ tiết kiệm ngân hàng – 21 link
sổ tiết kiệm – 20 link</v>
      </c>
      <c r="I2028" s="10" t="s">
        <v>1363</v>
      </c>
      <c r="J2028" s="13" t="s">
        <v>1365</v>
      </c>
      <c r="K2028" s="13" t="s">
        <v>251</v>
      </c>
      <c r="L2028" s="13" t="s">
        <v>2090</v>
      </c>
      <c r="M2028" s="7" t="s">
        <v>253</v>
      </c>
      <c r="N2028" s="7" t="s">
        <v>253</v>
      </c>
      <c r="O2028" s="7" t="s">
        <v>254</v>
      </c>
      <c r="P2028" s="8"/>
      <c r="Q2028" s="8"/>
      <c r="R2028" s="8"/>
      <c r="S2028" s="8"/>
      <c r="T2028" s="8"/>
      <c r="U2028" s="8"/>
      <c r="V2028" s="8"/>
      <c r="W2028" s="8"/>
      <c r="X2028" s="8"/>
      <c r="Y2028" s="8"/>
      <c r="Z2028" s="8"/>
      <c r="AA2028" s="8"/>
      <c r="AB2028" s="8"/>
      <c r="AC2028" s="8"/>
      <c r="AD2028" s="8"/>
      <c r="AE2028" s="8"/>
    </row>
    <row r="2029">
      <c r="A2029" s="12">
        <v>63.0</v>
      </c>
      <c r="B2029" s="8" t="s">
        <v>361</v>
      </c>
      <c r="C2029" s="8" t="s">
        <v>1308</v>
      </c>
      <c r="I2029" s="10" t="s">
        <v>799</v>
      </c>
      <c r="J2029" s="13" t="s">
        <v>1367</v>
      </c>
      <c r="K2029" s="13" t="s">
        <v>251</v>
      </c>
      <c r="L2029" s="13" t="s">
        <v>2091</v>
      </c>
      <c r="M2029" s="7" t="s">
        <v>253</v>
      </c>
      <c r="N2029" s="7" t="s">
        <v>253</v>
      </c>
      <c r="O2029" s="7" t="s">
        <v>254</v>
      </c>
      <c r="P2029" s="8"/>
      <c r="Q2029" s="8"/>
      <c r="R2029" s="8"/>
      <c r="S2029" s="8"/>
      <c r="T2029" s="8"/>
      <c r="U2029" s="8"/>
      <c r="V2029" s="8"/>
      <c r="W2029" s="8"/>
      <c r="X2029" s="8"/>
      <c r="Y2029" s="8"/>
      <c r="Z2029" s="8"/>
      <c r="AA2029" s="8"/>
      <c r="AB2029" s="8"/>
      <c r="AC2029" s="8"/>
      <c r="AD2029" s="8"/>
      <c r="AE2029" s="8"/>
    </row>
    <row r="2030">
      <c r="A2030" s="12">
        <v>63.0</v>
      </c>
      <c r="B2030" s="8" t="s">
        <v>361</v>
      </c>
      <c r="C2030" s="8" t="s">
        <v>1308</v>
      </c>
      <c r="I2030" s="10" t="s">
        <v>1359</v>
      </c>
      <c r="J2030" s="13" t="s">
        <v>1365</v>
      </c>
      <c r="K2030" s="13" t="s">
        <v>251</v>
      </c>
      <c r="L2030" s="13" t="s">
        <v>2092</v>
      </c>
      <c r="M2030" s="7" t="s">
        <v>253</v>
      </c>
      <c r="N2030" s="7" t="s">
        <v>253</v>
      </c>
      <c r="O2030" s="7" t="s">
        <v>254</v>
      </c>
      <c r="P2030" s="8"/>
      <c r="Q2030" s="8"/>
      <c r="R2030" s="8"/>
      <c r="S2030" s="8"/>
      <c r="T2030" s="8"/>
      <c r="U2030" s="8"/>
      <c r="V2030" s="8"/>
      <c r="W2030" s="8"/>
      <c r="X2030" s="8"/>
      <c r="Y2030" s="8"/>
      <c r="Z2030" s="8"/>
      <c r="AA2030" s="8"/>
      <c r="AB2030" s="8"/>
      <c r="AC2030" s="8"/>
      <c r="AD2030" s="8"/>
      <c r="AE2030" s="8"/>
    </row>
    <row r="2031">
      <c r="A2031" s="12">
        <v>63.0</v>
      </c>
      <c r="B2031" s="8" t="s">
        <v>361</v>
      </c>
      <c r="C2031" s="8" t="s">
        <v>1308</v>
      </c>
      <c r="I2031" s="10" t="s">
        <v>1361</v>
      </c>
      <c r="J2031" s="13" t="s">
        <v>1367</v>
      </c>
      <c r="K2031" s="13" t="s">
        <v>251</v>
      </c>
      <c r="L2031" s="13" t="s">
        <v>2093</v>
      </c>
      <c r="M2031" s="7" t="s">
        <v>253</v>
      </c>
      <c r="N2031" s="7" t="s">
        <v>253</v>
      </c>
      <c r="O2031" s="7" t="s">
        <v>254</v>
      </c>
      <c r="P2031" s="8"/>
      <c r="Q2031" s="8"/>
      <c r="R2031" s="8"/>
      <c r="S2031" s="8"/>
      <c r="T2031" s="8"/>
      <c r="U2031" s="8"/>
      <c r="V2031" s="8"/>
      <c r="W2031" s="8"/>
      <c r="X2031" s="8"/>
      <c r="Y2031" s="8"/>
      <c r="Z2031" s="8"/>
      <c r="AA2031" s="8"/>
      <c r="AB2031" s="8"/>
      <c r="AC2031" s="8"/>
      <c r="AD2031" s="8"/>
      <c r="AE2031" s="8"/>
    </row>
    <row r="2032">
      <c r="A2032" s="12">
        <v>63.0</v>
      </c>
      <c r="B2032" s="8" t="s">
        <v>361</v>
      </c>
      <c r="C2032" s="8" t="s">
        <v>1308</v>
      </c>
      <c r="I2032" s="10" t="s">
        <v>1372</v>
      </c>
      <c r="J2032" s="13" t="s">
        <v>1365</v>
      </c>
      <c r="K2032" s="13" t="s">
        <v>272</v>
      </c>
      <c r="L2032" s="13" t="s">
        <v>2094</v>
      </c>
      <c r="M2032" s="7" t="s">
        <v>253</v>
      </c>
      <c r="N2032" s="7" t="s">
        <v>253</v>
      </c>
      <c r="O2032" s="7" t="s">
        <v>254</v>
      </c>
      <c r="P2032" s="8"/>
      <c r="Q2032" s="8"/>
      <c r="R2032" s="8"/>
      <c r="S2032" s="8"/>
      <c r="T2032" s="8"/>
      <c r="U2032" s="8"/>
      <c r="V2032" s="8"/>
      <c r="W2032" s="8"/>
      <c r="X2032" s="8"/>
      <c r="Y2032" s="8"/>
      <c r="Z2032" s="8"/>
      <c r="AA2032" s="8"/>
      <c r="AB2032" s="8"/>
      <c r="AC2032" s="8"/>
      <c r="AD2032" s="8"/>
      <c r="AE2032" s="8"/>
    </row>
    <row r="2033">
      <c r="A2033" s="12">
        <v>63.0</v>
      </c>
      <c r="B2033" s="8" t="s">
        <v>361</v>
      </c>
      <c r="C2033" s="8" t="s">
        <v>1308</v>
      </c>
      <c r="I2033" s="10" t="s">
        <v>1759</v>
      </c>
      <c r="J2033" s="13" t="s">
        <v>1367</v>
      </c>
      <c r="K2033" s="13" t="s">
        <v>276</v>
      </c>
      <c r="L2033" s="13" t="s">
        <v>1758</v>
      </c>
      <c r="M2033" s="7" t="s">
        <v>253</v>
      </c>
      <c r="N2033" s="7" t="s">
        <v>253</v>
      </c>
      <c r="O2033" s="7" t="s">
        <v>254</v>
      </c>
      <c r="P2033" s="8"/>
      <c r="Q2033" s="8"/>
      <c r="R2033" s="8"/>
      <c r="S2033" s="8"/>
      <c r="T2033" s="8"/>
      <c r="U2033" s="8"/>
      <c r="V2033" s="8"/>
      <c r="W2033" s="8"/>
      <c r="X2033" s="8"/>
      <c r="Y2033" s="8"/>
      <c r="Z2033" s="8"/>
      <c r="AA2033" s="8"/>
      <c r="AB2033" s="8"/>
      <c r="AC2033" s="8"/>
      <c r="AD2033" s="8"/>
      <c r="AE2033" s="8"/>
    </row>
    <row r="2034">
      <c r="A2034" s="12">
        <v>63.0</v>
      </c>
      <c r="B2034" s="8" t="s">
        <v>361</v>
      </c>
      <c r="C2034" s="8" t="s">
        <v>1308</v>
      </c>
      <c r="I2034" s="10" t="s">
        <v>651</v>
      </c>
      <c r="J2034" s="13" t="s">
        <v>1365</v>
      </c>
      <c r="K2034" s="13" t="s">
        <v>276</v>
      </c>
      <c r="L2034" s="13" t="s">
        <v>2095</v>
      </c>
      <c r="M2034" s="7" t="s">
        <v>253</v>
      </c>
      <c r="N2034" s="7" t="s">
        <v>253</v>
      </c>
      <c r="O2034" s="7" t="s">
        <v>254</v>
      </c>
      <c r="P2034" s="8"/>
      <c r="Q2034" s="8"/>
      <c r="R2034" s="8"/>
      <c r="S2034" s="8"/>
      <c r="T2034" s="8"/>
      <c r="U2034" s="8"/>
      <c r="V2034" s="8"/>
      <c r="W2034" s="8"/>
      <c r="X2034" s="8"/>
      <c r="Y2034" s="8"/>
      <c r="Z2034" s="8"/>
      <c r="AA2034" s="8"/>
      <c r="AB2034" s="8"/>
      <c r="AC2034" s="8"/>
      <c r="AD2034" s="8"/>
      <c r="AE2034" s="8"/>
    </row>
    <row r="2035">
      <c r="A2035" s="12">
        <v>63.0</v>
      </c>
      <c r="B2035" s="8" t="s">
        <v>361</v>
      </c>
      <c r="C2035" s="8" t="s">
        <v>1308</v>
      </c>
      <c r="I2035" s="10" t="s">
        <v>1760</v>
      </c>
      <c r="J2035" s="13" t="s">
        <v>1367</v>
      </c>
      <c r="K2035" s="13" t="s">
        <v>276</v>
      </c>
      <c r="L2035" s="13" t="s">
        <v>1758</v>
      </c>
      <c r="M2035" s="7" t="s">
        <v>253</v>
      </c>
      <c r="N2035" s="7" t="s">
        <v>253</v>
      </c>
      <c r="O2035" s="7" t="s">
        <v>254</v>
      </c>
      <c r="P2035" s="8"/>
      <c r="Q2035" s="8"/>
      <c r="R2035" s="8"/>
      <c r="S2035" s="8"/>
      <c r="T2035" s="8"/>
      <c r="U2035" s="8"/>
      <c r="V2035" s="8"/>
      <c r="W2035" s="8"/>
      <c r="X2035" s="8"/>
      <c r="Y2035" s="8"/>
      <c r="Z2035" s="8"/>
      <c r="AA2035" s="8"/>
      <c r="AB2035" s="8"/>
      <c r="AC2035" s="8"/>
      <c r="AD2035" s="8"/>
      <c r="AE2035" s="8"/>
    </row>
    <row r="2036">
      <c r="A2036" s="12">
        <v>63.0</v>
      </c>
      <c r="B2036" s="8" t="s">
        <v>361</v>
      </c>
      <c r="C2036" s="8" t="s">
        <v>1308</v>
      </c>
      <c r="I2036" s="10" t="s">
        <v>1761</v>
      </c>
      <c r="J2036" s="13" t="s">
        <v>1365</v>
      </c>
      <c r="K2036" s="13" t="s">
        <v>276</v>
      </c>
      <c r="L2036" s="13" t="s">
        <v>1758</v>
      </c>
      <c r="M2036" s="7" t="s">
        <v>253</v>
      </c>
      <c r="N2036" s="7" t="s">
        <v>253</v>
      </c>
      <c r="O2036" s="7" t="s">
        <v>254</v>
      </c>
      <c r="P2036" s="8"/>
      <c r="Q2036" s="8"/>
      <c r="R2036" s="8"/>
      <c r="S2036" s="8"/>
      <c r="T2036" s="8"/>
      <c r="U2036" s="8"/>
      <c r="V2036" s="8"/>
      <c r="W2036" s="8"/>
      <c r="X2036" s="8"/>
      <c r="Y2036" s="8"/>
      <c r="Z2036" s="8"/>
      <c r="AA2036" s="8"/>
      <c r="AB2036" s="8"/>
      <c r="AC2036" s="8"/>
      <c r="AD2036" s="8"/>
      <c r="AE2036" s="8"/>
    </row>
    <row r="2037">
      <c r="A2037" s="12">
        <v>63.0</v>
      </c>
      <c r="B2037" s="8" t="s">
        <v>361</v>
      </c>
      <c r="C2037" s="8" t="s">
        <v>1308</v>
      </c>
      <c r="I2037" s="10" t="s">
        <v>1314</v>
      </c>
      <c r="J2037" s="13" t="s">
        <v>1367</v>
      </c>
      <c r="K2037" s="13" t="s">
        <v>276</v>
      </c>
      <c r="L2037" s="13" t="s">
        <v>1758</v>
      </c>
      <c r="M2037" s="7" t="s">
        <v>253</v>
      </c>
      <c r="N2037" s="7" t="s">
        <v>253</v>
      </c>
      <c r="O2037" s="7" t="s">
        <v>254</v>
      </c>
      <c r="P2037" s="8"/>
      <c r="Q2037" s="8"/>
      <c r="R2037" s="8"/>
      <c r="S2037" s="8"/>
      <c r="T2037" s="8"/>
      <c r="U2037" s="8"/>
      <c r="V2037" s="8"/>
      <c r="W2037" s="8"/>
      <c r="X2037" s="8"/>
      <c r="Y2037" s="8"/>
      <c r="Z2037" s="8"/>
      <c r="AA2037" s="8"/>
      <c r="AB2037" s="8"/>
      <c r="AC2037" s="8"/>
      <c r="AD2037" s="8"/>
      <c r="AE2037" s="8"/>
    </row>
    <row r="2038">
      <c r="A2038" s="12">
        <v>63.0</v>
      </c>
      <c r="B2038" s="8" t="s">
        <v>361</v>
      </c>
      <c r="C2038" s="8" t="s">
        <v>1308</v>
      </c>
      <c r="I2038" s="10" t="s">
        <v>1346</v>
      </c>
      <c r="J2038" s="13" t="s">
        <v>1365</v>
      </c>
      <c r="K2038" s="13" t="s">
        <v>276</v>
      </c>
      <c r="L2038" s="13" t="s">
        <v>2086</v>
      </c>
      <c r="M2038" s="7" t="s">
        <v>253</v>
      </c>
      <c r="N2038" s="7" t="s">
        <v>253</v>
      </c>
      <c r="O2038" s="7" t="s">
        <v>254</v>
      </c>
      <c r="P2038" s="8"/>
      <c r="Q2038" s="8"/>
      <c r="R2038" s="8"/>
      <c r="S2038" s="8"/>
      <c r="T2038" s="8"/>
      <c r="U2038" s="8"/>
      <c r="V2038" s="8"/>
      <c r="W2038" s="8"/>
      <c r="X2038" s="8"/>
      <c r="Y2038" s="8"/>
      <c r="Z2038" s="8"/>
      <c r="AA2038" s="8"/>
      <c r="AB2038" s="8"/>
      <c r="AC2038" s="8"/>
      <c r="AD2038" s="8"/>
      <c r="AE2038" s="8"/>
    </row>
    <row r="2039">
      <c r="A2039" s="12">
        <v>63.0</v>
      </c>
      <c r="B2039" s="8" t="s">
        <v>361</v>
      </c>
      <c r="C2039" s="8" t="s">
        <v>1308</v>
      </c>
      <c r="I2039" s="10" t="s">
        <v>1298</v>
      </c>
      <c r="J2039" s="13" t="s">
        <v>1367</v>
      </c>
      <c r="K2039" s="13" t="s">
        <v>276</v>
      </c>
      <c r="L2039" s="13" t="s">
        <v>2086</v>
      </c>
      <c r="M2039" s="7" t="s">
        <v>253</v>
      </c>
      <c r="N2039" s="7" t="s">
        <v>253</v>
      </c>
      <c r="O2039" s="7" t="s">
        <v>254</v>
      </c>
      <c r="P2039" s="8"/>
      <c r="Q2039" s="8"/>
      <c r="R2039" s="8"/>
      <c r="S2039" s="8"/>
      <c r="T2039" s="8"/>
      <c r="U2039" s="8"/>
      <c r="V2039" s="8"/>
      <c r="W2039" s="8"/>
      <c r="X2039" s="8"/>
      <c r="Y2039" s="8"/>
      <c r="Z2039" s="8"/>
      <c r="AA2039" s="8"/>
      <c r="AB2039" s="8"/>
      <c r="AC2039" s="8"/>
      <c r="AD2039" s="8"/>
      <c r="AE2039" s="8"/>
    </row>
    <row r="2040">
      <c r="A2040" s="12">
        <v>63.0</v>
      </c>
      <c r="B2040" s="8" t="s">
        <v>361</v>
      </c>
      <c r="C2040" s="8" t="s">
        <v>1308</v>
      </c>
      <c r="I2040" s="10" t="s">
        <v>1339</v>
      </c>
      <c r="J2040" s="13" t="s">
        <v>1365</v>
      </c>
      <c r="K2040" s="13" t="s">
        <v>276</v>
      </c>
      <c r="L2040" s="13" t="s">
        <v>2086</v>
      </c>
      <c r="M2040" s="7" t="s">
        <v>253</v>
      </c>
      <c r="N2040" s="7" t="s">
        <v>253</v>
      </c>
      <c r="O2040" s="7" t="s">
        <v>254</v>
      </c>
      <c r="P2040" s="8"/>
      <c r="Q2040" s="8"/>
      <c r="R2040" s="8"/>
      <c r="S2040" s="8"/>
      <c r="T2040" s="8"/>
      <c r="U2040" s="8"/>
      <c r="V2040" s="8"/>
      <c r="W2040" s="8"/>
      <c r="X2040" s="8"/>
      <c r="Y2040" s="8"/>
      <c r="Z2040" s="8"/>
      <c r="AA2040" s="8"/>
      <c r="AB2040" s="8"/>
      <c r="AC2040" s="8"/>
      <c r="AD2040" s="8"/>
      <c r="AE2040" s="8"/>
    </row>
    <row r="2041">
      <c r="A2041" s="12">
        <v>63.0</v>
      </c>
      <c r="B2041" s="8" t="s">
        <v>361</v>
      </c>
      <c r="C2041" s="8" t="s">
        <v>1308</v>
      </c>
      <c r="I2041" s="10" t="s">
        <v>1433</v>
      </c>
      <c r="J2041" s="13" t="s">
        <v>1367</v>
      </c>
      <c r="K2041" s="13" t="s">
        <v>276</v>
      </c>
      <c r="L2041" s="13" t="s">
        <v>1758</v>
      </c>
      <c r="M2041" s="7" t="s">
        <v>253</v>
      </c>
      <c r="N2041" s="7" t="s">
        <v>253</v>
      </c>
      <c r="O2041" s="7" t="s">
        <v>254</v>
      </c>
      <c r="P2041" s="8"/>
      <c r="Q2041" s="8"/>
      <c r="R2041" s="8"/>
      <c r="S2041" s="8"/>
      <c r="T2041" s="8"/>
      <c r="U2041" s="8"/>
      <c r="V2041" s="8"/>
      <c r="W2041" s="8"/>
      <c r="X2041" s="8"/>
      <c r="Y2041" s="8"/>
      <c r="Z2041" s="8"/>
      <c r="AA2041" s="8"/>
      <c r="AB2041" s="8"/>
      <c r="AC2041" s="8"/>
      <c r="AD2041" s="8"/>
      <c r="AE2041" s="8"/>
    </row>
    <row r="2042">
      <c r="A2042" s="12">
        <v>63.0</v>
      </c>
      <c r="B2042" s="8" t="s">
        <v>361</v>
      </c>
      <c r="C2042" s="8" t="s">
        <v>1308</v>
      </c>
      <c r="I2042" s="10" t="s">
        <v>1318</v>
      </c>
      <c r="J2042" s="13" t="s">
        <v>1365</v>
      </c>
      <c r="K2042" s="13" t="s">
        <v>276</v>
      </c>
      <c r="L2042" s="13" t="s">
        <v>1758</v>
      </c>
      <c r="M2042" s="7" t="s">
        <v>253</v>
      </c>
      <c r="N2042" s="7" t="s">
        <v>253</v>
      </c>
      <c r="O2042" s="7" t="s">
        <v>254</v>
      </c>
      <c r="P2042" s="8"/>
      <c r="Q2042" s="8"/>
      <c r="R2042" s="8"/>
      <c r="S2042" s="8"/>
      <c r="T2042" s="8"/>
      <c r="U2042" s="8"/>
      <c r="V2042" s="8"/>
      <c r="W2042" s="8"/>
      <c r="X2042" s="8"/>
      <c r="Y2042" s="8"/>
      <c r="Z2042" s="8"/>
      <c r="AA2042" s="8"/>
      <c r="AB2042" s="8"/>
      <c r="AC2042" s="8"/>
      <c r="AD2042" s="8"/>
      <c r="AE2042" s="8"/>
    </row>
    <row r="2043">
      <c r="A2043" s="12">
        <v>63.0</v>
      </c>
      <c r="B2043" s="8" t="s">
        <v>361</v>
      </c>
      <c r="C2043" s="8" t="s">
        <v>1308</v>
      </c>
      <c r="I2043" s="10" t="s">
        <v>354</v>
      </c>
      <c r="J2043" s="13" t="s">
        <v>1367</v>
      </c>
      <c r="K2043" s="13" t="s">
        <v>276</v>
      </c>
      <c r="L2043" s="13" t="s">
        <v>1758</v>
      </c>
      <c r="M2043" s="7" t="s">
        <v>253</v>
      </c>
      <c r="N2043" s="7" t="s">
        <v>253</v>
      </c>
      <c r="O2043" s="7" t="s">
        <v>254</v>
      </c>
      <c r="P2043" s="8"/>
      <c r="Q2043" s="8"/>
      <c r="R2043" s="8"/>
      <c r="S2043" s="8"/>
      <c r="T2043" s="8"/>
      <c r="U2043" s="8"/>
      <c r="V2043" s="8"/>
      <c r="W2043" s="8"/>
      <c r="X2043" s="8"/>
      <c r="Y2043" s="8"/>
      <c r="Z2043" s="8"/>
      <c r="AA2043" s="8"/>
      <c r="AB2043" s="8"/>
      <c r="AC2043" s="8"/>
      <c r="AD2043" s="8"/>
      <c r="AE2043" s="8"/>
    </row>
    <row r="2044">
      <c r="A2044" s="12">
        <v>63.0</v>
      </c>
      <c r="B2044" s="8" t="s">
        <v>361</v>
      </c>
      <c r="C2044" s="8" t="s">
        <v>1308</v>
      </c>
      <c r="I2044" s="10" t="s">
        <v>1389</v>
      </c>
      <c r="J2044" s="13" t="s">
        <v>1365</v>
      </c>
      <c r="K2044" s="13" t="s">
        <v>276</v>
      </c>
      <c r="L2044" s="13" t="s">
        <v>1758</v>
      </c>
      <c r="M2044" s="7" t="s">
        <v>253</v>
      </c>
      <c r="N2044" s="7" t="s">
        <v>253</v>
      </c>
      <c r="O2044" s="7" t="s">
        <v>254</v>
      </c>
      <c r="P2044" s="8"/>
      <c r="Q2044" s="8"/>
      <c r="R2044" s="8"/>
      <c r="S2044" s="8"/>
      <c r="T2044" s="8"/>
      <c r="U2044" s="8"/>
      <c r="V2044" s="8"/>
      <c r="W2044" s="8"/>
      <c r="X2044" s="8"/>
      <c r="Y2044" s="8"/>
      <c r="Z2044" s="8"/>
      <c r="AA2044" s="8"/>
      <c r="AB2044" s="8"/>
      <c r="AC2044" s="8"/>
      <c r="AD2044" s="8"/>
      <c r="AE2044" s="8"/>
    </row>
    <row r="2045">
      <c r="A2045" s="12">
        <v>63.0</v>
      </c>
      <c r="B2045" s="8" t="s">
        <v>361</v>
      </c>
      <c r="C2045" s="8" t="s">
        <v>1308</v>
      </c>
      <c r="I2045" s="10" t="s">
        <v>1767</v>
      </c>
      <c r="J2045" s="13" t="s">
        <v>1367</v>
      </c>
      <c r="K2045" s="13" t="s">
        <v>276</v>
      </c>
      <c r="L2045" s="13" t="s">
        <v>1758</v>
      </c>
      <c r="M2045" s="7" t="s">
        <v>253</v>
      </c>
      <c r="N2045" s="7" t="s">
        <v>253</v>
      </c>
      <c r="O2045" s="7" t="s">
        <v>254</v>
      </c>
      <c r="P2045" s="8"/>
      <c r="Q2045" s="8"/>
      <c r="R2045" s="8"/>
      <c r="S2045" s="8"/>
      <c r="T2045" s="8"/>
      <c r="U2045" s="8"/>
      <c r="V2045" s="8"/>
      <c r="W2045" s="8"/>
      <c r="X2045" s="8"/>
      <c r="Y2045" s="8"/>
      <c r="Z2045" s="8"/>
      <c r="AA2045" s="8"/>
      <c r="AB2045" s="8"/>
      <c r="AC2045" s="8"/>
      <c r="AD2045" s="8"/>
      <c r="AE2045" s="8"/>
    </row>
    <row r="2046">
      <c r="A2046" s="12">
        <v>63.0</v>
      </c>
      <c r="B2046" s="8" t="s">
        <v>361</v>
      </c>
      <c r="C2046" s="8" t="s">
        <v>1308</v>
      </c>
      <c r="I2046" s="10" t="s">
        <v>1397</v>
      </c>
      <c r="J2046" s="13" t="s">
        <v>1365</v>
      </c>
      <c r="K2046" s="13" t="s">
        <v>276</v>
      </c>
      <c r="L2046" s="13" t="s">
        <v>1758</v>
      </c>
      <c r="M2046" s="7" t="s">
        <v>253</v>
      </c>
      <c r="N2046" s="7" t="s">
        <v>253</v>
      </c>
      <c r="O2046" s="7" t="s">
        <v>254</v>
      </c>
      <c r="P2046" s="8"/>
      <c r="Q2046" s="8"/>
      <c r="R2046" s="8"/>
      <c r="S2046" s="8"/>
      <c r="T2046" s="8"/>
      <c r="U2046" s="8"/>
      <c r="V2046" s="8"/>
      <c r="W2046" s="8"/>
      <c r="X2046" s="8"/>
      <c r="Y2046" s="8"/>
      <c r="Z2046" s="8"/>
      <c r="AA2046" s="8"/>
      <c r="AB2046" s="8"/>
      <c r="AC2046" s="8"/>
      <c r="AD2046" s="8"/>
      <c r="AE2046" s="8"/>
    </row>
    <row r="2047">
      <c r="A2047" s="12">
        <v>63.0</v>
      </c>
      <c r="B2047" s="8" t="s">
        <v>361</v>
      </c>
      <c r="C2047" s="8" t="s">
        <v>1308</v>
      </c>
      <c r="I2047" s="10" t="s">
        <v>672</v>
      </c>
      <c r="J2047" s="13" t="s">
        <v>1367</v>
      </c>
      <c r="K2047" s="13" t="s">
        <v>276</v>
      </c>
      <c r="L2047" s="13" t="s">
        <v>1758</v>
      </c>
      <c r="M2047" s="7" t="s">
        <v>253</v>
      </c>
      <c r="N2047" s="7" t="s">
        <v>253</v>
      </c>
      <c r="O2047" s="7" t="s">
        <v>254</v>
      </c>
      <c r="P2047" s="8"/>
      <c r="Q2047" s="8"/>
      <c r="R2047" s="8"/>
      <c r="S2047" s="8"/>
      <c r="T2047" s="8"/>
      <c r="U2047" s="8"/>
      <c r="V2047" s="8"/>
      <c r="W2047" s="8"/>
      <c r="X2047" s="8"/>
      <c r="Y2047" s="8"/>
      <c r="Z2047" s="8"/>
      <c r="AA2047" s="8"/>
      <c r="AB2047" s="8"/>
      <c r="AC2047" s="8"/>
      <c r="AD2047" s="8"/>
      <c r="AE2047" s="8"/>
    </row>
    <row r="2048">
      <c r="A2048" s="12">
        <v>63.0</v>
      </c>
      <c r="B2048" s="8" t="s">
        <v>361</v>
      </c>
      <c r="C2048" s="8" t="s">
        <v>1308</v>
      </c>
      <c r="I2048" s="10" t="s">
        <v>1309</v>
      </c>
      <c r="J2048" s="13" t="s">
        <v>1365</v>
      </c>
      <c r="K2048" s="13" t="s">
        <v>276</v>
      </c>
      <c r="L2048" s="13" t="s">
        <v>1758</v>
      </c>
      <c r="M2048" s="7" t="s">
        <v>253</v>
      </c>
      <c r="N2048" s="7" t="s">
        <v>253</v>
      </c>
      <c r="O2048" s="7" t="s">
        <v>254</v>
      </c>
      <c r="P2048" s="8"/>
      <c r="Q2048" s="8"/>
      <c r="R2048" s="8"/>
      <c r="S2048" s="8"/>
      <c r="T2048" s="8"/>
      <c r="U2048" s="8"/>
      <c r="V2048" s="8"/>
      <c r="W2048" s="8"/>
      <c r="X2048" s="8"/>
      <c r="Y2048" s="8"/>
      <c r="Z2048" s="8"/>
      <c r="AA2048" s="8"/>
      <c r="AB2048" s="8"/>
      <c r="AC2048" s="8"/>
      <c r="AD2048" s="8"/>
      <c r="AE2048" s="8"/>
    </row>
    <row r="2049">
      <c r="A2049" s="12">
        <v>63.0</v>
      </c>
      <c r="B2049" s="8" t="s">
        <v>361</v>
      </c>
      <c r="C2049" s="8" t="s">
        <v>1308</v>
      </c>
      <c r="I2049" s="10" t="s">
        <v>721</v>
      </c>
      <c r="J2049" s="13" t="s">
        <v>1367</v>
      </c>
      <c r="K2049" s="13" t="s">
        <v>276</v>
      </c>
      <c r="L2049" s="13" t="s">
        <v>2095</v>
      </c>
      <c r="M2049" s="7" t="s">
        <v>253</v>
      </c>
      <c r="N2049" s="7" t="s">
        <v>253</v>
      </c>
      <c r="O2049" s="7" t="s">
        <v>254</v>
      </c>
      <c r="P2049" s="8"/>
      <c r="Q2049" s="8"/>
      <c r="R2049" s="8"/>
      <c r="S2049" s="8"/>
      <c r="T2049" s="8"/>
      <c r="U2049" s="8"/>
      <c r="V2049" s="8"/>
      <c r="W2049" s="8"/>
      <c r="X2049" s="8"/>
      <c r="Y2049" s="8"/>
      <c r="Z2049" s="8"/>
      <c r="AA2049" s="8"/>
      <c r="AB2049" s="8"/>
      <c r="AC2049" s="8"/>
      <c r="AD2049" s="8"/>
      <c r="AE2049" s="8"/>
    </row>
    <row r="2050">
      <c r="A2050" s="12">
        <v>63.0</v>
      </c>
      <c r="B2050" s="8" t="s">
        <v>361</v>
      </c>
      <c r="C2050" s="8" t="s">
        <v>1308</v>
      </c>
      <c r="I2050" s="10" t="s">
        <v>1428</v>
      </c>
      <c r="J2050" s="13" t="s">
        <v>1365</v>
      </c>
      <c r="K2050" s="13" t="s">
        <v>276</v>
      </c>
      <c r="L2050" s="13" t="s">
        <v>1758</v>
      </c>
      <c r="M2050" s="7" t="s">
        <v>253</v>
      </c>
      <c r="N2050" s="7" t="s">
        <v>253</v>
      </c>
      <c r="O2050" s="7" t="s">
        <v>254</v>
      </c>
      <c r="P2050" s="8"/>
      <c r="Q2050" s="8"/>
      <c r="R2050" s="8"/>
      <c r="S2050" s="8"/>
      <c r="T2050" s="8"/>
      <c r="U2050" s="8"/>
      <c r="V2050" s="8"/>
      <c r="W2050" s="8"/>
      <c r="X2050" s="8"/>
      <c r="Y2050" s="8"/>
      <c r="Z2050" s="8"/>
      <c r="AA2050" s="8"/>
      <c r="AB2050" s="8"/>
      <c r="AC2050" s="8"/>
      <c r="AD2050" s="8"/>
      <c r="AE2050" s="8"/>
    </row>
    <row r="2051">
      <c r="A2051" s="12">
        <v>63.0</v>
      </c>
      <c r="B2051" s="8" t="s">
        <v>361</v>
      </c>
      <c r="C2051" s="8" t="s">
        <v>1308</v>
      </c>
      <c r="I2051" s="10" t="s">
        <v>1331</v>
      </c>
      <c r="J2051" s="13" t="s">
        <v>1367</v>
      </c>
      <c r="K2051" s="13" t="s">
        <v>276</v>
      </c>
      <c r="L2051" s="13" t="s">
        <v>1758</v>
      </c>
      <c r="M2051" s="7" t="s">
        <v>253</v>
      </c>
      <c r="N2051" s="7" t="s">
        <v>253</v>
      </c>
      <c r="O2051" s="7" t="s">
        <v>254</v>
      </c>
      <c r="P2051" s="8"/>
      <c r="Q2051" s="8"/>
      <c r="R2051" s="8"/>
      <c r="S2051" s="8"/>
      <c r="T2051" s="8"/>
      <c r="U2051" s="8"/>
      <c r="V2051" s="8"/>
      <c r="W2051" s="8"/>
      <c r="X2051" s="8"/>
      <c r="Y2051" s="8"/>
      <c r="Z2051" s="8"/>
      <c r="AA2051" s="8"/>
      <c r="AB2051" s="8"/>
      <c r="AC2051" s="8"/>
      <c r="AD2051" s="8"/>
      <c r="AE2051" s="8"/>
    </row>
    <row r="2052">
      <c r="A2052" s="12">
        <v>63.0</v>
      </c>
      <c r="B2052" s="8" t="s">
        <v>361</v>
      </c>
      <c r="C2052" s="8" t="s">
        <v>1308</v>
      </c>
      <c r="I2052" s="10" t="s">
        <v>363</v>
      </c>
      <c r="J2052" s="13" t="s">
        <v>1365</v>
      </c>
      <c r="K2052" s="13" t="s">
        <v>276</v>
      </c>
      <c r="L2052" s="13" t="s">
        <v>1758</v>
      </c>
      <c r="M2052" s="7" t="s">
        <v>253</v>
      </c>
      <c r="N2052" s="7" t="s">
        <v>253</v>
      </c>
      <c r="O2052" s="7" t="s">
        <v>254</v>
      </c>
      <c r="P2052" s="8"/>
      <c r="Q2052" s="8"/>
      <c r="R2052" s="8"/>
      <c r="S2052" s="8"/>
      <c r="T2052" s="8"/>
      <c r="U2052" s="8"/>
      <c r="V2052" s="8"/>
      <c r="W2052" s="8"/>
      <c r="X2052" s="8"/>
      <c r="Y2052" s="8"/>
      <c r="Z2052" s="8"/>
      <c r="AA2052" s="8"/>
      <c r="AB2052" s="8"/>
      <c r="AC2052" s="8"/>
      <c r="AD2052" s="8"/>
      <c r="AE2052" s="8"/>
    </row>
    <row r="2053">
      <c r="A2053" s="12">
        <v>63.0</v>
      </c>
      <c r="B2053" s="8" t="s">
        <v>361</v>
      </c>
      <c r="C2053" s="8" t="s">
        <v>1308</v>
      </c>
      <c r="I2053" s="10" t="s">
        <v>356</v>
      </c>
      <c r="J2053" s="13" t="s">
        <v>1367</v>
      </c>
      <c r="K2053" s="13" t="s">
        <v>276</v>
      </c>
      <c r="L2053" s="13" t="s">
        <v>1758</v>
      </c>
      <c r="M2053" s="7" t="s">
        <v>253</v>
      </c>
      <c r="N2053" s="7" t="s">
        <v>253</v>
      </c>
      <c r="O2053" s="7" t="s">
        <v>254</v>
      </c>
      <c r="P2053" s="8"/>
      <c r="Q2053" s="8"/>
      <c r="R2053" s="8"/>
      <c r="S2053" s="8"/>
      <c r="T2053" s="8"/>
      <c r="U2053" s="8"/>
      <c r="V2053" s="8"/>
      <c r="W2053" s="8"/>
      <c r="X2053" s="8"/>
      <c r="Y2053" s="8"/>
      <c r="Z2053" s="8"/>
      <c r="AA2053" s="8"/>
      <c r="AB2053" s="8"/>
      <c r="AC2053" s="8"/>
      <c r="AD2053" s="8"/>
      <c r="AE2053" s="8"/>
    </row>
    <row r="2054">
      <c r="A2054" s="12">
        <v>63.0</v>
      </c>
      <c r="B2054" s="8" t="s">
        <v>361</v>
      </c>
      <c r="C2054" s="8" t="s">
        <v>1308</v>
      </c>
      <c r="I2054" s="10" t="s">
        <v>890</v>
      </c>
      <c r="J2054" s="13" t="s">
        <v>1365</v>
      </c>
      <c r="K2054" s="13" t="s">
        <v>276</v>
      </c>
      <c r="L2054" s="13" t="s">
        <v>1758</v>
      </c>
      <c r="M2054" s="7" t="s">
        <v>253</v>
      </c>
      <c r="N2054" s="7" t="s">
        <v>253</v>
      </c>
      <c r="O2054" s="7" t="s">
        <v>254</v>
      </c>
      <c r="P2054" s="8"/>
      <c r="Q2054" s="8"/>
      <c r="R2054" s="8"/>
      <c r="S2054" s="8"/>
      <c r="T2054" s="8"/>
      <c r="U2054" s="8"/>
      <c r="V2054" s="8"/>
      <c r="W2054" s="8"/>
      <c r="X2054" s="8"/>
      <c r="Y2054" s="8"/>
      <c r="Z2054" s="8"/>
      <c r="AA2054" s="8"/>
      <c r="AB2054" s="8"/>
      <c r="AC2054" s="8"/>
      <c r="AD2054" s="8"/>
      <c r="AE2054" s="8"/>
    </row>
    <row r="2055">
      <c r="A2055" s="12">
        <v>63.0</v>
      </c>
      <c r="B2055" s="8" t="s">
        <v>361</v>
      </c>
      <c r="C2055" s="8" t="s">
        <v>1308</v>
      </c>
      <c r="I2055" s="10" t="s">
        <v>1399</v>
      </c>
      <c r="J2055" s="13" t="s">
        <v>1367</v>
      </c>
      <c r="K2055" s="13" t="s">
        <v>276</v>
      </c>
      <c r="L2055" s="13" t="s">
        <v>1758</v>
      </c>
      <c r="M2055" s="7" t="s">
        <v>253</v>
      </c>
      <c r="N2055" s="7" t="s">
        <v>253</v>
      </c>
      <c r="O2055" s="7" t="s">
        <v>254</v>
      </c>
      <c r="P2055" s="8"/>
      <c r="Q2055" s="8"/>
      <c r="R2055" s="8"/>
      <c r="S2055" s="8"/>
      <c r="T2055" s="8"/>
      <c r="U2055" s="8"/>
      <c r="V2055" s="8"/>
      <c r="W2055" s="8"/>
      <c r="X2055" s="8"/>
      <c r="Y2055" s="8"/>
      <c r="Z2055" s="8"/>
      <c r="AA2055" s="8"/>
      <c r="AB2055" s="8"/>
      <c r="AC2055" s="8"/>
      <c r="AD2055" s="8"/>
      <c r="AE2055" s="8"/>
    </row>
    <row r="2056">
      <c r="A2056" s="12">
        <v>63.0</v>
      </c>
      <c r="B2056" s="8" t="s">
        <v>361</v>
      </c>
      <c r="C2056" s="8" t="s">
        <v>1308</v>
      </c>
      <c r="I2056" s="10" t="s">
        <v>766</v>
      </c>
      <c r="J2056" s="13" t="s">
        <v>1365</v>
      </c>
      <c r="K2056" s="13" t="s">
        <v>276</v>
      </c>
      <c r="L2056" s="13" t="s">
        <v>1758</v>
      </c>
      <c r="M2056" s="7" t="s">
        <v>253</v>
      </c>
      <c r="N2056" s="7" t="s">
        <v>253</v>
      </c>
      <c r="O2056" s="7" t="s">
        <v>254</v>
      </c>
      <c r="P2056" s="8"/>
      <c r="Q2056" s="8"/>
      <c r="R2056" s="8"/>
      <c r="S2056" s="8"/>
      <c r="T2056" s="8"/>
      <c r="U2056" s="8"/>
      <c r="V2056" s="8"/>
      <c r="W2056" s="8"/>
      <c r="X2056" s="8"/>
      <c r="Y2056" s="8"/>
      <c r="Z2056" s="8"/>
      <c r="AA2056" s="8"/>
      <c r="AB2056" s="8"/>
      <c r="AC2056" s="8"/>
      <c r="AD2056" s="8"/>
      <c r="AE2056" s="8"/>
    </row>
    <row r="2057">
      <c r="A2057" s="12">
        <v>63.0</v>
      </c>
      <c r="B2057" s="8" t="s">
        <v>361</v>
      </c>
      <c r="C2057" s="8" t="s">
        <v>1308</v>
      </c>
      <c r="I2057" s="10" t="s">
        <v>1392</v>
      </c>
      <c r="J2057" s="13" t="s">
        <v>1367</v>
      </c>
      <c r="K2057" s="13" t="s">
        <v>276</v>
      </c>
      <c r="L2057" s="13" t="s">
        <v>1758</v>
      </c>
      <c r="M2057" s="7" t="s">
        <v>253</v>
      </c>
      <c r="N2057" s="7" t="s">
        <v>253</v>
      </c>
      <c r="O2057" s="7" t="s">
        <v>254</v>
      </c>
      <c r="P2057" s="8"/>
      <c r="Q2057" s="8"/>
      <c r="R2057" s="8"/>
      <c r="S2057" s="8"/>
      <c r="T2057" s="8"/>
      <c r="U2057" s="8"/>
      <c r="V2057" s="8"/>
      <c r="W2057" s="8"/>
      <c r="X2057" s="8"/>
      <c r="Y2057" s="8"/>
      <c r="Z2057" s="8"/>
      <c r="AA2057" s="8"/>
      <c r="AB2057" s="8"/>
      <c r="AC2057" s="8"/>
      <c r="AD2057" s="8"/>
      <c r="AE2057" s="8"/>
    </row>
    <row r="2058">
      <c r="A2058" s="12">
        <v>63.0</v>
      </c>
      <c r="B2058" s="8" t="s">
        <v>361</v>
      </c>
      <c r="C2058" s="8" t="s">
        <v>1308</v>
      </c>
      <c r="I2058" s="10" t="s">
        <v>1395</v>
      </c>
      <c r="J2058" s="13" t="s">
        <v>1365</v>
      </c>
      <c r="K2058" s="13" t="s">
        <v>276</v>
      </c>
      <c r="L2058" s="13" t="s">
        <v>1758</v>
      </c>
      <c r="M2058" s="7" t="s">
        <v>253</v>
      </c>
      <c r="N2058" s="7" t="s">
        <v>253</v>
      </c>
      <c r="O2058" s="7" t="s">
        <v>254</v>
      </c>
      <c r="P2058" s="8"/>
      <c r="Q2058" s="8"/>
      <c r="R2058" s="8"/>
      <c r="S2058" s="8"/>
      <c r="T2058" s="8"/>
      <c r="U2058" s="8"/>
      <c r="V2058" s="8"/>
      <c r="W2058" s="8"/>
      <c r="X2058" s="8"/>
      <c r="Y2058" s="8"/>
      <c r="Z2058" s="8"/>
      <c r="AA2058" s="8"/>
      <c r="AB2058" s="8"/>
      <c r="AC2058" s="8"/>
      <c r="AD2058" s="8"/>
      <c r="AE2058" s="8"/>
    </row>
    <row r="2059">
      <c r="A2059" s="12">
        <v>63.0</v>
      </c>
      <c r="B2059" s="8" t="s">
        <v>361</v>
      </c>
      <c r="C2059" s="8" t="s">
        <v>1308</v>
      </c>
      <c r="I2059" s="10" t="s">
        <v>1354</v>
      </c>
      <c r="J2059" s="13" t="s">
        <v>1367</v>
      </c>
      <c r="K2059" s="13" t="s">
        <v>276</v>
      </c>
      <c r="L2059" s="13" t="s">
        <v>2086</v>
      </c>
      <c r="M2059" s="7" t="s">
        <v>253</v>
      </c>
      <c r="N2059" s="7" t="s">
        <v>253</v>
      </c>
      <c r="O2059" s="7" t="s">
        <v>254</v>
      </c>
      <c r="P2059" s="8"/>
      <c r="Q2059" s="8"/>
      <c r="R2059" s="8"/>
      <c r="S2059" s="8"/>
      <c r="T2059" s="8"/>
      <c r="U2059" s="8"/>
      <c r="V2059" s="8"/>
      <c r="W2059" s="8"/>
      <c r="X2059" s="8"/>
      <c r="Y2059" s="8"/>
      <c r="Z2059" s="8"/>
      <c r="AA2059" s="8"/>
      <c r="AB2059" s="8"/>
      <c r="AC2059" s="8"/>
      <c r="AD2059" s="8"/>
      <c r="AE2059" s="8"/>
    </row>
    <row r="2060">
      <c r="A2060" s="12">
        <v>63.0</v>
      </c>
      <c r="B2060" s="8" t="s">
        <v>361</v>
      </c>
      <c r="C2060" s="8" t="s">
        <v>1308</v>
      </c>
      <c r="I2060" s="10" t="s">
        <v>1351</v>
      </c>
      <c r="J2060" s="13" t="s">
        <v>1365</v>
      </c>
      <c r="K2060" s="13" t="s">
        <v>276</v>
      </c>
      <c r="L2060" s="13" t="s">
        <v>1758</v>
      </c>
      <c r="M2060" s="7" t="s">
        <v>253</v>
      </c>
      <c r="N2060" s="7" t="s">
        <v>253</v>
      </c>
      <c r="O2060" s="7" t="s">
        <v>254</v>
      </c>
      <c r="P2060" s="8"/>
      <c r="Q2060" s="8"/>
      <c r="R2060" s="8"/>
      <c r="S2060" s="8"/>
      <c r="T2060" s="8"/>
      <c r="U2060" s="8"/>
      <c r="V2060" s="8"/>
      <c r="W2060" s="8"/>
      <c r="X2060" s="8"/>
      <c r="Y2060" s="8"/>
      <c r="Z2060" s="8"/>
      <c r="AA2060" s="8"/>
      <c r="AB2060" s="8"/>
      <c r="AC2060" s="8"/>
      <c r="AD2060" s="8"/>
      <c r="AE2060" s="8"/>
    </row>
    <row r="2061">
      <c r="A2061" s="12">
        <v>63.0</v>
      </c>
      <c r="B2061" s="8" t="s">
        <v>361</v>
      </c>
      <c r="C2061" s="8" t="s">
        <v>1308</v>
      </c>
      <c r="I2061" s="10" t="s">
        <v>881</v>
      </c>
      <c r="J2061" s="13" t="s">
        <v>1367</v>
      </c>
      <c r="K2061" s="13" t="s">
        <v>276</v>
      </c>
      <c r="L2061" s="13" t="s">
        <v>2086</v>
      </c>
      <c r="M2061" s="7" t="s">
        <v>253</v>
      </c>
      <c r="N2061" s="7" t="s">
        <v>253</v>
      </c>
      <c r="O2061" s="7" t="s">
        <v>254</v>
      </c>
      <c r="P2061" s="8"/>
      <c r="Q2061" s="8"/>
      <c r="R2061" s="8"/>
      <c r="S2061" s="8"/>
      <c r="T2061" s="8"/>
      <c r="U2061" s="8"/>
      <c r="V2061" s="8"/>
      <c r="W2061" s="8"/>
      <c r="X2061" s="8"/>
      <c r="Y2061" s="8"/>
      <c r="Z2061" s="8"/>
      <c r="AA2061" s="8"/>
      <c r="AB2061" s="8"/>
      <c r="AC2061" s="8"/>
      <c r="AD2061" s="8"/>
      <c r="AE2061" s="8"/>
    </row>
    <row r="2062">
      <c r="A2062" s="12">
        <v>63.0</v>
      </c>
      <c r="B2062" s="8" t="s">
        <v>361</v>
      </c>
      <c r="C2062" s="8" t="s">
        <v>1308</v>
      </c>
      <c r="I2062" s="10" t="s">
        <v>1772</v>
      </c>
      <c r="J2062" s="13" t="s">
        <v>1365</v>
      </c>
      <c r="K2062" s="13" t="s">
        <v>276</v>
      </c>
      <c r="L2062" s="13" t="s">
        <v>1758</v>
      </c>
      <c r="M2062" s="7" t="s">
        <v>253</v>
      </c>
      <c r="N2062" s="7" t="s">
        <v>253</v>
      </c>
      <c r="O2062" s="7" t="s">
        <v>254</v>
      </c>
      <c r="P2062" s="8"/>
      <c r="Q2062" s="8"/>
      <c r="R2062" s="8"/>
      <c r="S2062" s="8"/>
      <c r="T2062" s="8"/>
      <c r="U2062" s="8"/>
      <c r="V2062" s="8"/>
      <c r="W2062" s="8"/>
      <c r="X2062" s="8"/>
      <c r="Y2062" s="8"/>
      <c r="Z2062" s="8"/>
      <c r="AA2062" s="8"/>
      <c r="AB2062" s="8"/>
      <c r="AC2062" s="8"/>
      <c r="AD2062" s="8"/>
      <c r="AE2062" s="8"/>
    </row>
    <row r="2063">
      <c r="A2063" s="12">
        <v>63.0</v>
      </c>
      <c r="B2063" s="8" t="s">
        <v>361</v>
      </c>
      <c r="C2063" s="8" t="s">
        <v>1308</v>
      </c>
      <c r="I2063" s="10" t="s">
        <v>956</v>
      </c>
      <c r="J2063" s="13" t="s">
        <v>1367</v>
      </c>
      <c r="K2063" s="13" t="s">
        <v>276</v>
      </c>
      <c r="L2063" s="13" t="s">
        <v>2096</v>
      </c>
      <c r="M2063" s="7" t="s">
        <v>253</v>
      </c>
      <c r="N2063" s="7" t="s">
        <v>253</v>
      </c>
      <c r="O2063" s="7" t="s">
        <v>254</v>
      </c>
      <c r="P2063" s="8"/>
      <c r="Q2063" s="8"/>
      <c r="R2063" s="8"/>
      <c r="S2063" s="8"/>
      <c r="T2063" s="8"/>
      <c r="U2063" s="8"/>
      <c r="V2063" s="8"/>
      <c r="W2063" s="8"/>
      <c r="X2063" s="8"/>
      <c r="Y2063" s="8"/>
      <c r="Z2063" s="8"/>
      <c r="AA2063" s="8"/>
      <c r="AB2063" s="8"/>
      <c r="AC2063" s="8"/>
      <c r="AD2063" s="8"/>
      <c r="AE2063" s="8"/>
    </row>
    <row r="2064">
      <c r="A2064" s="12">
        <v>63.0</v>
      </c>
      <c r="B2064" s="8" t="s">
        <v>361</v>
      </c>
      <c r="C2064" s="8" t="s">
        <v>1308</v>
      </c>
      <c r="I2064" s="10" t="s">
        <v>1325</v>
      </c>
      <c r="J2064" s="13" t="s">
        <v>1365</v>
      </c>
      <c r="K2064" s="13" t="s">
        <v>276</v>
      </c>
      <c r="L2064" s="13" t="s">
        <v>1758</v>
      </c>
      <c r="M2064" s="7" t="s">
        <v>253</v>
      </c>
      <c r="N2064" s="7" t="s">
        <v>253</v>
      </c>
      <c r="O2064" s="7" t="s">
        <v>254</v>
      </c>
      <c r="P2064" s="8"/>
      <c r="Q2064" s="8"/>
      <c r="R2064" s="8"/>
      <c r="S2064" s="8"/>
      <c r="T2064" s="8"/>
      <c r="U2064" s="8"/>
      <c r="V2064" s="8"/>
      <c r="W2064" s="8"/>
      <c r="X2064" s="8"/>
      <c r="Y2064" s="8"/>
      <c r="Z2064" s="8"/>
      <c r="AA2064" s="8"/>
      <c r="AB2064" s="8"/>
      <c r="AC2064" s="8"/>
      <c r="AD2064" s="8"/>
      <c r="AE2064" s="8"/>
    </row>
    <row r="2065">
      <c r="A2065" s="12">
        <v>63.0</v>
      </c>
      <c r="B2065" s="8" t="s">
        <v>361</v>
      </c>
      <c r="C2065" s="8" t="s">
        <v>1308</v>
      </c>
      <c r="I2065" s="10" t="s">
        <v>1773</v>
      </c>
      <c r="J2065" s="13" t="s">
        <v>1367</v>
      </c>
      <c r="K2065" s="13" t="s">
        <v>276</v>
      </c>
      <c r="L2065" s="13" t="s">
        <v>1758</v>
      </c>
      <c r="M2065" s="7" t="s">
        <v>253</v>
      </c>
      <c r="N2065" s="7" t="s">
        <v>253</v>
      </c>
      <c r="O2065" s="7" t="s">
        <v>254</v>
      </c>
      <c r="P2065" s="8"/>
      <c r="Q2065" s="8"/>
      <c r="R2065" s="8"/>
      <c r="S2065" s="8"/>
      <c r="T2065" s="8"/>
      <c r="U2065" s="8"/>
      <c r="V2065" s="8"/>
      <c r="W2065" s="8"/>
      <c r="X2065" s="8"/>
      <c r="Y2065" s="8"/>
      <c r="Z2065" s="8"/>
      <c r="AA2065" s="8"/>
      <c r="AB2065" s="8"/>
      <c r="AC2065" s="8"/>
      <c r="AD2065" s="8"/>
      <c r="AE2065" s="8"/>
    </row>
    <row r="2066">
      <c r="A2066" s="12">
        <v>63.0</v>
      </c>
      <c r="B2066" s="8" t="s">
        <v>361</v>
      </c>
      <c r="C2066" s="8" t="s">
        <v>1308</v>
      </c>
      <c r="I2066" s="10" t="s">
        <v>412</v>
      </c>
      <c r="J2066" s="13" t="s">
        <v>1365</v>
      </c>
      <c r="K2066" s="13" t="s">
        <v>276</v>
      </c>
      <c r="L2066" s="13" t="s">
        <v>1758</v>
      </c>
      <c r="M2066" s="7" t="s">
        <v>253</v>
      </c>
      <c r="N2066" s="7" t="s">
        <v>253</v>
      </c>
      <c r="O2066" s="7" t="s">
        <v>254</v>
      </c>
      <c r="P2066" s="8"/>
      <c r="Q2066" s="8"/>
      <c r="R2066" s="8"/>
      <c r="S2066" s="8"/>
      <c r="T2066" s="8"/>
      <c r="U2066" s="8"/>
      <c r="V2066" s="8"/>
      <c r="W2066" s="8"/>
      <c r="X2066" s="8"/>
      <c r="Y2066" s="8"/>
      <c r="Z2066" s="8"/>
      <c r="AA2066" s="8"/>
      <c r="AB2066" s="8"/>
      <c r="AC2066" s="8"/>
      <c r="AD2066" s="8"/>
      <c r="AE2066" s="8"/>
    </row>
    <row r="2067">
      <c r="A2067" s="12">
        <v>63.0</v>
      </c>
      <c r="B2067" s="8" t="s">
        <v>361</v>
      </c>
      <c r="C2067" s="8" t="s">
        <v>1308</v>
      </c>
      <c r="I2067" s="10" t="s">
        <v>1017</v>
      </c>
      <c r="J2067" s="13" t="s">
        <v>1367</v>
      </c>
      <c r="K2067" s="13" t="s">
        <v>276</v>
      </c>
      <c r="L2067" s="13" t="s">
        <v>1758</v>
      </c>
      <c r="M2067" s="7" t="s">
        <v>253</v>
      </c>
      <c r="N2067" s="7" t="s">
        <v>253</v>
      </c>
      <c r="O2067" s="7" t="s">
        <v>254</v>
      </c>
      <c r="P2067" s="8"/>
      <c r="Q2067" s="8"/>
      <c r="R2067" s="8"/>
      <c r="S2067" s="8"/>
      <c r="T2067" s="8"/>
      <c r="U2067" s="8"/>
      <c r="V2067" s="8"/>
      <c r="W2067" s="8"/>
      <c r="X2067" s="8"/>
      <c r="Y2067" s="8"/>
      <c r="Z2067" s="8"/>
      <c r="AA2067" s="8"/>
      <c r="AB2067" s="8"/>
      <c r="AC2067" s="8"/>
      <c r="AD2067" s="8"/>
      <c r="AE2067" s="8"/>
    </row>
    <row r="2068">
      <c r="A2068" s="12">
        <v>63.0</v>
      </c>
      <c r="B2068" s="8" t="s">
        <v>361</v>
      </c>
      <c r="C2068" s="8" t="s">
        <v>1308</v>
      </c>
      <c r="I2068" s="10" t="s">
        <v>1774</v>
      </c>
      <c r="J2068" s="13" t="s">
        <v>1365</v>
      </c>
      <c r="K2068" s="13" t="s">
        <v>276</v>
      </c>
      <c r="L2068" s="13" t="s">
        <v>1758</v>
      </c>
      <c r="M2068" s="7" t="s">
        <v>253</v>
      </c>
      <c r="N2068" s="7" t="s">
        <v>253</v>
      </c>
      <c r="O2068" s="7" t="s">
        <v>254</v>
      </c>
      <c r="P2068" s="8"/>
      <c r="Q2068" s="8"/>
      <c r="R2068" s="8"/>
      <c r="S2068" s="8"/>
      <c r="T2068" s="8"/>
      <c r="U2068" s="8"/>
      <c r="V2068" s="8"/>
      <c r="W2068" s="8"/>
      <c r="X2068" s="8"/>
      <c r="Y2068" s="8"/>
      <c r="Z2068" s="8"/>
      <c r="AA2068" s="8"/>
      <c r="AB2068" s="8"/>
      <c r="AC2068" s="8"/>
      <c r="AD2068" s="8"/>
      <c r="AE2068" s="8"/>
    </row>
    <row r="2069">
      <c r="A2069" s="12">
        <v>64.0</v>
      </c>
      <c r="B2069" s="8" t="s">
        <v>362</v>
      </c>
      <c r="C2069" s="8" t="s">
        <v>1308</v>
      </c>
      <c r="D2069" s="25">
        <f>IF(COUNTIF($B$2:$B2069,$B2069)&gt;1,"",COUNTIF($B$2:$B$2505,$B2069))</f>
        <v>73</v>
      </c>
      <c r="E2069" s="25">
        <f>IF(COUNTIF($B$2:$B2069,$B2069)&gt;1,"",COUNTIFS($B$2:$B$2505,$B2069,$K$2:$K$2505,"PHÙ HỢP CAO"))</f>
        <v>5</v>
      </c>
      <c r="F2069" s="25">
        <f>IF(COUNTIF($B$2:$B2069,$B2069)&gt;1,"",COUNTIFS($B$2:$B$2505,$B2069,$K$2:$K$2505,"CÓ THỂ ĐI"))</f>
        <v>0</v>
      </c>
      <c r="G2069" s="25">
        <f>IF(COUNTIF($B$2:$B2069,$B2069)&gt;1,"",COUNTIFS($B$2:$B$2505,$B2069,$K$2:$K$2505,"CẦN SOÁT"))</f>
        <v>68</v>
      </c>
      <c r="H2069" s="26" t="str">
        <f>IFERROR(__xludf.DUMMYFUNCTION("IF(COUNTIF($B$2:$B2069,$B2069)&gt;1,"""",IFERROR(TEXTJOIN(CHAR(10),TRUE,BYROW(QUERY({$B$2:$B$2505,$J$2:$J$2505},""select Col2, count(Col2) where Col1 = '""&amp;$B2069&amp;""' group by Col2 order by count(Col2) desc label count(Col2) ''"",0),LAMBDA(r,INDEX(r,1,1)&amp;"" "&amp;"– ""&amp;INDEX(r,1,2)&amp;"" link""))),""""))"),"cách tiết kiệm tiền – 37 link
cách tiết kiệm tiền hiệu quả – 36 link")</f>
        <v>cách tiết kiệm tiền – 37 link
cách tiết kiệm tiền hiệu quả – 36 link</v>
      </c>
      <c r="I2069" s="10" t="s">
        <v>1377</v>
      </c>
      <c r="J2069" s="13" t="s">
        <v>1380</v>
      </c>
      <c r="K2069" s="13" t="s">
        <v>251</v>
      </c>
      <c r="L2069" s="13" t="s">
        <v>2097</v>
      </c>
      <c r="M2069" s="7" t="s">
        <v>253</v>
      </c>
      <c r="N2069" s="7" t="s">
        <v>253</v>
      </c>
      <c r="O2069" s="7" t="s">
        <v>254</v>
      </c>
      <c r="P2069" s="8"/>
      <c r="Q2069" s="8"/>
      <c r="R2069" s="8"/>
      <c r="S2069" s="8"/>
      <c r="T2069" s="8"/>
      <c r="U2069" s="8"/>
      <c r="V2069" s="8"/>
      <c r="W2069" s="8"/>
      <c r="X2069" s="8"/>
      <c r="Y2069" s="8"/>
      <c r="Z2069" s="8"/>
      <c r="AA2069" s="8"/>
      <c r="AB2069" s="8"/>
      <c r="AC2069" s="8"/>
      <c r="AD2069" s="8"/>
      <c r="AE2069" s="8"/>
    </row>
    <row r="2070">
      <c r="A2070" s="12">
        <v>64.0</v>
      </c>
      <c r="B2070" s="8" t="s">
        <v>362</v>
      </c>
      <c r="C2070" s="8" t="s">
        <v>1308</v>
      </c>
      <c r="I2070" s="10" t="s">
        <v>1381</v>
      </c>
      <c r="J2070" s="13" t="s">
        <v>1383</v>
      </c>
      <c r="K2070" s="13" t="s">
        <v>251</v>
      </c>
      <c r="L2070" s="13" t="s">
        <v>2098</v>
      </c>
      <c r="M2070" s="7" t="s">
        <v>253</v>
      </c>
      <c r="N2070" s="7" t="s">
        <v>253</v>
      </c>
      <c r="O2070" s="7" t="s">
        <v>254</v>
      </c>
      <c r="P2070" s="8"/>
      <c r="Q2070" s="8"/>
      <c r="R2070" s="8"/>
      <c r="S2070" s="8"/>
      <c r="T2070" s="8"/>
      <c r="U2070" s="8"/>
      <c r="V2070" s="8"/>
      <c r="W2070" s="8"/>
      <c r="X2070" s="8"/>
      <c r="Y2070" s="8"/>
      <c r="Z2070" s="8"/>
      <c r="AA2070" s="8"/>
      <c r="AB2070" s="8"/>
      <c r="AC2070" s="8"/>
      <c r="AD2070" s="8"/>
      <c r="AE2070" s="8"/>
    </row>
    <row r="2071">
      <c r="A2071" s="12">
        <v>64.0</v>
      </c>
      <c r="B2071" s="8" t="s">
        <v>362</v>
      </c>
      <c r="C2071" s="8" t="s">
        <v>1308</v>
      </c>
      <c r="I2071" s="10" t="s">
        <v>649</v>
      </c>
      <c r="J2071" s="13" t="s">
        <v>1380</v>
      </c>
      <c r="K2071" s="13" t="s">
        <v>251</v>
      </c>
      <c r="L2071" s="13" t="s">
        <v>2099</v>
      </c>
      <c r="M2071" s="7" t="s">
        <v>253</v>
      </c>
      <c r="N2071" s="7" t="s">
        <v>253</v>
      </c>
      <c r="O2071" s="7" t="s">
        <v>254</v>
      </c>
      <c r="P2071" s="8"/>
      <c r="Q2071" s="8"/>
      <c r="R2071" s="8"/>
      <c r="S2071" s="8"/>
      <c r="T2071" s="8"/>
      <c r="U2071" s="8"/>
      <c r="V2071" s="8"/>
      <c r="W2071" s="8"/>
      <c r="X2071" s="8"/>
      <c r="Y2071" s="8"/>
      <c r="Z2071" s="8"/>
      <c r="AA2071" s="8"/>
      <c r="AB2071" s="8"/>
      <c r="AC2071" s="8"/>
      <c r="AD2071" s="8"/>
      <c r="AE2071" s="8"/>
    </row>
    <row r="2072">
      <c r="A2072" s="12">
        <v>64.0</v>
      </c>
      <c r="B2072" s="8" t="s">
        <v>362</v>
      </c>
      <c r="C2072" s="8" t="s">
        <v>1308</v>
      </c>
      <c r="I2072" s="10" t="s">
        <v>1254</v>
      </c>
      <c r="J2072" s="13" t="s">
        <v>1383</v>
      </c>
      <c r="K2072" s="13" t="s">
        <v>251</v>
      </c>
      <c r="L2072" s="13" t="s">
        <v>2100</v>
      </c>
      <c r="M2072" s="7" t="s">
        <v>253</v>
      </c>
      <c r="N2072" s="7" t="s">
        <v>253</v>
      </c>
      <c r="O2072" s="7" t="s">
        <v>254</v>
      </c>
      <c r="P2072" s="8"/>
      <c r="Q2072" s="8"/>
      <c r="R2072" s="8"/>
      <c r="S2072" s="8"/>
      <c r="T2072" s="8"/>
      <c r="U2072" s="8"/>
      <c r="V2072" s="8"/>
      <c r="W2072" s="8"/>
      <c r="X2072" s="8"/>
      <c r="Y2072" s="8"/>
      <c r="Z2072" s="8"/>
      <c r="AA2072" s="8"/>
      <c r="AB2072" s="8"/>
      <c r="AC2072" s="8"/>
      <c r="AD2072" s="8"/>
      <c r="AE2072" s="8"/>
    </row>
    <row r="2073">
      <c r="A2073" s="12">
        <v>64.0</v>
      </c>
      <c r="B2073" s="8" t="s">
        <v>362</v>
      </c>
      <c r="C2073" s="8" t="s">
        <v>1308</v>
      </c>
      <c r="I2073" s="10" t="s">
        <v>1387</v>
      </c>
      <c r="J2073" s="13" t="s">
        <v>1380</v>
      </c>
      <c r="K2073" s="13" t="s">
        <v>251</v>
      </c>
      <c r="L2073" s="13" t="s">
        <v>2101</v>
      </c>
      <c r="M2073" s="7" t="s">
        <v>253</v>
      </c>
      <c r="N2073" s="7" t="s">
        <v>253</v>
      </c>
      <c r="O2073" s="7" t="s">
        <v>254</v>
      </c>
      <c r="P2073" s="8"/>
      <c r="Q2073" s="8"/>
      <c r="R2073" s="8"/>
      <c r="S2073" s="8"/>
      <c r="T2073" s="8"/>
      <c r="U2073" s="8"/>
      <c r="V2073" s="8"/>
      <c r="W2073" s="8"/>
      <c r="X2073" s="8"/>
      <c r="Y2073" s="8"/>
      <c r="Z2073" s="8"/>
      <c r="AA2073" s="8"/>
      <c r="AB2073" s="8"/>
      <c r="AC2073" s="8"/>
      <c r="AD2073" s="8"/>
      <c r="AE2073" s="8"/>
    </row>
    <row r="2074">
      <c r="A2074" s="12">
        <v>64.0</v>
      </c>
      <c r="B2074" s="8" t="s">
        <v>362</v>
      </c>
      <c r="C2074" s="8" t="s">
        <v>1308</v>
      </c>
      <c r="I2074" s="10" t="s">
        <v>498</v>
      </c>
      <c r="J2074" s="13" t="s">
        <v>1383</v>
      </c>
      <c r="K2074" s="13" t="s">
        <v>276</v>
      </c>
      <c r="L2074" s="13" t="s">
        <v>2102</v>
      </c>
      <c r="M2074" s="7" t="s">
        <v>253</v>
      </c>
      <c r="N2074" s="7" t="s">
        <v>253</v>
      </c>
      <c r="O2074" s="7" t="s">
        <v>254</v>
      </c>
      <c r="P2074" s="8"/>
      <c r="Q2074" s="8"/>
      <c r="R2074" s="8"/>
      <c r="S2074" s="8"/>
      <c r="T2074" s="8"/>
      <c r="U2074" s="8"/>
      <c r="V2074" s="8"/>
      <c r="W2074" s="8"/>
      <c r="X2074" s="8"/>
      <c r="Y2074" s="8"/>
      <c r="Z2074" s="8"/>
      <c r="AA2074" s="8"/>
      <c r="AB2074" s="8"/>
      <c r="AC2074" s="8"/>
      <c r="AD2074" s="8"/>
      <c r="AE2074" s="8"/>
    </row>
    <row r="2075">
      <c r="A2075" s="12">
        <v>64.0</v>
      </c>
      <c r="B2075" s="8" t="s">
        <v>362</v>
      </c>
      <c r="C2075" s="8" t="s">
        <v>1308</v>
      </c>
      <c r="I2075" s="10" t="s">
        <v>1626</v>
      </c>
      <c r="J2075" s="13" t="s">
        <v>1380</v>
      </c>
      <c r="K2075" s="13" t="s">
        <v>276</v>
      </c>
      <c r="L2075" s="13" t="s">
        <v>2103</v>
      </c>
      <c r="M2075" s="7" t="s">
        <v>253</v>
      </c>
      <c r="N2075" s="7" t="s">
        <v>253</v>
      </c>
      <c r="O2075" s="7" t="s">
        <v>254</v>
      </c>
      <c r="P2075" s="8"/>
      <c r="Q2075" s="8"/>
      <c r="R2075" s="8"/>
      <c r="S2075" s="8"/>
      <c r="T2075" s="8"/>
      <c r="U2075" s="8"/>
      <c r="V2075" s="8"/>
      <c r="W2075" s="8"/>
      <c r="X2075" s="8"/>
      <c r="Y2075" s="8"/>
      <c r="Z2075" s="8"/>
      <c r="AA2075" s="8"/>
      <c r="AB2075" s="8"/>
      <c r="AC2075" s="8"/>
      <c r="AD2075" s="8"/>
      <c r="AE2075" s="8"/>
    </row>
    <row r="2076">
      <c r="A2076" s="12">
        <v>64.0</v>
      </c>
      <c r="B2076" s="8" t="s">
        <v>362</v>
      </c>
      <c r="C2076" s="8" t="s">
        <v>1308</v>
      </c>
      <c r="I2076" s="10" t="s">
        <v>2104</v>
      </c>
      <c r="J2076" s="13" t="s">
        <v>1383</v>
      </c>
      <c r="K2076" s="13" t="s">
        <v>276</v>
      </c>
      <c r="L2076" s="13" t="s">
        <v>2105</v>
      </c>
      <c r="M2076" s="7" t="s">
        <v>253</v>
      </c>
      <c r="N2076" s="7" t="s">
        <v>253</v>
      </c>
      <c r="O2076" s="7" t="s">
        <v>254</v>
      </c>
      <c r="P2076" s="8"/>
      <c r="Q2076" s="8"/>
      <c r="R2076" s="8"/>
      <c r="S2076" s="8"/>
      <c r="T2076" s="8"/>
      <c r="U2076" s="8"/>
      <c r="V2076" s="8"/>
      <c r="W2076" s="8"/>
      <c r="X2076" s="8"/>
      <c r="Y2076" s="8"/>
      <c r="Z2076" s="8"/>
      <c r="AA2076" s="8"/>
      <c r="AB2076" s="8"/>
      <c r="AC2076" s="8"/>
      <c r="AD2076" s="8"/>
      <c r="AE2076" s="8"/>
    </row>
    <row r="2077">
      <c r="A2077" s="12">
        <v>64.0</v>
      </c>
      <c r="B2077" s="8" t="s">
        <v>362</v>
      </c>
      <c r="C2077" s="8" t="s">
        <v>1308</v>
      </c>
      <c r="I2077" s="10" t="s">
        <v>1245</v>
      </c>
      <c r="J2077" s="13" t="s">
        <v>1380</v>
      </c>
      <c r="K2077" s="13" t="s">
        <v>276</v>
      </c>
      <c r="L2077" s="13" t="s">
        <v>1248</v>
      </c>
      <c r="M2077" s="7" t="s">
        <v>253</v>
      </c>
      <c r="N2077" s="7" t="s">
        <v>253</v>
      </c>
      <c r="O2077" s="7" t="s">
        <v>254</v>
      </c>
      <c r="P2077" s="8"/>
      <c r="Q2077" s="8"/>
      <c r="R2077" s="8"/>
      <c r="S2077" s="8"/>
      <c r="T2077" s="8"/>
      <c r="U2077" s="8"/>
      <c r="V2077" s="8"/>
      <c r="W2077" s="8"/>
      <c r="X2077" s="8"/>
      <c r="Y2077" s="8"/>
      <c r="Z2077" s="8"/>
      <c r="AA2077" s="8"/>
      <c r="AB2077" s="8"/>
      <c r="AC2077" s="8"/>
      <c r="AD2077" s="8"/>
      <c r="AE2077" s="8"/>
    </row>
    <row r="2078">
      <c r="A2078" s="12">
        <v>64.0</v>
      </c>
      <c r="B2078" s="8" t="s">
        <v>362</v>
      </c>
      <c r="C2078" s="8" t="s">
        <v>1308</v>
      </c>
      <c r="I2078" s="10" t="s">
        <v>477</v>
      </c>
      <c r="J2078" s="13" t="s">
        <v>1383</v>
      </c>
      <c r="K2078" s="13" t="s">
        <v>276</v>
      </c>
      <c r="L2078" s="13" t="s">
        <v>2103</v>
      </c>
      <c r="M2078" s="7" t="s">
        <v>253</v>
      </c>
      <c r="N2078" s="7" t="s">
        <v>253</v>
      </c>
      <c r="O2078" s="7" t="s">
        <v>254</v>
      </c>
      <c r="P2078" s="8"/>
      <c r="Q2078" s="8"/>
      <c r="R2078" s="8"/>
      <c r="S2078" s="8"/>
      <c r="T2078" s="8"/>
      <c r="U2078" s="8"/>
      <c r="V2078" s="8"/>
      <c r="W2078" s="8"/>
      <c r="X2078" s="8"/>
      <c r="Y2078" s="8"/>
      <c r="Z2078" s="8"/>
      <c r="AA2078" s="8"/>
      <c r="AB2078" s="8"/>
      <c r="AC2078" s="8"/>
      <c r="AD2078" s="8"/>
      <c r="AE2078" s="8"/>
    </row>
    <row r="2079">
      <c r="A2079" s="12">
        <v>64.0</v>
      </c>
      <c r="B2079" s="8" t="s">
        <v>362</v>
      </c>
      <c r="C2079" s="8" t="s">
        <v>1308</v>
      </c>
      <c r="I2079" s="10" t="s">
        <v>1242</v>
      </c>
      <c r="J2079" s="13" t="s">
        <v>1380</v>
      </c>
      <c r="K2079" s="13" t="s">
        <v>276</v>
      </c>
      <c r="L2079" s="13" t="s">
        <v>2106</v>
      </c>
      <c r="M2079" s="7" t="s">
        <v>253</v>
      </c>
      <c r="N2079" s="7" t="s">
        <v>253</v>
      </c>
      <c r="O2079" s="7" t="s">
        <v>254</v>
      </c>
      <c r="P2079" s="8"/>
      <c r="Q2079" s="8"/>
      <c r="R2079" s="8"/>
      <c r="S2079" s="8"/>
      <c r="T2079" s="8"/>
      <c r="U2079" s="8"/>
      <c r="V2079" s="8"/>
      <c r="W2079" s="8"/>
      <c r="X2079" s="8"/>
      <c r="Y2079" s="8"/>
      <c r="Z2079" s="8"/>
      <c r="AA2079" s="8"/>
      <c r="AB2079" s="8"/>
      <c r="AC2079" s="8"/>
      <c r="AD2079" s="8"/>
      <c r="AE2079" s="8"/>
    </row>
    <row r="2080">
      <c r="A2080" s="12">
        <v>64.0</v>
      </c>
      <c r="B2080" s="8" t="s">
        <v>362</v>
      </c>
      <c r="C2080" s="8" t="s">
        <v>1308</v>
      </c>
      <c r="I2080" s="10" t="s">
        <v>1250</v>
      </c>
      <c r="J2080" s="13" t="s">
        <v>1383</v>
      </c>
      <c r="K2080" s="13" t="s">
        <v>276</v>
      </c>
      <c r="L2080" s="13" t="s">
        <v>1248</v>
      </c>
      <c r="M2080" s="7" t="s">
        <v>253</v>
      </c>
      <c r="N2080" s="7" t="s">
        <v>253</v>
      </c>
      <c r="O2080" s="7" t="s">
        <v>254</v>
      </c>
      <c r="P2080" s="8"/>
      <c r="Q2080" s="8"/>
      <c r="R2080" s="8"/>
      <c r="S2080" s="8"/>
      <c r="T2080" s="8"/>
      <c r="U2080" s="8"/>
      <c r="V2080" s="8"/>
      <c r="W2080" s="8"/>
      <c r="X2080" s="8"/>
      <c r="Y2080" s="8"/>
      <c r="Z2080" s="8"/>
      <c r="AA2080" s="8"/>
      <c r="AB2080" s="8"/>
      <c r="AC2080" s="8"/>
      <c r="AD2080" s="8"/>
      <c r="AE2080" s="8"/>
    </row>
    <row r="2081">
      <c r="A2081" s="12">
        <v>64.0</v>
      </c>
      <c r="B2081" s="8" t="s">
        <v>362</v>
      </c>
      <c r="C2081" s="8" t="s">
        <v>1308</v>
      </c>
      <c r="I2081" s="10" t="s">
        <v>463</v>
      </c>
      <c r="J2081" s="13" t="s">
        <v>1380</v>
      </c>
      <c r="K2081" s="13" t="s">
        <v>276</v>
      </c>
      <c r="L2081" s="13" t="s">
        <v>2103</v>
      </c>
      <c r="M2081" s="7" t="s">
        <v>253</v>
      </c>
      <c r="N2081" s="7" t="s">
        <v>253</v>
      </c>
      <c r="O2081" s="7" t="s">
        <v>254</v>
      </c>
      <c r="P2081" s="8"/>
      <c r="Q2081" s="8"/>
      <c r="R2081" s="8"/>
      <c r="S2081" s="8"/>
      <c r="T2081" s="8"/>
      <c r="U2081" s="8"/>
      <c r="V2081" s="8"/>
      <c r="W2081" s="8"/>
      <c r="X2081" s="8"/>
      <c r="Y2081" s="8"/>
      <c r="Z2081" s="8"/>
      <c r="AA2081" s="8"/>
      <c r="AB2081" s="8"/>
      <c r="AC2081" s="8"/>
      <c r="AD2081" s="8"/>
      <c r="AE2081" s="8"/>
    </row>
    <row r="2082">
      <c r="A2082" s="12">
        <v>64.0</v>
      </c>
      <c r="B2082" s="8" t="s">
        <v>362</v>
      </c>
      <c r="C2082" s="8" t="s">
        <v>1308</v>
      </c>
      <c r="I2082" s="10" t="s">
        <v>1577</v>
      </c>
      <c r="J2082" s="13" t="s">
        <v>1383</v>
      </c>
      <c r="K2082" s="13" t="s">
        <v>276</v>
      </c>
      <c r="L2082" s="13" t="s">
        <v>2103</v>
      </c>
      <c r="M2082" s="7" t="s">
        <v>253</v>
      </c>
      <c r="N2082" s="7" t="s">
        <v>253</v>
      </c>
      <c r="O2082" s="7" t="s">
        <v>254</v>
      </c>
      <c r="P2082" s="8"/>
      <c r="Q2082" s="8"/>
      <c r="R2082" s="8"/>
      <c r="S2082" s="8"/>
      <c r="T2082" s="8"/>
      <c r="U2082" s="8"/>
      <c r="V2082" s="8"/>
      <c r="W2082" s="8"/>
      <c r="X2082" s="8"/>
      <c r="Y2082" s="8"/>
      <c r="Z2082" s="8"/>
      <c r="AA2082" s="8"/>
      <c r="AB2082" s="8"/>
      <c r="AC2082" s="8"/>
      <c r="AD2082" s="8"/>
      <c r="AE2082" s="8"/>
    </row>
    <row r="2083">
      <c r="A2083" s="12">
        <v>64.0</v>
      </c>
      <c r="B2083" s="8" t="s">
        <v>362</v>
      </c>
      <c r="C2083" s="8" t="s">
        <v>1308</v>
      </c>
      <c r="I2083" s="10" t="s">
        <v>640</v>
      </c>
      <c r="J2083" s="13" t="s">
        <v>1380</v>
      </c>
      <c r="K2083" s="13" t="s">
        <v>276</v>
      </c>
      <c r="L2083" s="13" t="s">
        <v>2103</v>
      </c>
      <c r="M2083" s="7" t="s">
        <v>253</v>
      </c>
      <c r="N2083" s="7" t="s">
        <v>253</v>
      </c>
      <c r="O2083" s="7" t="s">
        <v>254</v>
      </c>
      <c r="P2083" s="8"/>
      <c r="Q2083" s="8"/>
      <c r="R2083" s="8"/>
      <c r="S2083" s="8"/>
      <c r="T2083" s="8"/>
      <c r="U2083" s="8"/>
      <c r="V2083" s="8"/>
      <c r="W2083" s="8"/>
      <c r="X2083" s="8"/>
      <c r="Y2083" s="8"/>
      <c r="Z2083" s="8"/>
      <c r="AA2083" s="8"/>
      <c r="AB2083" s="8"/>
      <c r="AC2083" s="8"/>
      <c r="AD2083" s="8"/>
      <c r="AE2083" s="8"/>
    </row>
    <row r="2084">
      <c r="A2084" s="12">
        <v>64.0</v>
      </c>
      <c r="B2084" s="8" t="s">
        <v>362</v>
      </c>
      <c r="C2084" s="8" t="s">
        <v>1308</v>
      </c>
      <c r="I2084" s="10" t="s">
        <v>2107</v>
      </c>
      <c r="J2084" s="13" t="s">
        <v>1383</v>
      </c>
      <c r="K2084" s="13" t="s">
        <v>276</v>
      </c>
      <c r="L2084" s="13" t="s">
        <v>2103</v>
      </c>
      <c r="M2084" s="7" t="s">
        <v>253</v>
      </c>
      <c r="N2084" s="7" t="s">
        <v>253</v>
      </c>
      <c r="O2084" s="7" t="s">
        <v>254</v>
      </c>
      <c r="P2084" s="8"/>
      <c r="Q2084" s="8"/>
      <c r="R2084" s="8"/>
      <c r="S2084" s="8"/>
      <c r="T2084" s="8"/>
      <c r="U2084" s="8"/>
      <c r="V2084" s="8"/>
      <c r="W2084" s="8"/>
      <c r="X2084" s="8"/>
      <c r="Y2084" s="8"/>
      <c r="Z2084" s="8"/>
      <c r="AA2084" s="8"/>
      <c r="AB2084" s="8"/>
      <c r="AC2084" s="8"/>
      <c r="AD2084" s="8"/>
      <c r="AE2084" s="8"/>
    </row>
    <row r="2085">
      <c r="A2085" s="12">
        <v>64.0</v>
      </c>
      <c r="B2085" s="8" t="s">
        <v>362</v>
      </c>
      <c r="C2085" s="8" t="s">
        <v>1308</v>
      </c>
      <c r="I2085" s="10" t="s">
        <v>2108</v>
      </c>
      <c r="J2085" s="13" t="s">
        <v>1380</v>
      </c>
      <c r="K2085" s="13" t="s">
        <v>276</v>
      </c>
      <c r="L2085" s="13" t="s">
        <v>2103</v>
      </c>
      <c r="M2085" s="7" t="s">
        <v>253</v>
      </c>
      <c r="N2085" s="7" t="s">
        <v>253</v>
      </c>
      <c r="O2085" s="7" t="s">
        <v>254</v>
      </c>
      <c r="P2085" s="8"/>
      <c r="Q2085" s="8"/>
      <c r="R2085" s="8"/>
      <c r="S2085" s="8"/>
      <c r="T2085" s="8"/>
      <c r="U2085" s="8"/>
      <c r="V2085" s="8"/>
      <c r="W2085" s="8"/>
      <c r="X2085" s="8"/>
      <c r="Y2085" s="8"/>
      <c r="Z2085" s="8"/>
      <c r="AA2085" s="8"/>
      <c r="AB2085" s="8"/>
      <c r="AC2085" s="8"/>
      <c r="AD2085" s="8"/>
      <c r="AE2085" s="8"/>
    </row>
    <row r="2086">
      <c r="A2086" s="12">
        <v>64.0</v>
      </c>
      <c r="B2086" s="8" t="s">
        <v>362</v>
      </c>
      <c r="C2086" s="8" t="s">
        <v>1308</v>
      </c>
      <c r="I2086" s="10" t="s">
        <v>2109</v>
      </c>
      <c r="J2086" s="13" t="s">
        <v>1383</v>
      </c>
      <c r="K2086" s="13" t="s">
        <v>276</v>
      </c>
      <c r="L2086" s="13" t="s">
        <v>2102</v>
      </c>
      <c r="M2086" s="7" t="s">
        <v>253</v>
      </c>
      <c r="N2086" s="7" t="s">
        <v>253</v>
      </c>
      <c r="O2086" s="7" t="s">
        <v>254</v>
      </c>
      <c r="P2086" s="8"/>
      <c r="Q2086" s="8"/>
      <c r="R2086" s="8"/>
      <c r="S2086" s="8"/>
      <c r="T2086" s="8"/>
      <c r="U2086" s="8"/>
      <c r="V2086" s="8"/>
      <c r="W2086" s="8"/>
      <c r="X2086" s="8"/>
      <c r="Y2086" s="8"/>
      <c r="Z2086" s="8"/>
      <c r="AA2086" s="8"/>
      <c r="AB2086" s="8"/>
      <c r="AC2086" s="8"/>
      <c r="AD2086" s="8"/>
      <c r="AE2086" s="8"/>
    </row>
    <row r="2087">
      <c r="A2087" s="12">
        <v>64.0</v>
      </c>
      <c r="B2087" s="8" t="s">
        <v>362</v>
      </c>
      <c r="C2087" s="8" t="s">
        <v>1308</v>
      </c>
      <c r="I2087" s="10" t="s">
        <v>403</v>
      </c>
      <c r="J2087" s="13" t="s">
        <v>1380</v>
      </c>
      <c r="K2087" s="13" t="s">
        <v>276</v>
      </c>
      <c r="L2087" s="13" t="s">
        <v>2103</v>
      </c>
      <c r="M2087" s="7" t="s">
        <v>253</v>
      </c>
      <c r="N2087" s="7" t="s">
        <v>253</v>
      </c>
      <c r="O2087" s="7" t="s">
        <v>254</v>
      </c>
      <c r="P2087" s="8"/>
      <c r="Q2087" s="8"/>
      <c r="R2087" s="8"/>
      <c r="S2087" s="8"/>
      <c r="T2087" s="8"/>
      <c r="U2087" s="8"/>
      <c r="V2087" s="8"/>
      <c r="W2087" s="8"/>
      <c r="X2087" s="8"/>
      <c r="Y2087" s="8"/>
      <c r="Z2087" s="8"/>
      <c r="AA2087" s="8"/>
      <c r="AB2087" s="8"/>
      <c r="AC2087" s="8"/>
      <c r="AD2087" s="8"/>
      <c r="AE2087" s="8"/>
    </row>
    <row r="2088">
      <c r="A2088" s="12">
        <v>64.0</v>
      </c>
      <c r="B2088" s="8" t="s">
        <v>362</v>
      </c>
      <c r="C2088" s="8" t="s">
        <v>1308</v>
      </c>
      <c r="I2088" s="10" t="s">
        <v>2110</v>
      </c>
      <c r="J2088" s="13" t="s">
        <v>1383</v>
      </c>
      <c r="K2088" s="13" t="s">
        <v>276</v>
      </c>
      <c r="L2088" s="13" t="s">
        <v>2105</v>
      </c>
      <c r="M2088" s="7" t="s">
        <v>253</v>
      </c>
      <c r="N2088" s="7" t="s">
        <v>253</v>
      </c>
      <c r="O2088" s="7" t="s">
        <v>254</v>
      </c>
      <c r="P2088" s="8"/>
      <c r="Q2088" s="8"/>
      <c r="R2088" s="8"/>
      <c r="S2088" s="8"/>
      <c r="T2088" s="8"/>
      <c r="U2088" s="8"/>
      <c r="V2088" s="8"/>
      <c r="W2088" s="8"/>
      <c r="X2088" s="8"/>
      <c r="Y2088" s="8"/>
      <c r="Z2088" s="8"/>
      <c r="AA2088" s="8"/>
      <c r="AB2088" s="8"/>
      <c r="AC2088" s="8"/>
      <c r="AD2088" s="8"/>
      <c r="AE2088" s="8"/>
    </row>
    <row r="2089">
      <c r="A2089" s="12">
        <v>64.0</v>
      </c>
      <c r="B2089" s="8" t="s">
        <v>362</v>
      </c>
      <c r="C2089" s="8" t="s">
        <v>1308</v>
      </c>
      <c r="I2089" s="10" t="s">
        <v>1251</v>
      </c>
      <c r="J2089" s="13" t="s">
        <v>1380</v>
      </c>
      <c r="K2089" s="13" t="s">
        <v>276</v>
      </c>
      <c r="L2089" s="13" t="s">
        <v>1248</v>
      </c>
      <c r="M2089" s="7" t="s">
        <v>253</v>
      </c>
      <c r="N2089" s="7" t="s">
        <v>253</v>
      </c>
      <c r="O2089" s="7" t="s">
        <v>254</v>
      </c>
      <c r="P2089" s="8"/>
      <c r="Q2089" s="8"/>
      <c r="R2089" s="8"/>
      <c r="S2089" s="8"/>
      <c r="T2089" s="8"/>
      <c r="U2089" s="8"/>
      <c r="V2089" s="8"/>
      <c r="W2089" s="8"/>
      <c r="X2089" s="8"/>
      <c r="Y2089" s="8"/>
      <c r="Z2089" s="8"/>
      <c r="AA2089" s="8"/>
      <c r="AB2089" s="8"/>
      <c r="AC2089" s="8"/>
      <c r="AD2089" s="8"/>
      <c r="AE2089" s="8"/>
    </row>
    <row r="2090">
      <c r="A2090" s="12">
        <v>64.0</v>
      </c>
      <c r="B2090" s="8" t="s">
        <v>362</v>
      </c>
      <c r="C2090" s="8" t="s">
        <v>1308</v>
      </c>
      <c r="I2090" s="10" t="s">
        <v>2111</v>
      </c>
      <c r="J2090" s="13" t="s">
        <v>1383</v>
      </c>
      <c r="K2090" s="13" t="s">
        <v>276</v>
      </c>
      <c r="L2090" s="13" t="s">
        <v>2105</v>
      </c>
      <c r="M2090" s="7" t="s">
        <v>253</v>
      </c>
      <c r="N2090" s="7" t="s">
        <v>253</v>
      </c>
      <c r="O2090" s="7" t="s">
        <v>254</v>
      </c>
      <c r="P2090" s="8"/>
      <c r="Q2090" s="8"/>
      <c r="R2090" s="8"/>
      <c r="S2090" s="8"/>
      <c r="T2090" s="8"/>
      <c r="U2090" s="8"/>
      <c r="V2090" s="8"/>
      <c r="W2090" s="8"/>
      <c r="X2090" s="8"/>
      <c r="Y2090" s="8"/>
      <c r="Z2090" s="8"/>
      <c r="AA2090" s="8"/>
      <c r="AB2090" s="8"/>
      <c r="AC2090" s="8"/>
      <c r="AD2090" s="8"/>
      <c r="AE2090" s="8"/>
    </row>
    <row r="2091">
      <c r="A2091" s="12">
        <v>64.0</v>
      </c>
      <c r="B2091" s="8" t="s">
        <v>362</v>
      </c>
      <c r="C2091" s="8" t="s">
        <v>1308</v>
      </c>
      <c r="I2091" s="10" t="s">
        <v>1804</v>
      </c>
      <c r="J2091" s="13" t="s">
        <v>1380</v>
      </c>
      <c r="K2091" s="13" t="s">
        <v>276</v>
      </c>
      <c r="L2091" s="13" t="s">
        <v>2112</v>
      </c>
      <c r="M2091" s="7" t="s">
        <v>253</v>
      </c>
      <c r="N2091" s="7" t="s">
        <v>253</v>
      </c>
      <c r="O2091" s="7" t="s">
        <v>254</v>
      </c>
      <c r="P2091" s="8"/>
      <c r="Q2091" s="8"/>
      <c r="R2091" s="8"/>
      <c r="S2091" s="8"/>
      <c r="T2091" s="8"/>
      <c r="U2091" s="8"/>
      <c r="V2091" s="8"/>
      <c r="W2091" s="8"/>
      <c r="X2091" s="8"/>
      <c r="Y2091" s="8"/>
      <c r="Z2091" s="8"/>
      <c r="AA2091" s="8"/>
      <c r="AB2091" s="8"/>
      <c r="AC2091" s="8"/>
      <c r="AD2091" s="8"/>
      <c r="AE2091" s="8"/>
    </row>
    <row r="2092">
      <c r="A2092" s="12">
        <v>64.0</v>
      </c>
      <c r="B2092" s="8" t="s">
        <v>362</v>
      </c>
      <c r="C2092" s="8" t="s">
        <v>1308</v>
      </c>
      <c r="I2092" s="10" t="s">
        <v>1102</v>
      </c>
      <c r="J2092" s="13" t="s">
        <v>1383</v>
      </c>
      <c r="K2092" s="13" t="s">
        <v>276</v>
      </c>
      <c r="L2092" s="13" t="s">
        <v>2102</v>
      </c>
      <c r="M2092" s="7" t="s">
        <v>253</v>
      </c>
      <c r="N2092" s="7" t="s">
        <v>253</v>
      </c>
      <c r="O2092" s="7" t="s">
        <v>254</v>
      </c>
      <c r="P2092" s="8"/>
      <c r="Q2092" s="8"/>
      <c r="R2092" s="8"/>
      <c r="S2092" s="8"/>
      <c r="T2092" s="8"/>
      <c r="U2092" s="8"/>
      <c r="V2092" s="8"/>
      <c r="W2092" s="8"/>
      <c r="X2092" s="8"/>
      <c r="Y2092" s="8"/>
      <c r="Z2092" s="8"/>
      <c r="AA2092" s="8"/>
      <c r="AB2092" s="8"/>
      <c r="AC2092" s="8"/>
      <c r="AD2092" s="8"/>
      <c r="AE2092" s="8"/>
    </row>
    <row r="2093">
      <c r="A2093" s="12">
        <v>64.0</v>
      </c>
      <c r="B2093" s="8" t="s">
        <v>362</v>
      </c>
      <c r="C2093" s="8" t="s">
        <v>1308</v>
      </c>
      <c r="I2093" s="10" t="s">
        <v>2113</v>
      </c>
      <c r="J2093" s="13" t="s">
        <v>1380</v>
      </c>
      <c r="K2093" s="13" t="s">
        <v>276</v>
      </c>
      <c r="L2093" s="13" t="s">
        <v>2102</v>
      </c>
      <c r="M2093" s="7" t="s">
        <v>253</v>
      </c>
      <c r="N2093" s="7" t="s">
        <v>253</v>
      </c>
      <c r="O2093" s="7" t="s">
        <v>254</v>
      </c>
      <c r="P2093" s="8"/>
      <c r="Q2093" s="8"/>
      <c r="R2093" s="8"/>
      <c r="S2093" s="8"/>
      <c r="T2093" s="8"/>
      <c r="U2093" s="8"/>
      <c r="V2093" s="8"/>
      <c r="W2093" s="8"/>
      <c r="X2093" s="8"/>
      <c r="Y2093" s="8"/>
      <c r="Z2093" s="8"/>
      <c r="AA2093" s="8"/>
      <c r="AB2093" s="8"/>
      <c r="AC2093" s="8"/>
      <c r="AD2093" s="8"/>
      <c r="AE2093" s="8"/>
    </row>
    <row r="2094">
      <c r="A2094" s="12">
        <v>64.0</v>
      </c>
      <c r="B2094" s="8" t="s">
        <v>362</v>
      </c>
      <c r="C2094" s="8" t="s">
        <v>1308</v>
      </c>
      <c r="I2094" s="10" t="s">
        <v>1166</v>
      </c>
      <c r="J2094" s="13" t="s">
        <v>1383</v>
      </c>
      <c r="K2094" s="13" t="s">
        <v>276</v>
      </c>
      <c r="L2094" s="13" t="s">
        <v>2114</v>
      </c>
      <c r="M2094" s="7" t="s">
        <v>253</v>
      </c>
      <c r="N2094" s="7" t="s">
        <v>253</v>
      </c>
      <c r="O2094" s="7" t="s">
        <v>254</v>
      </c>
      <c r="P2094" s="8"/>
      <c r="Q2094" s="8"/>
      <c r="R2094" s="8"/>
      <c r="S2094" s="8"/>
      <c r="T2094" s="8"/>
      <c r="U2094" s="8"/>
      <c r="V2094" s="8"/>
      <c r="W2094" s="8"/>
      <c r="X2094" s="8"/>
      <c r="Y2094" s="8"/>
      <c r="Z2094" s="8"/>
      <c r="AA2094" s="8"/>
      <c r="AB2094" s="8"/>
      <c r="AC2094" s="8"/>
      <c r="AD2094" s="8"/>
      <c r="AE2094" s="8"/>
    </row>
    <row r="2095">
      <c r="A2095" s="12">
        <v>64.0</v>
      </c>
      <c r="B2095" s="8" t="s">
        <v>362</v>
      </c>
      <c r="C2095" s="8" t="s">
        <v>1308</v>
      </c>
      <c r="I2095" s="10" t="s">
        <v>815</v>
      </c>
      <c r="J2095" s="13" t="s">
        <v>1380</v>
      </c>
      <c r="K2095" s="13" t="s">
        <v>276</v>
      </c>
      <c r="L2095" s="13" t="s">
        <v>1248</v>
      </c>
      <c r="M2095" s="7" t="s">
        <v>253</v>
      </c>
      <c r="N2095" s="7" t="s">
        <v>253</v>
      </c>
      <c r="O2095" s="7" t="s">
        <v>254</v>
      </c>
      <c r="P2095" s="8"/>
      <c r="Q2095" s="8"/>
      <c r="R2095" s="8"/>
      <c r="S2095" s="8"/>
      <c r="T2095" s="8"/>
      <c r="U2095" s="8"/>
      <c r="V2095" s="8"/>
      <c r="W2095" s="8"/>
      <c r="X2095" s="8"/>
      <c r="Y2095" s="8"/>
      <c r="Z2095" s="8"/>
      <c r="AA2095" s="8"/>
      <c r="AB2095" s="8"/>
      <c r="AC2095" s="8"/>
      <c r="AD2095" s="8"/>
      <c r="AE2095" s="8"/>
    </row>
    <row r="2096">
      <c r="A2096" s="12">
        <v>64.0</v>
      </c>
      <c r="B2096" s="8" t="s">
        <v>362</v>
      </c>
      <c r="C2096" s="8" t="s">
        <v>1308</v>
      </c>
      <c r="I2096" s="10" t="s">
        <v>704</v>
      </c>
      <c r="J2096" s="13" t="s">
        <v>1383</v>
      </c>
      <c r="K2096" s="13" t="s">
        <v>276</v>
      </c>
      <c r="L2096" s="13" t="s">
        <v>2105</v>
      </c>
      <c r="M2096" s="7" t="s">
        <v>253</v>
      </c>
      <c r="N2096" s="7" t="s">
        <v>253</v>
      </c>
      <c r="O2096" s="7" t="s">
        <v>254</v>
      </c>
      <c r="P2096" s="8"/>
      <c r="Q2096" s="8"/>
      <c r="R2096" s="8"/>
      <c r="S2096" s="8"/>
      <c r="T2096" s="8"/>
      <c r="U2096" s="8"/>
      <c r="V2096" s="8"/>
      <c r="W2096" s="8"/>
      <c r="X2096" s="8"/>
      <c r="Y2096" s="8"/>
      <c r="Z2096" s="8"/>
      <c r="AA2096" s="8"/>
      <c r="AB2096" s="8"/>
      <c r="AC2096" s="8"/>
      <c r="AD2096" s="8"/>
      <c r="AE2096" s="8"/>
    </row>
    <row r="2097">
      <c r="A2097" s="12">
        <v>64.0</v>
      </c>
      <c r="B2097" s="8" t="s">
        <v>362</v>
      </c>
      <c r="C2097" s="8" t="s">
        <v>1308</v>
      </c>
      <c r="I2097" s="10" t="s">
        <v>1257</v>
      </c>
      <c r="J2097" s="13" t="s">
        <v>1380</v>
      </c>
      <c r="K2097" s="13" t="s">
        <v>276</v>
      </c>
      <c r="L2097" s="13" t="s">
        <v>1248</v>
      </c>
      <c r="M2097" s="7" t="s">
        <v>253</v>
      </c>
      <c r="N2097" s="7" t="s">
        <v>253</v>
      </c>
      <c r="O2097" s="7" t="s">
        <v>254</v>
      </c>
      <c r="P2097" s="8"/>
      <c r="Q2097" s="8"/>
      <c r="R2097" s="8"/>
      <c r="S2097" s="8"/>
      <c r="T2097" s="8"/>
      <c r="U2097" s="8"/>
      <c r="V2097" s="8"/>
      <c r="W2097" s="8"/>
      <c r="X2097" s="8"/>
      <c r="Y2097" s="8"/>
      <c r="Z2097" s="8"/>
      <c r="AA2097" s="8"/>
      <c r="AB2097" s="8"/>
      <c r="AC2097" s="8"/>
      <c r="AD2097" s="8"/>
      <c r="AE2097" s="8"/>
    </row>
    <row r="2098">
      <c r="A2098" s="12">
        <v>64.0</v>
      </c>
      <c r="B2098" s="8" t="s">
        <v>362</v>
      </c>
      <c r="C2098" s="8" t="s">
        <v>1308</v>
      </c>
      <c r="I2098" s="10" t="s">
        <v>2115</v>
      </c>
      <c r="J2098" s="13" t="s">
        <v>1383</v>
      </c>
      <c r="K2098" s="13" t="s">
        <v>276</v>
      </c>
      <c r="L2098" s="13" t="s">
        <v>2103</v>
      </c>
      <c r="M2098" s="7" t="s">
        <v>253</v>
      </c>
      <c r="N2098" s="7" t="s">
        <v>253</v>
      </c>
      <c r="O2098" s="7" t="s">
        <v>254</v>
      </c>
      <c r="P2098" s="8"/>
      <c r="Q2098" s="8"/>
      <c r="R2098" s="8"/>
      <c r="S2098" s="8"/>
      <c r="T2098" s="8"/>
      <c r="U2098" s="8"/>
      <c r="V2098" s="8"/>
      <c r="W2098" s="8"/>
      <c r="X2098" s="8"/>
      <c r="Y2098" s="8"/>
      <c r="Z2098" s="8"/>
      <c r="AA2098" s="8"/>
      <c r="AB2098" s="8"/>
      <c r="AC2098" s="8"/>
      <c r="AD2098" s="8"/>
      <c r="AE2098" s="8"/>
    </row>
    <row r="2099">
      <c r="A2099" s="12">
        <v>64.0</v>
      </c>
      <c r="B2099" s="8" t="s">
        <v>362</v>
      </c>
      <c r="C2099" s="8" t="s">
        <v>1308</v>
      </c>
      <c r="I2099" s="10" t="s">
        <v>1764</v>
      </c>
      <c r="J2099" s="13" t="s">
        <v>1380</v>
      </c>
      <c r="K2099" s="13" t="s">
        <v>276</v>
      </c>
      <c r="L2099" s="13" t="s">
        <v>2103</v>
      </c>
      <c r="M2099" s="7" t="s">
        <v>253</v>
      </c>
      <c r="N2099" s="7" t="s">
        <v>253</v>
      </c>
      <c r="O2099" s="7" t="s">
        <v>254</v>
      </c>
      <c r="P2099" s="8"/>
      <c r="Q2099" s="8"/>
      <c r="R2099" s="8"/>
      <c r="S2099" s="8"/>
      <c r="T2099" s="8"/>
      <c r="U2099" s="8"/>
      <c r="V2099" s="8"/>
      <c r="W2099" s="8"/>
      <c r="X2099" s="8"/>
      <c r="Y2099" s="8"/>
      <c r="Z2099" s="8"/>
      <c r="AA2099" s="8"/>
      <c r="AB2099" s="8"/>
      <c r="AC2099" s="8"/>
      <c r="AD2099" s="8"/>
      <c r="AE2099" s="8"/>
    </row>
    <row r="2100">
      <c r="A2100" s="12">
        <v>64.0</v>
      </c>
      <c r="B2100" s="8" t="s">
        <v>362</v>
      </c>
      <c r="C2100" s="8" t="s">
        <v>1308</v>
      </c>
      <c r="I2100" s="10" t="s">
        <v>2116</v>
      </c>
      <c r="J2100" s="13" t="s">
        <v>1383</v>
      </c>
      <c r="K2100" s="13" t="s">
        <v>276</v>
      </c>
      <c r="L2100" s="13" t="s">
        <v>2102</v>
      </c>
      <c r="M2100" s="7" t="s">
        <v>253</v>
      </c>
      <c r="N2100" s="7" t="s">
        <v>253</v>
      </c>
      <c r="O2100" s="7" t="s">
        <v>254</v>
      </c>
      <c r="P2100" s="8"/>
      <c r="Q2100" s="8"/>
      <c r="R2100" s="8"/>
      <c r="S2100" s="8"/>
      <c r="T2100" s="8"/>
      <c r="U2100" s="8"/>
      <c r="V2100" s="8"/>
      <c r="W2100" s="8"/>
      <c r="X2100" s="8"/>
      <c r="Y2100" s="8"/>
      <c r="Z2100" s="8"/>
      <c r="AA2100" s="8"/>
      <c r="AB2100" s="8"/>
      <c r="AC2100" s="8"/>
      <c r="AD2100" s="8"/>
      <c r="AE2100" s="8"/>
    </row>
    <row r="2101">
      <c r="A2101" s="12">
        <v>64.0</v>
      </c>
      <c r="B2101" s="8" t="s">
        <v>362</v>
      </c>
      <c r="C2101" s="8" t="s">
        <v>1308</v>
      </c>
      <c r="I2101" s="10" t="s">
        <v>1260</v>
      </c>
      <c r="J2101" s="13" t="s">
        <v>1380</v>
      </c>
      <c r="K2101" s="13" t="s">
        <v>276</v>
      </c>
      <c r="L2101" s="13" t="s">
        <v>1248</v>
      </c>
      <c r="M2101" s="7" t="s">
        <v>253</v>
      </c>
      <c r="N2101" s="7" t="s">
        <v>253</v>
      </c>
      <c r="O2101" s="7" t="s">
        <v>254</v>
      </c>
      <c r="P2101" s="8"/>
      <c r="Q2101" s="8"/>
      <c r="R2101" s="8"/>
      <c r="S2101" s="8"/>
      <c r="T2101" s="8"/>
      <c r="U2101" s="8"/>
      <c r="V2101" s="8"/>
      <c r="W2101" s="8"/>
      <c r="X2101" s="8"/>
      <c r="Y2101" s="8"/>
      <c r="Z2101" s="8"/>
      <c r="AA2101" s="8"/>
      <c r="AB2101" s="8"/>
      <c r="AC2101" s="8"/>
      <c r="AD2101" s="8"/>
      <c r="AE2101" s="8"/>
    </row>
    <row r="2102">
      <c r="A2102" s="12">
        <v>64.0</v>
      </c>
      <c r="B2102" s="8" t="s">
        <v>362</v>
      </c>
      <c r="C2102" s="8" t="s">
        <v>1308</v>
      </c>
      <c r="I2102" s="10" t="s">
        <v>1262</v>
      </c>
      <c r="J2102" s="13" t="s">
        <v>1383</v>
      </c>
      <c r="K2102" s="13" t="s">
        <v>276</v>
      </c>
      <c r="L2102" s="13" t="s">
        <v>1248</v>
      </c>
      <c r="M2102" s="7" t="s">
        <v>253</v>
      </c>
      <c r="N2102" s="7" t="s">
        <v>253</v>
      </c>
      <c r="O2102" s="7" t="s">
        <v>254</v>
      </c>
      <c r="P2102" s="8"/>
      <c r="Q2102" s="8"/>
      <c r="R2102" s="8"/>
      <c r="S2102" s="8"/>
      <c r="T2102" s="8"/>
      <c r="U2102" s="8"/>
      <c r="V2102" s="8"/>
      <c r="W2102" s="8"/>
      <c r="X2102" s="8"/>
      <c r="Y2102" s="8"/>
      <c r="Z2102" s="8"/>
      <c r="AA2102" s="8"/>
      <c r="AB2102" s="8"/>
      <c r="AC2102" s="8"/>
      <c r="AD2102" s="8"/>
      <c r="AE2102" s="8"/>
    </row>
    <row r="2103">
      <c r="A2103" s="12">
        <v>64.0</v>
      </c>
      <c r="B2103" s="8" t="s">
        <v>362</v>
      </c>
      <c r="C2103" s="8" t="s">
        <v>1308</v>
      </c>
      <c r="I2103" s="10" t="s">
        <v>1309</v>
      </c>
      <c r="J2103" s="13" t="s">
        <v>1380</v>
      </c>
      <c r="K2103" s="13" t="s">
        <v>276</v>
      </c>
      <c r="L2103" s="13" t="s">
        <v>2102</v>
      </c>
      <c r="M2103" s="7" t="s">
        <v>253</v>
      </c>
      <c r="N2103" s="7" t="s">
        <v>253</v>
      </c>
      <c r="O2103" s="7" t="s">
        <v>254</v>
      </c>
      <c r="P2103" s="8"/>
      <c r="Q2103" s="8"/>
      <c r="R2103" s="8"/>
      <c r="S2103" s="8"/>
      <c r="T2103" s="8"/>
      <c r="U2103" s="8"/>
      <c r="V2103" s="8"/>
      <c r="W2103" s="8"/>
      <c r="X2103" s="8"/>
      <c r="Y2103" s="8"/>
      <c r="Z2103" s="8"/>
      <c r="AA2103" s="8"/>
      <c r="AB2103" s="8"/>
      <c r="AC2103" s="8"/>
      <c r="AD2103" s="8"/>
      <c r="AE2103" s="8"/>
    </row>
    <row r="2104">
      <c r="A2104" s="12">
        <v>64.0</v>
      </c>
      <c r="B2104" s="8" t="s">
        <v>362</v>
      </c>
      <c r="C2104" s="8" t="s">
        <v>1308</v>
      </c>
      <c r="I2104" s="10" t="s">
        <v>1266</v>
      </c>
      <c r="J2104" s="13" t="s">
        <v>1383</v>
      </c>
      <c r="K2104" s="13" t="s">
        <v>276</v>
      </c>
      <c r="L2104" s="13" t="s">
        <v>2117</v>
      </c>
      <c r="M2104" s="7" t="s">
        <v>253</v>
      </c>
      <c r="N2104" s="7" t="s">
        <v>253</v>
      </c>
      <c r="O2104" s="7" t="s">
        <v>254</v>
      </c>
      <c r="P2104" s="8"/>
      <c r="Q2104" s="8"/>
      <c r="R2104" s="8"/>
      <c r="S2104" s="8"/>
      <c r="T2104" s="8"/>
      <c r="U2104" s="8"/>
      <c r="V2104" s="8"/>
      <c r="W2104" s="8"/>
      <c r="X2104" s="8"/>
      <c r="Y2104" s="8"/>
      <c r="Z2104" s="8"/>
      <c r="AA2104" s="8"/>
      <c r="AB2104" s="8"/>
      <c r="AC2104" s="8"/>
      <c r="AD2104" s="8"/>
      <c r="AE2104" s="8"/>
    </row>
    <row r="2105">
      <c r="A2105" s="12">
        <v>64.0</v>
      </c>
      <c r="B2105" s="8" t="s">
        <v>362</v>
      </c>
      <c r="C2105" s="8" t="s">
        <v>1308</v>
      </c>
      <c r="I2105" s="10" t="s">
        <v>1268</v>
      </c>
      <c r="J2105" s="13" t="s">
        <v>1380</v>
      </c>
      <c r="K2105" s="13" t="s">
        <v>276</v>
      </c>
      <c r="L2105" s="13" t="s">
        <v>1248</v>
      </c>
      <c r="M2105" s="7" t="s">
        <v>253</v>
      </c>
      <c r="N2105" s="7" t="s">
        <v>253</v>
      </c>
      <c r="O2105" s="7" t="s">
        <v>254</v>
      </c>
      <c r="P2105" s="8"/>
      <c r="Q2105" s="8"/>
      <c r="R2105" s="8"/>
      <c r="S2105" s="8"/>
      <c r="T2105" s="8"/>
      <c r="U2105" s="8"/>
      <c r="V2105" s="8"/>
      <c r="W2105" s="8"/>
      <c r="X2105" s="8"/>
      <c r="Y2105" s="8"/>
      <c r="Z2105" s="8"/>
      <c r="AA2105" s="8"/>
      <c r="AB2105" s="8"/>
      <c r="AC2105" s="8"/>
      <c r="AD2105" s="8"/>
      <c r="AE2105" s="8"/>
    </row>
    <row r="2106">
      <c r="A2106" s="12">
        <v>64.0</v>
      </c>
      <c r="B2106" s="8" t="s">
        <v>362</v>
      </c>
      <c r="C2106" s="8" t="s">
        <v>1308</v>
      </c>
      <c r="I2106" s="10" t="s">
        <v>894</v>
      </c>
      <c r="J2106" s="13" t="s">
        <v>1383</v>
      </c>
      <c r="K2106" s="13" t="s">
        <v>276</v>
      </c>
      <c r="L2106" s="13" t="s">
        <v>1248</v>
      </c>
      <c r="M2106" s="7" t="s">
        <v>253</v>
      </c>
      <c r="N2106" s="7" t="s">
        <v>253</v>
      </c>
      <c r="O2106" s="7" t="s">
        <v>254</v>
      </c>
      <c r="P2106" s="8"/>
      <c r="Q2106" s="8"/>
      <c r="R2106" s="8"/>
      <c r="S2106" s="8"/>
      <c r="T2106" s="8"/>
      <c r="U2106" s="8"/>
      <c r="V2106" s="8"/>
      <c r="W2106" s="8"/>
      <c r="X2106" s="8"/>
      <c r="Y2106" s="8"/>
      <c r="Z2106" s="8"/>
      <c r="AA2106" s="8"/>
      <c r="AB2106" s="8"/>
      <c r="AC2106" s="8"/>
      <c r="AD2106" s="8"/>
      <c r="AE2106" s="8"/>
    </row>
    <row r="2107">
      <c r="A2107" s="12">
        <v>64.0</v>
      </c>
      <c r="B2107" s="8" t="s">
        <v>362</v>
      </c>
      <c r="C2107" s="8" t="s">
        <v>1308</v>
      </c>
      <c r="I2107" s="10" t="s">
        <v>2118</v>
      </c>
      <c r="J2107" s="13" t="s">
        <v>1380</v>
      </c>
      <c r="K2107" s="13" t="s">
        <v>276</v>
      </c>
      <c r="L2107" s="13" t="s">
        <v>2105</v>
      </c>
      <c r="M2107" s="7" t="s">
        <v>253</v>
      </c>
      <c r="N2107" s="7" t="s">
        <v>253</v>
      </c>
      <c r="O2107" s="7" t="s">
        <v>254</v>
      </c>
      <c r="P2107" s="8"/>
      <c r="Q2107" s="8"/>
      <c r="R2107" s="8"/>
      <c r="S2107" s="8"/>
      <c r="T2107" s="8"/>
      <c r="U2107" s="8"/>
      <c r="V2107" s="8"/>
      <c r="W2107" s="8"/>
      <c r="X2107" s="8"/>
      <c r="Y2107" s="8"/>
      <c r="Z2107" s="8"/>
      <c r="AA2107" s="8"/>
      <c r="AB2107" s="8"/>
      <c r="AC2107" s="8"/>
      <c r="AD2107" s="8"/>
      <c r="AE2107" s="8"/>
    </row>
    <row r="2108">
      <c r="A2108" s="12">
        <v>64.0</v>
      </c>
      <c r="B2108" s="8" t="s">
        <v>362</v>
      </c>
      <c r="C2108" s="8" t="s">
        <v>1308</v>
      </c>
      <c r="I2108" s="10" t="s">
        <v>408</v>
      </c>
      <c r="J2108" s="13" t="s">
        <v>1383</v>
      </c>
      <c r="K2108" s="13" t="s">
        <v>276</v>
      </c>
      <c r="L2108" s="13" t="s">
        <v>2102</v>
      </c>
      <c r="M2108" s="7" t="s">
        <v>253</v>
      </c>
      <c r="N2108" s="7" t="s">
        <v>253</v>
      </c>
      <c r="O2108" s="7" t="s">
        <v>254</v>
      </c>
      <c r="P2108" s="8"/>
      <c r="Q2108" s="8"/>
      <c r="R2108" s="8"/>
      <c r="S2108" s="8"/>
      <c r="T2108" s="8"/>
      <c r="U2108" s="8"/>
      <c r="V2108" s="8"/>
      <c r="W2108" s="8"/>
      <c r="X2108" s="8"/>
      <c r="Y2108" s="8"/>
      <c r="Z2108" s="8"/>
      <c r="AA2108" s="8"/>
      <c r="AB2108" s="8"/>
      <c r="AC2108" s="8"/>
      <c r="AD2108" s="8"/>
      <c r="AE2108" s="8"/>
    </row>
    <row r="2109">
      <c r="A2109" s="12">
        <v>64.0</v>
      </c>
      <c r="B2109" s="8" t="s">
        <v>362</v>
      </c>
      <c r="C2109" s="8" t="s">
        <v>1308</v>
      </c>
      <c r="I2109" s="10" t="s">
        <v>1402</v>
      </c>
      <c r="J2109" s="13" t="s">
        <v>1380</v>
      </c>
      <c r="K2109" s="13" t="s">
        <v>276</v>
      </c>
      <c r="L2109" s="13" t="s">
        <v>2102</v>
      </c>
      <c r="M2109" s="7" t="s">
        <v>253</v>
      </c>
      <c r="N2109" s="7" t="s">
        <v>253</v>
      </c>
      <c r="O2109" s="7" t="s">
        <v>254</v>
      </c>
      <c r="P2109" s="8"/>
      <c r="Q2109" s="8"/>
      <c r="R2109" s="8"/>
      <c r="S2109" s="8"/>
      <c r="T2109" s="8"/>
      <c r="U2109" s="8"/>
      <c r="V2109" s="8"/>
      <c r="W2109" s="8"/>
      <c r="X2109" s="8"/>
      <c r="Y2109" s="8"/>
      <c r="Z2109" s="8"/>
      <c r="AA2109" s="8"/>
      <c r="AB2109" s="8"/>
      <c r="AC2109" s="8"/>
      <c r="AD2109" s="8"/>
      <c r="AE2109" s="8"/>
    </row>
    <row r="2110">
      <c r="A2110" s="12">
        <v>64.0</v>
      </c>
      <c r="B2110" s="8" t="s">
        <v>362</v>
      </c>
      <c r="C2110" s="8" t="s">
        <v>1308</v>
      </c>
      <c r="I2110" s="10" t="s">
        <v>2119</v>
      </c>
      <c r="J2110" s="13" t="s">
        <v>1383</v>
      </c>
      <c r="K2110" s="13" t="s">
        <v>276</v>
      </c>
      <c r="L2110" s="13" t="s">
        <v>2102</v>
      </c>
      <c r="M2110" s="7" t="s">
        <v>253</v>
      </c>
      <c r="N2110" s="7" t="s">
        <v>253</v>
      </c>
      <c r="O2110" s="7" t="s">
        <v>254</v>
      </c>
      <c r="P2110" s="8"/>
      <c r="Q2110" s="8"/>
      <c r="R2110" s="8"/>
      <c r="S2110" s="8"/>
      <c r="T2110" s="8"/>
      <c r="U2110" s="8"/>
      <c r="V2110" s="8"/>
      <c r="W2110" s="8"/>
      <c r="X2110" s="8"/>
      <c r="Y2110" s="8"/>
      <c r="Z2110" s="8"/>
      <c r="AA2110" s="8"/>
      <c r="AB2110" s="8"/>
      <c r="AC2110" s="8"/>
      <c r="AD2110" s="8"/>
      <c r="AE2110" s="8"/>
    </row>
    <row r="2111">
      <c r="A2111" s="12">
        <v>64.0</v>
      </c>
      <c r="B2111" s="8" t="s">
        <v>362</v>
      </c>
      <c r="C2111" s="8" t="s">
        <v>1308</v>
      </c>
      <c r="I2111" s="10" t="s">
        <v>1908</v>
      </c>
      <c r="J2111" s="13" t="s">
        <v>1380</v>
      </c>
      <c r="K2111" s="13" t="s">
        <v>276</v>
      </c>
      <c r="L2111" s="13" t="s">
        <v>2112</v>
      </c>
      <c r="M2111" s="7" t="s">
        <v>253</v>
      </c>
      <c r="N2111" s="7" t="s">
        <v>253</v>
      </c>
      <c r="O2111" s="7" t="s">
        <v>254</v>
      </c>
      <c r="P2111" s="8"/>
      <c r="Q2111" s="8"/>
      <c r="R2111" s="8"/>
      <c r="S2111" s="8"/>
      <c r="T2111" s="8"/>
      <c r="U2111" s="8"/>
      <c r="V2111" s="8"/>
      <c r="W2111" s="8"/>
      <c r="X2111" s="8"/>
      <c r="Y2111" s="8"/>
      <c r="Z2111" s="8"/>
      <c r="AA2111" s="8"/>
      <c r="AB2111" s="8"/>
      <c r="AC2111" s="8"/>
      <c r="AD2111" s="8"/>
      <c r="AE2111" s="8"/>
    </row>
    <row r="2112">
      <c r="A2112" s="12">
        <v>64.0</v>
      </c>
      <c r="B2112" s="8" t="s">
        <v>362</v>
      </c>
      <c r="C2112" s="8" t="s">
        <v>1308</v>
      </c>
      <c r="I2112" s="10" t="s">
        <v>878</v>
      </c>
      <c r="J2112" s="13" t="s">
        <v>1383</v>
      </c>
      <c r="K2112" s="13" t="s">
        <v>276</v>
      </c>
      <c r="L2112" s="13" t="s">
        <v>2103</v>
      </c>
      <c r="M2112" s="7" t="s">
        <v>253</v>
      </c>
      <c r="N2112" s="7" t="s">
        <v>253</v>
      </c>
      <c r="O2112" s="7" t="s">
        <v>254</v>
      </c>
      <c r="P2112" s="8"/>
      <c r="Q2112" s="8"/>
      <c r="R2112" s="8"/>
      <c r="S2112" s="8"/>
      <c r="T2112" s="8"/>
      <c r="U2112" s="8"/>
      <c r="V2112" s="8"/>
      <c r="W2112" s="8"/>
      <c r="X2112" s="8"/>
      <c r="Y2112" s="8"/>
      <c r="Z2112" s="8"/>
      <c r="AA2112" s="8"/>
      <c r="AB2112" s="8"/>
      <c r="AC2112" s="8"/>
      <c r="AD2112" s="8"/>
      <c r="AE2112" s="8"/>
    </row>
    <row r="2113">
      <c r="A2113" s="12">
        <v>64.0</v>
      </c>
      <c r="B2113" s="8" t="s">
        <v>362</v>
      </c>
      <c r="C2113" s="8" t="s">
        <v>1308</v>
      </c>
      <c r="I2113" s="10" t="s">
        <v>1273</v>
      </c>
      <c r="J2113" s="13" t="s">
        <v>1380</v>
      </c>
      <c r="K2113" s="13" t="s">
        <v>276</v>
      </c>
      <c r="L2113" s="13" t="s">
        <v>2106</v>
      </c>
      <c r="M2113" s="7" t="s">
        <v>253</v>
      </c>
      <c r="N2113" s="7" t="s">
        <v>253</v>
      </c>
      <c r="O2113" s="7" t="s">
        <v>254</v>
      </c>
      <c r="P2113" s="8"/>
      <c r="Q2113" s="8"/>
      <c r="R2113" s="8"/>
      <c r="S2113" s="8"/>
      <c r="T2113" s="8"/>
      <c r="U2113" s="8"/>
      <c r="V2113" s="8"/>
      <c r="W2113" s="8"/>
      <c r="X2113" s="8"/>
      <c r="Y2113" s="8"/>
      <c r="Z2113" s="8"/>
      <c r="AA2113" s="8"/>
      <c r="AB2113" s="8"/>
      <c r="AC2113" s="8"/>
      <c r="AD2113" s="8"/>
      <c r="AE2113" s="8"/>
    </row>
    <row r="2114">
      <c r="A2114" s="12">
        <v>64.0</v>
      </c>
      <c r="B2114" s="8" t="s">
        <v>362</v>
      </c>
      <c r="C2114" s="8" t="s">
        <v>1308</v>
      </c>
      <c r="I2114" s="10" t="s">
        <v>2120</v>
      </c>
      <c r="J2114" s="13" t="s">
        <v>1383</v>
      </c>
      <c r="K2114" s="13" t="s">
        <v>276</v>
      </c>
      <c r="L2114" s="13" t="s">
        <v>2112</v>
      </c>
      <c r="M2114" s="7" t="s">
        <v>253</v>
      </c>
      <c r="N2114" s="7" t="s">
        <v>253</v>
      </c>
      <c r="O2114" s="7" t="s">
        <v>254</v>
      </c>
      <c r="P2114" s="8"/>
      <c r="Q2114" s="8"/>
      <c r="R2114" s="8"/>
      <c r="S2114" s="8"/>
      <c r="T2114" s="8"/>
      <c r="U2114" s="8"/>
      <c r="V2114" s="8"/>
      <c r="W2114" s="8"/>
      <c r="X2114" s="8"/>
      <c r="Y2114" s="8"/>
      <c r="Z2114" s="8"/>
      <c r="AA2114" s="8"/>
      <c r="AB2114" s="8"/>
      <c r="AC2114" s="8"/>
      <c r="AD2114" s="8"/>
      <c r="AE2114" s="8"/>
    </row>
    <row r="2115">
      <c r="A2115" s="12">
        <v>64.0</v>
      </c>
      <c r="B2115" s="8" t="s">
        <v>362</v>
      </c>
      <c r="C2115" s="8" t="s">
        <v>1308</v>
      </c>
      <c r="I2115" s="10" t="s">
        <v>837</v>
      </c>
      <c r="J2115" s="13" t="s">
        <v>1380</v>
      </c>
      <c r="K2115" s="13" t="s">
        <v>276</v>
      </c>
      <c r="L2115" s="13" t="s">
        <v>2103</v>
      </c>
      <c r="M2115" s="7" t="s">
        <v>253</v>
      </c>
      <c r="N2115" s="7" t="s">
        <v>253</v>
      </c>
      <c r="O2115" s="7" t="s">
        <v>254</v>
      </c>
      <c r="P2115" s="8"/>
      <c r="Q2115" s="8"/>
      <c r="R2115" s="8"/>
      <c r="S2115" s="8"/>
      <c r="T2115" s="8"/>
      <c r="U2115" s="8"/>
      <c r="V2115" s="8"/>
      <c r="W2115" s="8"/>
      <c r="X2115" s="8"/>
      <c r="Y2115" s="8"/>
      <c r="Z2115" s="8"/>
      <c r="AA2115" s="8"/>
      <c r="AB2115" s="8"/>
      <c r="AC2115" s="8"/>
      <c r="AD2115" s="8"/>
      <c r="AE2115" s="8"/>
    </row>
    <row r="2116">
      <c r="A2116" s="12">
        <v>64.0</v>
      </c>
      <c r="B2116" s="8" t="s">
        <v>362</v>
      </c>
      <c r="C2116" s="8" t="s">
        <v>1308</v>
      </c>
      <c r="I2116" s="10" t="s">
        <v>944</v>
      </c>
      <c r="J2116" s="13" t="s">
        <v>1383</v>
      </c>
      <c r="K2116" s="13" t="s">
        <v>276</v>
      </c>
      <c r="L2116" s="13" t="s">
        <v>2103</v>
      </c>
      <c r="M2116" s="7" t="s">
        <v>253</v>
      </c>
      <c r="N2116" s="7" t="s">
        <v>253</v>
      </c>
      <c r="O2116" s="7" t="s">
        <v>254</v>
      </c>
      <c r="P2116" s="8"/>
      <c r="Q2116" s="8"/>
      <c r="R2116" s="8"/>
      <c r="S2116" s="8"/>
      <c r="T2116" s="8"/>
      <c r="U2116" s="8"/>
      <c r="V2116" s="8"/>
      <c r="W2116" s="8"/>
      <c r="X2116" s="8"/>
      <c r="Y2116" s="8"/>
      <c r="Z2116" s="8"/>
      <c r="AA2116" s="8"/>
      <c r="AB2116" s="8"/>
      <c r="AC2116" s="8"/>
      <c r="AD2116" s="8"/>
      <c r="AE2116" s="8"/>
    </row>
    <row r="2117">
      <c r="A2117" s="12">
        <v>64.0</v>
      </c>
      <c r="B2117" s="8" t="s">
        <v>362</v>
      </c>
      <c r="C2117" s="8" t="s">
        <v>1308</v>
      </c>
      <c r="I2117" s="10" t="s">
        <v>903</v>
      </c>
      <c r="J2117" s="13" t="s">
        <v>1380</v>
      </c>
      <c r="K2117" s="13" t="s">
        <v>276</v>
      </c>
      <c r="L2117" s="13" t="s">
        <v>1248</v>
      </c>
      <c r="M2117" s="7" t="s">
        <v>253</v>
      </c>
      <c r="N2117" s="7" t="s">
        <v>253</v>
      </c>
      <c r="O2117" s="7" t="s">
        <v>254</v>
      </c>
      <c r="P2117" s="8"/>
      <c r="Q2117" s="8"/>
      <c r="R2117" s="8"/>
      <c r="S2117" s="8"/>
      <c r="T2117" s="8"/>
      <c r="U2117" s="8"/>
      <c r="V2117" s="8"/>
      <c r="W2117" s="8"/>
      <c r="X2117" s="8"/>
      <c r="Y2117" s="8"/>
      <c r="Z2117" s="8"/>
      <c r="AA2117" s="8"/>
      <c r="AB2117" s="8"/>
      <c r="AC2117" s="8"/>
      <c r="AD2117" s="8"/>
      <c r="AE2117" s="8"/>
    </row>
    <row r="2118">
      <c r="A2118" s="12">
        <v>64.0</v>
      </c>
      <c r="B2118" s="8" t="s">
        <v>362</v>
      </c>
      <c r="C2118" s="8" t="s">
        <v>1308</v>
      </c>
      <c r="I2118" s="10" t="s">
        <v>1277</v>
      </c>
      <c r="J2118" s="13" t="s">
        <v>1383</v>
      </c>
      <c r="K2118" s="13" t="s">
        <v>276</v>
      </c>
      <c r="L2118" s="13" t="s">
        <v>1248</v>
      </c>
      <c r="M2118" s="7" t="s">
        <v>253</v>
      </c>
      <c r="N2118" s="7" t="s">
        <v>253</v>
      </c>
      <c r="O2118" s="7" t="s">
        <v>254</v>
      </c>
      <c r="P2118" s="8"/>
      <c r="Q2118" s="8"/>
      <c r="R2118" s="8"/>
      <c r="S2118" s="8"/>
      <c r="T2118" s="8"/>
      <c r="U2118" s="8"/>
      <c r="V2118" s="8"/>
      <c r="W2118" s="8"/>
      <c r="X2118" s="8"/>
      <c r="Y2118" s="8"/>
      <c r="Z2118" s="8"/>
      <c r="AA2118" s="8"/>
      <c r="AB2118" s="8"/>
      <c r="AC2118" s="8"/>
      <c r="AD2118" s="8"/>
      <c r="AE2118" s="8"/>
    </row>
    <row r="2119">
      <c r="A2119" s="12">
        <v>64.0</v>
      </c>
      <c r="B2119" s="8" t="s">
        <v>362</v>
      </c>
      <c r="C2119" s="8" t="s">
        <v>1308</v>
      </c>
      <c r="I2119" s="10" t="s">
        <v>2121</v>
      </c>
      <c r="J2119" s="13" t="s">
        <v>1380</v>
      </c>
      <c r="K2119" s="13" t="s">
        <v>276</v>
      </c>
      <c r="L2119" s="13" t="s">
        <v>2102</v>
      </c>
      <c r="M2119" s="7" t="s">
        <v>253</v>
      </c>
      <c r="N2119" s="7" t="s">
        <v>253</v>
      </c>
      <c r="O2119" s="7" t="s">
        <v>254</v>
      </c>
      <c r="P2119" s="8"/>
      <c r="Q2119" s="8"/>
      <c r="R2119" s="8"/>
      <c r="S2119" s="8"/>
      <c r="T2119" s="8"/>
      <c r="U2119" s="8"/>
      <c r="V2119" s="8"/>
      <c r="W2119" s="8"/>
      <c r="X2119" s="8"/>
      <c r="Y2119" s="8"/>
      <c r="Z2119" s="8"/>
      <c r="AA2119" s="8"/>
      <c r="AB2119" s="8"/>
      <c r="AC2119" s="8"/>
      <c r="AD2119" s="8"/>
      <c r="AE2119" s="8"/>
    </row>
    <row r="2120">
      <c r="A2120" s="12">
        <v>64.0</v>
      </c>
      <c r="B2120" s="8" t="s">
        <v>362</v>
      </c>
      <c r="C2120" s="8" t="s">
        <v>1308</v>
      </c>
      <c r="I2120" s="10" t="s">
        <v>1749</v>
      </c>
      <c r="J2120" s="13" t="s">
        <v>1383</v>
      </c>
      <c r="K2120" s="13" t="s">
        <v>276</v>
      </c>
      <c r="L2120" s="13" t="s">
        <v>2105</v>
      </c>
      <c r="M2120" s="7" t="s">
        <v>253</v>
      </c>
      <c r="N2120" s="7" t="s">
        <v>253</v>
      </c>
      <c r="O2120" s="7" t="s">
        <v>254</v>
      </c>
      <c r="P2120" s="8"/>
      <c r="Q2120" s="8"/>
      <c r="R2120" s="8"/>
      <c r="S2120" s="8"/>
      <c r="T2120" s="8"/>
      <c r="U2120" s="8"/>
      <c r="V2120" s="8"/>
      <c r="W2120" s="8"/>
      <c r="X2120" s="8"/>
      <c r="Y2120" s="8"/>
      <c r="Z2120" s="8"/>
      <c r="AA2120" s="8"/>
      <c r="AB2120" s="8"/>
      <c r="AC2120" s="8"/>
      <c r="AD2120" s="8"/>
      <c r="AE2120" s="8"/>
    </row>
    <row r="2121">
      <c r="A2121" s="12">
        <v>64.0</v>
      </c>
      <c r="B2121" s="8" t="s">
        <v>362</v>
      </c>
      <c r="C2121" s="8" t="s">
        <v>1308</v>
      </c>
      <c r="I2121" s="10" t="s">
        <v>2122</v>
      </c>
      <c r="J2121" s="13" t="s">
        <v>1380</v>
      </c>
      <c r="K2121" s="13" t="s">
        <v>276</v>
      </c>
      <c r="L2121" s="13" t="s">
        <v>2103</v>
      </c>
      <c r="M2121" s="7" t="s">
        <v>253</v>
      </c>
      <c r="N2121" s="7" t="s">
        <v>253</v>
      </c>
      <c r="O2121" s="7" t="s">
        <v>254</v>
      </c>
      <c r="P2121" s="8"/>
      <c r="Q2121" s="8"/>
      <c r="R2121" s="8"/>
      <c r="S2121" s="8"/>
      <c r="T2121" s="8"/>
      <c r="U2121" s="8"/>
      <c r="V2121" s="8"/>
      <c r="W2121" s="8"/>
      <c r="X2121" s="8"/>
      <c r="Y2121" s="8"/>
      <c r="Z2121" s="8"/>
      <c r="AA2121" s="8"/>
      <c r="AB2121" s="8"/>
      <c r="AC2121" s="8"/>
      <c r="AD2121" s="8"/>
      <c r="AE2121" s="8"/>
    </row>
    <row r="2122">
      <c r="A2122" s="12">
        <v>64.0</v>
      </c>
      <c r="B2122" s="8" t="s">
        <v>362</v>
      </c>
      <c r="C2122" s="8" t="s">
        <v>1308</v>
      </c>
      <c r="I2122" s="10" t="s">
        <v>716</v>
      </c>
      <c r="J2122" s="13" t="s">
        <v>1383</v>
      </c>
      <c r="K2122" s="13" t="s">
        <v>276</v>
      </c>
      <c r="L2122" s="13" t="s">
        <v>1248</v>
      </c>
      <c r="M2122" s="7" t="s">
        <v>253</v>
      </c>
      <c r="N2122" s="7" t="s">
        <v>253</v>
      </c>
      <c r="O2122" s="7" t="s">
        <v>254</v>
      </c>
      <c r="P2122" s="8"/>
      <c r="Q2122" s="8"/>
      <c r="R2122" s="8"/>
      <c r="S2122" s="8"/>
      <c r="T2122" s="8"/>
      <c r="U2122" s="8"/>
      <c r="V2122" s="8"/>
      <c r="W2122" s="8"/>
      <c r="X2122" s="8"/>
      <c r="Y2122" s="8"/>
      <c r="Z2122" s="8"/>
      <c r="AA2122" s="8"/>
      <c r="AB2122" s="8"/>
      <c r="AC2122" s="8"/>
      <c r="AD2122" s="8"/>
      <c r="AE2122" s="8"/>
    </row>
    <row r="2123">
      <c r="A2123" s="12">
        <v>64.0</v>
      </c>
      <c r="B2123" s="8" t="s">
        <v>362</v>
      </c>
      <c r="C2123" s="8" t="s">
        <v>1308</v>
      </c>
      <c r="I2123" s="10" t="s">
        <v>891</v>
      </c>
      <c r="J2123" s="13" t="s">
        <v>1380</v>
      </c>
      <c r="K2123" s="13" t="s">
        <v>276</v>
      </c>
      <c r="L2123" s="13" t="s">
        <v>1248</v>
      </c>
      <c r="M2123" s="7" t="s">
        <v>253</v>
      </c>
      <c r="N2123" s="7" t="s">
        <v>253</v>
      </c>
      <c r="O2123" s="7" t="s">
        <v>254</v>
      </c>
      <c r="P2123" s="8"/>
      <c r="Q2123" s="8"/>
      <c r="R2123" s="8"/>
      <c r="S2123" s="8"/>
      <c r="T2123" s="8"/>
      <c r="U2123" s="8"/>
      <c r="V2123" s="8"/>
      <c r="W2123" s="8"/>
      <c r="X2123" s="8"/>
      <c r="Y2123" s="8"/>
      <c r="Z2123" s="8"/>
      <c r="AA2123" s="8"/>
      <c r="AB2123" s="8"/>
      <c r="AC2123" s="8"/>
      <c r="AD2123" s="8"/>
      <c r="AE2123" s="8"/>
    </row>
    <row r="2124">
      <c r="A2124" s="12">
        <v>64.0</v>
      </c>
      <c r="B2124" s="8" t="s">
        <v>362</v>
      </c>
      <c r="C2124" s="8" t="s">
        <v>1308</v>
      </c>
      <c r="I2124" s="10" t="s">
        <v>1289</v>
      </c>
      <c r="J2124" s="13" t="s">
        <v>1383</v>
      </c>
      <c r="K2124" s="13" t="s">
        <v>276</v>
      </c>
      <c r="L2124" s="13" t="s">
        <v>2106</v>
      </c>
      <c r="M2124" s="7" t="s">
        <v>253</v>
      </c>
      <c r="N2124" s="7" t="s">
        <v>253</v>
      </c>
      <c r="O2124" s="7" t="s">
        <v>254</v>
      </c>
      <c r="P2124" s="8"/>
      <c r="Q2124" s="8"/>
      <c r="R2124" s="8"/>
      <c r="S2124" s="8"/>
      <c r="T2124" s="8"/>
      <c r="U2124" s="8"/>
      <c r="V2124" s="8"/>
      <c r="W2124" s="8"/>
      <c r="X2124" s="8"/>
      <c r="Y2124" s="8"/>
      <c r="Z2124" s="8"/>
      <c r="AA2124" s="8"/>
      <c r="AB2124" s="8"/>
      <c r="AC2124" s="8"/>
      <c r="AD2124" s="8"/>
      <c r="AE2124" s="8"/>
    </row>
    <row r="2125">
      <c r="A2125" s="12">
        <v>64.0</v>
      </c>
      <c r="B2125" s="8" t="s">
        <v>362</v>
      </c>
      <c r="C2125" s="8" t="s">
        <v>1308</v>
      </c>
      <c r="I2125" s="10" t="s">
        <v>1514</v>
      </c>
      <c r="J2125" s="13" t="s">
        <v>1380</v>
      </c>
      <c r="K2125" s="13" t="s">
        <v>276</v>
      </c>
      <c r="L2125" s="13" t="s">
        <v>2105</v>
      </c>
      <c r="M2125" s="7" t="s">
        <v>253</v>
      </c>
      <c r="N2125" s="7" t="s">
        <v>253</v>
      </c>
      <c r="O2125" s="7" t="s">
        <v>254</v>
      </c>
      <c r="P2125" s="8"/>
      <c r="Q2125" s="8"/>
      <c r="R2125" s="8"/>
      <c r="S2125" s="8"/>
      <c r="T2125" s="8"/>
      <c r="U2125" s="8"/>
      <c r="V2125" s="8"/>
      <c r="W2125" s="8"/>
      <c r="X2125" s="8"/>
      <c r="Y2125" s="8"/>
      <c r="Z2125" s="8"/>
      <c r="AA2125" s="8"/>
      <c r="AB2125" s="8"/>
      <c r="AC2125" s="8"/>
      <c r="AD2125" s="8"/>
      <c r="AE2125" s="8"/>
    </row>
    <row r="2126">
      <c r="A2126" s="12">
        <v>64.0</v>
      </c>
      <c r="B2126" s="8" t="s">
        <v>362</v>
      </c>
      <c r="C2126" s="8" t="s">
        <v>1308</v>
      </c>
      <c r="I2126" s="10" t="s">
        <v>1293</v>
      </c>
      <c r="J2126" s="13" t="s">
        <v>1383</v>
      </c>
      <c r="K2126" s="13" t="s">
        <v>276</v>
      </c>
      <c r="L2126" s="13" t="s">
        <v>1248</v>
      </c>
      <c r="M2126" s="7" t="s">
        <v>253</v>
      </c>
      <c r="N2126" s="7" t="s">
        <v>253</v>
      </c>
      <c r="O2126" s="7" t="s">
        <v>254</v>
      </c>
      <c r="P2126" s="8"/>
      <c r="Q2126" s="8"/>
      <c r="R2126" s="8"/>
      <c r="S2126" s="8"/>
      <c r="T2126" s="8"/>
      <c r="U2126" s="8"/>
      <c r="V2126" s="8"/>
      <c r="W2126" s="8"/>
      <c r="X2126" s="8"/>
      <c r="Y2126" s="8"/>
      <c r="Z2126" s="8"/>
      <c r="AA2126" s="8"/>
      <c r="AB2126" s="8"/>
      <c r="AC2126" s="8"/>
      <c r="AD2126" s="8"/>
      <c r="AE2126" s="8"/>
    </row>
    <row r="2127">
      <c r="A2127" s="12">
        <v>64.0</v>
      </c>
      <c r="B2127" s="8" t="s">
        <v>362</v>
      </c>
      <c r="C2127" s="8" t="s">
        <v>1308</v>
      </c>
      <c r="I2127" s="10" t="s">
        <v>1297</v>
      </c>
      <c r="J2127" s="13" t="s">
        <v>1380</v>
      </c>
      <c r="K2127" s="13" t="s">
        <v>276</v>
      </c>
      <c r="L2127" s="13" t="s">
        <v>2117</v>
      </c>
      <c r="M2127" s="7" t="s">
        <v>253</v>
      </c>
      <c r="N2127" s="7" t="s">
        <v>253</v>
      </c>
      <c r="O2127" s="7" t="s">
        <v>254</v>
      </c>
      <c r="P2127" s="8"/>
      <c r="Q2127" s="8"/>
      <c r="R2127" s="8"/>
      <c r="S2127" s="8"/>
      <c r="T2127" s="8"/>
      <c r="U2127" s="8"/>
      <c r="V2127" s="8"/>
      <c r="W2127" s="8"/>
      <c r="X2127" s="8"/>
      <c r="Y2127" s="8"/>
      <c r="Z2127" s="8"/>
      <c r="AA2127" s="8"/>
      <c r="AB2127" s="8"/>
      <c r="AC2127" s="8"/>
      <c r="AD2127" s="8"/>
      <c r="AE2127" s="8"/>
    </row>
    <row r="2128">
      <c r="A2128" s="12">
        <v>64.0</v>
      </c>
      <c r="B2128" s="8" t="s">
        <v>362</v>
      </c>
      <c r="C2128" s="8" t="s">
        <v>1308</v>
      </c>
      <c r="I2128" s="10" t="s">
        <v>1299</v>
      </c>
      <c r="J2128" s="13" t="s">
        <v>1383</v>
      </c>
      <c r="K2128" s="13" t="s">
        <v>276</v>
      </c>
      <c r="L2128" s="13" t="s">
        <v>2117</v>
      </c>
      <c r="M2128" s="7" t="s">
        <v>253</v>
      </c>
      <c r="N2128" s="7" t="s">
        <v>253</v>
      </c>
      <c r="O2128" s="7" t="s">
        <v>254</v>
      </c>
      <c r="P2128" s="8"/>
      <c r="Q2128" s="8"/>
      <c r="R2128" s="8"/>
      <c r="S2128" s="8"/>
      <c r="T2128" s="8"/>
      <c r="U2128" s="8"/>
      <c r="V2128" s="8"/>
      <c r="W2128" s="8"/>
      <c r="X2128" s="8"/>
      <c r="Y2128" s="8"/>
      <c r="Z2128" s="8"/>
      <c r="AA2128" s="8"/>
      <c r="AB2128" s="8"/>
      <c r="AC2128" s="8"/>
      <c r="AD2128" s="8"/>
      <c r="AE2128" s="8"/>
    </row>
    <row r="2129">
      <c r="A2129" s="12">
        <v>64.0</v>
      </c>
      <c r="B2129" s="8" t="s">
        <v>362</v>
      </c>
      <c r="C2129" s="8" t="s">
        <v>1308</v>
      </c>
      <c r="I2129" s="10" t="s">
        <v>1303</v>
      </c>
      <c r="J2129" s="13" t="s">
        <v>1380</v>
      </c>
      <c r="K2129" s="13" t="s">
        <v>276</v>
      </c>
      <c r="L2129" s="13" t="s">
        <v>2106</v>
      </c>
      <c r="M2129" s="7" t="s">
        <v>253</v>
      </c>
      <c r="N2129" s="7" t="s">
        <v>253</v>
      </c>
      <c r="O2129" s="7" t="s">
        <v>254</v>
      </c>
      <c r="P2129" s="8"/>
      <c r="Q2129" s="8"/>
      <c r="R2129" s="8"/>
      <c r="S2129" s="8"/>
      <c r="T2129" s="8"/>
      <c r="U2129" s="8"/>
      <c r="V2129" s="8"/>
      <c r="W2129" s="8"/>
      <c r="X2129" s="8"/>
      <c r="Y2129" s="8"/>
      <c r="Z2129" s="8"/>
      <c r="AA2129" s="8"/>
      <c r="AB2129" s="8"/>
      <c r="AC2129" s="8"/>
      <c r="AD2129" s="8"/>
      <c r="AE2129" s="8"/>
    </row>
    <row r="2130">
      <c r="A2130" s="12">
        <v>64.0</v>
      </c>
      <c r="B2130" s="8" t="s">
        <v>362</v>
      </c>
      <c r="C2130" s="8" t="s">
        <v>1308</v>
      </c>
      <c r="I2130" s="10" t="s">
        <v>2123</v>
      </c>
      <c r="J2130" s="13" t="s">
        <v>1383</v>
      </c>
      <c r="K2130" s="13" t="s">
        <v>276</v>
      </c>
      <c r="L2130" s="13" t="s">
        <v>2105</v>
      </c>
      <c r="M2130" s="7" t="s">
        <v>253</v>
      </c>
      <c r="N2130" s="7" t="s">
        <v>253</v>
      </c>
      <c r="O2130" s="7" t="s">
        <v>254</v>
      </c>
      <c r="P2130" s="8"/>
      <c r="Q2130" s="8"/>
      <c r="R2130" s="8"/>
      <c r="S2130" s="8"/>
      <c r="T2130" s="8"/>
      <c r="U2130" s="8"/>
      <c r="V2130" s="8"/>
      <c r="W2130" s="8"/>
      <c r="X2130" s="8"/>
      <c r="Y2130" s="8"/>
      <c r="Z2130" s="8"/>
      <c r="AA2130" s="8"/>
      <c r="AB2130" s="8"/>
      <c r="AC2130" s="8"/>
      <c r="AD2130" s="8"/>
      <c r="AE2130" s="8"/>
    </row>
    <row r="2131">
      <c r="A2131" s="12">
        <v>64.0</v>
      </c>
      <c r="B2131" s="8" t="s">
        <v>362</v>
      </c>
      <c r="C2131" s="8" t="s">
        <v>1308</v>
      </c>
      <c r="I2131" s="10" t="s">
        <v>1305</v>
      </c>
      <c r="J2131" s="13" t="s">
        <v>1380</v>
      </c>
      <c r="K2131" s="13" t="s">
        <v>276</v>
      </c>
      <c r="L2131" s="13" t="s">
        <v>1248</v>
      </c>
      <c r="M2131" s="7" t="s">
        <v>253</v>
      </c>
      <c r="N2131" s="7" t="s">
        <v>253</v>
      </c>
      <c r="O2131" s="7" t="s">
        <v>254</v>
      </c>
      <c r="P2131" s="8"/>
      <c r="Q2131" s="8"/>
      <c r="R2131" s="8"/>
      <c r="S2131" s="8"/>
      <c r="T2131" s="8"/>
      <c r="U2131" s="8"/>
      <c r="V2131" s="8"/>
      <c r="W2131" s="8"/>
      <c r="X2131" s="8"/>
      <c r="Y2131" s="8"/>
      <c r="Z2131" s="8"/>
      <c r="AA2131" s="8"/>
      <c r="AB2131" s="8"/>
      <c r="AC2131" s="8"/>
      <c r="AD2131" s="8"/>
      <c r="AE2131" s="8"/>
    </row>
    <row r="2132">
      <c r="A2132" s="12">
        <v>64.0</v>
      </c>
      <c r="B2132" s="8" t="s">
        <v>362</v>
      </c>
      <c r="C2132" s="8" t="s">
        <v>1308</v>
      </c>
      <c r="I2132" s="10" t="s">
        <v>1773</v>
      </c>
      <c r="J2132" s="13" t="s">
        <v>1383</v>
      </c>
      <c r="K2132" s="13" t="s">
        <v>276</v>
      </c>
      <c r="L2132" s="13" t="s">
        <v>2112</v>
      </c>
      <c r="M2132" s="7" t="s">
        <v>253</v>
      </c>
      <c r="N2132" s="7" t="s">
        <v>253</v>
      </c>
      <c r="O2132" s="7" t="s">
        <v>254</v>
      </c>
      <c r="P2132" s="8"/>
      <c r="Q2132" s="8"/>
      <c r="R2132" s="8"/>
      <c r="S2132" s="8"/>
      <c r="T2132" s="8"/>
      <c r="U2132" s="8"/>
      <c r="V2132" s="8"/>
      <c r="W2132" s="8"/>
      <c r="X2132" s="8"/>
      <c r="Y2132" s="8"/>
      <c r="Z2132" s="8"/>
      <c r="AA2132" s="8"/>
      <c r="AB2132" s="8"/>
      <c r="AC2132" s="8"/>
      <c r="AD2132" s="8"/>
      <c r="AE2132" s="8"/>
    </row>
    <row r="2133">
      <c r="A2133" s="12">
        <v>64.0</v>
      </c>
      <c r="B2133" s="8" t="s">
        <v>362</v>
      </c>
      <c r="C2133" s="8" t="s">
        <v>1308</v>
      </c>
      <c r="I2133" s="10" t="s">
        <v>1312</v>
      </c>
      <c r="J2133" s="13" t="s">
        <v>1380</v>
      </c>
      <c r="K2133" s="13" t="s">
        <v>276</v>
      </c>
      <c r="L2133" s="13" t="s">
        <v>1248</v>
      </c>
      <c r="M2133" s="7" t="s">
        <v>253</v>
      </c>
      <c r="N2133" s="7" t="s">
        <v>253</v>
      </c>
      <c r="O2133" s="7" t="s">
        <v>254</v>
      </c>
      <c r="P2133" s="8"/>
      <c r="Q2133" s="8"/>
      <c r="R2133" s="8"/>
      <c r="S2133" s="8"/>
      <c r="T2133" s="8"/>
      <c r="U2133" s="8"/>
      <c r="V2133" s="8"/>
      <c r="W2133" s="8"/>
      <c r="X2133" s="8"/>
      <c r="Y2133" s="8"/>
      <c r="Z2133" s="8"/>
      <c r="AA2133" s="8"/>
      <c r="AB2133" s="8"/>
      <c r="AC2133" s="8"/>
      <c r="AD2133" s="8"/>
      <c r="AE2133" s="8"/>
    </row>
    <row r="2134">
      <c r="A2134" s="12">
        <v>64.0</v>
      </c>
      <c r="B2134" s="8" t="s">
        <v>362</v>
      </c>
      <c r="C2134" s="8" t="s">
        <v>1308</v>
      </c>
      <c r="I2134" s="10" t="s">
        <v>1600</v>
      </c>
      <c r="J2134" s="13" t="s">
        <v>1383</v>
      </c>
      <c r="K2134" s="13" t="s">
        <v>276</v>
      </c>
      <c r="L2134" s="13" t="s">
        <v>2105</v>
      </c>
      <c r="M2134" s="7" t="s">
        <v>253</v>
      </c>
      <c r="N2134" s="7" t="s">
        <v>253</v>
      </c>
      <c r="O2134" s="7" t="s">
        <v>254</v>
      </c>
      <c r="P2134" s="8"/>
      <c r="Q2134" s="8"/>
      <c r="R2134" s="8"/>
      <c r="S2134" s="8"/>
      <c r="T2134" s="8"/>
      <c r="U2134" s="8"/>
      <c r="V2134" s="8"/>
      <c r="W2134" s="8"/>
      <c r="X2134" s="8"/>
      <c r="Y2134" s="8"/>
      <c r="Z2134" s="8"/>
      <c r="AA2134" s="8"/>
      <c r="AB2134" s="8"/>
      <c r="AC2134" s="8"/>
      <c r="AD2134" s="8"/>
      <c r="AE2134" s="8"/>
    </row>
    <row r="2135">
      <c r="A2135" s="12">
        <v>64.0</v>
      </c>
      <c r="B2135" s="8" t="s">
        <v>362</v>
      </c>
      <c r="C2135" s="8" t="s">
        <v>1308</v>
      </c>
      <c r="I2135" s="10" t="s">
        <v>1315</v>
      </c>
      <c r="J2135" s="13" t="s">
        <v>1380</v>
      </c>
      <c r="K2135" s="13" t="s">
        <v>276</v>
      </c>
      <c r="L2135" s="13" t="s">
        <v>2106</v>
      </c>
      <c r="M2135" s="7" t="s">
        <v>253</v>
      </c>
      <c r="N2135" s="7" t="s">
        <v>253</v>
      </c>
      <c r="O2135" s="7" t="s">
        <v>254</v>
      </c>
      <c r="P2135" s="8"/>
      <c r="Q2135" s="8"/>
      <c r="R2135" s="8"/>
      <c r="S2135" s="8"/>
      <c r="T2135" s="8"/>
      <c r="U2135" s="8"/>
      <c r="V2135" s="8"/>
      <c r="W2135" s="8"/>
      <c r="X2135" s="8"/>
      <c r="Y2135" s="8"/>
      <c r="Z2135" s="8"/>
      <c r="AA2135" s="8"/>
      <c r="AB2135" s="8"/>
      <c r="AC2135" s="8"/>
      <c r="AD2135" s="8"/>
      <c r="AE2135" s="8"/>
    </row>
    <row r="2136">
      <c r="A2136" s="12">
        <v>64.0</v>
      </c>
      <c r="B2136" s="8" t="s">
        <v>362</v>
      </c>
      <c r="C2136" s="8" t="s">
        <v>1308</v>
      </c>
      <c r="I2136" s="10" t="s">
        <v>1082</v>
      </c>
      <c r="J2136" s="13" t="s">
        <v>1383</v>
      </c>
      <c r="K2136" s="13" t="s">
        <v>276</v>
      </c>
      <c r="L2136" s="13" t="s">
        <v>1248</v>
      </c>
      <c r="M2136" s="7" t="s">
        <v>253</v>
      </c>
      <c r="N2136" s="7" t="s">
        <v>253</v>
      </c>
      <c r="O2136" s="7" t="s">
        <v>254</v>
      </c>
      <c r="P2136" s="8"/>
      <c r="Q2136" s="8"/>
      <c r="R2136" s="8"/>
      <c r="S2136" s="8"/>
      <c r="T2136" s="8"/>
      <c r="U2136" s="8"/>
      <c r="V2136" s="8"/>
      <c r="W2136" s="8"/>
      <c r="X2136" s="8"/>
      <c r="Y2136" s="8"/>
      <c r="Z2136" s="8"/>
      <c r="AA2136" s="8"/>
      <c r="AB2136" s="8"/>
      <c r="AC2136" s="8"/>
      <c r="AD2136" s="8"/>
      <c r="AE2136" s="8"/>
    </row>
    <row r="2137">
      <c r="A2137" s="12">
        <v>64.0</v>
      </c>
      <c r="B2137" s="8" t="s">
        <v>362</v>
      </c>
      <c r="C2137" s="8" t="s">
        <v>1308</v>
      </c>
      <c r="I2137" s="10" t="s">
        <v>2124</v>
      </c>
      <c r="J2137" s="13" t="s">
        <v>1380</v>
      </c>
      <c r="K2137" s="13" t="s">
        <v>276</v>
      </c>
      <c r="L2137" s="13" t="s">
        <v>2103</v>
      </c>
      <c r="M2137" s="7" t="s">
        <v>253</v>
      </c>
      <c r="N2137" s="7" t="s">
        <v>253</v>
      </c>
      <c r="O2137" s="7" t="s">
        <v>254</v>
      </c>
      <c r="P2137" s="8"/>
      <c r="Q2137" s="8"/>
      <c r="R2137" s="8"/>
      <c r="S2137" s="8"/>
      <c r="T2137" s="8"/>
      <c r="U2137" s="8"/>
      <c r="V2137" s="8"/>
      <c r="W2137" s="8"/>
      <c r="X2137" s="8"/>
      <c r="Y2137" s="8"/>
      <c r="Z2137" s="8"/>
      <c r="AA2137" s="8"/>
      <c r="AB2137" s="8"/>
      <c r="AC2137" s="8"/>
      <c r="AD2137" s="8"/>
      <c r="AE2137" s="8"/>
    </row>
    <row r="2138">
      <c r="A2138" s="12">
        <v>64.0</v>
      </c>
      <c r="B2138" s="8" t="s">
        <v>362</v>
      </c>
      <c r="C2138" s="8" t="s">
        <v>1308</v>
      </c>
      <c r="I2138" s="10" t="s">
        <v>1049</v>
      </c>
      <c r="J2138" s="13" t="s">
        <v>1383</v>
      </c>
      <c r="K2138" s="13" t="s">
        <v>276</v>
      </c>
      <c r="L2138" s="13" t="s">
        <v>1248</v>
      </c>
      <c r="M2138" s="7" t="s">
        <v>253</v>
      </c>
      <c r="N2138" s="7" t="s">
        <v>253</v>
      </c>
      <c r="O2138" s="7" t="s">
        <v>254</v>
      </c>
      <c r="P2138" s="8"/>
      <c r="Q2138" s="8"/>
      <c r="R2138" s="8"/>
      <c r="S2138" s="8"/>
      <c r="T2138" s="8"/>
      <c r="U2138" s="8"/>
      <c r="V2138" s="8"/>
      <c r="W2138" s="8"/>
      <c r="X2138" s="8"/>
      <c r="Y2138" s="8"/>
      <c r="Z2138" s="8"/>
      <c r="AA2138" s="8"/>
      <c r="AB2138" s="8"/>
      <c r="AC2138" s="8"/>
      <c r="AD2138" s="8"/>
      <c r="AE2138" s="8"/>
    </row>
    <row r="2139">
      <c r="A2139" s="12">
        <v>64.0</v>
      </c>
      <c r="B2139" s="8" t="s">
        <v>362</v>
      </c>
      <c r="C2139" s="8" t="s">
        <v>1308</v>
      </c>
      <c r="I2139" s="10" t="s">
        <v>1322</v>
      </c>
      <c r="J2139" s="13" t="s">
        <v>1380</v>
      </c>
      <c r="K2139" s="13" t="s">
        <v>276</v>
      </c>
      <c r="L2139" s="13" t="s">
        <v>1248</v>
      </c>
      <c r="M2139" s="7" t="s">
        <v>253</v>
      </c>
      <c r="N2139" s="7" t="s">
        <v>253</v>
      </c>
      <c r="O2139" s="7" t="s">
        <v>254</v>
      </c>
      <c r="P2139" s="8"/>
      <c r="Q2139" s="8"/>
      <c r="R2139" s="8"/>
      <c r="S2139" s="8"/>
      <c r="T2139" s="8"/>
      <c r="U2139" s="8"/>
      <c r="V2139" s="8"/>
      <c r="W2139" s="8"/>
      <c r="X2139" s="8"/>
      <c r="Y2139" s="8"/>
      <c r="Z2139" s="8"/>
      <c r="AA2139" s="8"/>
      <c r="AB2139" s="8"/>
      <c r="AC2139" s="8"/>
      <c r="AD2139" s="8"/>
      <c r="AE2139" s="8"/>
    </row>
    <row r="2140">
      <c r="A2140" s="12">
        <v>64.0</v>
      </c>
      <c r="B2140" s="8" t="s">
        <v>362</v>
      </c>
      <c r="C2140" s="8" t="s">
        <v>1308</v>
      </c>
      <c r="I2140" s="10" t="s">
        <v>1324</v>
      </c>
      <c r="J2140" s="13" t="s">
        <v>1383</v>
      </c>
      <c r="K2140" s="13" t="s">
        <v>276</v>
      </c>
      <c r="L2140" s="13" t="s">
        <v>1248</v>
      </c>
      <c r="M2140" s="7" t="s">
        <v>253</v>
      </c>
      <c r="N2140" s="7" t="s">
        <v>253</v>
      </c>
      <c r="O2140" s="7" t="s">
        <v>254</v>
      </c>
      <c r="P2140" s="8"/>
      <c r="Q2140" s="8"/>
      <c r="R2140" s="8"/>
      <c r="S2140" s="8"/>
      <c r="T2140" s="8"/>
      <c r="U2140" s="8"/>
      <c r="V2140" s="8"/>
      <c r="W2140" s="8"/>
      <c r="X2140" s="8"/>
      <c r="Y2140" s="8"/>
      <c r="Z2140" s="8"/>
      <c r="AA2140" s="8"/>
      <c r="AB2140" s="8"/>
      <c r="AC2140" s="8"/>
      <c r="AD2140" s="8"/>
      <c r="AE2140" s="8"/>
    </row>
    <row r="2141">
      <c r="A2141" s="12">
        <v>64.0</v>
      </c>
      <c r="B2141" s="8" t="s">
        <v>362</v>
      </c>
      <c r="C2141" s="8" t="s">
        <v>1308</v>
      </c>
      <c r="I2141" s="10" t="s">
        <v>1326</v>
      </c>
      <c r="J2141" s="13" t="s">
        <v>1380</v>
      </c>
      <c r="K2141" s="13" t="s">
        <v>276</v>
      </c>
      <c r="L2141" s="13" t="s">
        <v>1248</v>
      </c>
      <c r="M2141" s="7" t="s">
        <v>253</v>
      </c>
      <c r="N2141" s="7" t="s">
        <v>253</v>
      </c>
      <c r="O2141" s="7" t="s">
        <v>254</v>
      </c>
      <c r="P2141" s="8"/>
      <c r="Q2141" s="8"/>
      <c r="R2141" s="8"/>
      <c r="S2141" s="8"/>
      <c r="T2141" s="8"/>
      <c r="U2141" s="8"/>
      <c r="V2141" s="8"/>
      <c r="W2141" s="8"/>
      <c r="X2141" s="8"/>
      <c r="Y2141" s="8"/>
      <c r="Z2141" s="8"/>
      <c r="AA2141" s="8"/>
      <c r="AB2141" s="8"/>
      <c r="AC2141" s="8"/>
      <c r="AD2141" s="8"/>
      <c r="AE2141" s="8"/>
    </row>
    <row r="2142">
      <c r="A2142" s="12">
        <v>65.0</v>
      </c>
      <c r="B2142" s="8" t="s">
        <v>363</v>
      </c>
      <c r="C2142" s="8" t="s">
        <v>1308</v>
      </c>
      <c r="D2142" s="25">
        <f>IF(COUNTIF($B$2:$B2142,$B2142)&gt;1,"",COUNTIF($B$2:$B$2505,$B2142))</f>
        <v>42</v>
      </c>
      <c r="E2142" s="25">
        <f>IF(COUNTIF($B$2:$B2142,$B2142)&gt;1,"",COUNTIFS($B$2:$B$2505,$B2142,$K$2:$K$2505,"PHÙ HỢP CAO"))</f>
        <v>5</v>
      </c>
      <c r="F2142" s="25">
        <f>IF(COUNTIF($B$2:$B2142,$B2142)&gt;1,"",COUNTIFS($B$2:$B$2505,$B2142,$K$2:$K$2505,"CÓ THỂ ĐI"))</f>
        <v>0</v>
      </c>
      <c r="G2142" s="25">
        <f>IF(COUNTIF($B$2:$B2142,$B2142)&gt;1,"",COUNTIFS($B$2:$B$2505,$B2142,$K$2:$K$2505,"CẦN SOÁT"))</f>
        <v>37</v>
      </c>
      <c r="H2142" s="26" t="str">
        <f>IFERROR(__xludf.DUMMYFUNCTION("IF(COUNTIF($B$2:$B2142,$B2142)&gt;1,"""",IFERROR(TEXTJOIN(CHAR(10),TRUE,BYROW(QUERY({$B$2:$B$2505,$J$2:$J$2505},""select Col2, count(Col2) where Col1 = '""&amp;$B2142&amp;""' group by Col2 order by count(Col2) desc label count(Col2) ''"",0),LAMBDA(r,INDEX(r,1,1)&amp;"" "&amp;"– ""&amp;INDEX(r,1,2)&amp;"" link""))),""""))"),"gửi tiết kiệm online có an toàn không – 21 link
rủi ro khi gửi tiết kiệm online – 21 link")</f>
        <v>gửi tiết kiệm online có an toàn không – 21 link
rủi ro khi gửi tiết kiệm online – 21 link</v>
      </c>
      <c r="I2142" s="10" t="s">
        <v>1389</v>
      </c>
      <c r="J2142" s="13" t="s">
        <v>1391</v>
      </c>
      <c r="K2142" s="13" t="s">
        <v>251</v>
      </c>
      <c r="L2142" s="13" t="s">
        <v>2125</v>
      </c>
      <c r="M2142" s="7" t="s">
        <v>253</v>
      </c>
      <c r="N2142" s="7" t="s">
        <v>253</v>
      </c>
      <c r="O2142" s="7" t="s">
        <v>254</v>
      </c>
      <c r="P2142" s="8"/>
      <c r="Q2142" s="8"/>
      <c r="R2142" s="8"/>
      <c r="S2142" s="8"/>
      <c r="T2142" s="8"/>
      <c r="U2142" s="8"/>
      <c r="V2142" s="8"/>
      <c r="W2142" s="8"/>
      <c r="X2142" s="8"/>
      <c r="Y2142" s="8"/>
      <c r="Z2142" s="8"/>
      <c r="AA2142" s="8"/>
      <c r="AB2142" s="8"/>
      <c r="AC2142" s="8"/>
      <c r="AD2142" s="8"/>
      <c r="AE2142" s="8"/>
    </row>
    <row r="2143">
      <c r="A2143" s="12">
        <v>65.0</v>
      </c>
      <c r="B2143" s="8" t="s">
        <v>363</v>
      </c>
      <c r="C2143" s="8" t="s">
        <v>1308</v>
      </c>
      <c r="I2143" s="10" t="s">
        <v>1392</v>
      </c>
      <c r="J2143" s="13" t="s">
        <v>1394</v>
      </c>
      <c r="K2143" s="13" t="s">
        <v>251</v>
      </c>
      <c r="L2143" s="13" t="s">
        <v>2126</v>
      </c>
      <c r="M2143" s="7" t="s">
        <v>253</v>
      </c>
      <c r="N2143" s="7" t="s">
        <v>253</v>
      </c>
      <c r="O2143" s="7" t="s">
        <v>254</v>
      </c>
      <c r="P2143" s="8"/>
      <c r="Q2143" s="8"/>
      <c r="R2143" s="8"/>
      <c r="S2143" s="8"/>
      <c r="T2143" s="8"/>
      <c r="U2143" s="8"/>
      <c r="V2143" s="8"/>
      <c r="W2143" s="8"/>
      <c r="X2143" s="8"/>
      <c r="Y2143" s="8"/>
      <c r="Z2143" s="8"/>
      <c r="AA2143" s="8"/>
      <c r="AB2143" s="8"/>
      <c r="AC2143" s="8"/>
      <c r="AD2143" s="8"/>
      <c r="AE2143" s="8"/>
    </row>
    <row r="2144">
      <c r="A2144" s="12">
        <v>65.0</v>
      </c>
      <c r="B2144" s="8" t="s">
        <v>363</v>
      </c>
      <c r="C2144" s="8" t="s">
        <v>1308</v>
      </c>
      <c r="I2144" s="10" t="s">
        <v>1395</v>
      </c>
      <c r="J2144" s="13" t="s">
        <v>1391</v>
      </c>
      <c r="K2144" s="13" t="s">
        <v>251</v>
      </c>
      <c r="L2144" s="13" t="s">
        <v>2127</v>
      </c>
      <c r="M2144" s="7" t="s">
        <v>253</v>
      </c>
      <c r="N2144" s="7" t="s">
        <v>253</v>
      </c>
      <c r="O2144" s="7" t="s">
        <v>254</v>
      </c>
      <c r="P2144" s="8"/>
      <c r="Q2144" s="8"/>
      <c r="R2144" s="8"/>
      <c r="S2144" s="8"/>
      <c r="T2144" s="8"/>
      <c r="U2144" s="8"/>
      <c r="V2144" s="8"/>
      <c r="W2144" s="8"/>
      <c r="X2144" s="8"/>
      <c r="Y2144" s="8"/>
      <c r="Z2144" s="8"/>
      <c r="AA2144" s="8"/>
      <c r="AB2144" s="8"/>
      <c r="AC2144" s="8"/>
      <c r="AD2144" s="8"/>
      <c r="AE2144" s="8"/>
    </row>
    <row r="2145">
      <c r="A2145" s="12">
        <v>65.0</v>
      </c>
      <c r="B2145" s="8" t="s">
        <v>363</v>
      </c>
      <c r="C2145" s="8" t="s">
        <v>1308</v>
      </c>
      <c r="I2145" s="10" t="s">
        <v>1397</v>
      </c>
      <c r="J2145" s="13" t="s">
        <v>1394</v>
      </c>
      <c r="K2145" s="13" t="s">
        <v>251</v>
      </c>
      <c r="L2145" s="13" t="s">
        <v>2128</v>
      </c>
      <c r="M2145" s="7" t="s">
        <v>253</v>
      </c>
      <c r="N2145" s="7" t="s">
        <v>253</v>
      </c>
      <c r="O2145" s="7" t="s">
        <v>254</v>
      </c>
      <c r="P2145" s="8"/>
      <c r="Q2145" s="8"/>
      <c r="R2145" s="8"/>
      <c r="S2145" s="8"/>
      <c r="T2145" s="8"/>
      <c r="U2145" s="8"/>
      <c r="V2145" s="8"/>
      <c r="W2145" s="8"/>
      <c r="X2145" s="8"/>
      <c r="Y2145" s="8"/>
      <c r="Z2145" s="8"/>
      <c r="AA2145" s="8"/>
      <c r="AB2145" s="8"/>
      <c r="AC2145" s="8"/>
      <c r="AD2145" s="8"/>
      <c r="AE2145" s="8"/>
    </row>
    <row r="2146">
      <c r="A2146" s="12">
        <v>65.0</v>
      </c>
      <c r="B2146" s="8" t="s">
        <v>363</v>
      </c>
      <c r="C2146" s="8" t="s">
        <v>1308</v>
      </c>
      <c r="I2146" s="10" t="s">
        <v>1399</v>
      </c>
      <c r="J2146" s="13" t="s">
        <v>1391</v>
      </c>
      <c r="K2146" s="13" t="s">
        <v>251</v>
      </c>
      <c r="L2146" s="13" t="s">
        <v>2129</v>
      </c>
      <c r="M2146" s="7" t="s">
        <v>253</v>
      </c>
      <c r="N2146" s="7" t="s">
        <v>253</v>
      </c>
      <c r="O2146" s="7" t="s">
        <v>254</v>
      </c>
      <c r="P2146" s="8"/>
      <c r="Q2146" s="8"/>
      <c r="R2146" s="8"/>
      <c r="S2146" s="8"/>
      <c r="T2146" s="8"/>
      <c r="U2146" s="8"/>
      <c r="V2146" s="8"/>
      <c r="W2146" s="8"/>
      <c r="X2146" s="8"/>
      <c r="Y2146" s="8"/>
      <c r="Z2146" s="8"/>
      <c r="AA2146" s="8"/>
      <c r="AB2146" s="8"/>
      <c r="AC2146" s="8"/>
      <c r="AD2146" s="8"/>
      <c r="AE2146" s="8"/>
    </row>
    <row r="2147">
      <c r="A2147" s="12">
        <v>65.0</v>
      </c>
      <c r="B2147" s="8" t="s">
        <v>363</v>
      </c>
      <c r="C2147" s="8" t="s">
        <v>1308</v>
      </c>
      <c r="I2147" s="10" t="s">
        <v>511</v>
      </c>
      <c r="J2147" s="13" t="s">
        <v>1394</v>
      </c>
      <c r="K2147" s="13" t="s">
        <v>276</v>
      </c>
      <c r="L2147" s="13" t="s">
        <v>2130</v>
      </c>
      <c r="M2147" s="7" t="s">
        <v>253</v>
      </c>
      <c r="N2147" s="7" t="s">
        <v>253</v>
      </c>
      <c r="O2147" s="7" t="s">
        <v>254</v>
      </c>
      <c r="P2147" s="8"/>
      <c r="Q2147" s="8"/>
      <c r="R2147" s="8"/>
      <c r="S2147" s="8"/>
      <c r="T2147" s="8"/>
      <c r="U2147" s="8"/>
      <c r="V2147" s="8"/>
      <c r="W2147" s="8"/>
      <c r="X2147" s="8"/>
      <c r="Y2147" s="8"/>
      <c r="Z2147" s="8"/>
      <c r="AA2147" s="8"/>
      <c r="AB2147" s="8"/>
      <c r="AC2147" s="8"/>
      <c r="AD2147" s="8"/>
      <c r="AE2147" s="8"/>
    </row>
    <row r="2148">
      <c r="A2148" s="12">
        <v>65.0</v>
      </c>
      <c r="B2148" s="8" t="s">
        <v>363</v>
      </c>
      <c r="C2148" s="8" t="s">
        <v>1308</v>
      </c>
      <c r="I2148" s="10" t="s">
        <v>1979</v>
      </c>
      <c r="J2148" s="13" t="s">
        <v>1391</v>
      </c>
      <c r="K2148" s="13" t="s">
        <v>276</v>
      </c>
      <c r="L2148" s="13" t="s">
        <v>2130</v>
      </c>
      <c r="M2148" s="7" t="s">
        <v>253</v>
      </c>
      <c r="N2148" s="7" t="s">
        <v>253</v>
      </c>
      <c r="O2148" s="7" t="s">
        <v>254</v>
      </c>
      <c r="P2148" s="8"/>
      <c r="Q2148" s="8"/>
      <c r="R2148" s="8"/>
      <c r="S2148" s="8"/>
      <c r="T2148" s="8"/>
      <c r="U2148" s="8"/>
      <c r="V2148" s="8"/>
      <c r="W2148" s="8"/>
      <c r="X2148" s="8"/>
      <c r="Y2148" s="8"/>
      <c r="Z2148" s="8"/>
      <c r="AA2148" s="8"/>
      <c r="AB2148" s="8"/>
      <c r="AC2148" s="8"/>
      <c r="AD2148" s="8"/>
      <c r="AE2148" s="8"/>
    </row>
    <row r="2149">
      <c r="A2149" s="12">
        <v>65.0</v>
      </c>
      <c r="B2149" s="8" t="s">
        <v>363</v>
      </c>
      <c r="C2149" s="8" t="s">
        <v>1308</v>
      </c>
      <c r="I2149" s="10" t="s">
        <v>2131</v>
      </c>
      <c r="J2149" s="13" t="s">
        <v>1394</v>
      </c>
      <c r="K2149" s="13" t="s">
        <v>276</v>
      </c>
      <c r="L2149" s="13" t="s">
        <v>2130</v>
      </c>
      <c r="M2149" s="7" t="s">
        <v>253</v>
      </c>
      <c r="N2149" s="7" t="s">
        <v>253</v>
      </c>
      <c r="O2149" s="7" t="s">
        <v>254</v>
      </c>
      <c r="P2149" s="8"/>
      <c r="Q2149" s="8"/>
      <c r="R2149" s="8"/>
      <c r="S2149" s="8"/>
      <c r="T2149" s="8"/>
      <c r="U2149" s="8"/>
      <c r="V2149" s="8"/>
      <c r="W2149" s="8"/>
      <c r="X2149" s="8"/>
      <c r="Y2149" s="8"/>
      <c r="Z2149" s="8"/>
      <c r="AA2149" s="8"/>
      <c r="AB2149" s="8"/>
      <c r="AC2149" s="8"/>
      <c r="AD2149" s="8"/>
      <c r="AE2149" s="8"/>
    </row>
    <row r="2150">
      <c r="A2150" s="12">
        <v>65.0</v>
      </c>
      <c r="B2150" s="8" t="s">
        <v>363</v>
      </c>
      <c r="C2150" s="8" t="s">
        <v>1308</v>
      </c>
      <c r="I2150" s="10" t="s">
        <v>1981</v>
      </c>
      <c r="J2150" s="13" t="s">
        <v>1391</v>
      </c>
      <c r="K2150" s="13" t="s">
        <v>276</v>
      </c>
      <c r="L2150" s="13" t="s">
        <v>2130</v>
      </c>
      <c r="M2150" s="7" t="s">
        <v>253</v>
      </c>
      <c r="N2150" s="7" t="s">
        <v>253</v>
      </c>
      <c r="O2150" s="7" t="s">
        <v>254</v>
      </c>
      <c r="P2150" s="8"/>
      <c r="Q2150" s="8"/>
      <c r="R2150" s="8"/>
      <c r="S2150" s="8"/>
      <c r="T2150" s="8"/>
      <c r="U2150" s="8"/>
      <c r="V2150" s="8"/>
      <c r="W2150" s="8"/>
      <c r="X2150" s="8"/>
      <c r="Y2150" s="8"/>
      <c r="Z2150" s="8"/>
      <c r="AA2150" s="8"/>
      <c r="AB2150" s="8"/>
      <c r="AC2150" s="8"/>
      <c r="AD2150" s="8"/>
      <c r="AE2150" s="8"/>
    </row>
    <row r="2151">
      <c r="A2151" s="12">
        <v>65.0</v>
      </c>
      <c r="B2151" s="8" t="s">
        <v>363</v>
      </c>
      <c r="C2151" s="8" t="s">
        <v>1308</v>
      </c>
      <c r="I2151" s="10" t="s">
        <v>2107</v>
      </c>
      <c r="J2151" s="13" t="s">
        <v>1394</v>
      </c>
      <c r="K2151" s="13" t="s">
        <v>276</v>
      </c>
      <c r="L2151" s="13" t="s">
        <v>2130</v>
      </c>
      <c r="M2151" s="7" t="s">
        <v>253</v>
      </c>
      <c r="N2151" s="7" t="s">
        <v>253</v>
      </c>
      <c r="O2151" s="7" t="s">
        <v>254</v>
      </c>
      <c r="P2151" s="8"/>
      <c r="Q2151" s="8"/>
      <c r="R2151" s="8"/>
      <c r="S2151" s="8"/>
      <c r="T2151" s="8"/>
      <c r="U2151" s="8"/>
      <c r="V2151" s="8"/>
      <c r="W2151" s="8"/>
      <c r="X2151" s="8"/>
      <c r="Y2151" s="8"/>
      <c r="Z2151" s="8"/>
      <c r="AA2151" s="8"/>
      <c r="AB2151" s="8"/>
      <c r="AC2151" s="8"/>
      <c r="AD2151" s="8"/>
      <c r="AE2151" s="8"/>
    </row>
    <row r="2152">
      <c r="A2152" s="12">
        <v>65.0</v>
      </c>
      <c r="B2152" s="8" t="s">
        <v>363</v>
      </c>
      <c r="C2152" s="8" t="s">
        <v>1308</v>
      </c>
      <c r="I2152" s="10" t="s">
        <v>1992</v>
      </c>
      <c r="J2152" s="13" t="s">
        <v>1391</v>
      </c>
      <c r="K2152" s="13" t="s">
        <v>276</v>
      </c>
      <c r="L2152" s="13" t="s">
        <v>2130</v>
      </c>
      <c r="M2152" s="7" t="s">
        <v>253</v>
      </c>
      <c r="N2152" s="7" t="s">
        <v>253</v>
      </c>
      <c r="O2152" s="7" t="s">
        <v>254</v>
      </c>
      <c r="P2152" s="8"/>
      <c r="Q2152" s="8"/>
      <c r="R2152" s="8"/>
      <c r="S2152" s="8"/>
      <c r="T2152" s="8"/>
      <c r="U2152" s="8"/>
      <c r="V2152" s="8"/>
      <c r="W2152" s="8"/>
      <c r="X2152" s="8"/>
      <c r="Y2152" s="8"/>
      <c r="Z2152" s="8"/>
      <c r="AA2152" s="8"/>
      <c r="AB2152" s="8"/>
      <c r="AC2152" s="8"/>
      <c r="AD2152" s="8"/>
      <c r="AE2152" s="8"/>
    </row>
    <row r="2153">
      <c r="A2153" s="12">
        <v>65.0</v>
      </c>
      <c r="B2153" s="8" t="s">
        <v>363</v>
      </c>
      <c r="C2153" s="8" t="s">
        <v>1308</v>
      </c>
      <c r="I2153" s="10" t="s">
        <v>1372</v>
      </c>
      <c r="J2153" s="13" t="s">
        <v>1394</v>
      </c>
      <c r="K2153" s="13" t="s">
        <v>276</v>
      </c>
      <c r="L2153" s="13" t="s">
        <v>2132</v>
      </c>
      <c r="M2153" s="7" t="s">
        <v>253</v>
      </c>
      <c r="N2153" s="7" t="s">
        <v>253</v>
      </c>
      <c r="O2153" s="7" t="s">
        <v>254</v>
      </c>
      <c r="P2153" s="8"/>
      <c r="Q2153" s="8"/>
      <c r="R2153" s="8"/>
      <c r="S2153" s="8"/>
      <c r="T2153" s="8"/>
      <c r="U2153" s="8"/>
      <c r="V2153" s="8"/>
      <c r="W2153" s="8"/>
      <c r="X2153" s="8"/>
      <c r="Y2153" s="8"/>
      <c r="Z2153" s="8"/>
      <c r="AA2153" s="8"/>
      <c r="AB2153" s="8"/>
      <c r="AC2153" s="8"/>
      <c r="AD2153" s="8"/>
      <c r="AE2153" s="8"/>
    </row>
    <row r="2154">
      <c r="A2154" s="12">
        <v>65.0</v>
      </c>
      <c r="B2154" s="8" t="s">
        <v>363</v>
      </c>
      <c r="C2154" s="8" t="s">
        <v>1308</v>
      </c>
      <c r="I2154" s="10" t="s">
        <v>1519</v>
      </c>
      <c r="J2154" s="13" t="s">
        <v>1391</v>
      </c>
      <c r="K2154" s="13" t="s">
        <v>276</v>
      </c>
      <c r="L2154" s="13" t="s">
        <v>2130</v>
      </c>
      <c r="M2154" s="7" t="s">
        <v>253</v>
      </c>
      <c r="N2154" s="7" t="s">
        <v>253</v>
      </c>
      <c r="O2154" s="7" t="s">
        <v>254</v>
      </c>
      <c r="P2154" s="8"/>
      <c r="Q2154" s="8"/>
      <c r="R2154" s="8"/>
      <c r="S2154" s="8"/>
      <c r="T2154" s="8"/>
      <c r="U2154" s="8"/>
      <c r="V2154" s="8"/>
      <c r="W2154" s="8"/>
      <c r="X2154" s="8"/>
      <c r="Y2154" s="8"/>
      <c r="Z2154" s="8"/>
      <c r="AA2154" s="8"/>
      <c r="AB2154" s="8"/>
      <c r="AC2154" s="8"/>
      <c r="AD2154" s="8"/>
      <c r="AE2154" s="8"/>
    </row>
    <row r="2155">
      <c r="A2155" s="12">
        <v>65.0</v>
      </c>
      <c r="B2155" s="8" t="s">
        <v>363</v>
      </c>
      <c r="C2155" s="8" t="s">
        <v>1308</v>
      </c>
      <c r="I2155" s="10" t="s">
        <v>1580</v>
      </c>
      <c r="J2155" s="13" t="s">
        <v>1394</v>
      </c>
      <c r="K2155" s="13" t="s">
        <v>276</v>
      </c>
      <c r="L2155" s="13" t="s">
        <v>2130</v>
      </c>
      <c r="M2155" s="7" t="s">
        <v>253</v>
      </c>
      <c r="N2155" s="7" t="s">
        <v>253</v>
      </c>
      <c r="O2155" s="7" t="s">
        <v>254</v>
      </c>
      <c r="P2155" s="8"/>
      <c r="Q2155" s="8"/>
      <c r="R2155" s="8"/>
      <c r="S2155" s="8"/>
      <c r="T2155" s="8"/>
      <c r="U2155" s="8"/>
      <c r="V2155" s="8"/>
      <c r="W2155" s="8"/>
      <c r="X2155" s="8"/>
      <c r="Y2155" s="8"/>
      <c r="Z2155" s="8"/>
      <c r="AA2155" s="8"/>
      <c r="AB2155" s="8"/>
      <c r="AC2155" s="8"/>
      <c r="AD2155" s="8"/>
      <c r="AE2155" s="8"/>
    </row>
    <row r="2156">
      <c r="A2156" s="12">
        <v>65.0</v>
      </c>
      <c r="B2156" s="8" t="s">
        <v>363</v>
      </c>
      <c r="C2156" s="8" t="s">
        <v>1308</v>
      </c>
      <c r="I2156" s="10" t="s">
        <v>1898</v>
      </c>
      <c r="J2156" s="13" t="s">
        <v>1391</v>
      </c>
      <c r="K2156" s="13" t="s">
        <v>276</v>
      </c>
      <c r="L2156" s="13" t="s">
        <v>2130</v>
      </c>
      <c r="M2156" s="7" t="s">
        <v>253</v>
      </c>
      <c r="N2156" s="7" t="s">
        <v>253</v>
      </c>
      <c r="O2156" s="7" t="s">
        <v>254</v>
      </c>
      <c r="P2156" s="8"/>
      <c r="Q2156" s="8"/>
      <c r="R2156" s="8"/>
      <c r="S2156" s="8"/>
      <c r="T2156" s="8"/>
      <c r="U2156" s="8"/>
      <c r="V2156" s="8"/>
      <c r="W2156" s="8"/>
      <c r="X2156" s="8"/>
      <c r="Y2156" s="8"/>
      <c r="Z2156" s="8"/>
      <c r="AA2156" s="8"/>
      <c r="AB2156" s="8"/>
      <c r="AC2156" s="8"/>
      <c r="AD2156" s="8"/>
      <c r="AE2156" s="8"/>
    </row>
    <row r="2157">
      <c r="A2157" s="12">
        <v>65.0</v>
      </c>
      <c r="B2157" s="8" t="s">
        <v>363</v>
      </c>
      <c r="C2157" s="8" t="s">
        <v>1308</v>
      </c>
      <c r="I2157" s="10" t="s">
        <v>1644</v>
      </c>
      <c r="J2157" s="13" t="s">
        <v>1394</v>
      </c>
      <c r="K2157" s="13" t="s">
        <v>276</v>
      </c>
      <c r="L2157" s="13" t="s">
        <v>2133</v>
      </c>
      <c r="M2157" s="7" t="s">
        <v>253</v>
      </c>
      <c r="N2157" s="7" t="s">
        <v>253</v>
      </c>
      <c r="O2157" s="7" t="s">
        <v>254</v>
      </c>
      <c r="P2157" s="8"/>
      <c r="Q2157" s="8"/>
      <c r="R2157" s="8"/>
      <c r="S2157" s="8"/>
      <c r="T2157" s="8"/>
      <c r="U2157" s="8"/>
      <c r="V2157" s="8"/>
      <c r="W2157" s="8"/>
      <c r="X2157" s="8"/>
      <c r="Y2157" s="8"/>
      <c r="Z2157" s="8"/>
      <c r="AA2157" s="8"/>
      <c r="AB2157" s="8"/>
      <c r="AC2157" s="8"/>
      <c r="AD2157" s="8"/>
      <c r="AE2157" s="8"/>
    </row>
    <row r="2158">
      <c r="A2158" s="12">
        <v>65.0</v>
      </c>
      <c r="B2158" s="8" t="s">
        <v>363</v>
      </c>
      <c r="C2158" s="8" t="s">
        <v>1308</v>
      </c>
      <c r="I2158" s="10" t="s">
        <v>1541</v>
      </c>
      <c r="J2158" s="13" t="s">
        <v>1391</v>
      </c>
      <c r="K2158" s="13" t="s">
        <v>276</v>
      </c>
      <c r="L2158" s="13" t="s">
        <v>2130</v>
      </c>
      <c r="M2158" s="7" t="s">
        <v>253</v>
      </c>
      <c r="N2158" s="7" t="s">
        <v>253</v>
      </c>
      <c r="O2158" s="7" t="s">
        <v>254</v>
      </c>
      <c r="P2158" s="8"/>
      <c r="Q2158" s="8"/>
      <c r="R2158" s="8"/>
      <c r="S2158" s="8"/>
      <c r="T2158" s="8"/>
      <c r="U2158" s="8"/>
      <c r="V2158" s="8"/>
      <c r="W2158" s="8"/>
      <c r="X2158" s="8"/>
      <c r="Y2158" s="8"/>
      <c r="Z2158" s="8"/>
      <c r="AA2158" s="8"/>
      <c r="AB2158" s="8"/>
      <c r="AC2158" s="8"/>
      <c r="AD2158" s="8"/>
      <c r="AE2158" s="8"/>
    </row>
    <row r="2159">
      <c r="A2159" s="12">
        <v>65.0</v>
      </c>
      <c r="B2159" s="8" t="s">
        <v>363</v>
      </c>
      <c r="C2159" s="8" t="s">
        <v>1308</v>
      </c>
      <c r="I2159" s="10" t="s">
        <v>1760</v>
      </c>
      <c r="J2159" s="13" t="s">
        <v>1394</v>
      </c>
      <c r="K2159" s="13" t="s">
        <v>276</v>
      </c>
      <c r="L2159" s="13" t="s">
        <v>2130</v>
      </c>
      <c r="M2159" s="7" t="s">
        <v>253</v>
      </c>
      <c r="N2159" s="7" t="s">
        <v>253</v>
      </c>
      <c r="O2159" s="7" t="s">
        <v>254</v>
      </c>
      <c r="P2159" s="8"/>
      <c r="Q2159" s="8"/>
      <c r="R2159" s="8"/>
      <c r="S2159" s="8"/>
      <c r="T2159" s="8"/>
      <c r="U2159" s="8"/>
      <c r="V2159" s="8"/>
      <c r="W2159" s="8"/>
      <c r="X2159" s="8"/>
      <c r="Y2159" s="8"/>
      <c r="Z2159" s="8"/>
      <c r="AA2159" s="8"/>
      <c r="AB2159" s="8"/>
      <c r="AC2159" s="8"/>
      <c r="AD2159" s="8"/>
      <c r="AE2159" s="8"/>
    </row>
    <row r="2160">
      <c r="A2160" s="12">
        <v>65.0</v>
      </c>
      <c r="B2160" s="8" t="s">
        <v>363</v>
      </c>
      <c r="C2160" s="8" t="s">
        <v>1308</v>
      </c>
      <c r="I2160" s="10" t="s">
        <v>677</v>
      </c>
      <c r="J2160" s="13" t="s">
        <v>1391</v>
      </c>
      <c r="K2160" s="13" t="s">
        <v>276</v>
      </c>
      <c r="L2160" s="13" t="s">
        <v>2130</v>
      </c>
      <c r="M2160" s="7" t="s">
        <v>253</v>
      </c>
      <c r="N2160" s="7" t="s">
        <v>253</v>
      </c>
      <c r="O2160" s="7" t="s">
        <v>254</v>
      </c>
      <c r="P2160" s="8"/>
      <c r="Q2160" s="8"/>
      <c r="R2160" s="8"/>
      <c r="S2160" s="8"/>
      <c r="T2160" s="8"/>
      <c r="U2160" s="8"/>
      <c r="V2160" s="8"/>
      <c r="W2160" s="8"/>
      <c r="X2160" s="8"/>
      <c r="Y2160" s="8"/>
      <c r="Z2160" s="8"/>
      <c r="AA2160" s="8"/>
      <c r="AB2160" s="8"/>
      <c r="AC2160" s="8"/>
      <c r="AD2160" s="8"/>
      <c r="AE2160" s="8"/>
    </row>
    <row r="2161">
      <c r="A2161" s="12">
        <v>65.0</v>
      </c>
      <c r="B2161" s="8" t="s">
        <v>363</v>
      </c>
      <c r="C2161" s="8" t="s">
        <v>1308</v>
      </c>
      <c r="I2161" s="10" t="s">
        <v>1314</v>
      </c>
      <c r="J2161" s="13" t="s">
        <v>1394</v>
      </c>
      <c r="K2161" s="13" t="s">
        <v>276</v>
      </c>
      <c r="L2161" s="13" t="s">
        <v>2132</v>
      </c>
      <c r="M2161" s="7" t="s">
        <v>253</v>
      </c>
      <c r="N2161" s="7" t="s">
        <v>253</v>
      </c>
      <c r="O2161" s="7" t="s">
        <v>254</v>
      </c>
      <c r="P2161" s="8"/>
      <c r="Q2161" s="8"/>
      <c r="R2161" s="8"/>
      <c r="S2161" s="8"/>
      <c r="T2161" s="8"/>
      <c r="U2161" s="8"/>
      <c r="V2161" s="8"/>
      <c r="W2161" s="8"/>
      <c r="X2161" s="8"/>
      <c r="Y2161" s="8"/>
      <c r="Z2161" s="8"/>
      <c r="AA2161" s="8"/>
      <c r="AB2161" s="8"/>
      <c r="AC2161" s="8"/>
      <c r="AD2161" s="8"/>
      <c r="AE2161" s="8"/>
    </row>
    <row r="2162">
      <c r="A2162" s="12">
        <v>65.0</v>
      </c>
      <c r="B2162" s="8" t="s">
        <v>363</v>
      </c>
      <c r="C2162" s="8" t="s">
        <v>1308</v>
      </c>
      <c r="I2162" s="10" t="s">
        <v>1901</v>
      </c>
      <c r="J2162" s="13" t="s">
        <v>1391</v>
      </c>
      <c r="K2162" s="13" t="s">
        <v>276</v>
      </c>
      <c r="L2162" s="13" t="s">
        <v>2130</v>
      </c>
      <c r="M2162" s="7" t="s">
        <v>253</v>
      </c>
      <c r="N2162" s="7" t="s">
        <v>253</v>
      </c>
      <c r="O2162" s="7" t="s">
        <v>254</v>
      </c>
      <c r="P2162" s="8"/>
      <c r="Q2162" s="8"/>
      <c r="R2162" s="8"/>
      <c r="S2162" s="8"/>
      <c r="T2162" s="8"/>
      <c r="U2162" s="8"/>
      <c r="V2162" s="8"/>
      <c r="W2162" s="8"/>
      <c r="X2162" s="8"/>
      <c r="Y2162" s="8"/>
      <c r="Z2162" s="8"/>
      <c r="AA2162" s="8"/>
      <c r="AB2162" s="8"/>
      <c r="AC2162" s="8"/>
      <c r="AD2162" s="8"/>
      <c r="AE2162" s="8"/>
    </row>
    <row r="2163">
      <c r="A2163" s="12">
        <v>65.0</v>
      </c>
      <c r="B2163" s="8" t="s">
        <v>363</v>
      </c>
      <c r="C2163" s="8" t="s">
        <v>1308</v>
      </c>
      <c r="I2163" s="10" t="s">
        <v>795</v>
      </c>
      <c r="J2163" s="13" t="s">
        <v>1394</v>
      </c>
      <c r="K2163" s="13" t="s">
        <v>276</v>
      </c>
      <c r="L2163" s="13" t="s">
        <v>2130</v>
      </c>
      <c r="M2163" s="7" t="s">
        <v>253</v>
      </c>
      <c r="N2163" s="7" t="s">
        <v>253</v>
      </c>
      <c r="O2163" s="7" t="s">
        <v>254</v>
      </c>
      <c r="P2163" s="8"/>
      <c r="Q2163" s="8"/>
      <c r="R2163" s="8"/>
      <c r="S2163" s="8"/>
      <c r="T2163" s="8"/>
      <c r="U2163" s="8"/>
      <c r="V2163" s="8"/>
      <c r="W2163" s="8"/>
      <c r="X2163" s="8"/>
      <c r="Y2163" s="8"/>
      <c r="Z2163" s="8"/>
      <c r="AA2163" s="8"/>
      <c r="AB2163" s="8"/>
      <c r="AC2163" s="8"/>
      <c r="AD2163" s="8"/>
      <c r="AE2163" s="8"/>
    </row>
    <row r="2164">
      <c r="A2164" s="12">
        <v>65.0</v>
      </c>
      <c r="B2164" s="8" t="s">
        <v>363</v>
      </c>
      <c r="C2164" s="8" t="s">
        <v>1308</v>
      </c>
      <c r="I2164" s="10" t="s">
        <v>378</v>
      </c>
      <c r="J2164" s="13" t="s">
        <v>1391</v>
      </c>
      <c r="K2164" s="13" t="s">
        <v>276</v>
      </c>
      <c r="L2164" s="13" t="s">
        <v>2130</v>
      </c>
      <c r="M2164" s="7" t="s">
        <v>253</v>
      </c>
      <c r="N2164" s="7" t="s">
        <v>253</v>
      </c>
      <c r="O2164" s="7" t="s">
        <v>254</v>
      </c>
      <c r="P2164" s="8"/>
      <c r="Q2164" s="8"/>
      <c r="R2164" s="8"/>
      <c r="S2164" s="8"/>
      <c r="T2164" s="8"/>
      <c r="U2164" s="8"/>
      <c r="V2164" s="8"/>
      <c r="W2164" s="8"/>
      <c r="X2164" s="8"/>
      <c r="Y2164" s="8"/>
      <c r="Z2164" s="8"/>
      <c r="AA2164" s="8"/>
      <c r="AB2164" s="8"/>
      <c r="AC2164" s="8"/>
      <c r="AD2164" s="8"/>
      <c r="AE2164" s="8"/>
    </row>
    <row r="2165">
      <c r="A2165" s="12">
        <v>65.0</v>
      </c>
      <c r="B2165" s="8" t="s">
        <v>363</v>
      </c>
      <c r="C2165" s="8" t="s">
        <v>1308</v>
      </c>
      <c r="I2165" s="10" t="s">
        <v>405</v>
      </c>
      <c r="J2165" s="13" t="s">
        <v>1394</v>
      </c>
      <c r="K2165" s="13" t="s">
        <v>276</v>
      </c>
      <c r="L2165" s="13" t="s">
        <v>2130</v>
      </c>
      <c r="M2165" s="7" t="s">
        <v>253</v>
      </c>
      <c r="N2165" s="7" t="s">
        <v>253</v>
      </c>
      <c r="O2165" s="7" t="s">
        <v>254</v>
      </c>
      <c r="P2165" s="8"/>
      <c r="Q2165" s="8"/>
      <c r="R2165" s="8"/>
      <c r="S2165" s="8"/>
      <c r="T2165" s="8"/>
      <c r="U2165" s="8"/>
      <c r="V2165" s="8"/>
      <c r="W2165" s="8"/>
      <c r="X2165" s="8"/>
      <c r="Y2165" s="8"/>
      <c r="Z2165" s="8"/>
      <c r="AA2165" s="8"/>
      <c r="AB2165" s="8"/>
      <c r="AC2165" s="8"/>
      <c r="AD2165" s="8"/>
      <c r="AE2165" s="8"/>
    </row>
    <row r="2166">
      <c r="A2166" s="12">
        <v>65.0</v>
      </c>
      <c r="B2166" s="8" t="s">
        <v>363</v>
      </c>
      <c r="C2166" s="8" t="s">
        <v>1308</v>
      </c>
      <c r="I2166" s="10" t="s">
        <v>1765</v>
      </c>
      <c r="J2166" s="13" t="s">
        <v>1391</v>
      </c>
      <c r="K2166" s="13" t="s">
        <v>276</v>
      </c>
      <c r="L2166" s="13" t="s">
        <v>2130</v>
      </c>
      <c r="M2166" s="7" t="s">
        <v>253</v>
      </c>
      <c r="N2166" s="7" t="s">
        <v>253</v>
      </c>
      <c r="O2166" s="7" t="s">
        <v>254</v>
      </c>
      <c r="P2166" s="8"/>
      <c r="Q2166" s="8"/>
      <c r="R2166" s="8"/>
      <c r="S2166" s="8"/>
      <c r="T2166" s="8"/>
      <c r="U2166" s="8"/>
      <c r="V2166" s="8"/>
      <c r="W2166" s="8"/>
      <c r="X2166" s="8"/>
      <c r="Y2166" s="8"/>
      <c r="Z2166" s="8"/>
      <c r="AA2166" s="8"/>
      <c r="AB2166" s="8"/>
      <c r="AC2166" s="8"/>
      <c r="AD2166" s="8"/>
      <c r="AE2166" s="8"/>
    </row>
    <row r="2167">
      <c r="A2167" s="12">
        <v>65.0</v>
      </c>
      <c r="B2167" s="8" t="s">
        <v>363</v>
      </c>
      <c r="C2167" s="8" t="s">
        <v>1308</v>
      </c>
      <c r="I2167" s="10" t="s">
        <v>408</v>
      </c>
      <c r="J2167" s="13" t="s">
        <v>1394</v>
      </c>
      <c r="K2167" s="13" t="s">
        <v>276</v>
      </c>
      <c r="L2167" s="13" t="s">
        <v>2130</v>
      </c>
      <c r="M2167" s="7" t="s">
        <v>253</v>
      </c>
      <c r="N2167" s="7" t="s">
        <v>253</v>
      </c>
      <c r="O2167" s="7" t="s">
        <v>254</v>
      </c>
      <c r="P2167" s="8"/>
      <c r="Q2167" s="8"/>
      <c r="R2167" s="8"/>
      <c r="S2167" s="8"/>
      <c r="T2167" s="8"/>
      <c r="U2167" s="8"/>
      <c r="V2167" s="8"/>
      <c r="W2167" s="8"/>
      <c r="X2167" s="8"/>
      <c r="Y2167" s="8"/>
      <c r="Z2167" s="8"/>
      <c r="AA2167" s="8"/>
      <c r="AB2167" s="8"/>
      <c r="AC2167" s="8"/>
      <c r="AD2167" s="8"/>
      <c r="AE2167" s="8"/>
    </row>
    <row r="2168">
      <c r="A2168" s="12">
        <v>65.0</v>
      </c>
      <c r="B2168" s="8" t="s">
        <v>363</v>
      </c>
      <c r="C2168" s="8" t="s">
        <v>1308</v>
      </c>
      <c r="I2168" s="10" t="s">
        <v>921</v>
      </c>
      <c r="J2168" s="13" t="s">
        <v>1391</v>
      </c>
      <c r="K2168" s="13" t="s">
        <v>276</v>
      </c>
      <c r="L2168" s="13" t="s">
        <v>2133</v>
      </c>
      <c r="M2168" s="7" t="s">
        <v>253</v>
      </c>
      <c r="N2168" s="7" t="s">
        <v>253</v>
      </c>
      <c r="O2168" s="7" t="s">
        <v>254</v>
      </c>
      <c r="P2168" s="8"/>
      <c r="Q2168" s="8"/>
      <c r="R2168" s="8"/>
      <c r="S2168" s="8"/>
      <c r="T2168" s="8"/>
      <c r="U2168" s="8"/>
      <c r="V2168" s="8"/>
      <c r="W2168" s="8"/>
      <c r="X2168" s="8"/>
      <c r="Y2168" s="8"/>
      <c r="Z2168" s="8"/>
      <c r="AA2168" s="8"/>
      <c r="AB2168" s="8"/>
      <c r="AC2168" s="8"/>
      <c r="AD2168" s="8"/>
      <c r="AE2168" s="8"/>
    </row>
    <row r="2169">
      <c r="A2169" s="12">
        <v>65.0</v>
      </c>
      <c r="B2169" s="8" t="s">
        <v>363</v>
      </c>
      <c r="C2169" s="8" t="s">
        <v>1308</v>
      </c>
      <c r="I2169" s="10" t="s">
        <v>2134</v>
      </c>
      <c r="J2169" s="13" t="s">
        <v>1394</v>
      </c>
      <c r="K2169" s="13" t="s">
        <v>276</v>
      </c>
      <c r="L2169" s="13" t="s">
        <v>2130</v>
      </c>
      <c r="M2169" s="7" t="s">
        <v>253</v>
      </c>
      <c r="N2169" s="7" t="s">
        <v>253</v>
      </c>
      <c r="O2169" s="7" t="s">
        <v>254</v>
      </c>
      <c r="P2169" s="8"/>
      <c r="Q2169" s="8"/>
      <c r="R2169" s="8"/>
      <c r="S2169" s="8"/>
      <c r="T2169" s="8"/>
      <c r="U2169" s="8"/>
      <c r="V2169" s="8"/>
      <c r="W2169" s="8"/>
      <c r="X2169" s="8"/>
      <c r="Y2169" s="8"/>
      <c r="Z2169" s="8"/>
      <c r="AA2169" s="8"/>
      <c r="AB2169" s="8"/>
      <c r="AC2169" s="8"/>
      <c r="AD2169" s="8"/>
      <c r="AE2169" s="8"/>
    </row>
    <row r="2170">
      <c r="A2170" s="12">
        <v>65.0</v>
      </c>
      <c r="B2170" s="8" t="s">
        <v>363</v>
      </c>
      <c r="C2170" s="8" t="s">
        <v>1308</v>
      </c>
      <c r="I2170" s="10" t="s">
        <v>654</v>
      </c>
      <c r="J2170" s="13" t="s">
        <v>1391</v>
      </c>
      <c r="K2170" s="13" t="s">
        <v>276</v>
      </c>
      <c r="L2170" s="13" t="s">
        <v>2130</v>
      </c>
      <c r="M2170" s="7" t="s">
        <v>253</v>
      </c>
      <c r="N2170" s="7" t="s">
        <v>253</v>
      </c>
      <c r="O2170" s="7" t="s">
        <v>254</v>
      </c>
      <c r="P2170" s="8"/>
      <c r="Q2170" s="8"/>
      <c r="R2170" s="8"/>
      <c r="S2170" s="8"/>
      <c r="T2170" s="8"/>
      <c r="U2170" s="8"/>
      <c r="V2170" s="8"/>
      <c r="W2170" s="8"/>
      <c r="X2170" s="8"/>
      <c r="Y2170" s="8"/>
      <c r="Z2170" s="8"/>
      <c r="AA2170" s="8"/>
      <c r="AB2170" s="8"/>
      <c r="AC2170" s="8"/>
      <c r="AD2170" s="8"/>
      <c r="AE2170" s="8"/>
    </row>
    <row r="2171">
      <c r="A2171" s="12">
        <v>65.0</v>
      </c>
      <c r="B2171" s="8" t="s">
        <v>363</v>
      </c>
      <c r="C2171" s="8" t="s">
        <v>1308</v>
      </c>
      <c r="I2171" s="10" t="s">
        <v>1473</v>
      </c>
      <c r="J2171" s="13" t="s">
        <v>1394</v>
      </c>
      <c r="K2171" s="13" t="s">
        <v>276</v>
      </c>
      <c r="L2171" s="13" t="s">
        <v>2130</v>
      </c>
      <c r="M2171" s="7" t="s">
        <v>253</v>
      </c>
      <c r="N2171" s="7" t="s">
        <v>253</v>
      </c>
      <c r="O2171" s="7" t="s">
        <v>254</v>
      </c>
      <c r="P2171" s="8"/>
      <c r="Q2171" s="8"/>
      <c r="R2171" s="8"/>
      <c r="S2171" s="8"/>
      <c r="T2171" s="8"/>
      <c r="U2171" s="8"/>
      <c r="V2171" s="8"/>
      <c r="W2171" s="8"/>
      <c r="X2171" s="8"/>
      <c r="Y2171" s="8"/>
      <c r="Z2171" s="8"/>
      <c r="AA2171" s="8"/>
      <c r="AB2171" s="8"/>
      <c r="AC2171" s="8"/>
      <c r="AD2171" s="8"/>
      <c r="AE2171" s="8"/>
    </row>
    <row r="2172">
      <c r="A2172" s="12">
        <v>65.0</v>
      </c>
      <c r="B2172" s="8" t="s">
        <v>363</v>
      </c>
      <c r="C2172" s="8" t="s">
        <v>1308</v>
      </c>
      <c r="I2172" s="10" t="s">
        <v>1617</v>
      </c>
      <c r="J2172" s="13" t="s">
        <v>1391</v>
      </c>
      <c r="K2172" s="13" t="s">
        <v>276</v>
      </c>
      <c r="L2172" s="13" t="s">
        <v>2130</v>
      </c>
      <c r="M2172" s="7" t="s">
        <v>253</v>
      </c>
      <c r="N2172" s="7" t="s">
        <v>253</v>
      </c>
      <c r="O2172" s="7" t="s">
        <v>254</v>
      </c>
      <c r="P2172" s="8"/>
      <c r="Q2172" s="8"/>
      <c r="R2172" s="8"/>
      <c r="S2172" s="8"/>
      <c r="T2172" s="8"/>
      <c r="U2172" s="8"/>
      <c r="V2172" s="8"/>
      <c r="W2172" s="8"/>
      <c r="X2172" s="8"/>
      <c r="Y2172" s="8"/>
      <c r="Z2172" s="8"/>
      <c r="AA2172" s="8"/>
      <c r="AB2172" s="8"/>
      <c r="AC2172" s="8"/>
      <c r="AD2172" s="8"/>
      <c r="AE2172" s="8"/>
    </row>
    <row r="2173">
      <c r="A2173" s="12">
        <v>65.0</v>
      </c>
      <c r="B2173" s="8" t="s">
        <v>363</v>
      </c>
      <c r="C2173" s="8" t="s">
        <v>1308</v>
      </c>
      <c r="I2173" s="10" t="s">
        <v>2135</v>
      </c>
      <c r="J2173" s="13" t="s">
        <v>1394</v>
      </c>
      <c r="K2173" s="13" t="s">
        <v>276</v>
      </c>
      <c r="L2173" s="13" t="s">
        <v>2130</v>
      </c>
      <c r="M2173" s="7" t="s">
        <v>253</v>
      </c>
      <c r="N2173" s="7" t="s">
        <v>253</v>
      </c>
      <c r="O2173" s="7" t="s">
        <v>254</v>
      </c>
      <c r="P2173" s="8"/>
      <c r="Q2173" s="8"/>
      <c r="R2173" s="8"/>
      <c r="S2173" s="8"/>
      <c r="T2173" s="8"/>
      <c r="U2173" s="8"/>
      <c r="V2173" s="8"/>
      <c r="W2173" s="8"/>
      <c r="X2173" s="8"/>
      <c r="Y2173" s="8"/>
      <c r="Z2173" s="8"/>
      <c r="AA2173" s="8"/>
      <c r="AB2173" s="8"/>
      <c r="AC2173" s="8"/>
      <c r="AD2173" s="8"/>
      <c r="AE2173" s="8"/>
    </row>
    <row r="2174">
      <c r="A2174" s="12">
        <v>65.0</v>
      </c>
      <c r="B2174" s="8" t="s">
        <v>363</v>
      </c>
      <c r="C2174" s="8" t="s">
        <v>1308</v>
      </c>
      <c r="I2174" s="10" t="s">
        <v>1351</v>
      </c>
      <c r="J2174" s="13" t="s">
        <v>1391</v>
      </c>
      <c r="K2174" s="13" t="s">
        <v>276</v>
      </c>
      <c r="L2174" s="13" t="s">
        <v>2132</v>
      </c>
      <c r="M2174" s="7" t="s">
        <v>253</v>
      </c>
      <c r="N2174" s="7" t="s">
        <v>253</v>
      </c>
      <c r="O2174" s="7" t="s">
        <v>254</v>
      </c>
      <c r="P2174" s="8"/>
      <c r="Q2174" s="8"/>
      <c r="R2174" s="8"/>
      <c r="S2174" s="8"/>
      <c r="T2174" s="8"/>
      <c r="U2174" s="8"/>
      <c r="V2174" s="8"/>
      <c r="W2174" s="8"/>
      <c r="X2174" s="8"/>
      <c r="Y2174" s="8"/>
      <c r="Z2174" s="8"/>
      <c r="AA2174" s="8"/>
      <c r="AB2174" s="8"/>
      <c r="AC2174" s="8"/>
      <c r="AD2174" s="8"/>
      <c r="AE2174" s="8"/>
    </row>
    <row r="2175">
      <c r="A2175" s="12">
        <v>65.0</v>
      </c>
      <c r="B2175" s="8" t="s">
        <v>363</v>
      </c>
      <c r="C2175" s="8" t="s">
        <v>1308</v>
      </c>
      <c r="I2175" s="10" t="s">
        <v>781</v>
      </c>
      <c r="J2175" s="13" t="s">
        <v>1394</v>
      </c>
      <c r="K2175" s="13" t="s">
        <v>276</v>
      </c>
      <c r="L2175" s="13" t="s">
        <v>2130</v>
      </c>
      <c r="M2175" s="7" t="s">
        <v>253</v>
      </c>
      <c r="N2175" s="7" t="s">
        <v>253</v>
      </c>
      <c r="O2175" s="7" t="s">
        <v>254</v>
      </c>
      <c r="P2175" s="8"/>
      <c r="Q2175" s="8"/>
      <c r="R2175" s="8"/>
      <c r="S2175" s="8"/>
      <c r="T2175" s="8"/>
      <c r="U2175" s="8"/>
      <c r="V2175" s="8"/>
      <c r="W2175" s="8"/>
      <c r="X2175" s="8"/>
      <c r="Y2175" s="8"/>
      <c r="Z2175" s="8"/>
      <c r="AA2175" s="8"/>
      <c r="AB2175" s="8"/>
      <c r="AC2175" s="8"/>
      <c r="AD2175" s="8"/>
      <c r="AE2175" s="8"/>
    </row>
    <row r="2176">
      <c r="A2176" s="12">
        <v>65.0</v>
      </c>
      <c r="B2176" s="8" t="s">
        <v>363</v>
      </c>
      <c r="C2176" s="8" t="s">
        <v>1308</v>
      </c>
      <c r="I2176" s="10" t="s">
        <v>411</v>
      </c>
      <c r="J2176" s="13" t="s">
        <v>1391</v>
      </c>
      <c r="K2176" s="13" t="s">
        <v>276</v>
      </c>
      <c r="L2176" s="13" t="s">
        <v>2130</v>
      </c>
      <c r="M2176" s="7" t="s">
        <v>253</v>
      </c>
      <c r="N2176" s="7" t="s">
        <v>253</v>
      </c>
      <c r="O2176" s="7" t="s">
        <v>254</v>
      </c>
      <c r="P2176" s="8"/>
      <c r="Q2176" s="8"/>
      <c r="R2176" s="8"/>
      <c r="S2176" s="8"/>
      <c r="T2176" s="8"/>
      <c r="U2176" s="8"/>
      <c r="V2176" s="8"/>
      <c r="W2176" s="8"/>
      <c r="X2176" s="8"/>
      <c r="Y2176" s="8"/>
      <c r="Z2176" s="8"/>
      <c r="AA2176" s="8"/>
      <c r="AB2176" s="8"/>
      <c r="AC2176" s="8"/>
      <c r="AD2176" s="8"/>
      <c r="AE2176" s="8"/>
    </row>
    <row r="2177">
      <c r="A2177" s="12">
        <v>65.0</v>
      </c>
      <c r="B2177" s="8" t="s">
        <v>363</v>
      </c>
      <c r="C2177" s="8" t="s">
        <v>1308</v>
      </c>
      <c r="I2177" s="10" t="s">
        <v>1772</v>
      </c>
      <c r="J2177" s="13" t="s">
        <v>1394</v>
      </c>
      <c r="K2177" s="13" t="s">
        <v>276</v>
      </c>
      <c r="L2177" s="13" t="s">
        <v>2132</v>
      </c>
      <c r="M2177" s="7" t="s">
        <v>253</v>
      </c>
      <c r="N2177" s="7" t="s">
        <v>253</v>
      </c>
      <c r="O2177" s="7" t="s">
        <v>254</v>
      </c>
      <c r="P2177" s="8"/>
      <c r="Q2177" s="8"/>
      <c r="R2177" s="8"/>
      <c r="S2177" s="8"/>
      <c r="T2177" s="8"/>
      <c r="U2177" s="8"/>
      <c r="V2177" s="8"/>
      <c r="W2177" s="8"/>
      <c r="X2177" s="8"/>
      <c r="Y2177" s="8"/>
      <c r="Z2177" s="8"/>
      <c r="AA2177" s="8"/>
      <c r="AB2177" s="8"/>
      <c r="AC2177" s="8"/>
      <c r="AD2177" s="8"/>
      <c r="AE2177" s="8"/>
    </row>
    <row r="2178">
      <c r="A2178" s="12">
        <v>65.0</v>
      </c>
      <c r="B2178" s="8" t="s">
        <v>363</v>
      </c>
      <c r="C2178" s="8" t="s">
        <v>1308</v>
      </c>
      <c r="I2178" s="10" t="s">
        <v>1175</v>
      </c>
      <c r="J2178" s="13" t="s">
        <v>1391</v>
      </c>
      <c r="K2178" s="13" t="s">
        <v>276</v>
      </c>
      <c r="L2178" s="13" t="s">
        <v>2130</v>
      </c>
      <c r="M2178" s="7" t="s">
        <v>253</v>
      </c>
      <c r="N2178" s="7" t="s">
        <v>253</v>
      </c>
      <c r="O2178" s="7" t="s">
        <v>254</v>
      </c>
      <c r="P2178" s="8"/>
      <c r="Q2178" s="8"/>
      <c r="R2178" s="8"/>
      <c r="S2178" s="8"/>
      <c r="T2178" s="8"/>
      <c r="U2178" s="8"/>
      <c r="V2178" s="8"/>
      <c r="W2178" s="8"/>
      <c r="X2178" s="8"/>
      <c r="Y2178" s="8"/>
      <c r="Z2178" s="8"/>
      <c r="AA2178" s="8"/>
      <c r="AB2178" s="8"/>
      <c r="AC2178" s="8"/>
      <c r="AD2178" s="8"/>
      <c r="AE2178" s="8"/>
    </row>
    <row r="2179">
      <c r="A2179" s="12">
        <v>65.0</v>
      </c>
      <c r="B2179" s="8" t="s">
        <v>363</v>
      </c>
      <c r="C2179" s="8" t="s">
        <v>1308</v>
      </c>
      <c r="I2179" s="10" t="s">
        <v>1325</v>
      </c>
      <c r="J2179" s="13" t="s">
        <v>1394</v>
      </c>
      <c r="K2179" s="13" t="s">
        <v>276</v>
      </c>
      <c r="L2179" s="13" t="s">
        <v>2132</v>
      </c>
      <c r="M2179" s="7" t="s">
        <v>253</v>
      </c>
      <c r="N2179" s="7" t="s">
        <v>253</v>
      </c>
      <c r="O2179" s="7" t="s">
        <v>254</v>
      </c>
      <c r="P2179" s="8"/>
      <c r="Q2179" s="8"/>
      <c r="R2179" s="8"/>
      <c r="S2179" s="8"/>
      <c r="T2179" s="8"/>
      <c r="U2179" s="8"/>
      <c r="V2179" s="8"/>
      <c r="W2179" s="8"/>
      <c r="X2179" s="8"/>
      <c r="Y2179" s="8"/>
      <c r="Z2179" s="8"/>
      <c r="AA2179" s="8"/>
      <c r="AB2179" s="8"/>
      <c r="AC2179" s="8"/>
      <c r="AD2179" s="8"/>
      <c r="AE2179" s="8"/>
    </row>
    <row r="2180">
      <c r="A2180" s="12">
        <v>65.0</v>
      </c>
      <c r="B2180" s="8" t="s">
        <v>363</v>
      </c>
      <c r="C2180" s="8" t="s">
        <v>1308</v>
      </c>
      <c r="I2180" s="10" t="s">
        <v>377</v>
      </c>
      <c r="J2180" s="13" t="s">
        <v>1391</v>
      </c>
      <c r="K2180" s="13" t="s">
        <v>276</v>
      </c>
      <c r="L2180" s="13" t="s">
        <v>2130</v>
      </c>
      <c r="M2180" s="7" t="s">
        <v>253</v>
      </c>
      <c r="N2180" s="7" t="s">
        <v>253</v>
      </c>
      <c r="O2180" s="7" t="s">
        <v>254</v>
      </c>
      <c r="P2180" s="8"/>
      <c r="Q2180" s="8"/>
      <c r="R2180" s="8"/>
      <c r="S2180" s="8"/>
      <c r="T2180" s="8"/>
      <c r="U2180" s="8"/>
      <c r="V2180" s="8"/>
      <c r="W2180" s="8"/>
      <c r="X2180" s="8"/>
      <c r="Y2180" s="8"/>
      <c r="Z2180" s="8"/>
      <c r="AA2180" s="8"/>
      <c r="AB2180" s="8"/>
      <c r="AC2180" s="8"/>
      <c r="AD2180" s="8"/>
      <c r="AE2180" s="8"/>
    </row>
    <row r="2181">
      <c r="A2181" s="12">
        <v>65.0</v>
      </c>
      <c r="B2181" s="8" t="s">
        <v>363</v>
      </c>
      <c r="C2181" s="8" t="s">
        <v>1308</v>
      </c>
      <c r="I2181" s="10" t="s">
        <v>414</v>
      </c>
      <c r="J2181" s="13" t="s">
        <v>1394</v>
      </c>
      <c r="K2181" s="13" t="s">
        <v>276</v>
      </c>
      <c r="L2181" s="13" t="s">
        <v>2130</v>
      </c>
      <c r="M2181" s="7" t="s">
        <v>253</v>
      </c>
      <c r="N2181" s="7" t="s">
        <v>253</v>
      </c>
      <c r="O2181" s="7" t="s">
        <v>254</v>
      </c>
      <c r="P2181" s="8"/>
      <c r="Q2181" s="8"/>
      <c r="R2181" s="8"/>
      <c r="S2181" s="8"/>
      <c r="T2181" s="8"/>
      <c r="U2181" s="8"/>
      <c r="V2181" s="8"/>
      <c r="W2181" s="8"/>
      <c r="X2181" s="8"/>
      <c r="Y2181" s="8"/>
      <c r="Z2181" s="8"/>
      <c r="AA2181" s="8"/>
      <c r="AB2181" s="8"/>
      <c r="AC2181" s="8"/>
      <c r="AD2181" s="8"/>
      <c r="AE2181" s="8"/>
    </row>
    <row r="2182">
      <c r="A2182" s="12">
        <v>65.0</v>
      </c>
      <c r="B2182" s="8" t="s">
        <v>363</v>
      </c>
      <c r="C2182" s="8" t="s">
        <v>1308</v>
      </c>
      <c r="I2182" s="10" t="s">
        <v>1883</v>
      </c>
      <c r="J2182" s="13" t="s">
        <v>1391</v>
      </c>
      <c r="K2182" s="13" t="s">
        <v>276</v>
      </c>
      <c r="L2182" s="13" t="s">
        <v>2130</v>
      </c>
      <c r="M2182" s="7" t="s">
        <v>253</v>
      </c>
      <c r="N2182" s="7" t="s">
        <v>253</v>
      </c>
      <c r="O2182" s="7" t="s">
        <v>254</v>
      </c>
      <c r="P2182" s="8"/>
      <c r="Q2182" s="8"/>
      <c r="R2182" s="8"/>
      <c r="S2182" s="8"/>
      <c r="T2182" s="8"/>
      <c r="U2182" s="8"/>
      <c r="V2182" s="8"/>
      <c r="W2182" s="8"/>
      <c r="X2182" s="8"/>
      <c r="Y2182" s="8"/>
      <c r="Z2182" s="8"/>
      <c r="AA2182" s="8"/>
      <c r="AB2182" s="8"/>
      <c r="AC2182" s="8"/>
      <c r="AD2182" s="8"/>
      <c r="AE2182" s="8"/>
    </row>
    <row r="2183">
      <c r="A2183" s="12">
        <v>65.0</v>
      </c>
      <c r="B2183" s="8" t="s">
        <v>363</v>
      </c>
      <c r="C2183" s="8" t="s">
        <v>1308</v>
      </c>
      <c r="I2183" s="10" t="s">
        <v>1884</v>
      </c>
      <c r="J2183" s="13" t="s">
        <v>1394</v>
      </c>
      <c r="K2183" s="13" t="s">
        <v>276</v>
      </c>
      <c r="L2183" s="13" t="s">
        <v>2130</v>
      </c>
      <c r="M2183" s="7" t="s">
        <v>253</v>
      </c>
      <c r="N2183" s="7" t="s">
        <v>253</v>
      </c>
      <c r="O2183" s="7" t="s">
        <v>254</v>
      </c>
      <c r="P2183" s="8"/>
      <c r="Q2183" s="8"/>
      <c r="R2183" s="8"/>
      <c r="S2183" s="8"/>
      <c r="T2183" s="8"/>
      <c r="U2183" s="8"/>
      <c r="V2183" s="8"/>
      <c r="W2183" s="8"/>
      <c r="X2183" s="8"/>
      <c r="Y2183" s="8"/>
      <c r="Z2183" s="8"/>
      <c r="AA2183" s="8"/>
      <c r="AB2183" s="8"/>
      <c r="AC2183" s="8"/>
      <c r="AD2183" s="8"/>
      <c r="AE2183" s="8"/>
    </row>
    <row r="2184">
      <c r="A2184" s="12">
        <v>66.0</v>
      </c>
      <c r="B2184" s="8" t="s">
        <v>366</v>
      </c>
      <c r="C2184" s="8" t="s">
        <v>1401</v>
      </c>
      <c r="D2184" s="25">
        <f>IF(COUNTIF($B$2:$B2184,$B2184)&gt;1,"",COUNTIF($B$2:$B$2505,$B2184))</f>
        <v>60</v>
      </c>
      <c r="E2184" s="25">
        <f>IF(COUNTIF($B$2:$B2184,$B2184)&gt;1,"",COUNTIFS($B$2:$B$2505,$B2184,$K$2:$K$2505,"PHÙ HỢP CAO"))</f>
        <v>3</v>
      </c>
      <c r="F2184" s="25">
        <f>IF(COUNTIF($B$2:$B2184,$B2184)&gt;1,"",COUNTIFS($B$2:$B$2505,$B2184,$K$2:$K$2505,"CÓ THỂ ĐI"))</f>
        <v>2</v>
      </c>
      <c r="G2184" s="25">
        <f>IF(COUNTIF($B$2:$B2184,$B2184)&gt;1,"",COUNTIFS($B$2:$B$2505,$B2184,$K$2:$K$2505,"CẦN SOÁT"))</f>
        <v>55</v>
      </c>
      <c r="H2184" s="26" t="str">
        <f>IFERROR(__xludf.DUMMYFUNCTION("IF(COUNTIF($B$2:$B2184,$B2184)&gt;1,"""",IFERROR(TEXTJOIN(CHAR(10),TRUE,BYROW(QUERY({$B$2:$B$2505,$J$2:$J$2505},""select Col2, count(Col2) where Col1 = '""&amp;$B2184&amp;""' group by Col2 order by count(Col2) desc label count(Col2) ''"",0),LAMBDA(r,INDEX(r,1,1)&amp;"" "&amp;"– ""&amp;INDEX(r,1,2)&amp;"" link""))),""""))"),"bảng tính lãi suất vay ngân hàng – 20 link
tính lãi suất vay ngân hàng – 20 link
tính lãi vay ngân hàng – 20 link")</f>
        <v>bảng tính lãi suất vay ngân hàng – 20 link
tính lãi suất vay ngân hàng – 20 link
tính lãi vay ngân hàng – 20 link</v>
      </c>
      <c r="I2184" s="10" t="s">
        <v>1402</v>
      </c>
      <c r="J2184" s="13" t="s">
        <v>1687</v>
      </c>
      <c r="K2184" s="13" t="s">
        <v>251</v>
      </c>
      <c r="L2184" s="13" t="s">
        <v>2136</v>
      </c>
      <c r="M2184" s="7" t="s">
        <v>253</v>
      </c>
      <c r="N2184" s="7" t="s">
        <v>253</v>
      </c>
      <c r="O2184" s="7" t="s">
        <v>254</v>
      </c>
      <c r="P2184" s="8"/>
      <c r="Q2184" s="8"/>
      <c r="R2184" s="8"/>
      <c r="S2184" s="8"/>
      <c r="T2184" s="8"/>
      <c r="U2184" s="8"/>
      <c r="V2184" s="8"/>
      <c r="W2184" s="8"/>
      <c r="X2184" s="8"/>
      <c r="Y2184" s="8"/>
      <c r="Z2184" s="8"/>
      <c r="AA2184" s="8"/>
      <c r="AB2184" s="8"/>
      <c r="AC2184" s="8"/>
      <c r="AD2184" s="8"/>
      <c r="AE2184" s="8"/>
    </row>
    <row r="2185">
      <c r="A2185" s="12">
        <v>66.0</v>
      </c>
      <c r="B2185" s="8" t="s">
        <v>366</v>
      </c>
      <c r="C2185" s="8" t="s">
        <v>1401</v>
      </c>
      <c r="I2185" s="10" t="s">
        <v>1406</v>
      </c>
      <c r="J2185" s="13" t="s">
        <v>1688</v>
      </c>
      <c r="K2185" s="13" t="s">
        <v>251</v>
      </c>
      <c r="L2185" s="13" t="s">
        <v>2137</v>
      </c>
      <c r="M2185" s="7" t="s">
        <v>253</v>
      </c>
      <c r="N2185" s="7" t="s">
        <v>253</v>
      </c>
      <c r="O2185" s="7" t="s">
        <v>254</v>
      </c>
      <c r="P2185" s="8"/>
      <c r="Q2185" s="8"/>
      <c r="R2185" s="8"/>
      <c r="S2185" s="8"/>
      <c r="T2185" s="8"/>
      <c r="U2185" s="8"/>
      <c r="V2185" s="8"/>
      <c r="W2185" s="8"/>
      <c r="X2185" s="8"/>
      <c r="Y2185" s="8"/>
      <c r="Z2185" s="8"/>
      <c r="AA2185" s="8"/>
      <c r="AB2185" s="8"/>
      <c r="AC2185" s="8"/>
      <c r="AD2185" s="8"/>
      <c r="AE2185" s="8"/>
    </row>
    <row r="2186">
      <c r="A2186" s="12">
        <v>66.0</v>
      </c>
      <c r="B2186" s="8" t="s">
        <v>366</v>
      </c>
      <c r="C2186" s="8" t="s">
        <v>1401</v>
      </c>
      <c r="I2186" s="10" t="s">
        <v>1411</v>
      </c>
      <c r="J2186" s="13" t="s">
        <v>1689</v>
      </c>
      <c r="K2186" s="13" t="s">
        <v>251</v>
      </c>
      <c r="L2186" s="13" t="s">
        <v>2138</v>
      </c>
      <c r="M2186" s="7" t="s">
        <v>253</v>
      </c>
      <c r="N2186" s="7" t="s">
        <v>253</v>
      </c>
      <c r="O2186" s="7" t="s">
        <v>254</v>
      </c>
      <c r="P2186" s="8"/>
      <c r="Q2186" s="8"/>
      <c r="R2186" s="8"/>
      <c r="S2186" s="8"/>
      <c r="T2186" s="8"/>
      <c r="U2186" s="8"/>
      <c r="V2186" s="8"/>
      <c r="W2186" s="8"/>
      <c r="X2186" s="8"/>
      <c r="Y2186" s="8"/>
      <c r="Z2186" s="8"/>
      <c r="AA2186" s="8"/>
      <c r="AB2186" s="8"/>
      <c r="AC2186" s="8"/>
      <c r="AD2186" s="8"/>
      <c r="AE2186" s="8"/>
    </row>
    <row r="2187">
      <c r="A2187" s="12">
        <v>66.0</v>
      </c>
      <c r="B2187" s="8" t="s">
        <v>366</v>
      </c>
      <c r="C2187" s="8" t="s">
        <v>1401</v>
      </c>
      <c r="I2187" s="10" t="s">
        <v>1274</v>
      </c>
      <c r="J2187" s="13" t="s">
        <v>1687</v>
      </c>
      <c r="K2187" s="13" t="s">
        <v>272</v>
      </c>
      <c r="L2187" s="13" t="s">
        <v>2139</v>
      </c>
      <c r="M2187" s="7" t="s">
        <v>253</v>
      </c>
      <c r="N2187" s="7" t="s">
        <v>253</v>
      </c>
      <c r="O2187" s="7" t="s">
        <v>254</v>
      </c>
      <c r="P2187" s="8"/>
      <c r="Q2187" s="8"/>
      <c r="R2187" s="8"/>
      <c r="S2187" s="8"/>
      <c r="T2187" s="8"/>
      <c r="U2187" s="8"/>
      <c r="V2187" s="8"/>
      <c r="W2187" s="8"/>
      <c r="X2187" s="8"/>
      <c r="Y2187" s="8"/>
      <c r="Z2187" s="8"/>
      <c r="AA2187" s="8"/>
      <c r="AB2187" s="8"/>
      <c r="AC2187" s="8"/>
      <c r="AD2187" s="8"/>
      <c r="AE2187" s="8"/>
    </row>
    <row r="2188">
      <c r="A2188" s="12">
        <v>66.0</v>
      </c>
      <c r="B2188" s="8" t="s">
        <v>366</v>
      </c>
      <c r="C2188" s="8" t="s">
        <v>1401</v>
      </c>
      <c r="I2188" s="10" t="s">
        <v>1417</v>
      </c>
      <c r="J2188" s="13" t="s">
        <v>1688</v>
      </c>
      <c r="K2188" s="13" t="s">
        <v>272</v>
      </c>
      <c r="L2188" s="13" t="s">
        <v>2140</v>
      </c>
      <c r="M2188" s="7" t="s">
        <v>253</v>
      </c>
      <c r="N2188" s="7" t="s">
        <v>253</v>
      </c>
      <c r="O2188" s="7" t="s">
        <v>254</v>
      </c>
      <c r="P2188" s="8"/>
      <c r="Q2188" s="8"/>
      <c r="R2188" s="8"/>
      <c r="S2188" s="8"/>
      <c r="T2188" s="8"/>
      <c r="U2188" s="8"/>
      <c r="V2188" s="8"/>
      <c r="W2188" s="8"/>
      <c r="X2188" s="8"/>
      <c r="Y2188" s="8"/>
      <c r="Z2188" s="8"/>
      <c r="AA2188" s="8"/>
      <c r="AB2188" s="8"/>
      <c r="AC2188" s="8"/>
      <c r="AD2188" s="8"/>
      <c r="AE2188" s="8"/>
    </row>
    <row r="2189">
      <c r="A2189" s="12">
        <v>66.0</v>
      </c>
      <c r="B2189" s="8" t="s">
        <v>366</v>
      </c>
      <c r="C2189" s="8" t="s">
        <v>1401</v>
      </c>
      <c r="I2189" s="10" t="s">
        <v>1975</v>
      </c>
      <c r="J2189" s="13" t="s">
        <v>1689</v>
      </c>
      <c r="K2189" s="13" t="s">
        <v>276</v>
      </c>
      <c r="L2189" s="13" t="s">
        <v>2032</v>
      </c>
      <c r="M2189" s="7" t="s">
        <v>253</v>
      </c>
      <c r="N2189" s="7" t="s">
        <v>253</v>
      </c>
      <c r="O2189" s="7" t="s">
        <v>254</v>
      </c>
      <c r="P2189" s="8"/>
      <c r="Q2189" s="8"/>
      <c r="R2189" s="8"/>
      <c r="S2189" s="8"/>
      <c r="T2189" s="8"/>
      <c r="U2189" s="8"/>
      <c r="V2189" s="8"/>
      <c r="W2189" s="8"/>
      <c r="X2189" s="8"/>
      <c r="Y2189" s="8"/>
      <c r="Z2189" s="8"/>
      <c r="AA2189" s="8"/>
      <c r="AB2189" s="8"/>
      <c r="AC2189" s="8"/>
      <c r="AD2189" s="8"/>
      <c r="AE2189" s="8"/>
    </row>
    <row r="2190">
      <c r="A2190" s="12">
        <v>66.0</v>
      </c>
      <c r="B2190" s="8" t="s">
        <v>366</v>
      </c>
      <c r="C2190" s="8" t="s">
        <v>1401</v>
      </c>
      <c r="I2190" s="10" t="s">
        <v>1895</v>
      </c>
      <c r="J2190" s="13" t="s">
        <v>1687</v>
      </c>
      <c r="K2190" s="13" t="s">
        <v>276</v>
      </c>
      <c r="L2190" s="13" t="s">
        <v>2033</v>
      </c>
      <c r="M2190" s="7" t="s">
        <v>253</v>
      </c>
      <c r="N2190" s="7" t="s">
        <v>253</v>
      </c>
      <c r="O2190" s="7" t="s">
        <v>254</v>
      </c>
      <c r="P2190" s="8"/>
      <c r="Q2190" s="8"/>
      <c r="R2190" s="8"/>
      <c r="S2190" s="8"/>
      <c r="T2190" s="8"/>
      <c r="U2190" s="8"/>
      <c r="V2190" s="8"/>
      <c r="W2190" s="8"/>
      <c r="X2190" s="8"/>
      <c r="Y2190" s="8"/>
      <c r="Z2190" s="8"/>
      <c r="AA2190" s="8"/>
      <c r="AB2190" s="8"/>
      <c r="AC2190" s="8"/>
      <c r="AD2190" s="8"/>
      <c r="AE2190" s="8"/>
    </row>
    <row r="2191">
      <c r="A2191" s="12">
        <v>66.0</v>
      </c>
      <c r="B2191" s="8" t="s">
        <v>366</v>
      </c>
      <c r="C2191" s="8" t="s">
        <v>1401</v>
      </c>
      <c r="I2191" s="10" t="s">
        <v>389</v>
      </c>
      <c r="J2191" s="13" t="s">
        <v>1688</v>
      </c>
      <c r="K2191" s="13" t="s">
        <v>276</v>
      </c>
      <c r="L2191" s="13" t="s">
        <v>2034</v>
      </c>
      <c r="M2191" s="7" t="s">
        <v>253</v>
      </c>
      <c r="N2191" s="7" t="s">
        <v>253</v>
      </c>
      <c r="O2191" s="7" t="s">
        <v>254</v>
      </c>
      <c r="P2191" s="8"/>
      <c r="Q2191" s="8"/>
      <c r="R2191" s="8"/>
      <c r="S2191" s="8"/>
      <c r="T2191" s="8"/>
      <c r="U2191" s="8"/>
      <c r="V2191" s="8"/>
      <c r="W2191" s="8"/>
      <c r="X2191" s="8"/>
      <c r="Y2191" s="8"/>
      <c r="Z2191" s="8"/>
      <c r="AA2191" s="8"/>
      <c r="AB2191" s="8"/>
      <c r="AC2191" s="8"/>
      <c r="AD2191" s="8"/>
      <c r="AE2191" s="8"/>
    </row>
    <row r="2192">
      <c r="A2192" s="12">
        <v>66.0</v>
      </c>
      <c r="B2192" s="8" t="s">
        <v>366</v>
      </c>
      <c r="C2192" s="8" t="s">
        <v>1401</v>
      </c>
      <c r="I2192" s="10" t="s">
        <v>257</v>
      </c>
      <c r="J2192" s="13" t="s">
        <v>1689</v>
      </c>
      <c r="K2192" s="13" t="s">
        <v>276</v>
      </c>
      <c r="L2192" s="13" t="s">
        <v>1897</v>
      </c>
      <c r="M2192" s="7" t="s">
        <v>253</v>
      </c>
      <c r="N2192" s="7" t="s">
        <v>253</v>
      </c>
      <c r="O2192" s="7" t="s">
        <v>254</v>
      </c>
      <c r="P2192" s="8"/>
      <c r="Q2192" s="8"/>
      <c r="R2192" s="8"/>
      <c r="S2192" s="8"/>
      <c r="T2192" s="8"/>
      <c r="U2192" s="8"/>
      <c r="V2192" s="8"/>
      <c r="W2192" s="8"/>
      <c r="X2192" s="8"/>
      <c r="Y2192" s="8"/>
      <c r="Z2192" s="8"/>
      <c r="AA2192" s="8"/>
      <c r="AB2192" s="8"/>
      <c r="AC2192" s="8"/>
      <c r="AD2192" s="8"/>
      <c r="AE2192" s="8"/>
    </row>
    <row r="2193">
      <c r="A2193" s="12">
        <v>66.0</v>
      </c>
      <c r="B2193" s="8" t="s">
        <v>366</v>
      </c>
      <c r="C2193" s="8" t="s">
        <v>1401</v>
      </c>
      <c r="I2193" s="10" t="s">
        <v>2035</v>
      </c>
      <c r="J2193" s="13" t="s">
        <v>1687</v>
      </c>
      <c r="K2193" s="13" t="s">
        <v>276</v>
      </c>
      <c r="L2193" s="13" t="s">
        <v>2033</v>
      </c>
      <c r="M2193" s="7" t="s">
        <v>253</v>
      </c>
      <c r="N2193" s="7" t="s">
        <v>253</v>
      </c>
      <c r="O2193" s="7" t="s">
        <v>254</v>
      </c>
      <c r="P2193" s="8"/>
      <c r="Q2193" s="8"/>
      <c r="R2193" s="8"/>
      <c r="S2193" s="8"/>
      <c r="T2193" s="8"/>
      <c r="U2193" s="8"/>
      <c r="V2193" s="8"/>
      <c r="W2193" s="8"/>
      <c r="X2193" s="8"/>
      <c r="Y2193" s="8"/>
      <c r="Z2193" s="8"/>
      <c r="AA2193" s="8"/>
      <c r="AB2193" s="8"/>
      <c r="AC2193" s="8"/>
      <c r="AD2193" s="8"/>
      <c r="AE2193" s="8"/>
    </row>
    <row r="2194">
      <c r="A2194" s="12">
        <v>66.0</v>
      </c>
      <c r="B2194" s="8" t="s">
        <v>366</v>
      </c>
      <c r="C2194" s="8" t="s">
        <v>1401</v>
      </c>
      <c r="I2194" s="10" t="s">
        <v>374</v>
      </c>
      <c r="J2194" s="13" t="s">
        <v>1688</v>
      </c>
      <c r="K2194" s="13" t="s">
        <v>276</v>
      </c>
      <c r="L2194" s="13" t="s">
        <v>2033</v>
      </c>
      <c r="M2194" s="7" t="s">
        <v>253</v>
      </c>
      <c r="N2194" s="7" t="s">
        <v>253</v>
      </c>
      <c r="O2194" s="7" t="s">
        <v>254</v>
      </c>
      <c r="P2194" s="8"/>
      <c r="Q2194" s="8"/>
      <c r="R2194" s="8"/>
      <c r="S2194" s="8"/>
      <c r="T2194" s="8"/>
      <c r="U2194" s="8"/>
      <c r="V2194" s="8"/>
      <c r="W2194" s="8"/>
      <c r="X2194" s="8"/>
      <c r="Y2194" s="8"/>
      <c r="Z2194" s="8"/>
      <c r="AA2194" s="8"/>
      <c r="AB2194" s="8"/>
      <c r="AC2194" s="8"/>
      <c r="AD2194" s="8"/>
      <c r="AE2194" s="8"/>
    </row>
    <row r="2195">
      <c r="A2195" s="12">
        <v>66.0</v>
      </c>
      <c r="B2195" s="8" t="s">
        <v>366</v>
      </c>
      <c r="C2195" s="8" t="s">
        <v>1401</v>
      </c>
      <c r="I2195" s="10" t="s">
        <v>1648</v>
      </c>
      <c r="J2195" s="13" t="s">
        <v>1689</v>
      </c>
      <c r="K2195" s="13" t="s">
        <v>276</v>
      </c>
      <c r="L2195" s="13" t="s">
        <v>1897</v>
      </c>
      <c r="M2195" s="7" t="s">
        <v>253</v>
      </c>
      <c r="N2195" s="7" t="s">
        <v>253</v>
      </c>
      <c r="O2195" s="7" t="s">
        <v>254</v>
      </c>
      <c r="P2195" s="8"/>
      <c r="Q2195" s="8"/>
      <c r="R2195" s="8"/>
      <c r="S2195" s="8"/>
      <c r="T2195" s="8"/>
      <c r="U2195" s="8"/>
      <c r="V2195" s="8"/>
      <c r="W2195" s="8"/>
      <c r="X2195" s="8"/>
      <c r="Y2195" s="8"/>
      <c r="Z2195" s="8"/>
      <c r="AA2195" s="8"/>
      <c r="AB2195" s="8"/>
      <c r="AC2195" s="8"/>
      <c r="AD2195" s="8"/>
      <c r="AE2195" s="8"/>
    </row>
    <row r="2196">
      <c r="A2196" s="12">
        <v>66.0</v>
      </c>
      <c r="B2196" s="8" t="s">
        <v>366</v>
      </c>
      <c r="C2196" s="8" t="s">
        <v>1401</v>
      </c>
      <c r="I2196" s="10" t="s">
        <v>1106</v>
      </c>
      <c r="J2196" s="13" t="s">
        <v>1687</v>
      </c>
      <c r="K2196" s="13" t="s">
        <v>276</v>
      </c>
      <c r="L2196" s="13" t="s">
        <v>1897</v>
      </c>
      <c r="M2196" s="7" t="s">
        <v>253</v>
      </c>
      <c r="N2196" s="7" t="s">
        <v>253</v>
      </c>
      <c r="O2196" s="7" t="s">
        <v>254</v>
      </c>
      <c r="P2196" s="8"/>
      <c r="Q2196" s="8"/>
      <c r="R2196" s="8"/>
      <c r="S2196" s="8"/>
      <c r="T2196" s="8"/>
      <c r="U2196" s="8"/>
      <c r="V2196" s="8"/>
      <c r="W2196" s="8"/>
      <c r="X2196" s="8"/>
      <c r="Y2196" s="8"/>
      <c r="Z2196" s="8"/>
      <c r="AA2196" s="8"/>
      <c r="AB2196" s="8"/>
      <c r="AC2196" s="8"/>
      <c r="AD2196" s="8"/>
      <c r="AE2196" s="8"/>
    </row>
    <row r="2197">
      <c r="A2197" s="12">
        <v>66.0</v>
      </c>
      <c r="B2197" s="8" t="s">
        <v>366</v>
      </c>
      <c r="C2197" s="8" t="s">
        <v>1401</v>
      </c>
      <c r="I2197" s="10" t="s">
        <v>1901</v>
      </c>
      <c r="J2197" s="13" t="s">
        <v>1688</v>
      </c>
      <c r="K2197" s="13" t="s">
        <v>276</v>
      </c>
      <c r="L2197" s="13" t="s">
        <v>2033</v>
      </c>
      <c r="M2197" s="7" t="s">
        <v>253</v>
      </c>
      <c r="N2197" s="7" t="s">
        <v>253</v>
      </c>
      <c r="O2197" s="7" t="s">
        <v>254</v>
      </c>
      <c r="P2197" s="8"/>
      <c r="Q2197" s="8"/>
      <c r="R2197" s="8"/>
      <c r="S2197" s="8"/>
      <c r="T2197" s="8"/>
      <c r="U2197" s="8"/>
      <c r="V2197" s="8"/>
      <c r="W2197" s="8"/>
      <c r="X2197" s="8"/>
      <c r="Y2197" s="8"/>
      <c r="Z2197" s="8"/>
      <c r="AA2197" s="8"/>
      <c r="AB2197" s="8"/>
      <c r="AC2197" s="8"/>
      <c r="AD2197" s="8"/>
      <c r="AE2197" s="8"/>
    </row>
    <row r="2198">
      <c r="A2198" s="12">
        <v>66.0</v>
      </c>
      <c r="B2198" s="8" t="s">
        <v>366</v>
      </c>
      <c r="C2198" s="8" t="s">
        <v>1401</v>
      </c>
      <c r="I2198" s="10" t="s">
        <v>1504</v>
      </c>
      <c r="J2198" s="13" t="s">
        <v>1689</v>
      </c>
      <c r="K2198" s="13" t="s">
        <v>276</v>
      </c>
      <c r="L2198" s="13" t="s">
        <v>2032</v>
      </c>
      <c r="M2198" s="7" t="s">
        <v>253</v>
      </c>
      <c r="N2198" s="7" t="s">
        <v>253</v>
      </c>
      <c r="O2198" s="7" t="s">
        <v>254</v>
      </c>
      <c r="P2198" s="8"/>
      <c r="Q2198" s="8"/>
      <c r="R2198" s="8"/>
      <c r="S2198" s="8"/>
      <c r="T2198" s="8"/>
      <c r="U2198" s="8"/>
      <c r="V2198" s="8"/>
      <c r="W2198" s="8"/>
      <c r="X2198" s="8"/>
      <c r="Y2198" s="8"/>
      <c r="Z2198" s="8"/>
      <c r="AA2198" s="8"/>
      <c r="AB2198" s="8"/>
      <c r="AC2198" s="8"/>
      <c r="AD2198" s="8"/>
      <c r="AE2198" s="8"/>
    </row>
    <row r="2199">
      <c r="A2199" s="12">
        <v>66.0</v>
      </c>
      <c r="B2199" s="8" t="s">
        <v>366</v>
      </c>
      <c r="C2199" s="8" t="s">
        <v>1401</v>
      </c>
      <c r="I2199" s="10" t="s">
        <v>1154</v>
      </c>
      <c r="J2199" s="13" t="s">
        <v>1687</v>
      </c>
      <c r="K2199" s="13" t="s">
        <v>276</v>
      </c>
      <c r="L2199" s="13" t="s">
        <v>2032</v>
      </c>
      <c r="M2199" s="7" t="s">
        <v>253</v>
      </c>
      <c r="N2199" s="7" t="s">
        <v>253</v>
      </c>
      <c r="O2199" s="7" t="s">
        <v>254</v>
      </c>
      <c r="P2199" s="8"/>
      <c r="Q2199" s="8"/>
      <c r="R2199" s="8"/>
      <c r="S2199" s="8"/>
      <c r="T2199" s="8"/>
      <c r="U2199" s="8"/>
      <c r="V2199" s="8"/>
      <c r="W2199" s="8"/>
      <c r="X2199" s="8"/>
      <c r="Y2199" s="8"/>
      <c r="Z2199" s="8"/>
      <c r="AA2199" s="8"/>
      <c r="AB2199" s="8"/>
      <c r="AC2199" s="8"/>
      <c r="AD2199" s="8"/>
      <c r="AE2199" s="8"/>
    </row>
    <row r="2200">
      <c r="A2200" s="12">
        <v>66.0</v>
      </c>
      <c r="B2200" s="8" t="s">
        <v>366</v>
      </c>
      <c r="C2200" s="8" t="s">
        <v>1401</v>
      </c>
      <c r="I2200" s="10" t="s">
        <v>1298</v>
      </c>
      <c r="J2200" s="13" t="s">
        <v>1688</v>
      </c>
      <c r="K2200" s="13" t="s">
        <v>276</v>
      </c>
      <c r="L2200" s="13" t="s">
        <v>2033</v>
      </c>
      <c r="M2200" s="7" t="s">
        <v>253</v>
      </c>
      <c r="N2200" s="7" t="s">
        <v>253</v>
      </c>
      <c r="O2200" s="7" t="s">
        <v>254</v>
      </c>
      <c r="P2200" s="8"/>
      <c r="Q2200" s="8"/>
      <c r="R2200" s="8"/>
      <c r="S2200" s="8"/>
      <c r="T2200" s="8"/>
      <c r="U2200" s="8"/>
      <c r="V2200" s="8"/>
      <c r="W2200" s="8"/>
      <c r="X2200" s="8"/>
      <c r="Y2200" s="8"/>
      <c r="Z2200" s="8"/>
      <c r="AA2200" s="8"/>
      <c r="AB2200" s="8"/>
      <c r="AC2200" s="8"/>
      <c r="AD2200" s="8"/>
      <c r="AE2200" s="8"/>
    </row>
    <row r="2201">
      <c r="A2201" s="12">
        <v>66.0</v>
      </c>
      <c r="B2201" s="8" t="s">
        <v>366</v>
      </c>
      <c r="C2201" s="8" t="s">
        <v>1401</v>
      </c>
      <c r="I2201" s="10" t="s">
        <v>1339</v>
      </c>
      <c r="J2201" s="13" t="s">
        <v>1689</v>
      </c>
      <c r="K2201" s="13" t="s">
        <v>276</v>
      </c>
      <c r="L2201" s="13" t="s">
        <v>2033</v>
      </c>
      <c r="M2201" s="7" t="s">
        <v>253</v>
      </c>
      <c r="N2201" s="7" t="s">
        <v>253</v>
      </c>
      <c r="O2201" s="7" t="s">
        <v>254</v>
      </c>
      <c r="P2201" s="8"/>
      <c r="Q2201" s="8"/>
      <c r="R2201" s="8"/>
      <c r="S2201" s="8"/>
      <c r="T2201" s="8"/>
      <c r="U2201" s="8"/>
      <c r="V2201" s="8"/>
      <c r="W2201" s="8"/>
      <c r="X2201" s="8"/>
      <c r="Y2201" s="8"/>
      <c r="Z2201" s="8"/>
      <c r="AA2201" s="8"/>
      <c r="AB2201" s="8"/>
      <c r="AC2201" s="8"/>
      <c r="AD2201" s="8"/>
      <c r="AE2201" s="8"/>
    </row>
    <row r="2202">
      <c r="A2202" s="12">
        <v>66.0</v>
      </c>
      <c r="B2202" s="8" t="s">
        <v>366</v>
      </c>
      <c r="C2202" s="8" t="s">
        <v>1401</v>
      </c>
      <c r="I2202" s="10" t="s">
        <v>249</v>
      </c>
      <c r="J2202" s="13" t="s">
        <v>1687</v>
      </c>
      <c r="K2202" s="13" t="s">
        <v>276</v>
      </c>
      <c r="L2202" s="13" t="s">
        <v>1897</v>
      </c>
      <c r="M2202" s="7" t="s">
        <v>253</v>
      </c>
      <c r="N2202" s="7" t="s">
        <v>253</v>
      </c>
      <c r="O2202" s="7" t="s">
        <v>254</v>
      </c>
      <c r="P2202" s="8"/>
      <c r="Q2202" s="8"/>
      <c r="R2202" s="8"/>
      <c r="S2202" s="8"/>
      <c r="T2202" s="8"/>
      <c r="U2202" s="8"/>
      <c r="V2202" s="8"/>
      <c r="W2202" s="8"/>
      <c r="X2202" s="8"/>
      <c r="Y2202" s="8"/>
      <c r="Z2202" s="8"/>
      <c r="AA2202" s="8"/>
      <c r="AB2202" s="8"/>
      <c r="AC2202" s="8"/>
      <c r="AD2202" s="8"/>
      <c r="AE2202" s="8"/>
    </row>
    <row r="2203">
      <c r="A2203" s="12">
        <v>66.0</v>
      </c>
      <c r="B2203" s="8" t="s">
        <v>366</v>
      </c>
      <c r="C2203" s="8" t="s">
        <v>1401</v>
      </c>
      <c r="I2203" s="10" t="s">
        <v>1468</v>
      </c>
      <c r="J2203" s="13" t="s">
        <v>1688</v>
      </c>
      <c r="K2203" s="13" t="s">
        <v>276</v>
      </c>
      <c r="L2203" s="13" t="s">
        <v>2032</v>
      </c>
      <c r="M2203" s="7" t="s">
        <v>253</v>
      </c>
      <c r="N2203" s="7" t="s">
        <v>253</v>
      </c>
      <c r="O2203" s="7" t="s">
        <v>254</v>
      </c>
      <c r="P2203" s="8"/>
      <c r="Q2203" s="8"/>
      <c r="R2203" s="8"/>
      <c r="S2203" s="8"/>
      <c r="T2203" s="8"/>
      <c r="U2203" s="8"/>
      <c r="V2203" s="8"/>
      <c r="W2203" s="8"/>
      <c r="X2203" s="8"/>
      <c r="Y2203" s="8"/>
      <c r="Z2203" s="8"/>
      <c r="AA2203" s="8"/>
      <c r="AB2203" s="8"/>
      <c r="AC2203" s="8"/>
      <c r="AD2203" s="8"/>
      <c r="AE2203" s="8"/>
    </row>
    <row r="2204">
      <c r="A2204" s="12">
        <v>66.0</v>
      </c>
      <c r="B2204" s="8" t="s">
        <v>366</v>
      </c>
      <c r="C2204" s="8" t="s">
        <v>1401</v>
      </c>
      <c r="I2204" s="10" t="s">
        <v>1904</v>
      </c>
      <c r="J2204" s="13" t="s">
        <v>1689</v>
      </c>
      <c r="K2204" s="13" t="s">
        <v>276</v>
      </c>
      <c r="L2204" s="13" t="s">
        <v>1897</v>
      </c>
      <c r="M2204" s="7" t="s">
        <v>253</v>
      </c>
      <c r="N2204" s="7" t="s">
        <v>253</v>
      </c>
      <c r="O2204" s="7" t="s">
        <v>254</v>
      </c>
      <c r="P2204" s="8"/>
      <c r="Q2204" s="8"/>
      <c r="R2204" s="8"/>
      <c r="S2204" s="8"/>
      <c r="T2204" s="8"/>
      <c r="U2204" s="8"/>
      <c r="V2204" s="8"/>
      <c r="W2204" s="8"/>
      <c r="X2204" s="8"/>
      <c r="Y2204" s="8"/>
      <c r="Z2204" s="8"/>
      <c r="AA2204" s="8"/>
      <c r="AB2204" s="8"/>
      <c r="AC2204" s="8"/>
      <c r="AD2204" s="8"/>
      <c r="AE2204" s="8"/>
    </row>
    <row r="2205">
      <c r="A2205" s="12">
        <v>66.0</v>
      </c>
      <c r="B2205" s="8" t="s">
        <v>366</v>
      </c>
      <c r="C2205" s="8" t="s">
        <v>1401</v>
      </c>
      <c r="I2205" s="10" t="s">
        <v>1294</v>
      </c>
      <c r="J2205" s="13" t="s">
        <v>1687</v>
      </c>
      <c r="K2205" s="13" t="s">
        <v>276</v>
      </c>
      <c r="L2205" s="13" t="s">
        <v>2033</v>
      </c>
      <c r="M2205" s="7" t="s">
        <v>253</v>
      </c>
      <c r="N2205" s="7" t="s">
        <v>253</v>
      </c>
      <c r="O2205" s="7" t="s">
        <v>254</v>
      </c>
      <c r="P2205" s="8"/>
      <c r="Q2205" s="8"/>
      <c r="R2205" s="8"/>
      <c r="S2205" s="8"/>
      <c r="T2205" s="8"/>
      <c r="U2205" s="8"/>
      <c r="V2205" s="8"/>
      <c r="W2205" s="8"/>
      <c r="X2205" s="8"/>
      <c r="Y2205" s="8"/>
      <c r="Z2205" s="8"/>
      <c r="AA2205" s="8"/>
      <c r="AB2205" s="8"/>
      <c r="AC2205" s="8"/>
      <c r="AD2205" s="8"/>
      <c r="AE2205" s="8"/>
    </row>
    <row r="2206">
      <c r="A2206" s="12">
        <v>66.0</v>
      </c>
      <c r="B2206" s="8" t="s">
        <v>366</v>
      </c>
      <c r="C2206" s="8" t="s">
        <v>1401</v>
      </c>
      <c r="I2206" s="10" t="s">
        <v>1906</v>
      </c>
      <c r="J2206" s="13" t="s">
        <v>1688</v>
      </c>
      <c r="K2206" s="13" t="s">
        <v>276</v>
      </c>
      <c r="L2206" s="13" t="s">
        <v>1897</v>
      </c>
      <c r="M2206" s="7" t="s">
        <v>253</v>
      </c>
      <c r="N2206" s="7" t="s">
        <v>253</v>
      </c>
      <c r="O2206" s="7" t="s">
        <v>254</v>
      </c>
      <c r="P2206" s="8"/>
      <c r="Q2206" s="8"/>
      <c r="R2206" s="8"/>
      <c r="S2206" s="8"/>
      <c r="T2206" s="8"/>
      <c r="U2206" s="8"/>
      <c r="V2206" s="8"/>
      <c r="W2206" s="8"/>
      <c r="X2206" s="8"/>
      <c r="Y2206" s="8"/>
      <c r="Z2206" s="8"/>
      <c r="AA2206" s="8"/>
      <c r="AB2206" s="8"/>
      <c r="AC2206" s="8"/>
      <c r="AD2206" s="8"/>
      <c r="AE2206" s="8"/>
    </row>
    <row r="2207">
      <c r="A2207" s="12">
        <v>66.0</v>
      </c>
      <c r="B2207" s="8" t="s">
        <v>366</v>
      </c>
      <c r="C2207" s="8" t="s">
        <v>1401</v>
      </c>
      <c r="I2207" s="10" t="s">
        <v>261</v>
      </c>
      <c r="J2207" s="13" t="s">
        <v>1689</v>
      </c>
      <c r="K2207" s="13" t="s">
        <v>276</v>
      </c>
      <c r="L2207" s="13" t="s">
        <v>1897</v>
      </c>
      <c r="M2207" s="7" t="s">
        <v>253</v>
      </c>
      <c r="N2207" s="7" t="s">
        <v>253</v>
      </c>
      <c r="O2207" s="7" t="s">
        <v>254</v>
      </c>
      <c r="P2207" s="8"/>
      <c r="Q2207" s="8"/>
      <c r="R2207" s="8"/>
      <c r="S2207" s="8"/>
      <c r="T2207" s="8"/>
      <c r="U2207" s="8"/>
      <c r="V2207" s="8"/>
      <c r="W2207" s="8"/>
      <c r="X2207" s="8"/>
      <c r="Y2207" s="8"/>
      <c r="Z2207" s="8"/>
      <c r="AA2207" s="8"/>
      <c r="AB2207" s="8"/>
      <c r="AC2207" s="8"/>
      <c r="AD2207" s="8"/>
      <c r="AE2207" s="8"/>
    </row>
    <row r="2208">
      <c r="A2208" s="12">
        <v>66.0</v>
      </c>
      <c r="B2208" s="8" t="s">
        <v>366</v>
      </c>
      <c r="C2208" s="8" t="s">
        <v>1401</v>
      </c>
      <c r="I2208" s="10" t="s">
        <v>1440</v>
      </c>
      <c r="J2208" s="13" t="s">
        <v>1687</v>
      </c>
      <c r="K2208" s="13" t="s">
        <v>276</v>
      </c>
      <c r="L2208" s="13" t="s">
        <v>2033</v>
      </c>
      <c r="M2208" s="7" t="s">
        <v>253</v>
      </c>
      <c r="N2208" s="7" t="s">
        <v>253</v>
      </c>
      <c r="O2208" s="7" t="s">
        <v>254</v>
      </c>
      <c r="P2208" s="8"/>
      <c r="Q2208" s="8"/>
      <c r="R2208" s="8"/>
      <c r="S2208" s="8"/>
      <c r="T2208" s="8"/>
      <c r="U2208" s="8"/>
      <c r="V2208" s="8"/>
      <c r="W2208" s="8"/>
      <c r="X2208" s="8"/>
      <c r="Y2208" s="8"/>
      <c r="Z2208" s="8"/>
      <c r="AA2208" s="8"/>
      <c r="AB2208" s="8"/>
      <c r="AC2208" s="8"/>
      <c r="AD2208" s="8"/>
      <c r="AE2208" s="8"/>
    </row>
    <row r="2209">
      <c r="A2209" s="12">
        <v>66.0</v>
      </c>
      <c r="B2209" s="8" t="s">
        <v>366</v>
      </c>
      <c r="C2209" s="8" t="s">
        <v>1401</v>
      </c>
      <c r="I2209" s="10" t="s">
        <v>1677</v>
      </c>
      <c r="J2209" s="13" t="s">
        <v>1688</v>
      </c>
      <c r="K2209" s="13" t="s">
        <v>276</v>
      </c>
      <c r="L2209" s="13" t="s">
        <v>1897</v>
      </c>
      <c r="M2209" s="7" t="s">
        <v>253</v>
      </c>
      <c r="N2209" s="7" t="s">
        <v>253</v>
      </c>
      <c r="O2209" s="7" t="s">
        <v>254</v>
      </c>
      <c r="P2209" s="8"/>
      <c r="Q2209" s="8"/>
      <c r="R2209" s="8"/>
      <c r="S2209" s="8"/>
      <c r="T2209" s="8"/>
      <c r="U2209" s="8"/>
      <c r="V2209" s="8"/>
      <c r="W2209" s="8"/>
      <c r="X2209" s="8"/>
      <c r="Y2209" s="8"/>
      <c r="Z2209" s="8"/>
      <c r="AA2209" s="8"/>
      <c r="AB2209" s="8"/>
      <c r="AC2209" s="8"/>
      <c r="AD2209" s="8"/>
      <c r="AE2209" s="8"/>
    </row>
    <row r="2210">
      <c r="A2210" s="12">
        <v>66.0</v>
      </c>
      <c r="B2210" s="8" t="s">
        <v>366</v>
      </c>
      <c r="C2210" s="8" t="s">
        <v>1401</v>
      </c>
      <c r="I2210" s="10" t="s">
        <v>1907</v>
      </c>
      <c r="J2210" s="13" t="s">
        <v>1689</v>
      </c>
      <c r="K2210" s="13" t="s">
        <v>276</v>
      </c>
      <c r="L2210" s="13" t="s">
        <v>1897</v>
      </c>
      <c r="M2210" s="7" t="s">
        <v>253</v>
      </c>
      <c r="N2210" s="7" t="s">
        <v>253</v>
      </c>
      <c r="O2210" s="7" t="s">
        <v>254</v>
      </c>
      <c r="P2210" s="8"/>
      <c r="Q2210" s="8"/>
      <c r="R2210" s="8"/>
      <c r="S2210" s="8"/>
      <c r="T2210" s="8"/>
      <c r="U2210" s="8"/>
      <c r="V2210" s="8"/>
      <c r="W2210" s="8"/>
      <c r="X2210" s="8"/>
      <c r="Y2210" s="8"/>
      <c r="Z2210" s="8"/>
      <c r="AA2210" s="8"/>
      <c r="AB2210" s="8"/>
      <c r="AC2210" s="8"/>
      <c r="AD2210" s="8"/>
      <c r="AE2210" s="8"/>
    </row>
    <row r="2211">
      <c r="A2211" s="12">
        <v>66.0</v>
      </c>
      <c r="B2211" s="8" t="s">
        <v>366</v>
      </c>
      <c r="C2211" s="8" t="s">
        <v>1401</v>
      </c>
      <c r="I2211" s="10" t="s">
        <v>1455</v>
      </c>
      <c r="J2211" s="13" t="s">
        <v>1687</v>
      </c>
      <c r="K2211" s="13" t="s">
        <v>276</v>
      </c>
      <c r="L2211" s="13" t="s">
        <v>1897</v>
      </c>
      <c r="M2211" s="7" t="s">
        <v>253</v>
      </c>
      <c r="N2211" s="7" t="s">
        <v>253</v>
      </c>
      <c r="O2211" s="7" t="s">
        <v>254</v>
      </c>
      <c r="P2211" s="8"/>
      <c r="Q2211" s="8"/>
      <c r="R2211" s="8"/>
      <c r="S2211" s="8"/>
      <c r="T2211" s="8"/>
      <c r="U2211" s="8"/>
      <c r="V2211" s="8"/>
      <c r="W2211" s="8"/>
      <c r="X2211" s="8"/>
      <c r="Y2211" s="8"/>
      <c r="Z2211" s="8"/>
      <c r="AA2211" s="8"/>
      <c r="AB2211" s="8"/>
      <c r="AC2211" s="8"/>
      <c r="AD2211" s="8"/>
      <c r="AE2211" s="8"/>
    </row>
    <row r="2212">
      <c r="A2212" s="12">
        <v>66.0</v>
      </c>
      <c r="B2212" s="8" t="s">
        <v>366</v>
      </c>
      <c r="C2212" s="8" t="s">
        <v>1401</v>
      </c>
      <c r="I2212" s="10" t="s">
        <v>1690</v>
      </c>
      <c r="J2212" s="13" t="s">
        <v>1688</v>
      </c>
      <c r="K2212" s="13" t="s">
        <v>276</v>
      </c>
      <c r="L2212" s="13" t="s">
        <v>1897</v>
      </c>
      <c r="M2212" s="7" t="s">
        <v>253</v>
      </c>
      <c r="N2212" s="7" t="s">
        <v>253</v>
      </c>
      <c r="O2212" s="7" t="s">
        <v>254</v>
      </c>
      <c r="P2212" s="8"/>
      <c r="Q2212" s="8"/>
      <c r="R2212" s="8"/>
      <c r="S2212" s="8"/>
      <c r="T2212" s="8"/>
      <c r="U2212" s="8"/>
      <c r="V2212" s="8"/>
      <c r="W2212" s="8"/>
      <c r="X2212" s="8"/>
      <c r="Y2212" s="8"/>
      <c r="Z2212" s="8"/>
      <c r="AA2212" s="8"/>
      <c r="AB2212" s="8"/>
      <c r="AC2212" s="8"/>
      <c r="AD2212" s="8"/>
      <c r="AE2212" s="8"/>
    </row>
    <row r="2213">
      <c r="A2213" s="12">
        <v>66.0</v>
      </c>
      <c r="B2213" s="8" t="s">
        <v>366</v>
      </c>
      <c r="C2213" s="8" t="s">
        <v>1401</v>
      </c>
      <c r="I2213" s="10" t="s">
        <v>334</v>
      </c>
      <c r="J2213" s="13" t="s">
        <v>1689</v>
      </c>
      <c r="K2213" s="13" t="s">
        <v>276</v>
      </c>
      <c r="L2213" s="13" t="s">
        <v>2032</v>
      </c>
      <c r="M2213" s="7" t="s">
        <v>253</v>
      </c>
      <c r="N2213" s="7" t="s">
        <v>253</v>
      </c>
      <c r="O2213" s="7" t="s">
        <v>254</v>
      </c>
      <c r="P2213" s="8"/>
      <c r="Q2213" s="8"/>
      <c r="R2213" s="8"/>
      <c r="S2213" s="8"/>
      <c r="T2213" s="8"/>
      <c r="U2213" s="8"/>
      <c r="V2213" s="8"/>
      <c r="W2213" s="8"/>
      <c r="X2213" s="8"/>
      <c r="Y2213" s="8"/>
      <c r="Z2213" s="8"/>
      <c r="AA2213" s="8"/>
      <c r="AB2213" s="8"/>
      <c r="AC2213" s="8"/>
      <c r="AD2213" s="8"/>
      <c r="AE2213" s="8"/>
    </row>
    <row r="2214">
      <c r="A2214" s="12">
        <v>66.0</v>
      </c>
      <c r="B2214" s="8" t="s">
        <v>366</v>
      </c>
      <c r="C2214" s="8" t="s">
        <v>1401</v>
      </c>
      <c r="I2214" s="10" t="s">
        <v>265</v>
      </c>
      <c r="J2214" s="13" t="s">
        <v>1687</v>
      </c>
      <c r="K2214" s="13" t="s">
        <v>276</v>
      </c>
      <c r="L2214" s="13" t="s">
        <v>1897</v>
      </c>
      <c r="M2214" s="7" t="s">
        <v>253</v>
      </c>
      <c r="N2214" s="7" t="s">
        <v>253</v>
      </c>
      <c r="O2214" s="7" t="s">
        <v>254</v>
      </c>
      <c r="P2214" s="8"/>
      <c r="Q2214" s="8"/>
      <c r="R2214" s="8"/>
      <c r="S2214" s="8"/>
      <c r="T2214" s="8"/>
      <c r="U2214" s="8"/>
      <c r="V2214" s="8"/>
      <c r="W2214" s="8"/>
      <c r="X2214" s="8"/>
      <c r="Y2214" s="8"/>
      <c r="Z2214" s="8"/>
      <c r="AA2214" s="8"/>
      <c r="AB2214" s="8"/>
      <c r="AC2214" s="8"/>
      <c r="AD2214" s="8"/>
      <c r="AE2214" s="8"/>
    </row>
    <row r="2215">
      <c r="A2215" s="12">
        <v>66.0</v>
      </c>
      <c r="B2215" s="8" t="s">
        <v>366</v>
      </c>
      <c r="C2215" s="8" t="s">
        <v>1401</v>
      </c>
      <c r="I2215" s="10" t="s">
        <v>1911</v>
      </c>
      <c r="J2215" s="13" t="s">
        <v>1688</v>
      </c>
      <c r="K2215" s="13" t="s">
        <v>276</v>
      </c>
      <c r="L2215" s="13" t="s">
        <v>1897</v>
      </c>
      <c r="M2215" s="7" t="s">
        <v>253</v>
      </c>
      <c r="N2215" s="7" t="s">
        <v>253</v>
      </c>
      <c r="O2215" s="7" t="s">
        <v>254</v>
      </c>
      <c r="P2215" s="8"/>
      <c r="Q2215" s="8"/>
      <c r="R2215" s="8"/>
      <c r="S2215" s="8"/>
      <c r="T2215" s="8"/>
      <c r="U2215" s="8"/>
      <c r="V2215" s="8"/>
      <c r="W2215" s="8"/>
      <c r="X2215" s="8"/>
      <c r="Y2215" s="8"/>
      <c r="Z2215" s="8"/>
      <c r="AA2215" s="8"/>
      <c r="AB2215" s="8"/>
      <c r="AC2215" s="8"/>
      <c r="AD2215" s="8"/>
      <c r="AE2215" s="8"/>
    </row>
    <row r="2216">
      <c r="A2216" s="12">
        <v>66.0</v>
      </c>
      <c r="B2216" s="8" t="s">
        <v>366</v>
      </c>
      <c r="C2216" s="8" t="s">
        <v>1401</v>
      </c>
      <c r="I2216" s="10" t="s">
        <v>885</v>
      </c>
      <c r="J2216" s="13" t="s">
        <v>1689</v>
      </c>
      <c r="K2216" s="13" t="s">
        <v>276</v>
      </c>
      <c r="L2216" s="13" t="s">
        <v>2036</v>
      </c>
      <c r="M2216" s="7" t="s">
        <v>253</v>
      </c>
      <c r="N2216" s="7" t="s">
        <v>253</v>
      </c>
      <c r="O2216" s="7" t="s">
        <v>254</v>
      </c>
      <c r="P2216" s="8"/>
      <c r="Q2216" s="8"/>
      <c r="R2216" s="8"/>
      <c r="S2216" s="8"/>
      <c r="T2216" s="8"/>
      <c r="U2216" s="8"/>
      <c r="V2216" s="8"/>
      <c r="W2216" s="8"/>
      <c r="X2216" s="8"/>
      <c r="Y2216" s="8"/>
      <c r="Z2216" s="8"/>
      <c r="AA2216" s="8"/>
      <c r="AB2216" s="8"/>
      <c r="AC2216" s="8"/>
      <c r="AD2216" s="8"/>
      <c r="AE2216" s="8"/>
    </row>
    <row r="2217">
      <c r="A2217" s="12">
        <v>66.0</v>
      </c>
      <c r="B2217" s="8" t="s">
        <v>366</v>
      </c>
      <c r="C2217" s="8" t="s">
        <v>1401</v>
      </c>
      <c r="I2217" s="10" t="s">
        <v>1693</v>
      </c>
      <c r="J2217" s="13" t="s">
        <v>1687</v>
      </c>
      <c r="K2217" s="13" t="s">
        <v>276</v>
      </c>
      <c r="L2217" s="13" t="s">
        <v>1897</v>
      </c>
      <c r="M2217" s="7" t="s">
        <v>253</v>
      </c>
      <c r="N2217" s="7" t="s">
        <v>253</v>
      </c>
      <c r="O2217" s="7" t="s">
        <v>254</v>
      </c>
      <c r="P2217" s="8"/>
      <c r="Q2217" s="8"/>
      <c r="R2217" s="8"/>
      <c r="S2217" s="8"/>
      <c r="T2217" s="8"/>
      <c r="U2217" s="8"/>
      <c r="V2217" s="8"/>
      <c r="W2217" s="8"/>
      <c r="X2217" s="8"/>
      <c r="Y2217" s="8"/>
      <c r="Z2217" s="8"/>
      <c r="AA2217" s="8"/>
      <c r="AB2217" s="8"/>
      <c r="AC2217" s="8"/>
      <c r="AD2217" s="8"/>
      <c r="AE2217" s="8"/>
    </row>
    <row r="2218">
      <c r="A2218" s="12">
        <v>66.0</v>
      </c>
      <c r="B2218" s="8" t="s">
        <v>366</v>
      </c>
      <c r="C2218" s="8" t="s">
        <v>1401</v>
      </c>
      <c r="I2218" s="10" t="s">
        <v>1444</v>
      </c>
      <c r="J2218" s="13" t="s">
        <v>1688</v>
      </c>
      <c r="K2218" s="13" t="s">
        <v>276</v>
      </c>
      <c r="L2218" s="13" t="s">
        <v>1897</v>
      </c>
      <c r="M2218" s="7" t="s">
        <v>253</v>
      </c>
      <c r="N2218" s="7" t="s">
        <v>253</v>
      </c>
      <c r="O2218" s="7" t="s">
        <v>254</v>
      </c>
      <c r="P2218" s="8"/>
      <c r="Q2218" s="8"/>
      <c r="R2218" s="8"/>
      <c r="S2218" s="8"/>
      <c r="T2218" s="8"/>
      <c r="U2218" s="8"/>
      <c r="V2218" s="8"/>
      <c r="W2218" s="8"/>
      <c r="X2218" s="8"/>
      <c r="Y2218" s="8"/>
      <c r="Z2218" s="8"/>
      <c r="AA2218" s="8"/>
      <c r="AB2218" s="8"/>
      <c r="AC2218" s="8"/>
      <c r="AD2218" s="8"/>
      <c r="AE2218" s="8"/>
    </row>
    <row r="2219">
      <c r="A2219" s="12">
        <v>66.0</v>
      </c>
      <c r="B2219" s="8" t="s">
        <v>366</v>
      </c>
      <c r="C2219" s="8" t="s">
        <v>1401</v>
      </c>
      <c r="I2219" s="10" t="s">
        <v>2037</v>
      </c>
      <c r="J2219" s="13" t="s">
        <v>1689</v>
      </c>
      <c r="K2219" s="13" t="s">
        <v>276</v>
      </c>
      <c r="L2219" s="13" t="s">
        <v>2033</v>
      </c>
      <c r="M2219" s="7" t="s">
        <v>253</v>
      </c>
      <c r="N2219" s="7" t="s">
        <v>253</v>
      </c>
      <c r="O2219" s="7" t="s">
        <v>254</v>
      </c>
      <c r="P2219" s="8"/>
      <c r="Q2219" s="8"/>
      <c r="R2219" s="8"/>
      <c r="S2219" s="8"/>
      <c r="T2219" s="8"/>
      <c r="U2219" s="8"/>
      <c r="V2219" s="8"/>
      <c r="W2219" s="8"/>
      <c r="X2219" s="8"/>
      <c r="Y2219" s="8"/>
      <c r="Z2219" s="8"/>
      <c r="AA2219" s="8"/>
      <c r="AB2219" s="8"/>
      <c r="AC2219" s="8"/>
      <c r="AD2219" s="8"/>
      <c r="AE2219" s="8"/>
    </row>
    <row r="2220">
      <c r="A2220" s="12">
        <v>66.0</v>
      </c>
      <c r="B2220" s="8" t="s">
        <v>366</v>
      </c>
      <c r="C2220" s="8" t="s">
        <v>1401</v>
      </c>
      <c r="I2220" s="10" t="s">
        <v>911</v>
      </c>
      <c r="J2220" s="13" t="s">
        <v>1687</v>
      </c>
      <c r="K2220" s="13" t="s">
        <v>276</v>
      </c>
      <c r="L2220" s="13" t="s">
        <v>1897</v>
      </c>
      <c r="M2220" s="7" t="s">
        <v>253</v>
      </c>
      <c r="N2220" s="7" t="s">
        <v>253</v>
      </c>
      <c r="O2220" s="7" t="s">
        <v>254</v>
      </c>
      <c r="P2220" s="8"/>
      <c r="Q2220" s="8"/>
      <c r="R2220" s="8"/>
      <c r="S2220" s="8"/>
      <c r="T2220" s="8"/>
      <c r="U2220" s="8"/>
      <c r="V2220" s="8"/>
      <c r="W2220" s="8"/>
      <c r="X2220" s="8"/>
      <c r="Y2220" s="8"/>
      <c r="Z2220" s="8"/>
      <c r="AA2220" s="8"/>
      <c r="AB2220" s="8"/>
      <c r="AC2220" s="8"/>
      <c r="AD2220" s="8"/>
      <c r="AE2220" s="8"/>
    </row>
    <row r="2221">
      <c r="A2221" s="12">
        <v>66.0</v>
      </c>
      <c r="B2221" s="8" t="s">
        <v>366</v>
      </c>
      <c r="C2221" s="8" t="s">
        <v>1401</v>
      </c>
      <c r="I2221" s="10" t="s">
        <v>1912</v>
      </c>
      <c r="J2221" s="13" t="s">
        <v>1688</v>
      </c>
      <c r="K2221" s="13" t="s">
        <v>276</v>
      </c>
      <c r="L2221" s="13" t="s">
        <v>1897</v>
      </c>
      <c r="M2221" s="7" t="s">
        <v>253</v>
      </c>
      <c r="N2221" s="7" t="s">
        <v>253</v>
      </c>
      <c r="O2221" s="7" t="s">
        <v>254</v>
      </c>
      <c r="P2221" s="8"/>
      <c r="Q2221" s="8"/>
      <c r="R2221" s="8"/>
      <c r="S2221" s="8"/>
      <c r="T2221" s="8"/>
      <c r="U2221" s="8"/>
      <c r="V2221" s="8"/>
      <c r="W2221" s="8"/>
      <c r="X2221" s="8"/>
      <c r="Y2221" s="8"/>
      <c r="Z2221" s="8"/>
      <c r="AA2221" s="8"/>
      <c r="AB2221" s="8"/>
      <c r="AC2221" s="8"/>
      <c r="AD2221" s="8"/>
      <c r="AE2221" s="8"/>
    </row>
    <row r="2222">
      <c r="A2222" s="12">
        <v>66.0</v>
      </c>
      <c r="B2222" s="8" t="s">
        <v>366</v>
      </c>
      <c r="C2222" s="8" t="s">
        <v>1401</v>
      </c>
      <c r="I2222" s="10" t="s">
        <v>1913</v>
      </c>
      <c r="J2222" s="13" t="s">
        <v>1689</v>
      </c>
      <c r="K2222" s="13" t="s">
        <v>276</v>
      </c>
      <c r="L2222" s="13" t="s">
        <v>2033</v>
      </c>
      <c r="M2222" s="7" t="s">
        <v>253</v>
      </c>
      <c r="N2222" s="7" t="s">
        <v>253</v>
      </c>
      <c r="O2222" s="7" t="s">
        <v>254</v>
      </c>
      <c r="P2222" s="8"/>
      <c r="Q2222" s="8"/>
      <c r="R2222" s="8"/>
      <c r="S2222" s="8"/>
      <c r="T2222" s="8"/>
      <c r="U2222" s="8"/>
      <c r="V2222" s="8"/>
      <c r="W2222" s="8"/>
      <c r="X2222" s="8"/>
      <c r="Y2222" s="8"/>
      <c r="Z2222" s="8"/>
      <c r="AA2222" s="8"/>
      <c r="AB2222" s="8"/>
      <c r="AC2222" s="8"/>
      <c r="AD2222" s="8"/>
      <c r="AE2222" s="8"/>
    </row>
    <row r="2223">
      <c r="A2223" s="12">
        <v>66.0</v>
      </c>
      <c r="B2223" s="8" t="s">
        <v>366</v>
      </c>
      <c r="C2223" s="8" t="s">
        <v>1401</v>
      </c>
      <c r="I2223" s="10" t="s">
        <v>1749</v>
      </c>
      <c r="J2223" s="13" t="s">
        <v>1687</v>
      </c>
      <c r="K2223" s="13" t="s">
        <v>276</v>
      </c>
      <c r="L2223" s="13" t="s">
        <v>2033</v>
      </c>
      <c r="M2223" s="7" t="s">
        <v>253</v>
      </c>
      <c r="N2223" s="7" t="s">
        <v>253</v>
      </c>
      <c r="O2223" s="7" t="s">
        <v>254</v>
      </c>
      <c r="P2223" s="8"/>
      <c r="Q2223" s="8"/>
      <c r="R2223" s="8"/>
      <c r="S2223" s="8"/>
      <c r="T2223" s="8"/>
      <c r="U2223" s="8"/>
      <c r="V2223" s="8"/>
      <c r="W2223" s="8"/>
      <c r="X2223" s="8"/>
      <c r="Y2223" s="8"/>
      <c r="Z2223" s="8"/>
      <c r="AA2223" s="8"/>
      <c r="AB2223" s="8"/>
      <c r="AC2223" s="8"/>
      <c r="AD2223" s="8"/>
      <c r="AE2223" s="8"/>
    </row>
    <row r="2224">
      <c r="A2224" s="12">
        <v>66.0</v>
      </c>
      <c r="B2224" s="8" t="s">
        <v>366</v>
      </c>
      <c r="C2224" s="8" t="s">
        <v>1401</v>
      </c>
      <c r="I2224" s="10" t="s">
        <v>1694</v>
      </c>
      <c r="J2224" s="13" t="s">
        <v>1688</v>
      </c>
      <c r="K2224" s="13" t="s">
        <v>276</v>
      </c>
      <c r="L2224" s="13" t="s">
        <v>1897</v>
      </c>
      <c r="M2224" s="7" t="s">
        <v>253</v>
      </c>
      <c r="N2224" s="7" t="s">
        <v>253</v>
      </c>
      <c r="O2224" s="7" t="s">
        <v>254</v>
      </c>
      <c r="P2224" s="8"/>
      <c r="Q2224" s="8"/>
      <c r="R2224" s="8"/>
      <c r="S2224" s="8"/>
      <c r="T2224" s="8"/>
      <c r="U2224" s="8"/>
      <c r="V2224" s="8"/>
      <c r="W2224" s="8"/>
      <c r="X2224" s="8"/>
      <c r="Y2224" s="8"/>
      <c r="Z2224" s="8"/>
      <c r="AA2224" s="8"/>
      <c r="AB2224" s="8"/>
      <c r="AC2224" s="8"/>
      <c r="AD2224" s="8"/>
      <c r="AE2224" s="8"/>
    </row>
    <row r="2225">
      <c r="A2225" s="12">
        <v>66.0</v>
      </c>
      <c r="B2225" s="8" t="s">
        <v>366</v>
      </c>
      <c r="C2225" s="8" t="s">
        <v>1401</v>
      </c>
      <c r="I2225" s="10" t="s">
        <v>345</v>
      </c>
      <c r="J2225" s="13" t="s">
        <v>1689</v>
      </c>
      <c r="K2225" s="13" t="s">
        <v>276</v>
      </c>
      <c r="L2225" s="13" t="s">
        <v>2032</v>
      </c>
      <c r="M2225" s="7" t="s">
        <v>253</v>
      </c>
      <c r="N2225" s="7" t="s">
        <v>253</v>
      </c>
      <c r="O2225" s="7" t="s">
        <v>254</v>
      </c>
      <c r="P2225" s="8"/>
      <c r="Q2225" s="8"/>
      <c r="R2225" s="8"/>
      <c r="S2225" s="8"/>
      <c r="T2225" s="8"/>
      <c r="U2225" s="8"/>
      <c r="V2225" s="8"/>
      <c r="W2225" s="8"/>
      <c r="X2225" s="8"/>
      <c r="Y2225" s="8"/>
      <c r="Z2225" s="8"/>
      <c r="AA2225" s="8"/>
      <c r="AB2225" s="8"/>
      <c r="AC2225" s="8"/>
      <c r="AD2225" s="8"/>
      <c r="AE2225" s="8"/>
    </row>
    <row r="2226">
      <c r="A2226" s="12">
        <v>66.0</v>
      </c>
      <c r="B2226" s="8" t="s">
        <v>366</v>
      </c>
      <c r="C2226" s="8" t="s">
        <v>1401</v>
      </c>
      <c r="I2226" s="10" t="s">
        <v>994</v>
      </c>
      <c r="J2226" s="13" t="s">
        <v>1687</v>
      </c>
      <c r="K2226" s="13" t="s">
        <v>276</v>
      </c>
      <c r="L2226" s="13" t="s">
        <v>1897</v>
      </c>
      <c r="M2226" s="7" t="s">
        <v>253</v>
      </c>
      <c r="N2226" s="7" t="s">
        <v>253</v>
      </c>
      <c r="O2226" s="7" t="s">
        <v>254</v>
      </c>
      <c r="P2226" s="8"/>
      <c r="Q2226" s="8"/>
      <c r="R2226" s="8"/>
      <c r="S2226" s="8"/>
      <c r="T2226" s="8"/>
      <c r="U2226" s="8"/>
      <c r="V2226" s="8"/>
      <c r="W2226" s="8"/>
      <c r="X2226" s="8"/>
      <c r="Y2226" s="8"/>
      <c r="Z2226" s="8"/>
      <c r="AA2226" s="8"/>
      <c r="AB2226" s="8"/>
      <c r="AC2226" s="8"/>
      <c r="AD2226" s="8"/>
      <c r="AE2226" s="8"/>
    </row>
    <row r="2227">
      <c r="A2227" s="12">
        <v>66.0</v>
      </c>
      <c r="B2227" s="8" t="s">
        <v>366</v>
      </c>
      <c r="C2227" s="8" t="s">
        <v>1401</v>
      </c>
      <c r="I2227" s="10" t="s">
        <v>372</v>
      </c>
      <c r="J2227" s="13" t="s">
        <v>1688</v>
      </c>
      <c r="K2227" s="13" t="s">
        <v>276</v>
      </c>
      <c r="L2227" s="13" t="s">
        <v>2032</v>
      </c>
      <c r="M2227" s="7" t="s">
        <v>253</v>
      </c>
      <c r="N2227" s="7" t="s">
        <v>253</v>
      </c>
      <c r="O2227" s="7" t="s">
        <v>254</v>
      </c>
      <c r="P2227" s="8"/>
      <c r="Q2227" s="8"/>
      <c r="R2227" s="8"/>
      <c r="S2227" s="8"/>
      <c r="T2227" s="8"/>
      <c r="U2227" s="8"/>
      <c r="V2227" s="8"/>
      <c r="W2227" s="8"/>
      <c r="X2227" s="8"/>
      <c r="Y2227" s="8"/>
      <c r="Z2227" s="8"/>
      <c r="AA2227" s="8"/>
      <c r="AB2227" s="8"/>
      <c r="AC2227" s="8"/>
      <c r="AD2227" s="8"/>
      <c r="AE2227" s="8"/>
    </row>
    <row r="2228">
      <c r="A2228" s="12">
        <v>66.0</v>
      </c>
      <c r="B2228" s="8" t="s">
        <v>366</v>
      </c>
      <c r="C2228" s="8" t="s">
        <v>1401</v>
      </c>
      <c r="I2228" s="10" t="s">
        <v>1514</v>
      </c>
      <c r="J2228" s="13" t="s">
        <v>1689</v>
      </c>
      <c r="K2228" s="13" t="s">
        <v>276</v>
      </c>
      <c r="L2228" s="13" t="s">
        <v>2033</v>
      </c>
      <c r="M2228" s="7" t="s">
        <v>253</v>
      </c>
      <c r="N2228" s="7" t="s">
        <v>253</v>
      </c>
      <c r="O2228" s="7" t="s">
        <v>254</v>
      </c>
      <c r="P2228" s="8"/>
      <c r="Q2228" s="8"/>
      <c r="R2228" s="8"/>
      <c r="S2228" s="8"/>
      <c r="T2228" s="8"/>
      <c r="U2228" s="8"/>
      <c r="V2228" s="8"/>
      <c r="W2228" s="8"/>
      <c r="X2228" s="8"/>
      <c r="Y2228" s="8"/>
      <c r="Z2228" s="8"/>
      <c r="AA2228" s="8"/>
      <c r="AB2228" s="8"/>
      <c r="AC2228" s="8"/>
      <c r="AD2228" s="8"/>
      <c r="AE2228" s="8"/>
    </row>
    <row r="2229">
      <c r="A2229" s="12">
        <v>66.0</v>
      </c>
      <c r="B2229" s="8" t="s">
        <v>366</v>
      </c>
      <c r="C2229" s="8" t="s">
        <v>1401</v>
      </c>
      <c r="I2229" s="10" t="s">
        <v>1737</v>
      </c>
      <c r="J2229" s="13" t="s">
        <v>1687</v>
      </c>
      <c r="K2229" s="13" t="s">
        <v>276</v>
      </c>
      <c r="L2229" s="13" t="s">
        <v>2040</v>
      </c>
      <c r="M2229" s="7" t="s">
        <v>253</v>
      </c>
      <c r="N2229" s="7" t="s">
        <v>253</v>
      </c>
      <c r="O2229" s="7" t="s">
        <v>254</v>
      </c>
      <c r="P2229" s="8"/>
      <c r="Q2229" s="8"/>
      <c r="R2229" s="8"/>
      <c r="S2229" s="8"/>
      <c r="T2229" s="8"/>
      <c r="U2229" s="8"/>
      <c r="V2229" s="8"/>
      <c r="W2229" s="8"/>
      <c r="X2229" s="8"/>
      <c r="Y2229" s="8"/>
      <c r="Z2229" s="8"/>
      <c r="AA2229" s="8"/>
      <c r="AB2229" s="8"/>
      <c r="AC2229" s="8"/>
      <c r="AD2229" s="8"/>
      <c r="AE2229" s="8"/>
    </row>
    <row r="2230">
      <c r="A2230" s="12">
        <v>66.0</v>
      </c>
      <c r="B2230" s="8" t="s">
        <v>366</v>
      </c>
      <c r="C2230" s="8" t="s">
        <v>1401</v>
      </c>
      <c r="I2230" s="10" t="s">
        <v>1475</v>
      </c>
      <c r="J2230" s="13" t="s">
        <v>1688</v>
      </c>
      <c r="K2230" s="13" t="s">
        <v>276</v>
      </c>
      <c r="L2230" s="13" t="s">
        <v>2033</v>
      </c>
      <c r="M2230" s="7" t="s">
        <v>253</v>
      </c>
      <c r="N2230" s="7" t="s">
        <v>253</v>
      </c>
      <c r="O2230" s="7" t="s">
        <v>254</v>
      </c>
      <c r="P2230" s="8"/>
      <c r="Q2230" s="8"/>
      <c r="R2230" s="8"/>
      <c r="S2230" s="8"/>
      <c r="T2230" s="8"/>
      <c r="U2230" s="8"/>
      <c r="V2230" s="8"/>
      <c r="W2230" s="8"/>
      <c r="X2230" s="8"/>
      <c r="Y2230" s="8"/>
      <c r="Z2230" s="8"/>
      <c r="AA2230" s="8"/>
      <c r="AB2230" s="8"/>
      <c r="AC2230" s="8"/>
      <c r="AD2230" s="8"/>
      <c r="AE2230" s="8"/>
    </row>
    <row r="2231">
      <c r="A2231" s="12">
        <v>66.0</v>
      </c>
      <c r="B2231" s="8" t="s">
        <v>366</v>
      </c>
      <c r="C2231" s="8" t="s">
        <v>1401</v>
      </c>
      <c r="I2231" s="10" t="s">
        <v>36</v>
      </c>
      <c r="J2231" s="13" t="s">
        <v>1689</v>
      </c>
      <c r="K2231" s="13" t="s">
        <v>276</v>
      </c>
      <c r="L2231" s="13" t="s">
        <v>2032</v>
      </c>
      <c r="M2231" s="7" t="s">
        <v>253</v>
      </c>
      <c r="N2231" s="7" t="s">
        <v>253</v>
      </c>
      <c r="O2231" s="7" t="s">
        <v>254</v>
      </c>
      <c r="P2231" s="8"/>
      <c r="Q2231" s="8"/>
      <c r="R2231" s="8"/>
      <c r="S2231" s="8"/>
      <c r="T2231" s="8"/>
      <c r="U2231" s="8"/>
      <c r="V2231" s="8"/>
      <c r="W2231" s="8"/>
      <c r="X2231" s="8"/>
      <c r="Y2231" s="8"/>
      <c r="Z2231" s="8"/>
      <c r="AA2231" s="8"/>
      <c r="AB2231" s="8"/>
      <c r="AC2231" s="8"/>
      <c r="AD2231" s="8"/>
      <c r="AE2231" s="8"/>
    </row>
    <row r="2232">
      <c r="A2232" s="12">
        <v>66.0</v>
      </c>
      <c r="B2232" s="8" t="s">
        <v>366</v>
      </c>
      <c r="C2232" s="8" t="s">
        <v>1401</v>
      </c>
      <c r="I2232" s="10" t="s">
        <v>845</v>
      </c>
      <c r="J2232" s="13" t="s">
        <v>1687</v>
      </c>
      <c r="K2232" s="13" t="s">
        <v>276</v>
      </c>
      <c r="L2232" s="13" t="s">
        <v>2033</v>
      </c>
      <c r="M2232" s="7" t="s">
        <v>253</v>
      </c>
      <c r="N2232" s="7" t="s">
        <v>253</v>
      </c>
      <c r="O2232" s="7" t="s">
        <v>254</v>
      </c>
      <c r="P2232" s="8"/>
      <c r="Q2232" s="8"/>
      <c r="R2232" s="8"/>
      <c r="S2232" s="8"/>
      <c r="T2232" s="8"/>
      <c r="U2232" s="8"/>
      <c r="V2232" s="8"/>
      <c r="W2232" s="8"/>
      <c r="X2232" s="8"/>
      <c r="Y2232" s="8"/>
      <c r="Z2232" s="8"/>
      <c r="AA2232" s="8"/>
      <c r="AB2232" s="8"/>
      <c r="AC2232" s="8"/>
      <c r="AD2232" s="8"/>
      <c r="AE2232" s="8"/>
    </row>
    <row r="2233">
      <c r="A2233" s="12">
        <v>66.0</v>
      </c>
      <c r="B2233" s="8" t="s">
        <v>366</v>
      </c>
      <c r="C2233" s="8" t="s">
        <v>1401</v>
      </c>
      <c r="I2233" s="10" t="s">
        <v>913</v>
      </c>
      <c r="J2233" s="13" t="s">
        <v>1688</v>
      </c>
      <c r="K2233" s="13" t="s">
        <v>276</v>
      </c>
      <c r="L2233" s="13" t="s">
        <v>2032</v>
      </c>
      <c r="M2233" s="7" t="s">
        <v>253</v>
      </c>
      <c r="N2233" s="7" t="s">
        <v>253</v>
      </c>
      <c r="O2233" s="7" t="s">
        <v>254</v>
      </c>
      <c r="P2233" s="8"/>
      <c r="Q2233" s="8"/>
      <c r="R2233" s="8"/>
      <c r="S2233" s="8"/>
      <c r="T2233" s="8"/>
      <c r="U2233" s="8"/>
      <c r="V2233" s="8"/>
      <c r="W2233" s="8"/>
      <c r="X2233" s="8"/>
      <c r="Y2233" s="8"/>
      <c r="Z2233" s="8"/>
      <c r="AA2233" s="8"/>
      <c r="AB2233" s="8"/>
      <c r="AC2233" s="8"/>
      <c r="AD2233" s="8"/>
      <c r="AE2233" s="8"/>
    </row>
    <row r="2234">
      <c r="A2234" s="12">
        <v>66.0</v>
      </c>
      <c r="B2234" s="8" t="s">
        <v>366</v>
      </c>
      <c r="C2234" s="8" t="s">
        <v>1401</v>
      </c>
      <c r="I2234" s="10" t="s">
        <v>1739</v>
      </c>
      <c r="J2234" s="13" t="s">
        <v>1689</v>
      </c>
      <c r="K2234" s="13" t="s">
        <v>276</v>
      </c>
      <c r="L2234" s="13" t="s">
        <v>2040</v>
      </c>
      <c r="M2234" s="7" t="s">
        <v>253</v>
      </c>
      <c r="N2234" s="7" t="s">
        <v>253</v>
      </c>
      <c r="O2234" s="7" t="s">
        <v>254</v>
      </c>
      <c r="P2234" s="8"/>
      <c r="Q2234" s="8"/>
      <c r="R2234" s="8"/>
      <c r="S2234" s="8"/>
      <c r="T2234" s="8"/>
      <c r="U2234" s="8"/>
      <c r="V2234" s="8"/>
      <c r="W2234" s="8"/>
      <c r="X2234" s="8"/>
      <c r="Y2234" s="8"/>
      <c r="Z2234" s="8"/>
      <c r="AA2234" s="8"/>
      <c r="AB2234" s="8"/>
      <c r="AC2234" s="8"/>
      <c r="AD2234" s="8"/>
      <c r="AE2234" s="8"/>
    </row>
    <row r="2235">
      <c r="A2235" s="12">
        <v>66.0</v>
      </c>
      <c r="B2235" s="8" t="s">
        <v>366</v>
      </c>
      <c r="C2235" s="8" t="s">
        <v>1401</v>
      </c>
      <c r="I2235" s="10" t="s">
        <v>917</v>
      </c>
      <c r="J2235" s="13" t="s">
        <v>1687</v>
      </c>
      <c r="K2235" s="13" t="s">
        <v>276</v>
      </c>
      <c r="L2235" s="13" t="s">
        <v>1897</v>
      </c>
      <c r="M2235" s="7" t="s">
        <v>253</v>
      </c>
      <c r="N2235" s="7" t="s">
        <v>253</v>
      </c>
      <c r="O2235" s="7" t="s">
        <v>254</v>
      </c>
      <c r="P2235" s="8"/>
      <c r="Q2235" s="8"/>
      <c r="R2235" s="8"/>
      <c r="S2235" s="8"/>
      <c r="T2235" s="8"/>
      <c r="U2235" s="8"/>
      <c r="V2235" s="8"/>
      <c r="W2235" s="8"/>
      <c r="X2235" s="8"/>
      <c r="Y2235" s="8"/>
      <c r="Z2235" s="8"/>
      <c r="AA2235" s="8"/>
      <c r="AB2235" s="8"/>
      <c r="AC2235" s="8"/>
      <c r="AD2235" s="8"/>
      <c r="AE2235" s="8"/>
    </row>
    <row r="2236">
      <c r="A2236" s="12">
        <v>66.0</v>
      </c>
      <c r="B2236" s="8" t="s">
        <v>366</v>
      </c>
      <c r="C2236" s="8" t="s">
        <v>1401</v>
      </c>
      <c r="I2236" s="10" t="s">
        <v>1312</v>
      </c>
      <c r="J2236" s="13" t="s">
        <v>1688</v>
      </c>
      <c r="K2236" s="13" t="s">
        <v>276</v>
      </c>
      <c r="L2236" s="13" t="s">
        <v>1897</v>
      </c>
      <c r="M2236" s="7" t="s">
        <v>253</v>
      </c>
      <c r="N2236" s="7" t="s">
        <v>253</v>
      </c>
      <c r="O2236" s="7" t="s">
        <v>254</v>
      </c>
      <c r="P2236" s="8"/>
      <c r="Q2236" s="8"/>
      <c r="R2236" s="8"/>
      <c r="S2236" s="8"/>
      <c r="T2236" s="8"/>
      <c r="U2236" s="8"/>
      <c r="V2236" s="8"/>
      <c r="W2236" s="8"/>
      <c r="X2236" s="8"/>
      <c r="Y2236" s="8"/>
      <c r="Z2236" s="8"/>
      <c r="AA2236" s="8"/>
      <c r="AB2236" s="8"/>
      <c r="AC2236" s="8"/>
      <c r="AD2236" s="8"/>
      <c r="AE2236" s="8"/>
    </row>
    <row r="2237">
      <c r="A2237" s="12">
        <v>66.0</v>
      </c>
      <c r="B2237" s="8" t="s">
        <v>366</v>
      </c>
      <c r="C2237" s="8" t="s">
        <v>1401</v>
      </c>
      <c r="I2237" s="10" t="s">
        <v>2042</v>
      </c>
      <c r="J2237" s="13" t="s">
        <v>1689</v>
      </c>
      <c r="K2237" s="13" t="s">
        <v>276</v>
      </c>
      <c r="L2237" s="13" t="s">
        <v>2033</v>
      </c>
      <c r="M2237" s="7" t="s">
        <v>253</v>
      </c>
      <c r="N2237" s="7" t="s">
        <v>253</v>
      </c>
      <c r="O2237" s="7" t="s">
        <v>254</v>
      </c>
      <c r="P2237" s="8"/>
      <c r="Q2237" s="8"/>
      <c r="R2237" s="8"/>
      <c r="S2237" s="8"/>
      <c r="T2237" s="8"/>
      <c r="U2237" s="8"/>
      <c r="V2237" s="8"/>
      <c r="W2237" s="8"/>
      <c r="X2237" s="8"/>
      <c r="Y2237" s="8"/>
      <c r="Z2237" s="8"/>
      <c r="AA2237" s="8"/>
      <c r="AB2237" s="8"/>
      <c r="AC2237" s="8"/>
      <c r="AD2237" s="8"/>
      <c r="AE2237" s="8"/>
    </row>
    <row r="2238">
      <c r="A2238" s="12">
        <v>66.0</v>
      </c>
      <c r="B2238" s="8" t="s">
        <v>366</v>
      </c>
      <c r="C2238" s="8" t="s">
        <v>1401</v>
      </c>
      <c r="I2238" s="10" t="s">
        <v>1740</v>
      </c>
      <c r="J2238" s="13" t="s">
        <v>1687</v>
      </c>
      <c r="K2238" s="13" t="s">
        <v>276</v>
      </c>
      <c r="L2238" s="13" t="s">
        <v>1897</v>
      </c>
      <c r="M2238" s="7" t="s">
        <v>253</v>
      </c>
      <c r="N2238" s="7" t="s">
        <v>253</v>
      </c>
      <c r="O2238" s="7" t="s">
        <v>254</v>
      </c>
      <c r="P2238" s="8"/>
      <c r="Q2238" s="8"/>
      <c r="R2238" s="8"/>
      <c r="S2238" s="8"/>
      <c r="T2238" s="8"/>
      <c r="U2238" s="8"/>
      <c r="V2238" s="8"/>
      <c r="W2238" s="8"/>
      <c r="X2238" s="8"/>
      <c r="Y2238" s="8"/>
      <c r="Z2238" s="8"/>
      <c r="AA2238" s="8"/>
      <c r="AB2238" s="8"/>
      <c r="AC2238" s="8"/>
      <c r="AD2238" s="8"/>
      <c r="AE2238" s="8"/>
    </row>
    <row r="2239">
      <c r="A2239" s="12">
        <v>66.0</v>
      </c>
      <c r="B2239" s="8" t="s">
        <v>366</v>
      </c>
      <c r="C2239" s="8" t="s">
        <v>1401</v>
      </c>
      <c r="I2239" s="10" t="s">
        <v>1146</v>
      </c>
      <c r="J2239" s="13" t="s">
        <v>1688</v>
      </c>
      <c r="K2239" s="13" t="s">
        <v>276</v>
      </c>
      <c r="L2239" s="13" t="s">
        <v>2033</v>
      </c>
      <c r="M2239" s="7" t="s">
        <v>253</v>
      </c>
      <c r="N2239" s="7" t="s">
        <v>253</v>
      </c>
      <c r="O2239" s="7" t="s">
        <v>254</v>
      </c>
      <c r="P2239" s="8"/>
      <c r="Q2239" s="8"/>
      <c r="R2239" s="8"/>
      <c r="S2239" s="8"/>
      <c r="T2239" s="8"/>
      <c r="U2239" s="8"/>
      <c r="V2239" s="8"/>
      <c r="W2239" s="8"/>
      <c r="X2239" s="8"/>
      <c r="Y2239" s="8"/>
      <c r="Z2239" s="8"/>
      <c r="AA2239" s="8"/>
      <c r="AB2239" s="8"/>
      <c r="AC2239" s="8"/>
      <c r="AD2239" s="8"/>
      <c r="AE2239" s="8"/>
    </row>
    <row r="2240">
      <c r="A2240" s="12">
        <v>66.0</v>
      </c>
      <c r="B2240" s="8" t="s">
        <v>366</v>
      </c>
      <c r="C2240" s="8" t="s">
        <v>1401</v>
      </c>
      <c r="I2240" s="10" t="s">
        <v>1493</v>
      </c>
      <c r="J2240" s="13" t="s">
        <v>1689</v>
      </c>
      <c r="K2240" s="13" t="s">
        <v>276</v>
      </c>
      <c r="L2240" s="13" t="s">
        <v>2034</v>
      </c>
      <c r="M2240" s="7" t="s">
        <v>253</v>
      </c>
      <c r="N2240" s="7" t="s">
        <v>253</v>
      </c>
      <c r="O2240" s="7" t="s">
        <v>254</v>
      </c>
      <c r="P2240" s="8"/>
      <c r="Q2240" s="8"/>
      <c r="R2240" s="8"/>
      <c r="S2240" s="8"/>
      <c r="T2240" s="8"/>
      <c r="U2240" s="8"/>
      <c r="V2240" s="8"/>
      <c r="W2240" s="8"/>
      <c r="X2240" s="8"/>
      <c r="Y2240" s="8"/>
      <c r="Z2240" s="8"/>
      <c r="AA2240" s="8"/>
      <c r="AB2240" s="8"/>
      <c r="AC2240" s="8"/>
      <c r="AD2240" s="8"/>
      <c r="AE2240" s="8"/>
    </row>
    <row r="2241">
      <c r="A2241" s="12">
        <v>66.0</v>
      </c>
      <c r="B2241" s="8" t="s">
        <v>366</v>
      </c>
      <c r="C2241" s="8" t="s">
        <v>1401</v>
      </c>
      <c r="I2241" s="10" t="s">
        <v>1917</v>
      </c>
      <c r="J2241" s="13" t="s">
        <v>1687</v>
      </c>
      <c r="K2241" s="13" t="s">
        <v>276</v>
      </c>
      <c r="L2241" s="13" t="s">
        <v>1897</v>
      </c>
      <c r="M2241" s="7" t="s">
        <v>253</v>
      </c>
      <c r="N2241" s="7" t="s">
        <v>253</v>
      </c>
      <c r="O2241" s="7" t="s">
        <v>254</v>
      </c>
      <c r="P2241" s="8"/>
      <c r="Q2241" s="8"/>
      <c r="R2241" s="8"/>
      <c r="S2241" s="8"/>
      <c r="T2241" s="8"/>
      <c r="U2241" s="8"/>
      <c r="V2241" s="8"/>
      <c r="W2241" s="8"/>
      <c r="X2241" s="8"/>
      <c r="Y2241" s="8"/>
      <c r="Z2241" s="8"/>
      <c r="AA2241" s="8"/>
      <c r="AB2241" s="8"/>
      <c r="AC2241" s="8"/>
      <c r="AD2241" s="8"/>
      <c r="AE2241" s="8"/>
    </row>
    <row r="2242">
      <c r="A2242" s="12">
        <v>66.0</v>
      </c>
      <c r="B2242" s="8" t="s">
        <v>366</v>
      </c>
      <c r="C2242" s="8" t="s">
        <v>1401</v>
      </c>
      <c r="I2242" s="10" t="s">
        <v>1918</v>
      </c>
      <c r="J2242" s="13" t="s">
        <v>1688</v>
      </c>
      <c r="K2242" s="13" t="s">
        <v>276</v>
      </c>
      <c r="L2242" s="13" t="s">
        <v>2033</v>
      </c>
      <c r="M2242" s="7" t="s">
        <v>253</v>
      </c>
      <c r="N2242" s="7" t="s">
        <v>253</v>
      </c>
      <c r="O2242" s="7" t="s">
        <v>254</v>
      </c>
      <c r="P2242" s="8"/>
      <c r="Q2242" s="8"/>
      <c r="R2242" s="8"/>
      <c r="S2242" s="8"/>
      <c r="T2242" s="8"/>
      <c r="U2242" s="8"/>
      <c r="V2242" s="8"/>
      <c r="W2242" s="8"/>
      <c r="X2242" s="8"/>
      <c r="Y2242" s="8"/>
      <c r="Z2242" s="8"/>
      <c r="AA2242" s="8"/>
      <c r="AB2242" s="8"/>
      <c r="AC2242" s="8"/>
      <c r="AD2242" s="8"/>
      <c r="AE2242" s="8"/>
    </row>
    <row r="2243">
      <c r="A2243" s="12">
        <v>66.0</v>
      </c>
      <c r="B2243" s="8" t="s">
        <v>366</v>
      </c>
      <c r="C2243" s="8" t="s">
        <v>1401</v>
      </c>
      <c r="I2243" s="10" t="s">
        <v>2043</v>
      </c>
      <c r="J2243" s="13" t="s">
        <v>1689</v>
      </c>
      <c r="K2243" s="13" t="s">
        <v>276</v>
      </c>
      <c r="L2243" s="13" t="s">
        <v>2033</v>
      </c>
      <c r="M2243" s="7" t="s">
        <v>253</v>
      </c>
      <c r="N2243" s="7" t="s">
        <v>253</v>
      </c>
      <c r="O2243" s="7" t="s">
        <v>254</v>
      </c>
      <c r="P2243" s="8"/>
      <c r="Q2243" s="8"/>
      <c r="R2243" s="8"/>
      <c r="S2243" s="8"/>
      <c r="T2243" s="8"/>
      <c r="U2243" s="8"/>
      <c r="V2243" s="8"/>
      <c r="W2243" s="8"/>
      <c r="X2243" s="8"/>
      <c r="Y2243" s="8"/>
      <c r="Z2243" s="8"/>
      <c r="AA2243" s="8"/>
      <c r="AB2243" s="8"/>
      <c r="AC2243" s="8"/>
      <c r="AD2243" s="8"/>
      <c r="AE2243" s="8"/>
    </row>
    <row r="2244">
      <c r="A2244" s="12">
        <v>67.0</v>
      </c>
      <c r="B2244" s="8" t="s">
        <v>368</v>
      </c>
      <c r="C2244" s="8" t="s">
        <v>1401</v>
      </c>
      <c r="D2244" s="25">
        <f>IF(COUNTIF($B$2:$B2244,$B2244)&gt;1,"",COUNTIF($B$2:$B$2505,$B2244))</f>
        <v>62</v>
      </c>
      <c r="E2244" s="25">
        <f>IF(COUNTIF($B$2:$B2244,$B2244)&gt;1,"",COUNTIFS($B$2:$B$2505,$B2244,$K$2:$K$2505,"PHÙ HỢP CAO"))</f>
        <v>2</v>
      </c>
      <c r="F2244" s="25">
        <f>IF(COUNTIF($B$2:$B2244,$B2244)&gt;1,"",COUNTIFS($B$2:$B$2505,$B2244,$K$2:$K$2505,"CÓ THỂ ĐI"))</f>
        <v>3</v>
      </c>
      <c r="G2244" s="25">
        <f>IF(COUNTIF($B$2:$B2244,$B2244)&gt;1,"",COUNTIFS($B$2:$B$2505,$B2244,$K$2:$K$2505,"CẦN SOÁT"))</f>
        <v>57</v>
      </c>
      <c r="H2244" s="26" t="str">
        <f>IFERROR(__xludf.DUMMYFUNCTION("IF(COUNTIF($B$2:$B2244,$B2244)&gt;1,"""",IFERROR(TEXTJOIN(CHAR(10),TRUE,BYROW(QUERY({$B$2:$B$2505,$J$2:$J$2505},""select Col2, count(Col2) where Col1 = '""&amp;$B2244&amp;""' group by Col2 order by count(Col2) desc label count(Col2) ''"",0),LAMBDA(r,INDEX(r,1,1)&amp;"" "&amp;"– ""&amp;INDEX(r,1,2)&amp;"" link""))),""""))"),"bảng tính lãi suất tiết kiệm – 31 link
công cụ tính lãi tiết kiệm – 31 link")</f>
        <v>bảng tính lãi suất tiết kiệm – 31 link
công cụ tính lãi tiết kiệm – 31 link</v>
      </c>
      <c r="I2244" s="10" t="s">
        <v>1422</v>
      </c>
      <c r="J2244" s="13" t="s">
        <v>1424</v>
      </c>
      <c r="K2244" s="13" t="s">
        <v>251</v>
      </c>
      <c r="L2244" s="13" t="s">
        <v>2141</v>
      </c>
      <c r="M2244" s="7" t="s">
        <v>253</v>
      </c>
      <c r="N2244" s="7" t="s">
        <v>253</v>
      </c>
      <c r="O2244" s="7" t="s">
        <v>254</v>
      </c>
      <c r="P2244" s="8"/>
      <c r="Q2244" s="8"/>
      <c r="R2244" s="8"/>
      <c r="S2244" s="8"/>
      <c r="T2244" s="8"/>
      <c r="U2244" s="8"/>
      <c r="V2244" s="8"/>
      <c r="W2244" s="8"/>
      <c r="X2244" s="8"/>
      <c r="Y2244" s="8"/>
      <c r="Z2244" s="8"/>
      <c r="AA2244" s="8"/>
      <c r="AB2244" s="8"/>
      <c r="AC2244" s="8"/>
      <c r="AD2244" s="8"/>
      <c r="AE2244" s="8"/>
    </row>
    <row r="2245">
      <c r="A2245" s="12">
        <v>67.0</v>
      </c>
      <c r="B2245" s="8" t="s">
        <v>368</v>
      </c>
      <c r="C2245" s="8" t="s">
        <v>1401</v>
      </c>
      <c r="I2245" s="10" t="s">
        <v>412</v>
      </c>
      <c r="J2245" s="13" t="s">
        <v>1427</v>
      </c>
      <c r="K2245" s="13" t="s">
        <v>251</v>
      </c>
      <c r="L2245" s="13" t="s">
        <v>2142</v>
      </c>
      <c r="M2245" s="7" t="s">
        <v>253</v>
      </c>
      <c r="N2245" s="7" t="s">
        <v>253</v>
      </c>
      <c r="O2245" s="7" t="s">
        <v>254</v>
      </c>
      <c r="P2245" s="8"/>
      <c r="Q2245" s="8"/>
      <c r="R2245" s="8"/>
      <c r="S2245" s="8"/>
      <c r="T2245" s="8"/>
      <c r="U2245" s="8"/>
      <c r="V2245" s="8"/>
      <c r="W2245" s="8"/>
      <c r="X2245" s="8"/>
      <c r="Y2245" s="8"/>
      <c r="Z2245" s="8"/>
      <c r="AA2245" s="8"/>
      <c r="AB2245" s="8"/>
      <c r="AC2245" s="8"/>
      <c r="AD2245" s="8"/>
      <c r="AE2245" s="8"/>
    </row>
    <row r="2246">
      <c r="A2246" s="12">
        <v>67.0</v>
      </c>
      <c r="B2246" s="8" t="s">
        <v>368</v>
      </c>
      <c r="C2246" s="8" t="s">
        <v>1401</v>
      </c>
      <c r="I2246" s="10" t="s">
        <v>1428</v>
      </c>
      <c r="J2246" s="13" t="s">
        <v>1424</v>
      </c>
      <c r="K2246" s="13" t="s">
        <v>272</v>
      </c>
      <c r="L2246" s="13" t="s">
        <v>2143</v>
      </c>
      <c r="M2246" s="7" t="s">
        <v>253</v>
      </c>
      <c r="N2246" s="7" t="s">
        <v>253</v>
      </c>
      <c r="O2246" s="7" t="s">
        <v>254</v>
      </c>
      <c r="P2246" s="8"/>
      <c r="Q2246" s="8"/>
      <c r="R2246" s="8"/>
      <c r="S2246" s="8"/>
      <c r="T2246" s="8"/>
      <c r="U2246" s="8"/>
      <c r="V2246" s="8"/>
      <c r="W2246" s="8"/>
      <c r="X2246" s="8"/>
      <c r="Y2246" s="8"/>
      <c r="Z2246" s="8"/>
      <c r="AA2246" s="8"/>
      <c r="AB2246" s="8"/>
      <c r="AC2246" s="8"/>
      <c r="AD2246" s="8"/>
      <c r="AE2246" s="8"/>
    </row>
    <row r="2247">
      <c r="A2247" s="12">
        <v>67.0</v>
      </c>
      <c r="B2247" s="8" t="s">
        <v>368</v>
      </c>
      <c r="C2247" s="8" t="s">
        <v>1401</v>
      </c>
      <c r="I2247" s="10" t="s">
        <v>1372</v>
      </c>
      <c r="J2247" s="13" t="s">
        <v>1427</v>
      </c>
      <c r="K2247" s="13" t="s">
        <v>272</v>
      </c>
      <c r="L2247" s="13" t="s">
        <v>2144</v>
      </c>
      <c r="M2247" s="7" t="s">
        <v>253</v>
      </c>
      <c r="N2247" s="7" t="s">
        <v>253</v>
      </c>
      <c r="O2247" s="7" t="s">
        <v>254</v>
      </c>
      <c r="P2247" s="8"/>
      <c r="Q2247" s="8"/>
      <c r="R2247" s="8"/>
      <c r="S2247" s="8"/>
      <c r="T2247" s="8"/>
      <c r="U2247" s="8"/>
      <c r="V2247" s="8"/>
      <c r="W2247" s="8"/>
      <c r="X2247" s="8"/>
      <c r="Y2247" s="8"/>
      <c r="Z2247" s="8"/>
      <c r="AA2247" s="8"/>
      <c r="AB2247" s="8"/>
      <c r="AC2247" s="8"/>
      <c r="AD2247" s="8"/>
      <c r="AE2247" s="8"/>
    </row>
    <row r="2248">
      <c r="A2248" s="12">
        <v>67.0</v>
      </c>
      <c r="B2248" s="8" t="s">
        <v>368</v>
      </c>
      <c r="C2248" s="8" t="s">
        <v>1401</v>
      </c>
      <c r="I2248" s="10" t="s">
        <v>1433</v>
      </c>
      <c r="J2248" s="13" t="s">
        <v>1424</v>
      </c>
      <c r="K2248" s="13" t="s">
        <v>272</v>
      </c>
      <c r="L2248" s="13" t="s">
        <v>2145</v>
      </c>
      <c r="M2248" s="7" t="s">
        <v>253</v>
      </c>
      <c r="N2248" s="7" t="s">
        <v>253</v>
      </c>
      <c r="O2248" s="7" t="s">
        <v>254</v>
      </c>
      <c r="P2248" s="8"/>
      <c r="Q2248" s="8"/>
      <c r="R2248" s="8"/>
      <c r="S2248" s="8"/>
      <c r="T2248" s="8"/>
      <c r="U2248" s="8"/>
      <c r="V2248" s="8"/>
      <c r="W2248" s="8"/>
      <c r="X2248" s="8"/>
      <c r="Y2248" s="8"/>
      <c r="Z2248" s="8"/>
      <c r="AA2248" s="8"/>
      <c r="AB2248" s="8"/>
      <c r="AC2248" s="8"/>
      <c r="AD2248" s="8"/>
      <c r="AE2248" s="8"/>
    </row>
    <row r="2249">
      <c r="A2249" s="12">
        <v>67.0</v>
      </c>
      <c r="B2249" s="8" t="s">
        <v>368</v>
      </c>
      <c r="C2249" s="8" t="s">
        <v>1401</v>
      </c>
      <c r="I2249" s="10" t="s">
        <v>1975</v>
      </c>
      <c r="J2249" s="13" t="s">
        <v>1427</v>
      </c>
      <c r="K2249" s="13" t="s">
        <v>276</v>
      </c>
      <c r="L2249" s="13" t="s">
        <v>2078</v>
      </c>
      <c r="M2249" s="7" t="s">
        <v>253</v>
      </c>
      <c r="N2249" s="7" t="s">
        <v>253</v>
      </c>
      <c r="O2249" s="7" t="s">
        <v>254</v>
      </c>
      <c r="P2249" s="8"/>
      <c r="Q2249" s="8"/>
      <c r="R2249" s="8"/>
      <c r="S2249" s="8"/>
      <c r="T2249" s="8"/>
      <c r="U2249" s="8"/>
      <c r="V2249" s="8"/>
      <c r="W2249" s="8"/>
      <c r="X2249" s="8"/>
      <c r="Y2249" s="8"/>
      <c r="Z2249" s="8"/>
      <c r="AA2249" s="8"/>
      <c r="AB2249" s="8"/>
      <c r="AC2249" s="8"/>
      <c r="AD2249" s="8"/>
      <c r="AE2249" s="8"/>
    </row>
    <row r="2250">
      <c r="A2250" s="12">
        <v>67.0</v>
      </c>
      <c r="B2250" s="8" t="s">
        <v>368</v>
      </c>
      <c r="C2250" s="8" t="s">
        <v>1401</v>
      </c>
      <c r="I2250" s="10" t="s">
        <v>1270</v>
      </c>
      <c r="J2250" s="13" t="s">
        <v>1424</v>
      </c>
      <c r="K2250" s="13" t="s">
        <v>276</v>
      </c>
      <c r="L2250" s="13" t="s">
        <v>2078</v>
      </c>
      <c r="M2250" s="7" t="s">
        <v>253</v>
      </c>
      <c r="N2250" s="7" t="s">
        <v>253</v>
      </c>
      <c r="O2250" s="7" t="s">
        <v>254</v>
      </c>
      <c r="P2250" s="8"/>
      <c r="Q2250" s="8"/>
      <c r="R2250" s="8"/>
      <c r="S2250" s="8"/>
      <c r="T2250" s="8"/>
      <c r="U2250" s="8"/>
      <c r="V2250" s="8"/>
      <c r="W2250" s="8"/>
      <c r="X2250" s="8"/>
      <c r="Y2250" s="8"/>
      <c r="Z2250" s="8"/>
      <c r="AA2250" s="8"/>
      <c r="AB2250" s="8"/>
      <c r="AC2250" s="8"/>
      <c r="AD2250" s="8"/>
      <c r="AE2250" s="8"/>
    </row>
    <row r="2251">
      <c r="A2251" s="12">
        <v>67.0</v>
      </c>
      <c r="B2251" s="8" t="s">
        <v>368</v>
      </c>
      <c r="C2251" s="8" t="s">
        <v>1401</v>
      </c>
      <c r="I2251" s="10" t="s">
        <v>1944</v>
      </c>
      <c r="J2251" s="13" t="s">
        <v>1427</v>
      </c>
      <c r="K2251" s="13" t="s">
        <v>276</v>
      </c>
      <c r="L2251" s="13" t="s">
        <v>2146</v>
      </c>
      <c r="M2251" s="7" t="s">
        <v>253</v>
      </c>
      <c r="N2251" s="7" t="s">
        <v>253</v>
      </c>
      <c r="O2251" s="7" t="s">
        <v>254</v>
      </c>
      <c r="P2251" s="8"/>
      <c r="Q2251" s="8"/>
      <c r="R2251" s="8"/>
      <c r="S2251" s="8"/>
      <c r="T2251" s="8"/>
      <c r="U2251" s="8"/>
      <c r="V2251" s="8"/>
      <c r="W2251" s="8"/>
      <c r="X2251" s="8"/>
      <c r="Y2251" s="8"/>
      <c r="Z2251" s="8"/>
      <c r="AA2251" s="8"/>
      <c r="AB2251" s="8"/>
      <c r="AC2251" s="8"/>
      <c r="AD2251" s="8"/>
      <c r="AE2251" s="8"/>
    </row>
    <row r="2252">
      <c r="A2252" s="12">
        <v>67.0</v>
      </c>
      <c r="B2252" s="8" t="s">
        <v>368</v>
      </c>
      <c r="C2252" s="8" t="s">
        <v>1401</v>
      </c>
      <c r="I2252" s="10" t="s">
        <v>1174</v>
      </c>
      <c r="J2252" s="13" t="s">
        <v>1424</v>
      </c>
      <c r="K2252" s="13" t="s">
        <v>276</v>
      </c>
      <c r="L2252" s="13" t="s">
        <v>2146</v>
      </c>
      <c r="M2252" s="7" t="s">
        <v>253</v>
      </c>
      <c r="N2252" s="7" t="s">
        <v>253</v>
      </c>
      <c r="O2252" s="7" t="s">
        <v>254</v>
      </c>
      <c r="P2252" s="8"/>
      <c r="Q2252" s="8"/>
      <c r="R2252" s="8"/>
      <c r="S2252" s="8"/>
      <c r="T2252" s="8"/>
      <c r="U2252" s="8"/>
      <c r="V2252" s="8"/>
      <c r="W2252" s="8"/>
      <c r="X2252" s="8"/>
      <c r="Y2252" s="8"/>
      <c r="Z2252" s="8"/>
      <c r="AA2252" s="8"/>
      <c r="AB2252" s="8"/>
      <c r="AC2252" s="8"/>
      <c r="AD2252" s="8"/>
      <c r="AE2252" s="8"/>
    </row>
    <row r="2253">
      <c r="A2253" s="12">
        <v>67.0</v>
      </c>
      <c r="B2253" s="8" t="s">
        <v>368</v>
      </c>
      <c r="C2253" s="8" t="s">
        <v>1401</v>
      </c>
      <c r="I2253" s="10" t="s">
        <v>1759</v>
      </c>
      <c r="J2253" s="13" t="s">
        <v>1427</v>
      </c>
      <c r="K2253" s="13" t="s">
        <v>276</v>
      </c>
      <c r="L2253" s="13" t="s">
        <v>2147</v>
      </c>
      <c r="M2253" s="7" t="s">
        <v>253</v>
      </c>
      <c r="N2253" s="7" t="s">
        <v>253</v>
      </c>
      <c r="O2253" s="7" t="s">
        <v>254</v>
      </c>
      <c r="P2253" s="8"/>
      <c r="Q2253" s="8"/>
      <c r="R2253" s="8"/>
      <c r="S2253" s="8"/>
      <c r="T2253" s="8"/>
      <c r="U2253" s="8"/>
      <c r="V2253" s="8"/>
      <c r="W2253" s="8"/>
      <c r="X2253" s="8"/>
      <c r="Y2253" s="8"/>
      <c r="Z2253" s="8"/>
      <c r="AA2253" s="8"/>
      <c r="AB2253" s="8"/>
      <c r="AC2253" s="8"/>
      <c r="AD2253" s="8"/>
      <c r="AE2253" s="8"/>
    </row>
    <row r="2254">
      <c r="A2254" s="12">
        <v>67.0</v>
      </c>
      <c r="B2254" s="8" t="s">
        <v>368</v>
      </c>
      <c r="C2254" s="8" t="s">
        <v>1401</v>
      </c>
      <c r="I2254" s="10" t="s">
        <v>1760</v>
      </c>
      <c r="J2254" s="13" t="s">
        <v>1424</v>
      </c>
      <c r="K2254" s="13" t="s">
        <v>276</v>
      </c>
      <c r="L2254" s="13" t="s">
        <v>2147</v>
      </c>
      <c r="M2254" s="7" t="s">
        <v>253</v>
      </c>
      <c r="N2254" s="7" t="s">
        <v>253</v>
      </c>
      <c r="O2254" s="7" t="s">
        <v>254</v>
      </c>
      <c r="P2254" s="8"/>
      <c r="Q2254" s="8"/>
      <c r="R2254" s="8"/>
      <c r="S2254" s="8"/>
      <c r="T2254" s="8"/>
      <c r="U2254" s="8"/>
      <c r="V2254" s="8"/>
      <c r="W2254" s="8"/>
      <c r="X2254" s="8"/>
      <c r="Y2254" s="8"/>
      <c r="Z2254" s="8"/>
      <c r="AA2254" s="8"/>
      <c r="AB2254" s="8"/>
      <c r="AC2254" s="8"/>
      <c r="AD2254" s="8"/>
      <c r="AE2254" s="8"/>
    </row>
    <row r="2255">
      <c r="A2255" s="12">
        <v>67.0</v>
      </c>
      <c r="B2255" s="8" t="s">
        <v>368</v>
      </c>
      <c r="C2255" s="8" t="s">
        <v>1401</v>
      </c>
      <c r="I2255" s="10" t="s">
        <v>1761</v>
      </c>
      <c r="J2255" s="13" t="s">
        <v>1427</v>
      </c>
      <c r="K2255" s="13" t="s">
        <v>276</v>
      </c>
      <c r="L2255" s="13" t="s">
        <v>2147</v>
      </c>
      <c r="M2255" s="7" t="s">
        <v>253</v>
      </c>
      <c r="N2255" s="7" t="s">
        <v>253</v>
      </c>
      <c r="O2255" s="7" t="s">
        <v>254</v>
      </c>
      <c r="P2255" s="8"/>
      <c r="Q2255" s="8"/>
      <c r="R2255" s="8"/>
      <c r="S2255" s="8"/>
      <c r="T2255" s="8"/>
      <c r="U2255" s="8"/>
      <c r="V2255" s="8"/>
      <c r="W2255" s="8"/>
      <c r="X2255" s="8"/>
      <c r="Y2255" s="8"/>
      <c r="Z2255" s="8"/>
      <c r="AA2255" s="8"/>
      <c r="AB2255" s="8"/>
      <c r="AC2255" s="8"/>
      <c r="AD2255" s="8"/>
      <c r="AE2255" s="8"/>
    </row>
    <row r="2256">
      <c r="A2256" s="12">
        <v>67.0</v>
      </c>
      <c r="B2256" s="8" t="s">
        <v>368</v>
      </c>
      <c r="C2256" s="8" t="s">
        <v>1401</v>
      </c>
      <c r="I2256" s="10" t="s">
        <v>1314</v>
      </c>
      <c r="J2256" s="13" t="s">
        <v>1424</v>
      </c>
      <c r="K2256" s="13" t="s">
        <v>276</v>
      </c>
      <c r="L2256" s="13" t="s">
        <v>1758</v>
      </c>
      <c r="M2256" s="7" t="s">
        <v>253</v>
      </c>
      <c r="N2256" s="7" t="s">
        <v>253</v>
      </c>
      <c r="O2256" s="7" t="s">
        <v>254</v>
      </c>
      <c r="P2256" s="8"/>
      <c r="Q2256" s="8"/>
      <c r="R2256" s="8"/>
      <c r="S2256" s="8"/>
      <c r="T2256" s="8"/>
      <c r="U2256" s="8"/>
      <c r="V2256" s="8"/>
      <c r="W2256" s="8"/>
      <c r="X2256" s="8"/>
      <c r="Y2256" s="8"/>
      <c r="Z2256" s="8"/>
      <c r="AA2256" s="8"/>
      <c r="AB2256" s="8"/>
      <c r="AC2256" s="8"/>
      <c r="AD2256" s="8"/>
      <c r="AE2256" s="8"/>
    </row>
    <row r="2257">
      <c r="A2257" s="12">
        <v>67.0</v>
      </c>
      <c r="B2257" s="8" t="s">
        <v>368</v>
      </c>
      <c r="C2257" s="8" t="s">
        <v>1401</v>
      </c>
      <c r="I2257" s="10" t="s">
        <v>1901</v>
      </c>
      <c r="J2257" s="13" t="s">
        <v>1427</v>
      </c>
      <c r="K2257" s="13" t="s">
        <v>276</v>
      </c>
      <c r="L2257" s="13" t="s">
        <v>2078</v>
      </c>
      <c r="M2257" s="7" t="s">
        <v>253</v>
      </c>
      <c r="N2257" s="7" t="s">
        <v>253</v>
      </c>
      <c r="O2257" s="7" t="s">
        <v>254</v>
      </c>
      <c r="P2257" s="8"/>
      <c r="Q2257" s="8"/>
      <c r="R2257" s="8"/>
      <c r="S2257" s="8"/>
      <c r="T2257" s="8"/>
      <c r="U2257" s="8"/>
      <c r="V2257" s="8"/>
      <c r="W2257" s="8"/>
      <c r="X2257" s="8"/>
      <c r="Y2257" s="8"/>
      <c r="Z2257" s="8"/>
      <c r="AA2257" s="8"/>
      <c r="AB2257" s="8"/>
      <c r="AC2257" s="8"/>
      <c r="AD2257" s="8"/>
      <c r="AE2257" s="8"/>
    </row>
    <row r="2258">
      <c r="A2258" s="12">
        <v>67.0</v>
      </c>
      <c r="B2258" s="8" t="s">
        <v>368</v>
      </c>
      <c r="C2258" s="8" t="s">
        <v>1401</v>
      </c>
      <c r="I2258" s="10" t="s">
        <v>1328</v>
      </c>
      <c r="J2258" s="13" t="s">
        <v>1424</v>
      </c>
      <c r="K2258" s="13" t="s">
        <v>276</v>
      </c>
      <c r="L2258" s="13" t="s">
        <v>2078</v>
      </c>
      <c r="M2258" s="7" t="s">
        <v>253</v>
      </c>
      <c r="N2258" s="7" t="s">
        <v>253</v>
      </c>
      <c r="O2258" s="7" t="s">
        <v>254</v>
      </c>
      <c r="P2258" s="8"/>
      <c r="Q2258" s="8"/>
      <c r="R2258" s="8"/>
      <c r="S2258" s="8"/>
      <c r="T2258" s="8"/>
      <c r="U2258" s="8"/>
      <c r="V2258" s="8"/>
      <c r="W2258" s="8"/>
      <c r="X2258" s="8"/>
      <c r="Y2258" s="8"/>
      <c r="Z2258" s="8"/>
      <c r="AA2258" s="8"/>
      <c r="AB2258" s="8"/>
      <c r="AC2258" s="8"/>
      <c r="AD2258" s="8"/>
      <c r="AE2258" s="8"/>
    </row>
    <row r="2259">
      <c r="A2259" s="12">
        <v>67.0</v>
      </c>
      <c r="B2259" s="8" t="s">
        <v>368</v>
      </c>
      <c r="C2259" s="8" t="s">
        <v>1401</v>
      </c>
      <c r="I2259" s="10" t="s">
        <v>1468</v>
      </c>
      <c r="J2259" s="13" t="s">
        <v>1427</v>
      </c>
      <c r="K2259" s="13" t="s">
        <v>276</v>
      </c>
      <c r="L2259" s="13" t="s">
        <v>2078</v>
      </c>
      <c r="M2259" s="7" t="s">
        <v>253</v>
      </c>
      <c r="N2259" s="7" t="s">
        <v>253</v>
      </c>
      <c r="O2259" s="7" t="s">
        <v>254</v>
      </c>
      <c r="P2259" s="8"/>
      <c r="Q2259" s="8"/>
      <c r="R2259" s="8"/>
      <c r="S2259" s="8"/>
      <c r="T2259" s="8"/>
      <c r="U2259" s="8"/>
      <c r="V2259" s="8"/>
      <c r="W2259" s="8"/>
      <c r="X2259" s="8"/>
      <c r="Y2259" s="8"/>
      <c r="Z2259" s="8"/>
      <c r="AA2259" s="8"/>
      <c r="AB2259" s="8"/>
      <c r="AC2259" s="8"/>
      <c r="AD2259" s="8"/>
      <c r="AE2259" s="8"/>
    </row>
    <row r="2260">
      <c r="A2260" s="12">
        <v>67.0</v>
      </c>
      <c r="B2260" s="8" t="s">
        <v>368</v>
      </c>
      <c r="C2260" s="8" t="s">
        <v>1401</v>
      </c>
      <c r="I2260" s="10" t="s">
        <v>1336</v>
      </c>
      <c r="J2260" s="13" t="s">
        <v>1424</v>
      </c>
      <c r="K2260" s="13" t="s">
        <v>276</v>
      </c>
      <c r="L2260" s="13" t="s">
        <v>2078</v>
      </c>
      <c r="M2260" s="7" t="s">
        <v>253</v>
      </c>
      <c r="N2260" s="7" t="s">
        <v>253</v>
      </c>
      <c r="O2260" s="7" t="s">
        <v>254</v>
      </c>
      <c r="P2260" s="8"/>
      <c r="Q2260" s="8"/>
      <c r="R2260" s="8"/>
      <c r="S2260" s="8"/>
      <c r="T2260" s="8"/>
      <c r="U2260" s="8"/>
      <c r="V2260" s="8"/>
      <c r="W2260" s="8"/>
      <c r="X2260" s="8"/>
      <c r="Y2260" s="8"/>
      <c r="Z2260" s="8"/>
      <c r="AA2260" s="8"/>
      <c r="AB2260" s="8"/>
      <c r="AC2260" s="8"/>
      <c r="AD2260" s="8"/>
      <c r="AE2260" s="8"/>
    </row>
    <row r="2261">
      <c r="A2261" s="12">
        <v>67.0</v>
      </c>
      <c r="B2261" s="8" t="s">
        <v>368</v>
      </c>
      <c r="C2261" s="8" t="s">
        <v>1401</v>
      </c>
      <c r="I2261" s="10" t="s">
        <v>940</v>
      </c>
      <c r="J2261" s="13" t="s">
        <v>1427</v>
      </c>
      <c r="K2261" s="13" t="s">
        <v>276</v>
      </c>
      <c r="L2261" s="13" t="s">
        <v>2078</v>
      </c>
      <c r="M2261" s="7" t="s">
        <v>253</v>
      </c>
      <c r="N2261" s="7" t="s">
        <v>253</v>
      </c>
      <c r="O2261" s="7" t="s">
        <v>254</v>
      </c>
      <c r="P2261" s="8"/>
      <c r="Q2261" s="8"/>
      <c r="R2261" s="8"/>
      <c r="S2261" s="8"/>
      <c r="T2261" s="8"/>
      <c r="U2261" s="8"/>
      <c r="V2261" s="8"/>
      <c r="W2261" s="8"/>
      <c r="X2261" s="8"/>
      <c r="Y2261" s="8"/>
      <c r="Z2261" s="8"/>
      <c r="AA2261" s="8"/>
      <c r="AB2261" s="8"/>
      <c r="AC2261" s="8"/>
      <c r="AD2261" s="8"/>
      <c r="AE2261" s="8"/>
    </row>
    <row r="2262">
      <c r="A2262" s="12">
        <v>67.0</v>
      </c>
      <c r="B2262" s="8" t="s">
        <v>368</v>
      </c>
      <c r="C2262" s="8" t="s">
        <v>1401</v>
      </c>
      <c r="I2262" s="10" t="s">
        <v>1318</v>
      </c>
      <c r="J2262" s="13" t="s">
        <v>1424</v>
      </c>
      <c r="K2262" s="13" t="s">
        <v>276</v>
      </c>
      <c r="L2262" s="13" t="s">
        <v>1758</v>
      </c>
      <c r="M2262" s="7" t="s">
        <v>253</v>
      </c>
      <c r="N2262" s="7" t="s">
        <v>253</v>
      </c>
      <c r="O2262" s="7" t="s">
        <v>254</v>
      </c>
      <c r="P2262" s="8"/>
      <c r="Q2262" s="8"/>
      <c r="R2262" s="8"/>
      <c r="S2262" s="8"/>
      <c r="T2262" s="8"/>
      <c r="U2262" s="8"/>
      <c r="V2262" s="8"/>
      <c r="W2262" s="8"/>
      <c r="X2262" s="8"/>
      <c r="Y2262" s="8"/>
      <c r="Z2262" s="8"/>
      <c r="AA2262" s="8"/>
      <c r="AB2262" s="8"/>
      <c r="AC2262" s="8"/>
      <c r="AD2262" s="8"/>
      <c r="AE2262" s="8"/>
    </row>
    <row r="2263">
      <c r="A2263" s="12">
        <v>67.0</v>
      </c>
      <c r="B2263" s="8" t="s">
        <v>368</v>
      </c>
      <c r="C2263" s="8" t="s">
        <v>1401</v>
      </c>
      <c r="I2263" s="10" t="s">
        <v>354</v>
      </c>
      <c r="J2263" s="13" t="s">
        <v>1427</v>
      </c>
      <c r="K2263" s="13" t="s">
        <v>276</v>
      </c>
      <c r="L2263" s="13" t="s">
        <v>2079</v>
      </c>
      <c r="M2263" s="7" t="s">
        <v>253</v>
      </c>
      <c r="N2263" s="7" t="s">
        <v>253</v>
      </c>
      <c r="O2263" s="7" t="s">
        <v>254</v>
      </c>
      <c r="P2263" s="8"/>
      <c r="Q2263" s="8"/>
      <c r="R2263" s="8"/>
      <c r="S2263" s="8"/>
      <c r="T2263" s="8"/>
      <c r="U2263" s="8"/>
      <c r="V2263" s="8"/>
      <c r="W2263" s="8"/>
      <c r="X2263" s="8"/>
      <c r="Y2263" s="8"/>
      <c r="Z2263" s="8"/>
      <c r="AA2263" s="8"/>
      <c r="AB2263" s="8"/>
      <c r="AC2263" s="8"/>
      <c r="AD2263" s="8"/>
      <c r="AE2263" s="8"/>
    </row>
    <row r="2264">
      <c r="A2264" s="12">
        <v>67.0</v>
      </c>
      <c r="B2264" s="8" t="s">
        <v>368</v>
      </c>
      <c r="C2264" s="8" t="s">
        <v>1401</v>
      </c>
      <c r="I2264" s="10" t="s">
        <v>1389</v>
      </c>
      <c r="J2264" s="13" t="s">
        <v>1424</v>
      </c>
      <c r="K2264" s="13" t="s">
        <v>276</v>
      </c>
      <c r="L2264" s="13" t="s">
        <v>1758</v>
      </c>
      <c r="M2264" s="7" t="s">
        <v>253</v>
      </c>
      <c r="N2264" s="7" t="s">
        <v>253</v>
      </c>
      <c r="O2264" s="7" t="s">
        <v>254</v>
      </c>
      <c r="P2264" s="8"/>
      <c r="Q2264" s="8"/>
      <c r="R2264" s="8"/>
      <c r="S2264" s="8"/>
      <c r="T2264" s="8"/>
      <c r="U2264" s="8"/>
      <c r="V2264" s="8"/>
      <c r="W2264" s="8"/>
      <c r="X2264" s="8"/>
      <c r="Y2264" s="8"/>
      <c r="Z2264" s="8"/>
      <c r="AA2264" s="8"/>
      <c r="AB2264" s="8"/>
      <c r="AC2264" s="8"/>
      <c r="AD2264" s="8"/>
      <c r="AE2264" s="8"/>
    </row>
    <row r="2265">
      <c r="A2265" s="12">
        <v>67.0</v>
      </c>
      <c r="B2265" s="8" t="s">
        <v>368</v>
      </c>
      <c r="C2265" s="8" t="s">
        <v>1401</v>
      </c>
      <c r="I2265" s="10" t="s">
        <v>1767</v>
      </c>
      <c r="J2265" s="13" t="s">
        <v>1427</v>
      </c>
      <c r="K2265" s="13" t="s">
        <v>276</v>
      </c>
      <c r="L2265" s="13" t="s">
        <v>1758</v>
      </c>
      <c r="M2265" s="7" t="s">
        <v>253</v>
      </c>
      <c r="N2265" s="7" t="s">
        <v>253</v>
      </c>
      <c r="O2265" s="7" t="s">
        <v>254</v>
      </c>
      <c r="P2265" s="8"/>
      <c r="Q2265" s="8"/>
      <c r="R2265" s="8"/>
      <c r="S2265" s="8"/>
      <c r="T2265" s="8"/>
      <c r="U2265" s="8"/>
      <c r="V2265" s="8"/>
      <c r="W2265" s="8"/>
      <c r="X2265" s="8"/>
      <c r="Y2265" s="8"/>
      <c r="Z2265" s="8"/>
      <c r="AA2265" s="8"/>
      <c r="AB2265" s="8"/>
      <c r="AC2265" s="8"/>
      <c r="AD2265" s="8"/>
      <c r="AE2265" s="8"/>
    </row>
    <row r="2266">
      <c r="A2266" s="12">
        <v>67.0</v>
      </c>
      <c r="B2266" s="8" t="s">
        <v>368</v>
      </c>
      <c r="C2266" s="8" t="s">
        <v>1401</v>
      </c>
      <c r="I2266" s="10" t="s">
        <v>1397</v>
      </c>
      <c r="J2266" s="13" t="s">
        <v>1424</v>
      </c>
      <c r="K2266" s="13" t="s">
        <v>276</v>
      </c>
      <c r="L2266" s="13" t="s">
        <v>1758</v>
      </c>
      <c r="M2266" s="7" t="s">
        <v>253</v>
      </c>
      <c r="N2266" s="7" t="s">
        <v>253</v>
      </c>
      <c r="O2266" s="7" t="s">
        <v>254</v>
      </c>
      <c r="P2266" s="8"/>
      <c r="Q2266" s="8"/>
      <c r="R2266" s="8"/>
      <c r="S2266" s="8"/>
      <c r="T2266" s="8"/>
      <c r="U2266" s="8"/>
      <c r="V2266" s="8"/>
      <c r="W2266" s="8"/>
      <c r="X2266" s="8"/>
      <c r="Y2266" s="8"/>
      <c r="Z2266" s="8"/>
      <c r="AA2266" s="8"/>
      <c r="AB2266" s="8"/>
      <c r="AC2266" s="8"/>
      <c r="AD2266" s="8"/>
      <c r="AE2266" s="8"/>
    </row>
    <row r="2267">
      <c r="A2267" s="12">
        <v>67.0</v>
      </c>
      <c r="B2267" s="8" t="s">
        <v>368</v>
      </c>
      <c r="C2267" s="8" t="s">
        <v>1401</v>
      </c>
      <c r="I2267" s="10" t="s">
        <v>672</v>
      </c>
      <c r="J2267" s="13" t="s">
        <v>1427</v>
      </c>
      <c r="K2267" s="13" t="s">
        <v>276</v>
      </c>
      <c r="L2267" s="13" t="s">
        <v>1758</v>
      </c>
      <c r="M2267" s="7" t="s">
        <v>253</v>
      </c>
      <c r="N2267" s="7" t="s">
        <v>253</v>
      </c>
      <c r="O2267" s="7" t="s">
        <v>254</v>
      </c>
      <c r="P2267" s="8"/>
      <c r="Q2267" s="8"/>
      <c r="R2267" s="8"/>
      <c r="S2267" s="8"/>
      <c r="T2267" s="8"/>
      <c r="U2267" s="8"/>
      <c r="V2267" s="8"/>
      <c r="W2267" s="8"/>
      <c r="X2267" s="8"/>
      <c r="Y2267" s="8"/>
      <c r="Z2267" s="8"/>
      <c r="AA2267" s="8"/>
      <c r="AB2267" s="8"/>
      <c r="AC2267" s="8"/>
      <c r="AD2267" s="8"/>
      <c r="AE2267" s="8"/>
    </row>
    <row r="2268">
      <c r="A2268" s="12">
        <v>67.0</v>
      </c>
      <c r="B2268" s="8" t="s">
        <v>368</v>
      </c>
      <c r="C2268" s="8" t="s">
        <v>1401</v>
      </c>
      <c r="I2268" s="10" t="s">
        <v>1769</v>
      </c>
      <c r="J2268" s="13" t="s">
        <v>1424</v>
      </c>
      <c r="K2268" s="13" t="s">
        <v>276</v>
      </c>
      <c r="L2268" s="13" t="s">
        <v>1780</v>
      </c>
      <c r="M2268" s="7" t="s">
        <v>253</v>
      </c>
      <c r="N2268" s="7" t="s">
        <v>253</v>
      </c>
      <c r="O2268" s="7" t="s">
        <v>254</v>
      </c>
      <c r="P2268" s="8"/>
      <c r="Q2268" s="8"/>
      <c r="R2268" s="8"/>
      <c r="S2268" s="8"/>
      <c r="T2268" s="8"/>
      <c r="U2268" s="8"/>
      <c r="V2268" s="8"/>
      <c r="W2268" s="8"/>
      <c r="X2268" s="8"/>
      <c r="Y2268" s="8"/>
      <c r="Z2268" s="8"/>
      <c r="AA2268" s="8"/>
      <c r="AB2268" s="8"/>
      <c r="AC2268" s="8"/>
      <c r="AD2268" s="8"/>
      <c r="AE2268" s="8"/>
    </row>
    <row r="2269">
      <c r="A2269" s="12">
        <v>67.0</v>
      </c>
      <c r="B2269" s="8" t="s">
        <v>368</v>
      </c>
      <c r="C2269" s="8" t="s">
        <v>1401</v>
      </c>
      <c r="I2269" s="10" t="s">
        <v>1309</v>
      </c>
      <c r="J2269" s="13" t="s">
        <v>1427</v>
      </c>
      <c r="K2269" s="13" t="s">
        <v>276</v>
      </c>
      <c r="L2269" s="13" t="s">
        <v>1758</v>
      </c>
      <c r="M2269" s="7" t="s">
        <v>253</v>
      </c>
      <c r="N2269" s="7" t="s">
        <v>253</v>
      </c>
      <c r="O2269" s="7" t="s">
        <v>254</v>
      </c>
      <c r="P2269" s="8"/>
      <c r="Q2269" s="8"/>
      <c r="R2269" s="8"/>
      <c r="S2269" s="8"/>
      <c r="T2269" s="8"/>
      <c r="U2269" s="8"/>
      <c r="V2269" s="8"/>
      <c r="W2269" s="8"/>
      <c r="X2269" s="8"/>
      <c r="Y2269" s="8"/>
      <c r="Z2269" s="8"/>
      <c r="AA2269" s="8"/>
      <c r="AB2269" s="8"/>
      <c r="AC2269" s="8"/>
      <c r="AD2269" s="8"/>
      <c r="AE2269" s="8"/>
    </row>
    <row r="2270">
      <c r="A2270" s="12">
        <v>67.0</v>
      </c>
      <c r="B2270" s="8" t="s">
        <v>368</v>
      </c>
      <c r="C2270" s="8" t="s">
        <v>1401</v>
      </c>
      <c r="I2270" s="10" t="s">
        <v>721</v>
      </c>
      <c r="J2270" s="13" t="s">
        <v>1424</v>
      </c>
      <c r="K2270" s="13" t="s">
        <v>276</v>
      </c>
      <c r="L2270" s="13" t="s">
        <v>2146</v>
      </c>
      <c r="M2270" s="7" t="s">
        <v>253</v>
      </c>
      <c r="N2270" s="7" t="s">
        <v>253</v>
      </c>
      <c r="O2270" s="7" t="s">
        <v>254</v>
      </c>
      <c r="P2270" s="8"/>
      <c r="Q2270" s="8"/>
      <c r="R2270" s="8"/>
      <c r="S2270" s="8"/>
      <c r="T2270" s="8"/>
      <c r="U2270" s="8"/>
      <c r="V2270" s="8"/>
      <c r="W2270" s="8"/>
      <c r="X2270" s="8"/>
      <c r="Y2270" s="8"/>
      <c r="Z2270" s="8"/>
      <c r="AA2270" s="8"/>
      <c r="AB2270" s="8"/>
      <c r="AC2270" s="8"/>
      <c r="AD2270" s="8"/>
      <c r="AE2270" s="8"/>
    </row>
    <row r="2271">
      <c r="A2271" s="12">
        <v>67.0</v>
      </c>
      <c r="B2271" s="8" t="s">
        <v>368</v>
      </c>
      <c r="C2271" s="8" t="s">
        <v>1401</v>
      </c>
      <c r="I2271" s="10" t="s">
        <v>864</v>
      </c>
      <c r="J2271" s="13" t="s">
        <v>1427</v>
      </c>
      <c r="K2271" s="13" t="s">
        <v>276</v>
      </c>
      <c r="L2271" s="13" t="s">
        <v>2078</v>
      </c>
      <c r="M2271" s="7" t="s">
        <v>253</v>
      </c>
      <c r="N2271" s="7" t="s">
        <v>253</v>
      </c>
      <c r="O2271" s="7" t="s">
        <v>254</v>
      </c>
      <c r="P2271" s="8"/>
      <c r="Q2271" s="8"/>
      <c r="R2271" s="8"/>
      <c r="S2271" s="8"/>
      <c r="T2271" s="8"/>
      <c r="U2271" s="8"/>
      <c r="V2271" s="8"/>
      <c r="W2271" s="8"/>
      <c r="X2271" s="8"/>
      <c r="Y2271" s="8"/>
      <c r="Z2271" s="8"/>
      <c r="AA2271" s="8"/>
      <c r="AB2271" s="8"/>
      <c r="AC2271" s="8"/>
      <c r="AD2271" s="8"/>
      <c r="AE2271" s="8"/>
    </row>
    <row r="2272">
      <c r="A2272" s="12">
        <v>67.0</v>
      </c>
      <c r="B2272" s="8" t="s">
        <v>368</v>
      </c>
      <c r="C2272" s="8" t="s">
        <v>1401</v>
      </c>
      <c r="I2272" s="10" t="s">
        <v>1155</v>
      </c>
      <c r="J2272" s="13" t="s">
        <v>1424</v>
      </c>
      <c r="K2272" s="13" t="s">
        <v>276</v>
      </c>
      <c r="L2272" s="13" t="s">
        <v>2146</v>
      </c>
      <c r="M2272" s="7" t="s">
        <v>253</v>
      </c>
      <c r="N2272" s="7" t="s">
        <v>253</v>
      </c>
      <c r="O2272" s="7" t="s">
        <v>254</v>
      </c>
      <c r="P2272" s="8"/>
      <c r="Q2272" s="8"/>
      <c r="R2272" s="8"/>
      <c r="S2272" s="8"/>
      <c r="T2272" s="8"/>
      <c r="U2272" s="8"/>
      <c r="V2272" s="8"/>
      <c r="W2272" s="8"/>
      <c r="X2272" s="8"/>
      <c r="Y2272" s="8"/>
      <c r="Z2272" s="8"/>
      <c r="AA2272" s="8"/>
      <c r="AB2272" s="8"/>
      <c r="AC2272" s="8"/>
      <c r="AD2272" s="8"/>
      <c r="AE2272" s="8"/>
    </row>
    <row r="2273">
      <c r="A2273" s="12">
        <v>67.0</v>
      </c>
      <c r="B2273" s="8" t="s">
        <v>368</v>
      </c>
      <c r="C2273" s="8" t="s">
        <v>1401</v>
      </c>
      <c r="I2273" s="10" t="s">
        <v>334</v>
      </c>
      <c r="J2273" s="13" t="s">
        <v>1427</v>
      </c>
      <c r="K2273" s="13" t="s">
        <v>276</v>
      </c>
      <c r="L2273" s="13" t="s">
        <v>2078</v>
      </c>
      <c r="M2273" s="7" t="s">
        <v>253</v>
      </c>
      <c r="N2273" s="7" t="s">
        <v>253</v>
      </c>
      <c r="O2273" s="7" t="s">
        <v>254</v>
      </c>
      <c r="P2273" s="8"/>
      <c r="Q2273" s="8"/>
      <c r="R2273" s="8"/>
      <c r="S2273" s="8"/>
      <c r="T2273" s="8"/>
      <c r="U2273" s="8"/>
      <c r="V2273" s="8"/>
      <c r="W2273" s="8"/>
      <c r="X2273" s="8"/>
      <c r="Y2273" s="8"/>
      <c r="Z2273" s="8"/>
      <c r="AA2273" s="8"/>
      <c r="AB2273" s="8"/>
      <c r="AC2273" s="8"/>
      <c r="AD2273" s="8"/>
      <c r="AE2273" s="8"/>
    </row>
    <row r="2274">
      <c r="A2274" s="12">
        <v>67.0</v>
      </c>
      <c r="B2274" s="8" t="s">
        <v>368</v>
      </c>
      <c r="C2274" s="8" t="s">
        <v>1401</v>
      </c>
      <c r="I2274" s="10" t="s">
        <v>1331</v>
      </c>
      <c r="J2274" s="13" t="s">
        <v>1424</v>
      </c>
      <c r="K2274" s="13" t="s">
        <v>276</v>
      </c>
      <c r="L2274" s="13" t="s">
        <v>1758</v>
      </c>
      <c r="M2274" s="7" t="s">
        <v>253</v>
      </c>
      <c r="N2274" s="7" t="s">
        <v>253</v>
      </c>
      <c r="O2274" s="7" t="s">
        <v>254</v>
      </c>
      <c r="P2274" s="8"/>
      <c r="Q2274" s="8"/>
      <c r="R2274" s="8"/>
      <c r="S2274" s="8"/>
      <c r="T2274" s="8"/>
      <c r="U2274" s="8"/>
      <c r="V2274" s="8"/>
      <c r="W2274" s="8"/>
      <c r="X2274" s="8"/>
      <c r="Y2274" s="8"/>
      <c r="Z2274" s="8"/>
      <c r="AA2274" s="8"/>
      <c r="AB2274" s="8"/>
      <c r="AC2274" s="8"/>
      <c r="AD2274" s="8"/>
      <c r="AE2274" s="8"/>
    </row>
    <row r="2275">
      <c r="A2275" s="12">
        <v>67.0</v>
      </c>
      <c r="B2275" s="8" t="s">
        <v>368</v>
      </c>
      <c r="C2275" s="8" t="s">
        <v>1401</v>
      </c>
      <c r="I2275" s="10" t="s">
        <v>363</v>
      </c>
      <c r="J2275" s="13" t="s">
        <v>1427</v>
      </c>
      <c r="K2275" s="13" t="s">
        <v>276</v>
      </c>
      <c r="L2275" s="13" t="s">
        <v>1758</v>
      </c>
      <c r="M2275" s="7" t="s">
        <v>253</v>
      </c>
      <c r="N2275" s="7" t="s">
        <v>253</v>
      </c>
      <c r="O2275" s="7" t="s">
        <v>254</v>
      </c>
      <c r="P2275" s="8"/>
      <c r="Q2275" s="8"/>
      <c r="R2275" s="8"/>
      <c r="S2275" s="8"/>
      <c r="T2275" s="8"/>
      <c r="U2275" s="8"/>
      <c r="V2275" s="8"/>
      <c r="W2275" s="8"/>
      <c r="X2275" s="8"/>
      <c r="Y2275" s="8"/>
      <c r="Z2275" s="8"/>
      <c r="AA2275" s="8"/>
      <c r="AB2275" s="8"/>
      <c r="AC2275" s="8"/>
      <c r="AD2275" s="8"/>
      <c r="AE2275" s="8"/>
    </row>
    <row r="2276">
      <c r="A2276" s="12">
        <v>67.0</v>
      </c>
      <c r="B2276" s="8" t="s">
        <v>368</v>
      </c>
      <c r="C2276" s="8" t="s">
        <v>1401</v>
      </c>
      <c r="I2276" s="10" t="s">
        <v>1592</v>
      </c>
      <c r="J2276" s="13" t="s">
        <v>1424</v>
      </c>
      <c r="K2276" s="13" t="s">
        <v>276</v>
      </c>
      <c r="L2276" s="13" t="s">
        <v>2146</v>
      </c>
      <c r="M2276" s="7" t="s">
        <v>253</v>
      </c>
      <c r="N2276" s="7" t="s">
        <v>253</v>
      </c>
      <c r="O2276" s="7" t="s">
        <v>254</v>
      </c>
      <c r="P2276" s="8"/>
      <c r="Q2276" s="8"/>
      <c r="R2276" s="8"/>
      <c r="S2276" s="8"/>
      <c r="T2276" s="8"/>
      <c r="U2276" s="8"/>
      <c r="V2276" s="8"/>
      <c r="W2276" s="8"/>
      <c r="X2276" s="8"/>
      <c r="Y2276" s="8"/>
      <c r="Z2276" s="8"/>
      <c r="AA2276" s="8"/>
      <c r="AB2276" s="8"/>
      <c r="AC2276" s="8"/>
      <c r="AD2276" s="8"/>
      <c r="AE2276" s="8"/>
    </row>
    <row r="2277">
      <c r="A2277" s="12">
        <v>67.0</v>
      </c>
      <c r="B2277" s="8" t="s">
        <v>368</v>
      </c>
      <c r="C2277" s="8" t="s">
        <v>1401</v>
      </c>
      <c r="I2277" s="10" t="s">
        <v>356</v>
      </c>
      <c r="J2277" s="13" t="s">
        <v>1427</v>
      </c>
      <c r="K2277" s="13" t="s">
        <v>276</v>
      </c>
      <c r="L2277" s="13" t="s">
        <v>2148</v>
      </c>
      <c r="M2277" s="7" t="s">
        <v>253</v>
      </c>
      <c r="N2277" s="7" t="s">
        <v>253</v>
      </c>
      <c r="O2277" s="7" t="s">
        <v>254</v>
      </c>
      <c r="P2277" s="8"/>
      <c r="Q2277" s="8"/>
      <c r="R2277" s="8"/>
      <c r="S2277" s="8"/>
      <c r="T2277" s="8"/>
      <c r="U2277" s="8"/>
      <c r="V2277" s="8"/>
      <c r="W2277" s="8"/>
      <c r="X2277" s="8"/>
      <c r="Y2277" s="8"/>
      <c r="Z2277" s="8"/>
      <c r="AA2277" s="8"/>
      <c r="AB2277" s="8"/>
      <c r="AC2277" s="8"/>
      <c r="AD2277" s="8"/>
      <c r="AE2277" s="8"/>
    </row>
    <row r="2278">
      <c r="A2278" s="12">
        <v>67.0</v>
      </c>
      <c r="B2278" s="8" t="s">
        <v>368</v>
      </c>
      <c r="C2278" s="8" t="s">
        <v>1401</v>
      </c>
      <c r="I2278" s="10" t="s">
        <v>1265</v>
      </c>
      <c r="J2278" s="13" t="s">
        <v>1424</v>
      </c>
      <c r="K2278" s="13" t="s">
        <v>276</v>
      </c>
      <c r="L2278" s="13" t="s">
        <v>2078</v>
      </c>
      <c r="M2278" s="7" t="s">
        <v>253</v>
      </c>
      <c r="N2278" s="7" t="s">
        <v>253</v>
      </c>
      <c r="O2278" s="7" t="s">
        <v>254</v>
      </c>
      <c r="P2278" s="8"/>
      <c r="Q2278" s="8"/>
      <c r="R2278" s="8"/>
      <c r="S2278" s="8"/>
      <c r="T2278" s="8"/>
      <c r="U2278" s="8"/>
      <c r="V2278" s="8"/>
      <c r="W2278" s="8"/>
      <c r="X2278" s="8"/>
      <c r="Y2278" s="8"/>
      <c r="Z2278" s="8"/>
      <c r="AA2278" s="8"/>
      <c r="AB2278" s="8"/>
      <c r="AC2278" s="8"/>
      <c r="AD2278" s="8"/>
      <c r="AE2278" s="8"/>
    </row>
    <row r="2279">
      <c r="A2279" s="12">
        <v>67.0</v>
      </c>
      <c r="B2279" s="8" t="s">
        <v>368</v>
      </c>
      <c r="C2279" s="8" t="s">
        <v>1401</v>
      </c>
      <c r="I2279" s="10" t="s">
        <v>885</v>
      </c>
      <c r="J2279" s="13" t="s">
        <v>1427</v>
      </c>
      <c r="K2279" s="13" t="s">
        <v>276</v>
      </c>
      <c r="L2279" s="13" t="s">
        <v>2078</v>
      </c>
      <c r="M2279" s="7" t="s">
        <v>253</v>
      </c>
      <c r="N2279" s="7" t="s">
        <v>253</v>
      </c>
      <c r="O2279" s="7" t="s">
        <v>254</v>
      </c>
      <c r="P2279" s="8"/>
      <c r="Q2279" s="8"/>
      <c r="R2279" s="8"/>
      <c r="S2279" s="8"/>
      <c r="T2279" s="8"/>
      <c r="U2279" s="8"/>
      <c r="V2279" s="8"/>
      <c r="W2279" s="8"/>
      <c r="X2279" s="8"/>
      <c r="Y2279" s="8"/>
      <c r="Z2279" s="8"/>
      <c r="AA2279" s="8"/>
      <c r="AB2279" s="8"/>
      <c r="AC2279" s="8"/>
      <c r="AD2279" s="8"/>
      <c r="AE2279" s="8"/>
    </row>
    <row r="2280">
      <c r="A2280" s="12">
        <v>67.0</v>
      </c>
      <c r="B2280" s="8" t="s">
        <v>368</v>
      </c>
      <c r="C2280" s="8" t="s">
        <v>1401</v>
      </c>
      <c r="I2280" s="10" t="s">
        <v>1771</v>
      </c>
      <c r="J2280" s="13" t="s">
        <v>1424</v>
      </c>
      <c r="K2280" s="13" t="s">
        <v>276</v>
      </c>
      <c r="L2280" s="13" t="s">
        <v>1780</v>
      </c>
      <c r="M2280" s="7" t="s">
        <v>253</v>
      </c>
      <c r="N2280" s="7" t="s">
        <v>253</v>
      </c>
      <c r="O2280" s="7" t="s">
        <v>254</v>
      </c>
      <c r="P2280" s="8"/>
      <c r="Q2280" s="8"/>
      <c r="R2280" s="8"/>
      <c r="S2280" s="8"/>
      <c r="T2280" s="8"/>
      <c r="U2280" s="8"/>
      <c r="V2280" s="8"/>
      <c r="W2280" s="8"/>
      <c r="X2280" s="8"/>
      <c r="Y2280" s="8"/>
      <c r="Z2280" s="8"/>
      <c r="AA2280" s="8"/>
      <c r="AB2280" s="8"/>
      <c r="AC2280" s="8"/>
      <c r="AD2280" s="8"/>
      <c r="AE2280" s="8"/>
    </row>
    <row r="2281">
      <c r="A2281" s="12">
        <v>67.0</v>
      </c>
      <c r="B2281" s="8" t="s">
        <v>368</v>
      </c>
      <c r="C2281" s="8" t="s">
        <v>1401</v>
      </c>
      <c r="I2281" s="10" t="s">
        <v>890</v>
      </c>
      <c r="J2281" s="13" t="s">
        <v>1427</v>
      </c>
      <c r="K2281" s="13" t="s">
        <v>276</v>
      </c>
      <c r="L2281" s="13" t="s">
        <v>1758</v>
      </c>
      <c r="M2281" s="7" t="s">
        <v>253</v>
      </c>
      <c r="N2281" s="7" t="s">
        <v>253</v>
      </c>
      <c r="O2281" s="7" t="s">
        <v>254</v>
      </c>
      <c r="P2281" s="8"/>
      <c r="Q2281" s="8"/>
      <c r="R2281" s="8"/>
      <c r="S2281" s="8"/>
      <c r="T2281" s="8"/>
      <c r="U2281" s="8"/>
      <c r="V2281" s="8"/>
      <c r="W2281" s="8"/>
      <c r="X2281" s="8"/>
      <c r="Y2281" s="8"/>
      <c r="Z2281" s="8"/>
      <c r="AA2281" s="8"/>
      <c r="AB2281" s="8"/>
      <c r="AC2281" s="8"/>
      <c r="AD2281" s="8"/>
      <c r="AE2281" s="8"/>
    </row>
    <row r="2282">
      <c r="A2282" s="12">
        <v>67.0</v>
      </c>
      <c r="B2282" s="8" t="s">
        <v>368</v>
      </c>
      <c r="C2282" s="8" t="s">
        <v>1401</v>
      </c>
      <c r="I2282" s="10" t="s">
        <v>1747</v>
      </c>
      <c r="J2282" s="13" t="s">
        <v>1424</v>
      </c>
      <c r="K2282" s="13" t="s">
        <v>276</v>
      </c>
      <c r="L2282" s="13" t="s">
        <v>2078</v>
      </c>
      <c r="M2282" s="7" t="s">
        <v>253</v>
      </c>
      <c r="N2282" s="7" t="s">
        <v>253</v>
      </c>
      <c r="O2282" s="7" t="s">
        <v>254</v>
      </c>
      <c r="P2282" s="8"/>
      <c r="Q2282" s="8"/>
      <c r="R2282" s="8"/>
      <c r="S2282" s="8"/>
      <c r="T2282" s="8"/>
      <c r="U2282" s="8"/>
      <c r="V2282" s="8"/>
      <c r="W2282" s="8"/>
      <c r="X2282" s="8"/>
      <c r="Y2282" s="8"/>
      <c r="Z2282" s="8"/>
      <c r="AA2282" s="8"/>
      <c r="AB2282" s="8"/>
      <c r="AC2282" s="8"/>
      <c r="AD2282" s="8"/>
      <c r="AE2282" s="8"/>
    </row>
    <row r="2283">
      <c r="A2283" s="12">
        <v>67.0</v>
      </c>
      <c r="B2283" s="8" t="s">
        <v>368</v>
      </c>
      <c r="C2283" s="8" t="s">
        <v>1401</v>
      </c>
      <c r="I2283" s="10" t="s">
        <v>1399</v>
      </c>
      <c r="J2283" s="13" t="s">
        <v>1427</v>
      </c>
      <c r="K2283" s="13" t="s">
        <v>276</v>
      </c>
      <c r="L2283" s="13" t="s">
        <v>1758</v>
      </c>
      <c r="M2283" s="7" t="s">
        <v>253</v>
      </c>
      <c r="N2283" s="7" t="s">
        <v>253</v>
      </c>
      <c r="O2283" s="7" t="s">
        <v>254</v>
      </c>
      <c r="P2283" s="8"/>
      <c r="Q2283" s="8"/>
      <c r="R2283" s="8"/>
      <c r="S2283" s="8"/>
      <c r="T2283" s="8"/>
      <c r="U2283" s="8"/>
      <c r="V2283" s="8"/>
      <c r="W2283" s="8"/>
      <c r="X2283" s="8"/>
      <c r="Y2283" s="8"/>
      <c r="Z2283" s="8"/>
      <c r="AA2283" s="8"/>
      <c r="AB2283" s="8"/>
      <c r="AC2283" s="8"/>
      <c r="AD2283" s="8"/>
      <c r="AE2283" s="8"/>
    </row>
    <row r="2284">
      <c r="A2284" s="12">
        <v>67.0</v>
      </c>
      <c r="B2284" s="8" t="s">
        <v>368</v>
      </c>
      <c r="C2284" s="8" t="s">
        <v>1401</v>
      </c>
      <c r="I2284" s="10" t="s">
        <v>766</v>
      </c>
      <c r="J2284" s="13" t="s">
        <v>1424</v>
      </c>
      <c r="K2284" s="13" t="s">
        <v>276</v>
      </c>
      <c r="L2284" s="13" t="s">
        <v>2149</v>
      </c>
      <c r="M2284" s="7" t="s">
        <v>253</v>
      </c>
      <c r="N2284" s="7" t="s">
        <v>253</v>
      </c>
      <c r="O2284" s="7" t="s">
        <v>254</v>
      </c>
      <c r="P2284" s="8"/>
      <c r="Q2284" s="8"/>
      <c r="R2284" s="8"/>
      <c r="S2284" s="8"/>
      <c r="T2284" s="8"/>
      <c r="U2284" s="8"/>
      <c r="V2284" s="8"/>
      <c r="W2284" s="8"/>
      <c r="X2284" s="8"/>
      <c r="Y2284" s="8"/>
      <c r="Z2284" s="8"/>
      <c r="AA2284" s="8"/>
      <c r="AB2284" s="8"/>
      <c r="AC2284" s="8"/>
      <c r="AD2284" s="8"/>
      <c r="AE2284" s="8"/>
    </row>
    <row r="2285">
      <c r="A2285" s="12">
        <v>67.0</v>
      </c>
      <c r="B2285" s="8" t="s">
        <v>368</v>
      </c>
      <c r="C2285" s="8" t="s">
        <v>1401</v>
      </c>
      <c r="I2285" s="10" t="s">
        <v>362</v>
      </c>
      <c r="J2285" s="13" t="s">
        <v>1427</v>
      </c>
      <c r="K2285" s="13" t="s">
        <v>276</v>
      </c>
      <c r="L2285" s="13" t="s">
        <v>2146</v>
      </c>
      <c r="M2285" s="7" t="s">
        <v>253</v>
      </c>
      <c r="N2285" s="7" t="s">
        <v>253</v>
      </c>
      <c r="O2285" s="7" t="s">
        <v>254</v>
      </c>
      <c r="P2285" s="8"/>
      <c r="Q2285" s="8"/>
      <c r="R2285" s="8"/>
      <c r="S2285" s="8"/>
      <c r="T2285" s="8"/>
      <c r="U2285" s="8"/>
      <c r="V2285" s="8"/>
      <c r="W2285" s="8"/>
      <c r="X2285" s="8"/>
      <c r="Y2285" s="8"/>
      <c r="Z2285" s="8"/>
      <c r="AA2285" s="8"/>
      <c r="AB2285" s="8"/>
      <c r="AC2285" s="8"/>
      <c r="AD2285" s="8"/>
      <c r="AE2285" s="8"/>
    </row>
    <row r="2286">
      <c r="A2286" s="12">
        <v>67.0</v>
      </c>
      <c r="B2286" s="8" t="s">
        <v>368</v>
      </c>
      <c r="C2286" s="8" t="s">
        <v>1401</v>
      </c>
      <c r="I2286" s="10" t="s">
        <v>1473</v>
      </c>
      <c r="J2286" s="13" t="s">
        <v>1424</v>
      </c>
      <c r="K2286" s="13" t="s">
        <v>276</v>
      </c>
      <c r="L2286" s="13" t="s">
        <v>2078</v>
      </c>
      <c r="M2286" s="7" t="s">
        <v>253</v>
      </c>
      <c r="N2286" s="7" t="s">
        <v>253</v>
      </c>
      <c r="O2286" s="7" t="s">
        <v>254</v>
      </c>
      <c r="P2286" s="8"/>
      <c r="Q2286" s="8"/>
      <c r="R2286" s="8"/>
      <c r="S2286" s="8"/>
      <c r="T2286" s="8"/>
      <c r="U2286" s="8"/>
      <c r="V2286" s="8"/>
      <c r="W2286" s="8"/>
      <c r="X2286" s="8"/>
      <c r="Y2286" s="8"/>
      <c r="Z2286" s="8"/>
      <c r="AA2286" s="8"/>
      <c r="AB2286" s="8"/>
      <c r="AC2286" s="8"/>
      <c r="AD2286" s="8"/>
      <c r="AE2286" s="8"/>
    </row>
    <row r="2287">
      <c r="A2287" s="12">
        <v>67.0</v>
      </c>
      <c r="B2287" s="8" t="s">
        <v>368</v>
      </c>
      <c r="C2287" s="8" t="s">
        <v>1401</v>
      </c>
      <c r="I2287" s="10" t="s">
        <v>1549</v>
      </c>
      <c r="J2287" s="13" t="s">
        <v>1427</v>
      </c>
      <c r="K2287" s="13" t="s">
        <v>276</v>
      </c>
      <c r="L2287" s="13" t="s">
        <v>2146</v>
      </c>
      <c r="M2287" s="7" t="s">
        <v>253</v>
      </c>
      <c r="N2287" s="7" t="s">
        <v>253</v>
      </c>
      <c r="O2287" s="7" t="s">
        <v>254</v>
      </c>
      <c r="P2287" s="8"/>
      <c r="Q2287" s="8"/>
      <c r="R2287" s="8"/>
      <c r="S2287" s="8"/>
      <c r="T2287" s="8"/>
      <c r="U2287" s="8"/>
      <c r="V2287" s="8"/>
      <c r="W2287" s="8"/>
      <c r="X2287" s="8"/>
      <c r="Y2287" s="8"/>
      <c r="Z2287" s="8"/>
      <c r="AA2287" s="8"/>
      <c r="AB2287" s="8"/>
      <c r="AC2287" s="8"/>
      <c r="AD2287" s="8"/>
      <c r="AE2287" s="8"/>
    </row>
    <row r="2288">
      <c r="A2288" s="12">
        <v>67.0</v>
      </c>
      <c r="B2288" s="8" t="s">
        <v>368</v>
      </c>
      <c r="C2288" s="8" t="s">
        <v>1401</v>
      </c>
      <c r="I2288" s="10" t="s">
        <v>345</v>
      </c>
      <c r="J2288" s="13" t="s">
        <v>1424</v>
      </c>
      <c r="K2288" s="13" t="s">
        <v>276</v>
      </c>
      <c r="L2288" s="13" t="s">
        <v>2078</v>
      </c>
      <c r="M2288" s="7" t="s">
        <v>253</v>
      </c>
      <c r="N2288" s="7" t="s">
        <v>253</v>
      </c>
      <c r="O2288" s="7" t="s">
        <v>254</v>
      </c>
      <c r="P2288" s="8"/>
      <c r="Q2288" s="8"/>
      <c r="R2288" s="8"/>
      <c r="S2288" s="8"/>
      <c r="T2288" s="8"/>
      <c r="U2288" s="8"/>
      <c r="V2288" s="8"/>
      <c r="W2288" s="8"/>
      <c r="X2288" s="8"/>
      <c r="Y2288" s="8"/>
      <c r="Z2288" s="8"/>
      <c r="AA2288" s="8"/>
      <c r="AB2288" s="8"/>
      <c r="AC2288" s="8"/>
      <c r="AD2288" s="8"/>
      <c r="AE2288" s="8"/>
    </row>
    <row r="2289">
      <c r="A2289" s="12">
        <v>67.0</v>
      </c>
      <c r="B2289" s="8" t="s">
        <v>368</v>
      </c>
      <c r="C2289" s="8" t="s">
        <v>1401</v>
      </c>
      <c r="I2289" s="10" t="s">
        <v>1392</v>
      </c>
      <c r="J2289" s="13" t="s">
        <v>1427</v>
      </c>
      <c r="K2289" s="13" t="s">
        <v>276</v>
      </c>
      <c r="L2289" s="13" t="s">
        <v>1758</v>
      </c>
      <c r="M2289" s="7" t="s">
        <v>253</v>
      </c>
      <c r="N2289" s="7" t="s">
        <v>253</v>
      </c>
      <c r="O2289" s="7" t="s">
        <v>254</v>
      </c>
      <c r="P2289" s="8"/>
      <c r="Q2289" s="8"/>
      <c r="R2289" s="8"/>
      <c r="S2289" s="8"/>
      <c r="T2289" s="8"/>
      <c r="U2289" s="8"/>
      <c r="V2289" s="8"/>
      <c r="W2289" s="8"/>
      <c r="X2289" s="8"/>
      <c r="Y2289" s="8"/>
      <c r="Z2289" s="8"/>
      <c r="AA2289" s="8"/>
      <c r="AB2289" s="8"/>
      <c r="AC2289" s="8"/>
      <c r="AD2289" s="8"/>
      <c r="AE2289" s="8"/>
    </row>
    <row r="2290">
      <c r="A2290" s="12">
        <v>67.0</v>
      </c>
      <c r="B2290" s="8" t="s">
        <v>368</v>
      </c>
      <c r="C2290" s="8" t="s">
        <v>1401</v>
      </c>
      <c r="I2290" s="10" t="s">
        <v>1395</v>
      </c>
      <c r="J2290" s="13" t="s">
        <v>1424</v>
      </c>
      <c r="K2290" s="13" t="s">
        <v>276</v>
      </c>
      <c r="L2290" s="13" t="s">
        <v>1758</v>
      </c>
      <c r="M2290" s="7" t="s">
        <v>253</v>
      </c>
      <c r="N2290" s="7" t="s">
        <v>253</v>
      </c>
      <c r="O2290" s="7" t="s">
        <v>254</v>
      </c>
      <c r="P2290" s="8"/>
      <c r="Q2290" s="8"/>
      <c r="R2290" s="8"/>
      <c r="S2290" s="8"/>
      <c r="T2290" s="8"/>
      <c r="U2290" s="8"/>
      <c r="V2290" s="8"/>
      <c r="W2290" s="8"/>
      <c r="X2290" s="8"/>
      <c r="Y2290" s="8"/>
      <c r="Z2290" s="8"/>
      <c r="AA2290" s="8"/>
      <c r="AB2290" s="8"/>
      <c r="AC2290" s="8"/>
      <c r="AD2290" s="8"/>
      <c r="AE2290" s="8"/>
    </row>
    <row r="2291">
      <c r="A2291" s="12">
        <v>67.0</v>
      </c>
      <c r="B2291" s="8" t="s">
        <v>368</v>
      </c>
      <c r="C2291" s="8" t="s">
        <v>1401</v>
      </c>
      <c r="I2291" s="10" t="s">
        <v>1354</v>
      </c>
      <c r="J2291" s="13" t="s">
        <v>1427</v>
      </c>
      <c r="K2291" s="13" t="s">
        <v>276</v>
      </c>
      <c r="L2291" s="13" t="s">
        <v>2078</v>
      </c>
      <c r="M2291" s="7" t="s">
        <v>253</v>
      </c>
      <c r="N2291" s="7" t="s">
        <v>253</v>
      </c>
      <c r="O2291" s="7" t="s">
        <v>254</v>
      </c>
      <c r="P2291" s="8"/>
      <c r="Q2291" s="8"/>
      <c r="R2291" s="8"/>
      <c r="S2291" s="8"/>
      <c r="T2291" s="8"/>
      <c r="U2291" s="8"/>
      <c r="V2291" s="8"/>
      <c r="W2291" s="8"/>
      <c r="X2291" s="8"/>
      <c r="Y2291" s="8"/>
      <c r="Z2291" s="8"/>
      <c r="AA2291" s="8"/>
      <c r="AB2291" s="8"/>
      <c r="AC2291" s="8"/>
      <c r="AD2291" s="8"/>
      <c r="AE2291" s="8"/>
    </row>
    <row r="2292">
      <c r="A2292" s="12">
        <v>67.0</v>
      </c>
      <c r="B2292" s="8" t="s">
        <v>368</v>
      </c>
      <c r="C2292" s="8" t="s">
        <v>1401</v>
      </c>
      <c r="I2292" s="10" t="s">
        <v>372</v>
      </c>
      <c r="J2292" s="13" t="s">
        <v>1424</v>
      </c>
      <c r="K2292" s="13" t="s">
        <v>276</v>
      </c>
      <c r="L2292" s="13" t="s">
        <v>2078</v>
      </c>
      <c r="M2292" s="7" t="s">
        <v>253</v>
      </c>
      <c r="N2292" s="7" t="s">
        <v>253</v>
      </c>
      <c r="O2292" s="7" t="s">
        <v>254</v>
      </c>
      <c r="P2292" s="8"/>
      <c r="Q2292" s="8"/>
      <c r="R2292" s="8"/>
      <c r="S2292" s="8"/>
      <c r="T2292" s="8"/>
      <c r="U2292" s="8"/>
      <c r="V2292" s="8"/>
      <c r="W2292" s="8"/>
      <c r="X2292" s="8"/>
      <c r="Y2292" s="8"/>
      <c r="Z2292" s="8"/>
      <c r="AA2292" s="8"/>
      <c r="AB2292" s="8"/>
      <c r="AC2292" s="8"/>
      <c r="AD2292" s="8"/>
      <c r="AE2292" s="8"/>
    </row>
    <row r="2293">
      <c r="A2293" s="12">
        <v>67.0</v>
      </c>
      <c r="B2293" s="8" t="s">
        <v>368</v>
      </c>
      <c r="C2293" s="8" t="s">
        <v>1401</v>
      </c>
      <c r="I2293" s="10" t="s">
        <v>1351</v>
      </c>
      <c r="J2293" s="13" t="s">
        <v>1427</v>
      </c>
      <c r="K2293" s="13" t="s">
        <v>276</v>
      </c>
      <c r="L2293" s="13" t="s">
        <v>1758</v>
      </c>
      <c r="M2293" s="7" t="s">
        <v>253</v>
      </c>
      <c r="N2293" s="7" t="s">
        <v>253</v>
      </c>
      <c r="O2293" s="7" t="s">
        <v>254</v>
      </c>
      <c r="P2293" s="8"/>
      <c r="Q2293" s="8"/>
      <c r="R2293" s="8"/>
      <c r="S2293" s="8"/>
      <c r="T2293" s="8"/>
      <c r="U2293" s="8"/>
      <c r="V2293" s="8"/>
      <c r="W2293" s="8"/>
      <c r="X2293" s="8"/>
      <c r="Y2293" s="8"/>
      <c r="Z2293" s="8"/>
      <c r="AA2293" s="8"/>
      <c r="AB2293" s="8"/>
      <c r="AC2293" s="8"/>
      <c r="AD2293" s="8"/>
      <c r="AE2293" s="8"/>
    </row>
    <row r="2294">
      <c r="A2294" s="12">
        <v>67.0</v>
      </c>
      <c r="B2294" s="8" t="s">
        <v>368</v>
      </c>
      <c r="C2294" s="8" t="s">
        <v>1401</v>
      </c>
      <c r="I2294" s="10" t="s">
        <v>1772</v>
      </c>
      <c r="J2294" s="13" t="s">
        <v>1424</v>
      </c>
      <c r="K2294" s="13" t="s">
        <v>276</v>
      </c>
      <c r="L2294" s="13" t="s">
        <v>1758</v>
      </c>
      <c r="M2294" s="7" t="s">
        <v>253</v>
      </c>
      <c r="N2294" s="7" t="s">
        <v>253</v>
      </c>
      <c r="O2294" s="7" t="s">
        <v>254</v>
      </c>
      <c r="P2294" s="8"/>
      <c r="Q2294" s="8"/>
      <c r="R2294" s="8"/>
      <c r="S2294" s="8"/>
      <c r="T2294" s="8"/>
      <c r="U2294" s="8"/>
      <c r="V2294" s="8"/>
      <c r="W2294" s="8"/>
      <c r="X2294" s="8"/>
      <c r="Y2294" s="8"/>
      <c r="Z2294" s="8"/>
      <c r="AA2294" s="8"/>
      <c r="AB2294" s="8"/>
      <c r="AC2294" s="8"/>
      <c r="AD2294" s="8"/>
      <c r="AE2294" s="8"/>
    </row>
    <row r="2295">
      <c r="A2295" s="12">
        <v>67.0</v>
      </c>
      <c r="B2295" s="8" t="s">
        <v>368</v>
      </c>
      <c r="C2295" s="8" t="s">
        <v>1401</v>
      </c>
      <c r="I2295" s="10" t="s">
        <v>956</v>
      </c>
      <c r="J2295" s="13" t="s">
        <v>1427</v>
      </c>
      <c r="K2295" s="13" t="s">
        <v>276</v>
      </c>
      <c r="L2295" s="13" t="s">
        <v>1758</v>
      </c>
      <c r="M2295" s="7" t="s">
        <v>253</v>
      </c>
      <c r="N2295" s="7" t="s">
        <v>253</v>
      </c>
      <c r="O2295" s="7" t="s">
        <v>254</v>
      </c>
      <c r="P2295" s="8"/>
      <c r="Q2295" s="8"/>
      <c r="R2295" s="8"/>
      <c r="S2295" s="8"/>
      <c r="T2295" s="8"/>
      <c r="U2295" s="8"/>
      <c r="V2295" s="8"/>
      <c r="W2295" s="8"/>
      <c r="X2295" s="8"/>
      <c r="Y2295" s="8"/>
      <c r="Z2295" s="8"/>
      <c r="AA2295" s="8"/>
      <c r="AB2295" s="8"/>
      <c r="AC2295" s="8"/>
      <c r="AD2295" s="8"/>
      <c r="AE2295" s="8"/>
    </row>
    <row r="2296">
      <c r="A2296" s="12">
        <v>67.0</v>
      </c>
      <c r="B2296" s="8" t="s">
        <v>368</v>
      </c>
      <c r="C2296" s="8" t="s">
        <v>1401</v>
      </c>
      <c r="I2296" s="10" t="s">
        <v>1177</v>
      </c>
      <c r="J2296" s="13" t="s">
        <v>1424</v>
      </c>
      <c r="K2296" s="13" t="s">
        <v>276</v>
      </c>
      <c r="L2296" s="13" t="s">
        <v>2146</v>
      </c>
      <c r="M2296" s="7" t="s">
        <v>253</v>
      </c>
      <c r="N2296" s="7" t="s">
        <v>253</v>
      </c>
      <c r="O2296" s="7" t="s">
        <v>254</v>
      </c>
      <c r="P2296" s="8"/>
      <c r="Q2296" s="8"/>
      <c r="R2296" s="8"/>
      <c r="S2296" s="8"/>
      <c r="T2296" s="8"/>
      <c r="U2296" s="8"/>
      <c r="V2296" s="8"/>
      <c r="W2296" s="8"/>
      <c r="X2296" s="8"/>
      <c r="Y2296" s="8"/>
      <c r="Z2296" s="8"/>
      <c r="AA2296" s="8"/>
      <c r="AB2296" s="8"/>
      <c r="AC2296" s="8"/>
      <c r="AD2296" s="8"/>
      <c r="AE2296" s="8"/>
    </row>
    <row r="2297">
      <c r="A2297" s="12">
        <v>67.0</v>
      </c>
      <c r="B2297" s="8" t="s">
        <v>368</v>
      </c>
      <c r="C2297" s="8" t="s">
        <v>1401</v>
      </c>
      <c r="I2297" s="10" t="s">
        <v>1325</v>
      </c>
      <c r="J2297" s="13" t="s">
        <v>1427</v>
      </c>
      <c r="K2297" s="13" t="s">
        <v>276</v>
      </c>
      <c r="L2297" s="13" t="s">
        <v>1758</v>
      </c>
      <c r="M2297" s="7" t="s">
        <v>253</v>
      </c>
      <c r="N2297" s="7" t="s">
        <v>253</v>
      </c>
      <c r="O2297" s="7" t="s">
        <v>254</v>
      </c>
      <c r="P2297" s="8"/>
      <c r="Q2297" s="8"/>
      <c r="R2297" s="8"/>
      <c r="S2297" s="8"/>
      <c r="T2297" s="8"/>
      <c r="U2297" s="8"/>
      <c r="V2297" s="8"/>
      <c r="W2297" s="8"/>
      <c r="X2297" s="8"/>
      <c r="Y2297" s="8"/>
      <c r="Z2297" s="8"/>
      <c r="AA2297" s="8"/>
      <c r="AB2297" s="8"/>
      <c r="AC2297" s="8"/>
      <c r="AD2297" s="8"/>
      <c r="AE2297" s="8"/>
    </row>
    <row r="2298">
      <c r="A2298" s="12">
        <v>67.0</v>
      </c>
      <c r="B2298" s="8" t="s">
        <v>368</v>
      </c>
      <c r="C2298" s="8" t="s">
        <v>1401</v>
      </c>
      <c r="I2298" s="10" t="s">
        <v>913</v>
      </c>
      <c r="J2298" s="13" t="s">
        <v>1424</v>
      </c>
      <c r="K2298" s="13" t="s">
        <v>276</v>
      </c>
      <c r="L2298" s="13" t="s">
        <v>2078</v>
      </c>
      <c r="M2298" s="7" t="s">
        <v>253</v>
      </c>
      <c r="N2298" s="7" t="s">
        <v>253</v>
      </c>
      <c r="O2298" s="7" t="s">
        <v>254</v>
      </c>
      <c r="P2298" s="8"/>
      <c r="Q2298" s="8"/>
      <c r="R2298" s="8"/>
      <c r="S2298" s="8"/>
      <c r="T2298" s="8"/>
      <c r="U2298" s="8"/>
      <c r="V2298" s="8"/>
      <c r="W2298" s="8"/>
      <c r="X2298" s="8"/>
      <c r="Y2298" s="8"/>
      <c r="Z2298" s="8"/>
      <c r="AA2298" s="8"/>
      <c r="AB2298" s="8"/>
      <c r="AC2298" s="8"/>
      <c r="AD2298" s="8"/>
      <c r="AE2298" s="8"/>
    </row>
    <row r="2299">
      <c r="A2299" s="12">
        <v>67.0</v>
      </c>
      <c r="B2299" s="8" t="s">
        <v>368</v>
      </c>
      <c r="C2299" s="8" t="s">
        <v>1401</v>
      </c>
      <c r="I2299" s="10" t="s">
        <v>1773</v>
      </c>
      <c r="J2299" s="13" t="s">
        <v>1427</v>
      </c>
      <c r="K2299" s="13" t="s">
        <v>276</v>
      </c>
      <c r="L2299" s="13" t="s">
        <v>1758</v>
      </c>
      <c r="M2299" s="7" t="s">
        <v>253</v>
      </c>
      <c r="N2299" s="7" t="s">
        <v>253</v>
      </c>
      <c r="O2299" s="7" t="s">
        <v>254</v>
      </c>
      <c r="P2299" s="8"/>
      <c r="Q2299" s="8"/>
      <c r="R2299" s="8"/>
      <c r="S2299" s="8"/>
      <c r="T2299" s="8"/>
      <c r="U2299" s="8"/>
      <c r="V2299" s="8"/>
      <c r="W2299" s="8"/>
      <c r="X2299" s="8"/>
      <c r="Y2299" s="8"/>
      <c r="Z2299" s="8"/>
      <c r="AA2299" s="8"/>
      <c r="AB2299" s="8"/>
      <c r="AC2299" s="8"/>
      <c r="AD2299" s="8"/>
      <c r="AE2299" s="8"/>
    </row>
    <row r="2300">
      <c r="A2300" s="12">
        <v>67.0</v>
      </c>
      <c r="B2300" s="8" t="s">
        <v>368</v>
      </c>
      <c r="C2300" s="8" t="s">
        <v>1401</v>
      </c>
      <c r="I2300" s="10" t="s">
        <v>1740</v>
      </c>
      <c r="J2300" s="13" t="s">
        <v>1424</v>
      </c>
      <c r="K2300" s="13" t="s">
        <v>276</v>
      </c>
      <c r="L2300" s="13" t="s">
        <v>2078</v>
      </c>
      <c r="M2300" s="7" t="s">
        <v>253</v>
      </c>
      <c r="N2300" s="7" t="s">
        <v>253</v>
      </c>
      <c r="O2300" s="7" t="s">
        <v>254</v>
      </c>
      <c r="P2300" s="8"/>
      <c r="Q2300" s="8"/>
      <c r="R2300" s="8"/>
      <c r="S2300" s="8"/>
      <c r="T2300" s="8"/>
      <c r="U2300" s="8"/>
      <c r="V2300" s="8"/>
      <c r="W2300" s="8"/>
      <c r="X2300" s="8"/>
      <c r="Y2300" s="8"/>
      <c r="Z2300" s="8"/>
      <c r="AA2300" s="8"/>
      <c r="AB2300" s="8"/>
      <c r="AC2300" s="8"/>
      <c r="AD2300" s="8"/>
      <c r="AE2300" s="8"/>
    </row>
    <row r="2301">
      <c r="A2301" s="12">
        <v>67.0</v>
      </c>
      <c r="B2301" s="8" t="s">
        <v>368</v>
      </c>
      <c r="C2301" s="8" t="s">
        <v>1401</v>
      </c>
      <c r="I2301" s="10" t="s">
        <v>1493</v>
      </c>
      <c r="J2301" s="13" t="s">
        <v>1427</v>
      </c>
      <c r="K2301" s="13" t="s">
        <v>276</v>
      </c>
      <c r="L2301" s="13" t="s">
        <v>2078</v>
      </c>
      <c r="M2301" s="7" t="s">
        <v>253</v>
      </c>
      <c r="N2301" s="7" t="s">
        <v>253</v>
      </c>
      <c r="O2301" s="7" t="s">
        <v>254</v>
      </c>
      <c r="P2301" s="8"/>
      <c r="Q2301" s="8"/>
      <c r="R2301" s="8"/>
      <c r="S2301" s="8"/>
      <c r="T2301" s="8"/>
      <c r="U2301" s="8"/>
      <c r="V2301" s="8"/>
      <c r="W2301" s="8"/>
      <c r="X2301" s="8"/>
      <c r="Y2301" s="8"/>
      <c r="Z2301" s="8"/>
      <c r="AA2301" s="8"/>
      <c r="AB2301" s="8"/>
      <c r="AC2301" s="8"/>
      <c r="AD2301" s="8"/>
      <c r="AE2301" s="8"/>
    </row>
    <row r="2302">
      <c r="A2302" s="12">
        <v>67.0</v>
      </c>
      <c r="B2302" s="8" t="s">
        <v>368</v>
      </c>
      <c r="C2302" s="8" t="s">
        <v>1401</v>
      </c>
      <c r="I2302" s="10" t="s">
        <v>971</v>
      </c>
      <c r="J2302" s="13" t="s">
        <v>1424</v>
      </c>
      <c r="K2302" s="13" t="s">
        <v>276</v>
      </c>
      <c r="L2302" s="13" t="s">
        <v>2146</v>
      </c>
      <c r="M2302" s="7" t="s">
        <v>253</v>
      </c>
      <c r="N2302" s="7" t="s">
        <v>253</v>
      </c>
      <c r="O2302" s="7" t="s">
        <v>254</v>
      </c>
      <c r="P2302" s="8"/>
      <c r="Q2302" s="8"/>
      <c r="R2302" s="8"/>
      <c r="S2302" s="8"/>
      <c r="T2302" s="8"/>
      <c r="U2302" s="8"/>
      <c r="V2302" s="8"/>
      <c r="W2302" s="8"/>
      <c r="X2302" s="8"/>
      <c r="Y2302" s="8"/>
      <c r="Z2302" s="8"/>
      <c r="AA2302" s="8"/>
      <c r="AB2302" s="8"/>
      <c r="AC2302" s="8"/>
      <c r="AD2302" s="8"/>
      <c r="AE2302" s="8"/>
    </row>
    <row r="2303">
      <c r="A2303" s="12">
        <v>67.0</v>
      </c>
      <c r="B2303" s="8" t="s">
        <v>368</v>
      </c>
      <c r="C2303" s="8" t="s">
        <v>1401</v>
      </c>
      <c r="I2303" s="10" t="s">
        <v>1321</v>
      </c>
      <c r="J2303" s="13" t="s">
        <v>1427</v>
      </c>
      <c r="K2303" s="13" t="s">
        <v>276</v>
      </c>
      <c r="L2303" s="13" t="s">
        <v>2078</v>
      </c>
      <c r="M2303" s="7" t="s">
        <v>253</v>
      </c>
      <c r="N2303" s="7" t="s">
        <v>253</v>
      </c>
      <c r="O2303" s="7" t="s">
        <v>254</v>
      </c>
      <c r="P2303" s="8"/>
      <c r="Q2303" s="8"/>
      <c r="R2303" s="8"/>
      <c r="S2303" s="8"/>
      <c r="T2303" s="8"/>
      <c r="U2303" s="8"/>
      <c r="V2303" s="8"/>
      <c r="W2303" s="8"/>
      <c r="X2303" s="8"/>
      <c r="Y2303" s="8"/>
      <c r="Z2303" s="8"/>
      <c r="AA2303" s="8"/>
      <c r="AB2303" s="8"/>
      <c r="AC2303" s="8"/>
      <c r="AD2303" s="8"/>
      <c r="AE2303" s="8"/>
    </row>
    <row r="2304">
      <c r="A2304" s="12">
        <v>67.0</v>
      </c>
      <c r="B2304" s="8" t="s">
        <v>368</v>
      </c>
      <c r="C2304" s="8" t="s">
        <v>1401</v>
      </c>
      <c r="I2304" s="10" t="s">
        <v>1017</v>
      </c>
      <c r="J2304" s="13" t="s">
        <v>1424</v>
      </c>
      <c r="K2304" s="13" t="s">
        <v>276</v>
      </c>
      <c r="L2304" s="13" t="s">
        <v>1758</v>
      </c>
      <c r="M2304" s="7" t="s">
        <v>253</v>
      </c>
      <c r="N2304" s="7" t="s">
        <v>253</v>
      </c>
      <c r="O2304" s="7" t="s">
        <v>254</v>
      </c>
      <c r="P2304" s="8"/>
      <c r="Q2304" s="8"/>
      <c r="R2304" s="8"/>
      <c r="S2304" s="8"/>
      <c r="T2304" s="8"/>
      <c r="U2304" s="8"/>
      <c r="V2304" s="8"/>
      <c r="W2304" s="8"/>
      <c r="X2304" s="8"/>
      <c r="Y2304" s="8"/>
      <c r="Z2304" s="8"/>
      <c r="AA2304" s="8"/>
      <c r="AB2304" s="8"/>
      <c r="AC2304" s="8"/>
      <c r="AD2304" s="8"/>
      <c r="AE2304" s="8"/>
    </row>
    <row r="2305">
      <c r="A2305" s="12">
        <v>67.0</v>
      </c>
      <c r="B2305" s="8" t="s">
        <v>368</v>
      </c>
      <c r="C2305" s="8" t="s">
        <v>1401</v>
      </c>
      <c r="I2305" s="10" t="s">
        <v>1774</v>
      </c>
      <c r="J2305" s="13" t="s">
        <v>1427</v>
      </c>
      <c r="K2305" s="13" t="s">
        <v>276</v>
      </c>
      <c r="L2305" s="13" t="s">
        <v>1758</v>
      </c>
      <c r="M2305" s="7" t="s">
        <v>253</v>
      </c>
      <c r="N2305" s="7" t="s">
        <v>253</v>
      </c>
      <c r="O2305" s="7" t="s">
        <v>254</v>
      </c>
      <c r="P2305" s="8"/>
      <c r="Q2305" s="8"/>
      <c r="R2305" s="8"/>
      <c r="S2305" s="8"/>
      <c r="T2305" s="8"/>
      <c r="U2305" s="8"/>
      <c r="V2305" s="8"/>
      <c r="W2305" s="8"/>
      <c r="X2305" s="8"/>
      <c r="Y2305" s="8"/>
      <c r="Z2305" s="8"/>
      <c r="AA2305" s="8"/>
      <c r="AB2305" s="8"/>
      <c r="AC2305" s="8"/>
      <c r="AD2305" s="8"/>
      <c r="AE2305" s="8"/>
    </row>
    <row r="2306">
      <c r="A2306" s="12">
        <v>68.0</v>
      </c>
      <c r="B2306" s="8" t="s">
        <v>371</v>
      </c>
      <c r="C2306" s="8" t="s">
        <v>1435</v>
      </c>
      <c r="D2306" s="25">
        <f>IF(COUNTIF($B$2:$B2306,$B2306)&gt;1,"",COUNTIF($B$2:$B$2505,$B2306))</f>
        <v>17</v>
      </c>
      <c r="E2306" s="25">
        <f>IF(COUNTIF($B$2:$B2306,$B2306)&gt;1,"",COUNTIFS($B$2:$B$2505,$B2306,$K$2:$K$2505,"PHÙ HỢP CAO"))</f>
        <v>4</v>
      </c>
      <c r="F2306" s="25">
        <f>IF(COUNTIF($B$2:$B2306,$B2306)&gt;1,"",COUNTIFS($B$2:$B$2505,$B2306,$K$2:$K$2505,"CÓ THỂ ĐI"))</f>
        <v>1</v>
      </c>
      <c r="G2306" s="25">
        <f>IF(COUNTIF($B$2:$B2306,$B2306)&gt;1,"",COUNTIFS($B$2:$B$2505,$B2306,$K$2:$K$2505,"CẦN SOÁT"))</f>
        <v>12</v>
      </c>
      <c r="H2306" s="26" t="str">
        <f>IFERROR(__xludf.DUMMYFUNCTION("IF(COUNTIF($B$2:$B2306,$B2306)&gt;1,"""",IFERROR(TEXTJOIN(CHAR(10),TRUE,BYROW(QUERY({$B$2:$B$2505,$J$2:$J$2505},""select Col2, count(Col2) where Col1 = '""&amp;$B2306&amp;""' group by Col2 order by count(Col2) desc label count(Col2) ''"",0),LAMBDA(r,INDEX(r,1,1)&amp;"" "&amp;"– ""&amp;INDEX(r,1,2)&amp;"" link""))),""""))"),"app vay – 2 link
app vay nhanh – 2 link
app vay tiền – 2 link
vay – 2 link
vay nhanh – 2 link
vay tiền – 2 link
vay tiền app – 2 link
vay tiền online chuyển khoản ngay – 2 link
app vay tiền nhanh – 1 link")</f>
        <v>app vay – 2 link
app vay nhanh – 2 link
app vay tiền – 2 link
vay – 2 link
vay nhanh – 2 link
vay tiền – 2 link
vay tiền app – 2 link
vay tiền online chuyển khoản ngay – 2 link
app vay tiền nhanh – 1 link</v>
      </c>
      <c r="I2306" s="10" t="s">
        <v>1291</v>
      </c>
      <c r="J2306" s="13" t="s">
        <v>1678</v>
      </c>
      <c r="K2306" s="13" t="s">
        <v>251</v>
      </c>
      <c r="L2306" s="13" t="s">
        <v>2150</v>
      </c>
      <c r="M2306" s="7" t="s">
        <v>253</v>
      </c>
      <c r="N2306" s="7" t="s">
        <v>253</v>
      </c>
      <c r="O2306" s="7" t="s">
        <v>254</v>
      </c>
      <c r="P2306" s="13" t="s">
        <v>2151</v>
      </c>
      <c r="Q2306" s="8"/>
      <c r="R2306" s="8"/>
      <c r="S2306" s="8"/>
      <c r="T2306" s="8"/>
      <c r="U2306" s="8"/>
      <c r="V2306" s="8"/>
      <c r="W2306" s="8"/>
      <c r="X2306" s="8"/>
      <c r="Y2306" s="8"/>
      <c r="Z2306" s="8"/>
      <c r="AA2306" s="8"/>
      <c r="AB2306" s="8"/>
      <c r="AC2306" s="8"/>
      <c r="AD2306" s="8"/>
      <c r="AE2306" s="8"/>
    </row>
    <row r="2307">
      <c r="A2307" s="12">
        <v>68.0</v>
      </c>
      <c r="B2307" s="8" t="s">
        <v>371</v>
      </c>
      <c r="C2307" s="8" t="s">
        <v>1435</v>
      </c>
      <c r="I2307" s="10" t="s">
        <v>1440</v>
      </c>
      <c r="J2307" s="13" t="s">
        <v>1679</v>
      </c>
      <c r="K2307" s="13" t="s">
        <v>251</v>
      </c>
      <c r="L2307" s="13" t="s">
        <v>2152</v>
      </c>
      <c r="M2307" s="7" t="s">
        <v>253</v>
      </c>
      <c r="N2307" s="7" t="s">
        <v>253</v>
      </c>
      <c r="O2307" s="7" t="s">
        <v>254</v>
      </c>
      <c r="P2307" s="8"/>
      <c r="Q2307" s="8"/>
      <c r="R2307" s="8"/>
      <c r="S2307" s="8"/>
      <c r="T2307" s="8"/>
      <c r="U2307" s="8"/>
      <c r="V2307" s="8"/>
      <c r="W2307" s="8"/>
      <c r="X2307" s="8"/>
      <c r="Y2307" s="8"/>
      <c r="Z2307" s="8"/>
      <c r="AA2307" s="8"/>
      <c r="AB2307" s="8"/>
      <c r="AC2307" s="8"/>
      <c r="AD2307" s="8"/>
      <c r="AE2307" s="8"/>
    </row>
    <row r="2308">
      <c r="A2308" s="12">
        <v>68.0</v>
      </c>
      <c r="B2308" s="8" t="s">
        <v>371</v>
      </c>
      <c r="C2308" s="8" t="s">
        <v>1435</v>
      </c>
      <c r="I2308" s="10" t="s">
        <v>1444</v>
      </c>
      <c r="J2308" s="13" t="s">
        <v>1680</v>
      </c>
      <c r="K2308" s="13" t="s">
        <v>251</v>
      </c>
      <c r="L2308" s="13" t="s">
        <v>2153</v>
      </c>
      <c r="M2308" s="7" t="s">
        <v>253</v>
      </c>
      <c r="N2308" s="7" t="s">
        <v>253</v>
      </c>
      <c r="O2308" s="7" t="s">
        <v>254</v>
      </c>
      <c r="P2308" s="8"/>
      <c r="Q2308" s="8"/>
      <c r="R2308" s="8"/>
      <c r="S2308" s="8"/>
      <c r="T2308" s="8"/>
      <c r="U2308" s="8"/>
      <c r="V2308" s="8"/>
      <c r="W2308" s="8"/>
      <c r="X2308" s="8"/>
      <c r="Y2308" s="8"/>
      <c r="Z2308" s="8"/>
      <c r="AA2308" s="8"/>
      <c r="AB2308" s="8"/>
      <c r="AC2308" s="8"/>
      <c r="AD2308" s="8"/>
      <c r="AE2308" s="8"/>
    </row>
    <row r="2309">
      <c r="A2309" s="12">
        <v>68.0</v>
      </c>
      <c r="B2309" s="8" t="s">
        <v>371</v>
      </c>
      <c r="C2309" s="8" t="s">
        <v>1435</v>
      </c>
      <c r="I2309" s="10" t="s">
        <v>1447</v>
      </c>
      <c r="J2309" s="13" t="s">
        <v>1681</v>
      </c>
      <c r="K2309" s="13" t="s">
        <v>251</v>
      </c>
      <c r="L2309" s="13" t="s">
        <v>2154</v>
      </c>
      <c r="M2309" s="7" t="s">
        <v>253</v>
      </c>
      <c r="N2309" s="7" t="s">
        <v>253</v>
      </c>
      <c r="O2309" s="7" t="s">
        <v>254</v>
      </c>
      <c r="P2309" s="8"/>
      <c r="Q2309" s="8"/>
      <c r="R2309" s="8"/>
      <c r="S2309" s="8"/>
      <c r="T2309" s="8"/>
      <c r="U2309" s="8"/>
      <c r="V2309" s="8"/>
      <c r="W2309" s="8"/>
      <c r="X2309" s="8"/>
      <c r="Y2309" s="8"/>
      <c r="Z2309" s="8"/>
      <c r="AA2309" s="8"/>
      <c r="AB2309" s="8"/>
      <c r="AC2309" s="8"/>
      <c r="AD2309" s="8"/>
      <c r="AE2309" s="8"/>
    </row>
    <row r="2310">
      <c r="A2310" s="12">
        <v>68.0</v>
      </c>
      <c r="B2310" s="8" t="s">
        <v>371</v>
      </c>
      <c r="C2310" s="8" t="s">
        <v>1435</v>
      </c>
      <c r="I2310" s="10" t="s">
        <v>1450</v>
      </c>
      <c r="J2310" s="13" t="s">
        <v>1682</v>
      </c>
      <c r="K2310" s="13" t="s">
        <v>272</v>
      </c>
      <c r="L2310" s="13" t="s">
        <v>2155</v>
      </c>
      <c r="M2310" s="7" t="s">
        <v>253</v>
      </c>
      <c r="N2310" s="7" t="s">
        <v>253</v>
      </c>
      <c r="O2310" s="7" t="s">
        <v>254</v>
      </c>
      <c r="P2310" s="8"/>
      <c r="Q2310" s="8"/>
      <c r="R2310" s="8"/>
      <c r="S2310" s="8"/>
      <c r="T2310" s="8"/>
      <c r="U2310" s="8"/>
      <c r="V2310" s="8"/>
      <c r="W2310" s="8"/>
      <c r="X2310" s="8"/>
      <c r="Y2310" s="8"/>
      <c r="Z2310" s="8"/>
      <c r="AA2310" s="8"/>
      <c r="AB2310" s="8"/>
      <c r="AC2310" s="8"/>
      <c r="AD2310" s="8"/>
      <c r="AE2310" s="8"/>
    </row>
    <row r="2311">
      <c r="A2311" s="12">
        <v>68.0</v>
      </c>
      <c r="B2311" s="8" t="s">
        <v>371</v>
      </c>
      <c r="C2311" s="8" t="s">
        <v>1435</v>
      </c>
      <c r="I2311" s="10" t="s">
        <v>2005</v>
      </c>
      <c r="J2311" s="13" t="s">
        <v>1683</v>
      </c>
      <c r="K2311" s="13" t="s">
        <v>276</v>
      </c>
      <c r="L2311" s="13" t="s">
        <v>2156</v>
      </c>
      <c r="M2311" s="7" t="s">
        <v>253</v>
      </c>
      <c r="N2311" s="7" t="s">
        <v>253</v>
      </c>
      <c r="O2311" s="7" t="s">
        <v>254</v>
      </c>
      <c r="P2311" s="8"/>
      <c r="Q2311" s="8"/>
      <c r="R2311" s="8"/>
      <c r="S2311" s="8"/>
      <c r="T2311" s="8"/>
      <c r="U2311" s="8"/>
      <c r="V2311" s="8"/>
      <c r="W2311" s="8"/>
      <c r="X2311" s="8"/>
      <c r="Y2311" s="8"/>
      <c r="Z2311" s="8"/>
      <c r="AA2311" s="8"/>
      <c r="AB2311" s="8"/>
      <c r="AC2311" s="8"/>
      <c r="AD2311" s="8"/>
      <c r="AE2311" s="8"/>
    </row>
    <row r="2312">
      <c r="A2312" s="12">
        <v>68.0</v>
      </c>
      <c r="B2312" s="8" t="s">
        <v>371</v>
      </c>
      <c r="C2312" s="8" t="s">
        <v>1435</v>
      </c>
      <c r="I2312" s="10" t="s">
        <v>643</v>
      </c>
      <c r="J2312" s="13" t="s">
        <v>1684</v>
      </c>
      <c r="K2312" s="13" t="s">
        <v>276</v>
      </c>
      <c r="L2312" s="13" t="s">
        <v>2157</v>
      </c>
      <c r="M2312" s="7" t="s">
        <v>253</v>
      </c>
      <c r="N2312" s="7" t="s">
        <v>253</v>
      </c>
      <c r="O2312" s="7" t="s">
        <v>254</v>
      </c>
      <c r="P2312" s="8"/>
      <c r="Q2312" s="8"/>
      <c r="R2312" s="8"/>
      <c r="S2312" s="8"/>
      <c r="T2312" s="8"/>
      <c r="U2312" s="8"/>
      <c r="V2312" s="8"/>
      <c r="W2312" s="8"/>
      <c r="X2312" s="8"/>
      <c r="Y2312" s="8"/>
      <c r="Z2312" s="8"/>
      <c r="AA2312" s="8"/>
      <c r="AB2312" s="8"/>
      <c r="AC2312" s="8"/>
      <c r="AD2312" s="8"/>
      <c r="AE2312" s="8"/>
    </row>
    <row r="2313">
      <c r="A2313" s="12">
        <v>68.0</v>
      </c>
      <c r="B2313" s="8" t="s">
        <v>371</v>
      </c>
      <c r="C2313" s="8" t="s">
        <v>1435</v>
      </c>
      <c r="I2313" s="10" t="s">
        <v>1632</v>
      </c>
      <c r="J2313" s="13" t="s">
        <v>1685</v>
      </c>
      <c r="K2313" s="13" t="s">
        <v>276</v>
      </c>
      <c r="L2313" s="13" t="s">
        <v>2158</v>
      </c>
      <c r="M2313" s="7" t="s">
        <v>253</v>
      </c>
      <c r="N2313" s="7" t="s">
        <v>253</v>
      </c>
      <c r="O2313" s="7" t="s">
        <v>254</v>
      </c>
      <c r="P2313" s="8"/>
      <c r="Q2313" s="8"/>
      <c r="R2313" s="8"/>
      <c r="S2313" s="8"/>
      <c r="T2313" s="8"/>
      <c r="U2313" s="8"/>
      <c r="V2313" s="8"/>
      <c r="W2313" s="8"/>
      <c r="X2313" s="8"/>
      <c r="Y2313" s="8"/>
      <c r="Z2313" s="8"/>
      <c r="AA2313" s="8"/>
      <c r="AB2313" s="8"/>
      <c r="AC2313" s="8"/>
      <c r="AD2313" s="8"/>
      <c r="AE2313" s="8"/>
    </row>
    <row r="2314">
      <c r="A2314" s="12">
        <v>68.0</v>
      </c>
      <c r="B2314" s="8" t="s">
        <v>371</v>
      </c>
      <c r="C2314" s="8" t="s">
        <v>1435</v>
      </c>
      <c r="I2314" s="10" t="s">
        <v>1499</v>
      </c>
      <c r="J2314" s="13" t="s">
        <v>1438</v>
      </c>
      <c r="K2314" s="13" t="s">
        <v>276</v>
      </c>
      <c r="L2314" s="13" t="s">
        <v>2157</v>
      </c>
      <c r="M2314" s="7" t="s">
        <v>253</v>
      </c>
      <c r="N2314" s="7" t="s">
        <v>253</v>
      </c>
      <c r="O2314" s="7" t="s">
        <v>254</v>
      </c>
      <c r="P2314" s="8"/>
      <c r="Q2314" s="8"/>
      <c r="R2314" s="8"/>
      <c r="S2314" s="8"/>
      <c r="T2314" s="8"/>
      <c r="U2314" s="8"/>
      <c r="V2314" s="8"/>
      <c r="W2314" s="8"/>
      <c r="X2314" s="8"/>
      <c r="Y2314" s="8"/>
      <c r="Z2314" s="8"/>
      <c r="AA2314" s="8"/>
      <c r="AB2314" s="8"/>
      <c r="AC2314" s="8"/>
      <c r="AD2314" s="8"/>
      <c r="AE2314" s="8"/>
    </row>
    <row r="2315">
      <c r="A2315" s="12">
        <v>68.0</v>
      </c>
      <c r="B2315" s="8" t="s">
        <v>371</v>
      </c>
      <c r="C2315" s="8" t="s">
        <v>1435</v>
      </c>
      <c r="I2315" s="10" t="s">
        <v>1913</v>
      </c>
      <c r="J2315" s="13" t="s">
        <v>1678</v>
      </c>
      <c r="K2315" s="13" t="s">
        <v>276</v>
      </c>
      <c r="L2315" s="13" t="s">
        <v>2157</v>
      </c>
      <c r="M2315" s="7" t="s">
        <v>253</v>
      </c>
      <c r="N2315" s="7" t="s">
        <v>253</v>
      </c>
      <c r="O2315" s="7" t="s">
        <v>254</v>
      </c>
      <c r="P2315" s="8"/>
      <c r="Q2315" s="8"/>
      <c r="R2315" s="8"/>
      <c r="S2315" s="8"/>
      <c r="T2315" s="8"/>
      <c r="U2315" s="8"/>
      <c r="V2315" s="8"/>
      <c r="W2315" s="8"/>
      <c r="X2315" s="8"/>
      <c r="Y2315" s="8"/>
      <c r="Z2315" s="8"/>
      <c r="AA2315" s="8"/>
      <c r="AB2315" s="8"/>
      <c r="AC2315" s="8"/>
      <c r="AD2315" s="8"/>
      <c r="AE2315" s="8"/>
    </row>
    <row r="2316">
      <c r="A2316" s="12">
        <v>68.0</v>
      </c>
      <c r="B2316" s="8" t="s">
        <v>371</v>
      </c>
      <c r="C2316" s="8" t="s">
        <v>1435</v>
      </c>
      <c r="I2316" s="10" t="s">
        <v>372</v>
      </c>
      <c r="J2316" s="13" t="s">
        <v>1679</v>
      </c>
      <c r="K2316" s="13" t="s">
        <v>276</v>
      </c>
      <c r="L2316" s="13" t="s">
        <v>2157</v>
      </c>
      <c r="M2316" s="7" t="s">
        <v>253</v>
      </c>
      <c r="N2316" s="7" t="s">
        <v>253</v>
      </c>
      <c r="O2316" s="7" t="s">
        <v>254</v>
      </c>
      <c r="P2316" s="8"/>
      <c r="Q2316" s="8"/>
      <c r="R2316" s="8"/>
      <c r="S2316" s="8"/>
      <c r="T2316" s="8"/>
      <c r="U2316" s="8"/>
      <c r="V2316" s="8"/>
      <c r="W2316" s="8"/>
      <c r="X2316" s="8"/>
      <c r="Y2316" s="8"/>
      <c r="Z2316" s="8"/>
      <c r="AA2316" s="8"/>
      <c r="AB2316" s="8"/>
      <c r="AC2316" s="8"/>
      <c r="AD2316" s="8"/>
      <c r="AE2316" s="8"/>
    </row>
    <row r="2317">
      <c r="A2317" s="12">
        <v>68.0</v>
      </c>
      <c r="B2317" s="8" t="s">
        <v>371</v>
      </c>
      <c r="C2317" s="8" t="s">
        <v>1435</v>
      </c>
      <c r="I2317" s="10" t="s">
        <v>1417</v>
      </c>
      <c r="J2317" s="13" t="s">
        <v>1680</v>
      </c>
      <c r="K2317" s="13" t="s">
        <v>276</v>
      </c>
      <c r="L2317" s="13" t="s">
        <v>2158</v>
      </c>
      <c r="M2317" s="7" t="s">
        <v>253</v>
      </c>
      <c r="N2317" s="7" t="s">
        <v>253</v>
      </c>
      <c r="O2317" s="7" t="s">
        <v>254</v>
      </c>
      <c r="P2317" s="8"/>
      <c r="Q2317" s="8"/>
      <c r="R2317" s="8"/>
      <c r="S2317" s="8"/>
      <c r="T2317" s="8"/>
      <c r="U2317" s="8"/>
      <c r="V2317" s="8"/>
      <c r="W2317" s="8"/>
      <c r="X2317" s="8"/>
      <c r="Y2317" s="8"/>
      <c r="Z2317" s="8"/>
      <c r="AA2317" s="8"/>
      <c r="AB2317" s="8"/>
      <c r="AC2317" s="8"/>
      <c r="AD2317" s="8"/>
      <c r="AE2317" s="8"/>
    </row>
    <row r="2318">
      <c r="A2318" s="12">
        <v>68.0</v>
      </c>
      <c r="B2318" s="8" t="s">
        <v>371</v>
      </c>
      <c r="C2318" s="8" t="s">
        <v>1435</v>
      </c>
      <c r="I2318" s="10" t="s">
        <v>1274</v>
      </c>
      <c r="J2318" s="13" t="s">
        <v>1681</v>
      </c>
      <c r="K2318" s="13" t="s">
        <v>276</v>
      </c>
      <c r="L2318" s="13" t="s">
        <v>2157</v>
      </c>
      <c r="M2318" s="7" t="s">
        <v>253</v>
      </c>
      <c r="N2318" s="7" t="s">
        <v>253</v>
      </c>
      <c r="O2318" s="7" t="s">
        <v>254</v>
      </c>
      <c r="P2318" s="8"/>
      <c r="Q2318" s="8"/>
      <c r="R2318" s="8"/>
      <c r="S2318" s="8"/>
      <c r="T2318" s="8"/>
      <c r="U2318" s="8"/>
      <c r="V2318" s="8"/>
      <c r="W2318" s="8"/>
      <c r="X2318" s="8"/>
      <c r="Y2318" s="8"/>
      <c r="Z2318" s="8"/>
      <c r="AA2318" s="8"/>
      <c r="AB2318" s="8"/>
      <c r="AC2318" s="8"/>
      <c r="AD2318" s="8"/>
      <c r="AE2318" s="8"/>
    </row>
    <row r="2319">
      <c r="A2319" s="12">
        <v>68.0</v>
      </c>
      <c r="B2319" s="8" t="s">
        <v>371</v>
      </c>
      <c r="C2319" s="8" t="s">
        <v>1435</v>
      </c>
      <c r="I2319" s="10" t="s">
        <v>2042</v>
      </c>
      <c r="J2319" s="13" t="s">
        <v>1682</v>
      </c>
      <c r="K2319" s="13" t="s">
        <v>276</v>
      </c>
      <c r="L2319" s="13" t="s">
        <v>2157</v>
      </c>
      <c r="M2319" s="7" t="s">
        <v>253</v>
      </c>
      <c r="N2319" s="7" t="s">
        <v>253</v>
      </c>
      <c r="O2319" s="7" t="s">
        <v>254</v>
      </c>
      <c r="P2319" s="8"/>
      <c r="Q2319" s="8"/>
      <c r="R2319" s="8"/>
      <c r="S2319" s="8"/>
      <c r="T2319" s="8"/>
      <c r="U2319" s="8"/>
      <c r="V2319" s="8"/>
      <c r="W2319" s="8"/>
      <c r="X2319" s="8"/>
      <c r="Y2319" s="8"/>
      <c r="Z2319" s="8"/>
      <c r="AA2319" s="8"/>
      <c r="AB2319" s="8"/>
      <c r="AC2319" s="8"/>
      <c r="AD2319" s="8"/>
      <c r="AE2319" s="8"/>
    </row>
    <row r="2320">
      <c r="A2320" s="12">
        <v>68.0</v>
      </c>
      <c r="B2320" s="8" t="s">
        <v>371</v>
      </c>
      <c r="C2320" s="8" t="s">
        <v>1435</v>
      </c>
      <c r="I2320" s="10" t="s">
        <v>1146</v>
      </c>
      <c r="J2320" s="13" t="s">
        <v>1683</v>
      </c>
      <c r="K2320" s="13" t="s">
        <v>276</v>
      </c>
      <c r="L2320" s="13" t="s">
        <v>2157</v>
      </c>
      <c r="M2320" s="7" t="s">
        <v>253</v>
      </c>
      <c r="N2320" s="7" t="s">
        <v>253</v>
      </c>
      <c r="O2320" s="7" t="s">
        <v>254</v>
      </c>
      <c r="P2320" s="8"/>
      <c r="Q2320" s="8"/>
      <c r="R2320" s="8"/>
      <c r="S2320" s="8"/>
      <c r="T2320" s="8"/>
      <c r="U2320" s="8"/>
      <c r="V2320" s="8"/>
      <c r="W2320" s="8"/>
      <c r="X2320" s="8"/>
      <c r="Y2320" s="8"/>
      <c r="Z2320" s="8"/>
      <c r="AA2320" s="8"/>
      <c r="AB2320" s="8"/>
      <c r="AC2320" s="8"/>
      <c r="AD2320" s="8"/>
      <c r="AE2320" s="8"/>
    </row>
    <row r="2321">
      <c r="A2321" s="12">
        <v>68.0</v>
      </c>
      <c r="B2321" s="8" t="s">
        <v>371</v>
      </c>
      <c r="C2321" s="8" t="s">
        <v>1435</v>
      </c>
      <c r="I2321" s="10" t="s">
        <v>1918</v>
      </c>
      <c r="J2321" s="13" t="s">
        <v>1684</v>
      </c>
      <c r="K2321" s="13" t="s">
        <v>276</v>
      </c>
      <c r="L2321" s="13" t="s">
        <v>2159</v>
      </c>
      <c r="M2321" s="7" t="s">
        <v>253</v>
      </c>
      <c r="N2321" s="7" t="s">
        <v>253</v>
      </c>
      <c r="O2321" s="7" t="s">
        <v>254</v>
      </c>
      <c r="P2321" s="8"/>
      <c r="Q2321" s="8"/>
      <c r="R2321" s="8"/>
      <c r="S2321" s="8"/>
      <c r="T2321" s="8"/>
      <c r="U2321" s="8"/>
      <c r="V2321" s="8"/>
      <c r="W2321" s="8"/>
      <c r="X2321" s="8"/>
      <c r="Y2321" s="8"/>
      <c r="Z2321" s="8"/>
      <c r="AA2321" s="8"/>
      <c r="AB2321" s="8"/>
      <c r="AC2321" s="8"/>
      <c r="AD2321" s="8"/>
      <c r="AE2321" s="8"/>
    </row>
    <row r="2322">
      <c r="A2322" s="12">
        <v>68.0</v>
      </c>
      <c r="B2322" s="8" t="s">
        <v>371</v>
      </c>
      <c r="C2322" s="8" t="s">
        <v>1435</v>
      </c>
      <c r="I2322" s="10" t="s">
        <v>1861</v>
      </c>
      <c r="J2322" s="13" t="s">
        <v>1685</v>
      </c>
      <c r="K2322" s="13" t="s">
        <v>276</v>
      </c>
      <c r="L2322" s="13" t="s">
        <v>2157</v>
      </c>
      <c r="M2322" s="7" t="s">
        <v>253</v>
      </c>
      <c r="N2322" s="7" t="s">
        <v>253</v>
      </c>
      <c r="O2322" s="7" t="s">
        <v>254</v>
      </c>
      <c r="P2322" s="8"/>
      <c r="Q2322" s="8"/>
      <c r="R2322" s="8"/>
      <c r="S2322" s="8"/>
      <c r="T2322" s="8"/>
      <c r="U2322" s="8"/>
      <c r="V2322" s="8"/>
      <c r="W2322" s="8"/>
      <c r="X2322" s="8"/>
      <c r="Y2322" s="8"/>
      <c r="Z2322" s="8"/>
      <c r="AA2322" s="8"/>
      <c r="AB2322" s="8"/>
      <c r="AC2322" s="8"/>
      <c r="AD2322" s="8"/>
      <c r="AE2322" s="8"/>
    </row>
    <row r="2323">
      <c r="A2323" s="12">
        <v>69.0</v>
      </c>
      <c r="B2323" s="8" t="s">
        <v>372</v>
      </c>
      <c r="C2323" s="8" t="s">
        <v>1435</v>
      </c>
      <c r="D2323" s="25">
        <f>IF(COUNTIF($B$2:$B2323,$B2323)&gt;1,"",COUNTIF($B$2:$B$2505,$B2323))</f>
        <v>16</v>
      </c>
      <c r="E2323" s="25">
        <f>IF(COUNTIF($B$2:$B2323,$B2323)&gt;1,"",COUNTIFS($B$2:$B$2505,$B2323,$K$2:$K$2505,"PHÙ HỢP CAO"))</f>
        <v>3</v>
      </c>
      <c r="F2323" s="25">
        <f>IF(COUNTIF($B$2:$B2323,$B2323)&gt;1,"",COUNTIFS($B$2:$B$2505,$B2323,$K$2:$K$2505,"CÓ THỂ ĐI"))</f>
        <v>2</v>
      </c>
      <c r="G2323" s="25">
        <f>IF(COUNTIF($B$2:$B2323,$B2323)&gt;1,"",COUNTIFS($B$2:$B$2505,$B2323,$K$2:$K$2505,"CẦN SOÁT"))</f>
        <v>11</v>
      </c>
      <c r="H2323" s="26" t="str">
        <f>IFERROR(__xludf.DUMMYFUNCTION("IF(COUNTIF($B$2:$B2323,$B2323)&gt;1,"""",IFERROR(TEXTJOIN(CHAR(10),TRUE,BYROW(QUERY({$B$2:$B$2505,$J$2:$J$2505},""select Col2, count(Col2) where Col1 = '""&amp;$B2323&amp;""' group by Col2 order by count(Col2) desc label count(Col2) ''"",0),LAMBDA(r,INDEX(r,1,1)&amp;"" "&amp;"– ""&amp;INDEX(r,1,2)&amp;"" link""))),""""))"),"lãi suất vay ngân hàng – 4 link
lãi suất cho vay ngân hàng – 3 link
lãi suất vay ngân hàng hiện nay – 3 link
lãi suất vay ngân hàng hôm nay – 3 link
lãi vay ngân hàng hiện nay – 3 link")</f>
        <v>lãi suất vay ngân hàng – 4 link
lãi suất cho vay ngân hàng – 3 link
lãi suất vay ngân hàng hiện nay – 3 link
lãi suất vay ngân hàng hôm nay – 3 link
lãi vay ngân hàng hiện nay – 3 link</v>
      </c>
      <c r="I2323" s="10" t="s">
        <v>1452</v>
      </c>
      <c r="J2323" s="13" t="s">
        <v>1454</v>
      </c>
      <c r="K2323" s="13" t="s">
        <v>251</v>
      </c>
      <c r="L2323" s="13" t="s">
        <v>2160</v>
      </c>
      <c r="M2323" s="7" t="s">
        <v>253</v>
      </c>
      <c r="N2323" s="7" t="s">
        <v>253</v>
      </c>
      <c r="O2323" s="7" t="s">
        <v>254</v>
      </c>
      <c r="P2323" s="8"/>
      <c r="Q2323" s="8"/>
      <c r="R2323" s="8"/>
      <c r="S2323" s="8"/>
      <c r="T2323" s="8"/>
      <c r="U2323" s="8"/>
      <c r="V2323" s="8"/>
      <c r="W2323" s="8"/>
      <c r="X2323" s="8"/>
      <c r="Y2323" s="8"/>
      <c r="Z2323" s="8"/>
      <c r="AA2323" s="8"/>
      <c r="AB2323" s="8"/>
      <c r="AC2323" s="8"/>
      <c r="AD2323" s="8"/>
      <c r="AE2323" s="8"/>
    </row>
    <row r="2324">
      <c r="A2324" s="12">
        <v>69.0</v>
      </c>
      <c r="B2324" s="8" t="s">
        <v>372</v>
      </c>
      <c r="C2324" s="8" t="s">
        <v>1435</v>
      </c>
      <c r="I2324" s="10" t="s">
        <v>885</v>
      </c>
      <c r="J2324" s="13" t="s">
        <v>1659</v>
      </c>
      <c r="K2324" s="13" t="s">
        <v>251</v>
      </c>
      <c r="L2324" s="13" t="s">
        <v>2161</v>
      </c>
      <c r="M2324" s="7" t="s">
        <v>253</v>
      </c>
      <c r="N2324" s="7" t="s">
        <v>253</v>
      </c>
      <c r="O2324" s="7" t="s">
        <v>254</v>
      </c>
      <c r="P2324" s="8"/>
      <c r="Q2324" s="8"/>
      <c r="R2324" s="8"/>
      <c r="S2324" s="8"/>
      <c r="T2324" s="8"/>
      <c r="U2324" s="8"/>
      <c r="V2324" s="8"/>
      <c r="W2324" s="8"/>
      <c r="X2324" s="8"/>
      <c r="Y2324" s="8"/>
      <c r="Z2324" s="8"/>
      <c r="AA2324" s="8"/>
      <c r="AB2324" s="8"/>
      <c r="AC2324" s="8"/>
      <c r="AD2324" s="8"/>
      <c r="AE2324" s="8"/>
    </row>
    <row r="2325">
      <c r="A2325" s="12">
        <v>69.0</v>
      </c>
      <c r="B2325" s="8" t="s">
        <v>372</v>
      </c>
      <c r="C2325" s="8" t="s">
        <v>1435</v>
      </c>
      <c r="I2325" s="10" t="s">
        <v>913</v>
      </c>
      <c r="J2325" s="13" t="s">
        <v>1660</v>
      </c>
      <c r="K2325" s="13" t="s">
        <v>251</v>
      </c>
      <c r="L2325" s="13" t="s">
        <v>2162</v>
      </c>
      <c r="M2325" s="7" t="s">
        <v>253</v>
      </c>
      <c r="N2325" s="7" t="s">
        <v>253</v>
      </c>
      <c r="O2325" s="7" t="s">
        <v>254</v>
      </c>
      <c r="P2325" s="8"/>
      <c r="Q2325" s="8"/>
      <c r="R2325" s="8"/>
      <c r="S2325" s="8"/>
      <c r="T2325" s="8"/>
      <c r="U2325" s="8"/>
      <c r="V2325" s="8"/>
      <c r="W2325" s="8"/>
      <c r="X2325" s="8"/>
      <c r="Y2325" s="8"/>
      <c r="Z2325" s="8"/>
      <c r="AA2325" s="8"/>
      <c r="AB2325" s="8"/>
      <c r="AC2325" s="8"/>
      <c r="AD2325" s="8"/>
      <c r="AE2325" s="8"/>
    </row>
    <row r="2326">
      <c r="A2326" s="12">
        <v>69.0</v>
      </c>
      <c r="B2326" s="8" t="s">
        <v>372</v>
      </c>
      <c r="C2326" s="8" t="s">
        <v>1435</v>
      </c>
      <c r="I2326" s="10" t="s">
        <v>849</v>
      </c>
      <c r="J2326" s="13" t="s">
        <v>1661</v>
      </c>
      <c r="K2326" s="13" t="s">
        <v>272</v>
      </c>
      <c r="L2326" s="13" t="s">
        <v>2163</v>
      </c>
      <c r="M2326" s="7" t="s">
        <v>253</v>
      </c>
      <c r="N2326" s="7" t="s">
        <v>253</v>
      </c>
      <c r="O2326" s="7" t="s">
        <v>254</v>
      </c>
      <c r="P2326" s="8"/>
      <c r="Q2326" s="8"/>
      <c r="R2326" s="8"/>
      <c r="S2326" s="8"/>
      <c r="T2326" s="8"/>
      <c r="U2326" s="8"/>
      <c r="V2326" s="8"/>
      <c r="W2326" s="8"/>
      <c r="X2326" s="8"/>
      <c r="Y2326" s="8"/>
      <c r="Z2326" s="8"/>
      <c r="AA2326" s="8"/>
      <c r="AB2326" s="8"/>
      <c r="AC2326" s="8"/>
      <c r="AD2326" s="8"/>
      <c r="AE2326" s="8"/>
    </row>
    <row r="2327">
      <c r="A2327" s="12">
        <v>69.0</v>
      </c>
      <c r="B2327" s="8" t="s">
        <v>372</v>
      </c>
      <c r="C2327" s="8" t="s">
        <v>1435</v>
      </c>
      <c r="I2327" s="10" t="s">
        <v>1462</v>
      </c>
      <c r="J2327" s="13" t="s">
        <v>1662</v>
      </c>
      <c r="K2327" s="13" t="s">
        <v>272</v>
      </c>
      <c r="L2327" s="13" t="s">
        <v>2164</v>
      </c>
      <c r="M2327" s="7" t="s">
        <v>253</v>
      </c>
      <c r="N2327" s="7" t="s">
        <v>253</v>
      </c>
      <c r="O2327" s="7" t="s">
        <v>254</v>
      </c>
      <c r="P2327" s="8"/>
      <c r="Q2327" s="8"/>
      <c r="R2327" s="8"/>
      <c r="S2327" s="8"/>
      <c r="T2327" s="8"/>
      <c r="U2327" s="8"/>
      <c r="V2327" s="8"/>
      <c r="W2327" s="8"/>
      <c r="X2327" s="8"/>
      <c r="Y2327" s="8"/>
      <c r="Z2327" s="8"/>
      <c r="AA2327" s="8"/>
      <c r="AB2327" s="8"/>
      <c r="AC2327" s="8"/>
      <c r="AD2327" s="8"/>
      <c r="AE2327" s="8"/>
    </row>
    <row r="2328">
      <c r="A2328" s="12">
        <v>69.0</v>
      </c>
      <c r="B2328" s="8" t="s">
        <v>372</v>
      </c>
      <c r="C2328" s="8" t="s">
        <v>1435</v>
      </c>
      <c r="I2328" s="10" t="s">
        <v>1975</v>
      </c>
      <c r="J2328" s="13" t="s">
        <v>1454</v>
      </c>
      <c r="K2328" s="13" t="s">
        <v>276</v>
      </c>
      <c r="L2328" s="13" t="s">
        <v>2032</v>
      </c>
      <c r="M2328" s="7" t="s">
        <v>253</v>
      </c>
      <c r="N2328" s="7" t="s">
        <v>253</v>
      </c>
      <c r="O2328" s="7" t="s">
        <v>254</v>
      </c>
      <c r="P2328" s="8"/>
      <c r="Q2328" s="8"/>
      <c r="R2328" s="8"/>
      <c r="S2328" s="8"/>
      <c r="T2328" s="8"/>
      <c r="U2328" s="8"/>
      <c r="V2328" s="8"/>
      <c r="W2328" s="8"/>
      <c r="X2328" s="8"/>
      <c r="Y2328" s="8"/>
      <c r="Z2328" s="8"/>
      <c r="AA2328" s="8"/>
      <c r="AB2328" s="8"/>
      <c r="AC2328" s="8"/>
      <c r="AD2328" s="8"/>
      <c r="AE2328" s="8"/>
    </row>
    <row r="2329">
      <c r="A2329" s="12">
        <v>69.0</v>
      </c>
      <c r="B2329" s="8" t="s">
        <v>372</v>
      </c>
      <c r="C2329" s="8" t="s">
        <v>1435</v>
      </c>
      <c r="I2329" s="10" t="s">
        <v>389</v>
      </c>
      <c r="J2329" s="13" t="s">
        <v>1659</v>
      </c>
      <c r="K2329" s="13" t="s">
        <v>276</v>
      </c>
      <c r="L2329" s="13" t="s">
        <v>2034</v>
      </c>
      <c r="M2329" s="7" t="s">
        <v>253</v>
      </c>
      <c r="N2329" s="7" t="s">
        <v>253</v>
      </c>
      <c r="O2329" s="7" t="s">
        <v>254</v>
      </c>
      <c r="P2329" s="8"/>
      <c r="Q2329" s="8"/>
      <c r="R2329" s="8"/>
      <c r="S2329" s="8"/>
      <c r="T2329" s="8"/>
      <c r="U2329" s="8"/>
      <c r="V2329" s="8"/>
      <c r="W2329" s="8"/>
      <c r="X2329" s="8"/>
      <c r="Y2329" s="8"/>
      <c r="Z2329" s="8"/>
      <c r="AA2329" s="8"/>
      <c r="AB2329" s="8"/>
      <c r="AC2329" s="8"/>
      <c r="AD2329" s="8"/>
      <c r="AE2329" s="8"/>
    </row>
    <row r="2330">
      <c r="A2330" s="12">
        <v>69.0</v>
      </c>
      <c r="B2330" s="8" t="s">
        <v>372</v>
      </c>
      <c r="C2330" s="8" t="s">
        <v>1435</v>
      </c>
      <c r="I2330" s="10" t="s">
        <v>1504</v>
      </c>
      <c r="J2330" s="13" t="s">
        <v>1660</v>
      </c>
      <c r="K2330" s="13" t="s">
        <v>276</v>
      </c>
      <c r="L2330" s="13" t="s">
        <v>2032</v>
      </c>
      <c r="M2330" s="7" t="s">
        <v>253</v>
      </c>
      <c r="N2330" s="7" t="s">
        <v>253</v>
      </c>
      <c r="O2330" s="7" t="s">
        <v>254</v>
      </c>
      <c r="P2330" s="8"/>
      <c r="Q2330" s="8"/>
      <c r="R2330" s="8"/>
      <c r="S2330" s="8"/>
      <c r="T2330" s="8"/>
      <c r="U2330" s="8"/>
      <c r="V2330" s="8"/>
      <c r="W2330" s="8"/>
      <c r="X2330" s="8"/>
      <c r="Y2330" s="8"/>
      <c r="Z2330" s="8"/>
      <c r="AA2330" s="8"/>
      <c r="AB2330" s="8"/>
      <c r="AC2330" s="8"/>
      <c r="AD2330" s="8"/>
      <c r="AE2330" s="8"/>
    </row>
    <row r="2331">
      <c r="A2331" s="12">
        <v>69.0</v>
      </c>
      <c r="B2331" s="8" t="s">
        <v>372</v>
      </c>
      <c r="C2331" s="8" t="s">
        <v>1435</v>
      </c>
      <c r="I2331" s="10" t="s">
        <v>1154</v>
      </c>
      <c r="J2331" s="13" t="s">
        <v>1661</v>
      </c>
      <c r="K2331" s="13" t="s">
        <v>276</v>
      </c>
      <c r="L2331" s="13" t="s">
        <v>2032</v>
      </c>
      <c r="M2331" s="7" t="s">
        <v>253</v>
      </c>
      <c r="N2331" s="7" t="s">
        <v>253</v>
      </c>
      <c r="O2331" s="7" t="s">
        <v>254</v>
      </c>
      <c r="P2331" s="8"/>
      <c r="Q2331" s="8"/>
      <c r="R2331" s="8"/>
      <c r="S2331" s="8"/>
      <c r="T2331" s="8"/>
      <c r="U2331" s="8"/>
      <c r="V2331" s="8"/>
      <c r="W2331" s="8"/>
      <c r="X2331" s="8"/>
      <c r="Y2331" s="8"/>
      <c r="Z2331" s="8"/>
      <c r="AA2331" s="8"/>
      <c r="AB2331" s="8"/>
      <c r="AC2331" s="8"/>
      <c r="AD2331" s="8"/>
      <c r="AE2331" s="8"/>
    </row>
    <row r="2332">
      <c r="A2332" s="12">
        <v>69.0</v>
      </c>
      <c r="B2332" s="8" t="s">
        <v>372</v>
      </c>
      <c r="C2332" s="8" t="s">
        <v>1435</v>
      </c>
      <c r="I2332" s="10" t="s">
        <v>1468</v>
      </c>
      <c r="J2332" s="13" t="s">
        <v>1662</v>
      </c>
      <c r="K2332" s="13" t="s">
        <v>276</v>
      </c>
      <c r="L2332" s="13" t="s">
        <v>2032</v>
      </c>
      <c r="M2332" s="7" t="s">
        <v>253</v>
      </c>
      <c r="N2332" s="7" t="s">
        <v>253</v>
      </c>
      <c r="O2332" s="7" t="s">
        <v>254</v>
      </c>
      <c r="P2332" s="8"/>
      <c r="Q2332" s="8"/>
      <c r="R2332" s="8"/>
      <c r="S2332" s="8"/>
      <c r="T2332" s="8"/>
      <c r="U2332" s="8"/>
      <c r="V2332" s="8"/>
      <c r="W2332" s="8"/>
      <c r="X2332" s="8"/>
      <c r="Y2332" s="8"/>
      <c r="Z2332" s="8"/>
      <c r="AA2332" s="8"/>
      <c r="AB2332" s="8"/>
      <c r="AC2332" s="8"/>
      <c r="AD2332" s="8"/>
      <c r="AE2332" s="8"/>
    </row>
    <row r="2333">
      <c r="A2333" s="12">
        <v>69.0</v>
      </c>
      <c r="B2333" s="8" t="s">
        <v>372</v>
      </c>
      <c r="C2333" s="8" t="s">
        <v>1435</v>
      </c>
      <c r="I2333" s="10" t="s">
        <v>334</v>
      </c>
      <c r="J2333" s="13" t="s">
        <v>1454</v>
      </c>
      <c r="K2333" s="13" t="s">
        <v>276</v>
      </c>
      <c r="L2333" s="13" t="s">
        <v>2032</v>
      </c>
      <c r="M2333" s="7" t="s">
        <v>253</v>
      </c>
      <c r="N2333" s="7" t="s">
        <v>253</v>
      </c>
      <c r="O2333" s="7" t="s">
        <v>254</v>
      </c>
      <c r="P2333" s="8"/>
      <c r="Q2333" s="8"/>
      <c r="R2333" s="8"/>
      <c r="S2333" s="8"/>
      <c r="T2333" s="8"/>
      <c r="U2333" s="8"/>
      <c r="V2333" s="8"/>
      <c r="W2333" s="8"/>
      <c r="X2333" s="8"/>
      <c r="Y2333" s="8"/>
      <c r="Z2333" s="8"/>
      <c r="AA2333" s="8"/>
      <c r="AB2333" s="8"/>
      <c r="AC2333" s="8"/>
      <c r="AD2333" s="8"/>
      <c r="AE2333" s="8"/>
    </row>
    <row r="2334">
      <c r="A2334" s="12">
        <v>69.0</v>
      </c>
      <c r="B2334" s="8" t="s">
        <v>372</v>
      </c>
      <c r="C2334" s="8" t="s">
        <v>1435</v>
      </c>
      <c r="I2334" s="10" t="s">
        <v>1747</v>
      </c>
      <c r="J2334" s="13" t="s">
        <v>1659</v>
      </c>
      <c r="K2334" s="13" t="s">
        <v>276</v>
      </c>
      <c r="L2334" s="13" t="s">
        <v>2165</v>
      </c>
      <c r="M2334" s="7" t="s">
        <v>253</v>
      </c>
      <c r="N2334" s="7" t="s">
        <v>253</v>
      </c>
      <c r="O2334" s="7" t="s">
        <v>254</v>
      </c>
      <c r="P2334" s="8"/>
      <c r="Q2334" s="8"/>
      <c r="R2334" s="8"/>
      <c r="S2334" s="8"/>
      <c r="T2334" s="8"/>
      <c r="U2334" s="8"/>
      <c r="V2334" s="8"/>
      <c r="W2334" s="8"/>
      <c r="X2334" s="8"/>
      <c r="Y2334" s="8"/>
      <c r="Z2334" s="8"/>
      <c r="AA2334" s="8"/>
      <c r="AB2334" s="8"/>
      <c r="AC2334" s="8"/>
      <c r="AD2334" s="8"/>
      <c r="AE2334" s="8"/>
    </row>
    <row r="2335">
      <c r="A2335" s="12">
        <v>69.0</v>
      </c>
      <c r="B2335" s="8" t="s">
        <v>372</v>
      </c>
      <c r="C2335" s="8" t="s">
        <v>1435</v>
      </c>
      <c r="I2335" s="10" t="s">
        <v>345</v>
      </c>
      <c r="J2335" s="13" t="s">
        <v>1660</v>
      </c>
      <c r="K2335" s="13" t="s">
        <v>276</v>
      </c>
      <c r="L2335" s="13" t="s">
        <v>2032</v>
      </c>
      <c r="M2335" s="7" t="s">
        <v>253</v>
      </c>
      <c r="N2335" s="7" t="s">
        <v>253</v>
      </c>
      <c r="O2335" s="7" t="s">
        <v>254</v>
      </c>
      <c r="P2335" s="8"/>
      <c r="Q2335" s="8"/>
      <c r="R2335" s="8"/>
      <c r="S2335" s="8"/>
      <c r="T2335" s="8"/>
      <c r="U2335" s="8"/>
      <c r="V2335" s="8"/>
      <c r="W2335" s="8"/>
      <c r="X2335" s="8"/>
      <c r="Y2335" s="8"/>
      <c r="Z2335" s="8"/>
      <c r="AA2335" s="8"/>
      <c r="AB2335" s="8"/>
      <c r="AC2335" s="8"/>
      <c r="AD2335" s="8"/>
      <c r="AE2335" s="8"/>
    </row>
    <row r="2336">
      <c r="A2336" s="12">
        <v>69.0</v>
      </c>
      <c r="B2336" s="8" t="s">
        <v>372</v>
      </c>
      <c r="C2336" s="8" t="s">
        <v>1435</v>
      </c>
      <c r="I2336" s="10" t="s">
        <v>36</v>
      </c>
      <c r="J2336" s="13" t="s">
        <v>1661</v>
      </c>
      <c r="K2336" s="13" t="s">
        <v>276</v>
      </c>
      <c r="L2336" s="13" t="s">
        <v>2032</v>
      </c>
      <c r="M2336" s="7" t="s">
        <v>253</v>
      </c>
      <c r="N2336" s="7" t="s">
        <v>253</v>
      </c>
      <c r="O2336" s="7" t="s">
        <v>254</v>
      </c>
      <c r="P2336" s="8"/>
      <c r="Q2336" s="8"/>
      <c r="R2336" s="8"/>
      <c r="S2336" s="8"/>
      <c r="T2336" s="8"/>
      <c r="U2336" s="8"/>
      <c r="V2336" s="8"/>
      <c r="W2336" s="8"/>
      <c r="X2336" s="8"/>
      <c r="Y2336" s="8"/>
      <c r="Z2336" s="8"/>
      <c r="AA2336" s="8"/>
      <c r="AB2336" s="8"/>
      <c r="AC2336" s="8"/>
      <c r="AD2336" s="8"/>
      <c r="AE2336" s="8"/>
    </row>
    <row r="2337">
      <c r="A2337" s="12">
        <v>69.0</v>
      </c>
      <c r="B2337" s="8" t="s">
        <v>372</v>
      </c>
      <c r="C2337" s="8" t="s">
        <v>1435</v>
      </c>
      <c r="I2337" s="10" t="s">
        <v>1493</v>
      </c>
      <c r="J2337" s="13" t="s">
        <v>1662</v>
      </c>
      <c r="K2337" s="13" t="s">
        <v>276</v>
      </c>
      <c r="L2337" s="13" t="s">
        <v>2034</v>
      </c>
      <c r="M2337" s="7" t="s">
        <v>253</v>
      </c>
      <c r="N2337" s="7" t="s">
        <v>253</v>
      </c>
      <c r="O2337" s="7" t="s">
        <v>254</v>
      </c>
      <c r="P2337" s="8"/>
      <c r="Q2337" s="8"/>
      <c r="R2337" s="8"/>
      <c r="S2337" s="8"/>
      <c r="T2337" s="8"/>
      <c r="U2337" s="8"/>
      <c r="V2337" s="8"/>
      <c r="W2337" s="8"/>
      <c r="X2337" s="8"/>
      <c r="Y2337" s="8"/>
      <c r="Z2337" s="8"/>
      <c r="AA2337" s="8"/>
      <c r="AB2337" s="8"/>
      <c r="AC2337" s="8"/>
      <c r="AD2337" s="8"/>
      <c r="AE2337" s="8"/>
    </row>
    <row r="2338">
      <c r="A2338" s="12">
        <v>69.0</v>
      </c>
      <c r="B2338" s="8" t="s">
        <v>372</v>
      </c>
      <c r="C2338" s="8" t="s">
        <v>1435</v>
      </c>
      <c r="I2338" s="10" t="s">
        <v>2043</v>
      </c>
      <c r="J2338" s="13" t="s">
        <v>1454</v>
      </c>
      <c r="K2338" s="13" t="s">
        <v>276</v>
      </c>
      <c r="L2338" s="13" t="s">
        <v>2165</v>
      </c>
      <c r="M2338" s="7" t="s">
        <v>253</v>
      </c>
      <c r="N2338" s="7" t="s">
        <v>253</v>
      </c>
      <c r="O2338" s="7" t="s">
        <v>254</v>
      </c>
      <c r="P2338" s="8"/>
      <c r="Q2338" s="8"/>
      <c r="R2338" s="8"/>
      <c r="S2338" s="8"/>
      <c r="T2338" s="8"/>
      <c r="U2338" s="8"/>
      <c r="V2338" s="8"/>
      <c r="W2338" s="8"/>
      <c r="X2338" s="8"/>
      <c r="Y2338" s="8"/>
      <c r="Z2338" s="8"/>
      <c r="AA2338" s="8"/>
      <c r="AB2338" s="8"/>
      <c r="AC2338" s="8"/>
      <c r="AD2338" s="8"/>
      <c r="AE2338" s="8"/>
    </row>
    <row r="2339">
      <c r="A2339" s="12">
        <v>70.0</v>
      </c>
      <c r="B2339" s="8" t="s">
        <v>373</v>
      </c>
      <c r="C2339" s="8" t="s">
        <v>1435</v>
      </c>
      <c r="D2339" s="25">
        <f>IF(COUNTIF($B$2:$B2339,$B2339)&gt;1,"",COUNTIF($B$2:$B$2505,$B2339))</f>
        <v>9</v>
      </c>
      <c r="E2339" s="25">
        <f>IF(COUNTIF($B$2:$B2339,$B2339)&gt;1,"",COUNTIFS($B$2:$B$2505,$B2339,$K$2:$K$2505,"PHÙ HỢP CAO"))</f>
        <v>4</v>
      </c>
      <c r="F2339" s="25">
        <f>IF(COUNTIF($B$2:$B2339,$B2339)&gt;1,"",COUNTIFS($B$2:$B$2505,$B2339,$K$2:$K$2505,"CÓ THỂ ĐI"))</f>
        <v>1</v>
      </c>
      <c r="G2339" s="25">
        <f>IF(COUNTIF($B$2:$B2339,$B2339)&gt;1,"",COUNTIFS($B$2:$B$2505,$B2339,$K$2:$K$2505,"CẦN SOÁT"))</f>
        <v>4</v>
      </c>
      <c r="H2339" s="26" t="str">
        <f>IFERROR(__xludf.DUMMYFUNCTION("IF(COUNTIF($B$2:$B2339,$B2339)&gt;1,"""",IFERROR(TEXTJOIN(CHAR(10),TRUE,BYROW(QUERY({$B$2:$B$2505,$J$2:$J$2505},""select Col2, count(Col2) where Col1 = '""&amp;$B2339&amp;""' group by Col2 order by count(Col2) desc label count(Col2) ''"",0),LAMBDA(r,INDEX(r,1,1)&amp;"" "&amp;"– ""&amp;INDEX(r,1,2)&amp;"" link""))),""""))"),"vay thấu chi là gì – 3 link
thấu chi là gì – 2 link
vay thấu chi – 2 link
vay thấu chi là như nào – 2 link")</f>
        <v>vay thấu chi là gì – 3 link
thấu chi là gì – 2 link
vay thấu chi – 2 link
vay thấu chi là như nào – 2 link</v>
      </c>
      <c r="I2339" s="10" t="s">
        <v>1465</v>
      </c>
      <c r="J2339" s="13" t="s">
        <v>1467</v>
      </c>
      <c r="K2339" s="13" t="s">
        <v>251</v>
      </c>
      <c r="L2339" s="13" t="s">
        <v>2166</v>
      </c>
      <c r="M2339" s="7" t="s">
        <v>253</v>
      </c>
      <c r="N2339" s="7" t="s">
        <v>253</v>
      </c>
      <c r="O2339" s="7" t="s">
        <v>254</v>
      </c>
      <c r="P2339" s="8"/>
      <c r="Q2339" s="8"/>
      <c r="R2339" s="8"/>
      <c r="S2339" s="8"/>
      <c r="T2339" s="8"/>
      <c r="U2339" s="8"/>
      <c r="V2339" s="8"/>
      <c r="W2339" s="8"/>
      <c r="X2339" s="8"/>
      <c r="Y2339" s="8"/>
      <c r="Z2339" s="8"/>
      <c r="AA2339" s="8"/>
      <c r="AB2339" s="8"/>
      <c r="AC2339" s="8"/>
      <c r="AD2339" s="8"/>
      <c r="AE2339" s="8"/>
    </row>
    <row r="2340">
      <c r="A2340" s="12">
        <v>70.0</v>
      </c>
      <c r="B2340" s="8" t="s">
        <v>373</v>
      </c>
      <c r="C2340" s="8" t="s">
        <v>1435</v>
      </c>
      <c r="I2340" s="10" t="s">
        <v>1468</v>
      </c>
      <c r="J2340" s="13" t="s">
        <v>1470</v>
      </c>
      <c r="K2340" s="13" t="s">
        <v>251</v>
      </c>
      <c r="L2340" s="13" t="s">
        <v>2167</v>
      </c>
      <c r="M2340" s="7" t="s">
        <v>253</v>
      </c>
      <c r="N2340" s="7" t="s">
        <v>253</v>
      </c>
      <c r="O2340" s="7" t="s">
        <v>254</v>
      </c>
      <c r="P2340" s="8"/>
      <c r="Q2340" s="8"/>
      <c r="R2340" s="8"/>
      <c r="S2340" s="8"/>
      <c r="T2340" s="8"/>
      <c r="U2340" s="8"/>
      <c r="V2340" s="8"/>
      <c r="W2340" s="8"/>
      <c r="X2340" s="8"/>
      <c r="Y2340" s="8"/>
      <c r="Z2340" s="8"/>
      <c r="AA2340" s="8"/>
      <c r="AB2340" s="8"/>
      <c r="AC2340" s="8"/>
      <c r="AD2340" s="8"/>
      <c r="AE2340" s="8"/>
    </row>
    <row r="2341">
      <c r="A2341" s="12">
        <v>70.0</v>
      </c>
      <c r="B2341" s="8" t="s">
        <v>373</v>
      </c>
      <c r="C2341" s="8" t="s">
        <v>1435</v>
      </c>
      <c r="I2341" s="10" t="s">
        <v>1471</v>
      </c>
      <c r="J2341" s="13" t="s">
        <v>1656</v>
      </c>
      <c r="K2341" s="13" t="s">
        <v>251</v>
      </c>
      <c r="L2341" s="13" t="s">
        <v>2168</v>
      </c>
      <c r="M2341" s="7" t="s">
        <v>253</v>
      </c>
      <c r="N2341" s="7" t="s">
        <v>253</v>
      </c>
      <c r="O2341" s="7" t="s">
        <v>254</v>
      </c>
      <c r="P2341" s="8"/>
      <c r="Q2341" s="8"/>
      <c r="R2341" s="8"/>
      <c r="S2341" s="8"/>
      <c r="T2341" s="8"/>
      <c r="U2341" s="8"/>
      <c r="V2341" s="8"/>
      <c r="W2341" s="8"/>
      <c r="X2341" s="8"/>
      <c r="Y2341" s="8"/>
      <c r="Z2341" s="8"/>
      <c r="AA2341" s="8"/>
      <c r="AB2341" s="8"/>
      <c r="AC2341" s="8"/>
      <c r="AD2341" s="8"/>
      <c r="AE2341" s="8"/>
    </row>
    <row r="2342">
      <c r="A2342" s="12">
        <v>70.0</v>
      </c>
      <c r="B2342" s="8" t="s">
        <v>373</v>
      </c>
      <c r="C2342" s="8" t="s">
        <v>1435</v>
      </c>
      <c r="I2342" s="10" t="s">
        <v>1473</v>
      </c>
      <c r="J2342" s="13" t="s">
        <v>1657</v>
      </c>
      <c r="K2342" s="13" t="s">
        <v>251</v>
      </c>
      <c r="L2342" s="13" t="s">
        <v>2169</v>
      </c>
      <c r="M2342" s="7" t="s">
        <v>253</v>
      </c>
      <c r="N2342" s="7" t="s">
        <v>253</v>
      </c>
      <c r="O2342" s="7" t="s">
        <v>254</v>
      </c>
      <c r="P2342" s="8"/>
      <c r="Q2342" s="8"/>
      <c r="R2342" s="8"/>
      <c r="S2342" s="8"/>
      <c r="T2342" s="8"/>
      <c r="U2342" s="8"/>
      <c r="V2342" s="8"/>
      <c r="W2342" s="8"/>
      <c r="X2342" s="8"/>
      <c r="Y2342" s="8"/>
      <c r="Z2342" s="8"/>
      <c r="AA2342" s="8"/>
      <c r="AB2342" s="8"/>
      <c r="AC2342" s="8"/>
      <c r="AD2342" s="8"/>
      <c r="AE2342" s="8"/>
    </row>
    <row r="2343">
      <c r="A2343" s="12">
        <v>70.0</v>
      </c>
      <c r="B2343" s="8" t="s">
        <v>373</v>
      </c>
      <c r="C2343" s="8" t="s">
        <v>1435</v>
      </c>
      <c r="I2343" s="10" t="s">
        <v>1475</v>
      </c>
      <c r="J2343" s="13" t="s">
        <v>1467</v>
      </c>
      <c r="K2343" s="13" t="s">
        <v>272</v>
      </c>
      <c r="L2343" s="13" t="s">
        <v>2170</v>
      </c>
      <c r="M2343" s="7" t="s">
        <v>253</v>
      </c>
      <c r="N2343" s="7" t="s">
        <v>253</v>
      </c>
      <c r="O2343" s="7" t="s">
        <v>254</v>
      </c>
      <c r="P2343" s="8"/>
      <c r="Q2343" s="8"/>
      <c r="R2343" s="8"/>
      <c r="S2343" s="8"/>
      <c r="T2343" s="8"/>
      <c r="U2343" s="8"/>
      <c r="V2343" s="8"/>
      <c r="W2343" s="8"/>
      <c r="X2343" s="8"/>
      <c r="Y2343" s="8"/>
      <c r="Z2343" s="8"/>
      <c r="AA2343" s="8"/>
      <c r="AB2343" s="8"/>
      <c r="AC2343" s="8"/>
      <c r="AD2343" s="8"/>
      <c r="AE2343" s="8"/>
    </row>
    <row r="2344">
      <c r="A2344" s="12">
        <v>70.0</v>
      </c>
      <c r="B2344" s="8" t="s">
        <v>373</v>
      </c>
      <c r="C2344" s="8" t="s">
        <v>1435</v>
      </c>
      <c r="I2344" s="10" t="s">
        <v>1895</v>
      </c>
      <c r="J2344" s="13" t="s">
        <v>1470</v>
      </c>
      <c r="K2344" s="13" t="s">
        <v>276</v>
      </c>
      <c r="L2344" s="13" t="s">
        <v>2171</v>
      </c>
      <c r="M2344" s="7" t="s">
        <v>253</v>
      </c>
      <c r="N2344" s="7" t="s">
        <v>253</v>
      </c>
      <c r="O2344" s="7" t="s">
        <v>254</v>
      </c>
      <c r="P2344" s="8"/>
      <c r="Q2344" s="8"/>
      <c r="R2344" s="8"/>
      <c r="S2344" s="8"/>
      <c r="T2344" s="8"/>
      <c r="U2344" s="8"/>
      <c r="V2344" s="8"/>
      <c r="W2344" s="8"/>
      <c r="X2344" s="8"/>
      <c r="Y2344" s="8"/>
      <c r="Z2344" s="8"/>
      <c r="AA2344" s="8"/>
      <c r="AB2344" s="8"/>
      <c r="AC2344" s="8"/>
      <c r="AD2344" s="8"/>
      <c r="AE2344" s="8"/>
    </row>
    <row r="2345">
      <c r="A2345" s="12">
        <v>70.0</v>
      </c>
      <c r="B2345" s="8" t="s">
        <v>373</v>
      </c>
      <c r="C2345" s="8" t="s">
        <v>1435</v>
      </c>
      <c r="I2345" s="10" t="s">
        <v>1730</v>
      </c>
      <c r="J2345" s="13" t="s">
        <v>1656</v>
      </c>
      <c r="K2345" s="13" t="s">
        <v>276</v>
      </c>
      <c r="L2345" s="13" t="s">
        <v>2171</v>
      </c>
      <c r="M2345" s="7" t="s">
        <v>253</v>
      </c>
      <c r="N2345" s="7" t="s">
        <v>253</v>
      </c>
      <c r="O2345" s="7" t="s">
        <v>254</v>
      </c>
      <c r="P2345" s="8"/>
      <c r="Q2345" s="8"/>
      <c r="R2345" s="8"/>
      <c r="S2345" s="8"/>
      <c r="T2345" s="8"/>
      <c r="U2345" s="8"/>
      <c r="V2345" s="8"/>
      <c r="W2345" s="8"/>
      <c r="X2345" s="8"/>
      <c r="Y2345" s="8"/>
      <c r="Z2345" s="8"/>
      <c r="AA2345" s="8"/>
      <c r="AB2345" s="8"/>
      <c r="AC2345" s="8"/>
      <c r="AD2345" s="8"/>
      <c r="AE2345" s="8"/>
    </row>
    <row r="2346">
      <c r="A2346" s="12">
        <v>70.0</v>
      </c>
      <c r="B2346" s="8" t="s">
        <v>373</v>
      </c>
      <c r="C2346" s="8" t="s">
        <v>1435</v>
      </c>
      <c r="I2346" s="10" t="s">
        <v>345</v>
      </c>
      <c r="J2346" s="13" t="s">
        <v>1657</v>
      </c>
      <c r="K2346" s="13" t="s">
        <v>276</v>
      </c>
      <c r="L2346" s="13" t="s">
        <v>2171</v>
      </c>
      <c r="M2346" s="7" t="s">
        <v>253</v>
      </c>
      <c r="N2346" s="7" t="s">
        <v>253</v>
      </c>
      <c r="O2346" s="7" t="s">
        <v>254</v>
      </c>
      <c r="P2346" s="8"/>
      <c r="Q2346" s="8"/>
      <c r="R2346" s="8"/>
      <c r="S2346" s="8"/>
      <c r="T2346" s="8"/>
      <c r="U2346" s="8"/>
      <c r="V2346" s="8"/>
      <c r="W2346" s="8"/>
      <c r="X2346" s="8"/>
      <c r="Y2346" s="8"/>
      <c r="Z2346" s="8"/>
      <c r="AA2346" s="8"/>
      <c r="AB2346" s="8"/>
      <c r="AC2346" s="8"/>
      <c r="AD2346" s="8"/>
      <c r="AE2346" s="8"/>
    </row>
    <row r="2347">
      <c r="A2347" s="12">
        <v>70.0</v>
      </c>
      <c r="B2347" s="8" t="s">
        <v>373</v>
      </c>
      <c r="C2347" s="8" t="s">
        <v>1435</v>
      </c>
      <c r="I2347" s="10" t="s">
        <v>1354</v>
      </c>
      <c r="J2347" s="13" t="s">
        <v>1467</v>
      </c>
      <c r="K2347" s="13" t="s">
        <v>276</v>
      </c>
      <c r="L2347" s="13" t="s">
        <v>2171</v>
      </c>
      <c r="M2347" s="7" t="s">
        <v>253</v>
      </c>
      <c r="N2347" s="7" t="s">
        <v>253</v>
      </c>
      <c r="O2347" s="7" t="s">
        <v>254</v>
      </c>
      <c r="P2347" s="8"/>
      <c r="Q2347" s="8"/>
      <c r="R2347" s="8"/>
      <c r="S2347" s="8"/>
      <c r="T2347" s="8"/>
      <c r="U2347" s="8"/>
      <c r="V2347" s="8"/>
      <c r="W2347" s="8"/>
      <c r="X2347" s="8"/>
      <c r="Y2347" s="8"/>
      <c r="Z2347" s="8"/>
      <c r="AA2347" s="8"/>
      <c r="AB2347" s="8"/>
      <c r="AC2347" s="8"/>
      <c r="AD2347" s="8"/>
      <c r="AE2347" s="8"/>
    </row>
    <row r="2348">
      <c r="A2348" s="12">
        <v>71.0</v>
      </c>
      <c r="B2348" s="8" t="s">
        <v>374</v>
      </c>
      <c r="C2348" s="8" t="s">
        <v>1435</v>
      </c>
      <c r="D2348" s="25">
        <f>IF(COUNTIF($B$2:$B2348,$B2348)&gt;1,"",COUNTIF($B$2:$B$2505,$B2348))</f>
        <v>16</v>
      </c>
      <c r="E2348" s="25">
        <f>IF(COUNTIF($B$2:$B2348,$B2348)&gt;1,"",COUNTIFS($B$2:$B$2505,$B2348,$K$2:$K$2505,"PHÙ HỢP CAO"))</f>
        <v>4</v>
      </c>
      <c r="F2348" s="25">
        <f>IF(COUNTIF($B$2:$B2348,$B2348)&gt;1,"",COUNTIFS($B$2:$B$2505,$B2348,$K$2:$K$2505,"CÓ THỂ ĐI"))</f>
        <v>1</v>
      </c>
      <c r="G2348" s="25">
        <f>IF(COUNTIF($B$2:$B2348,$B2348)&gt;1,"",COUNTIFS($B$2:$B$2505,$B2348,$K$2:$K$2505,"CẦN SOÁT"))</f>
        <v>11</v>
      </c>
      <c r="H2348" s="26" t="str">
        <f>IFERROR(__xludf.DUMMYFUNCTION("IF(COUNTIF($B$2:$B2348,$B2348)&gt;1,"""",IFERROR(TEXTJOIN(CHAR(10),TRUE,BYROW(QUERY({$B$2:$B$2505,$J$2:$J$2505},""select Col2, count(Col2) where Col1 = '""&amp;$B2348&amp;""' group by Col2 order by count(Col2) desc label count(Col2) ''"",0),LAMBDA(r,INDEX(r,1,1)&amp;"" "&amp;"– ""&amp;INDEX(r,1,2)&amp;"" link""))),""""))"),"kiểm tra nợ xấu – 8 link
tra cứu nợ xấu – 8 link")</f>
        <v>kiểm tra nợ xấu – 8 link
tra cứu nợ xấu – 8 link</v>
      </c>
      <c r="I2348" s="10" t="s">
        <v>1116</v>
      </c>
      <c r="J2348" s="13" t="s">
        <v>1483</v>
      </c>
      <c r="K2348" s="13" t="s">
        <v>251</v>
      </c>
      <c r="L2348" s="13" t="s">
        <v>2172</v>
      </c>
      <c r="M2348" s="7" t="s">
        <v>253</v>
      </c>
      <c r="N2348" s="7" t="s">
        <v>253</v>
      </c>
      <c r="O2348" s="7" t="s">
        <v>254</v>
      </c>
      <c r="P2348" s="8"/>
      <c r="Q2348" s="8"/>
      <c r="R2348" s="8"/>
      <c r="S2348" s="8"/>
      <c r="T2348" s="8"/>
      <c r="U2348" s="8"/>
      <c r="V2348" s="8"/>
      <c r="W2348" s="8"/>
      <c r="X2348" s="8"/>
      <c r="Y2348" s="8"/>
      <c r="Z2348" s="8"/>
      <c r="AA2348" s="8"/>
      <c r="AB2348" s="8"/>
      <c r="AC2348" s="8"/>
      <c r="AD2348" s="8"/>
      <c r="AE2348" s="8"/>
    </row>
    <row r="2349">
      <c r="A2349" s="12">
        <v>71.0</v>
      </c>
      <c r="B2349" s="8" t="s">
        <v>374</v>
      </c>
      <c r="C2349" s="8" t="s">
        <v>1435</v>
      </c>
      <c r="I2349" s="10" t="s">
        <v>1484</v>
      </c>
      <c r="J2349" s="13" t="s">
        <v>1486</v>
      </c>
      <c r="K2349" s="13" t="s">
        <v>251</v>
      </c>
      <c r="L2349" s="13" t="s">
        <v>2173</v>
      </c>
      <c r="M2349" s="7" t="s">
        <v>253</v>
      </c>
      <c r="N2349" s="7" t="s">
        <v>253</v>
      </c>
      <c r="O2349" s="7" t="s">
        <v>254</v>
      </c>
      <c r="P2349" s="8"/>
      <c r="Q2349" s="8"/>
      <c r="R2349" s="8"/>
      <c r="S2349" s="8"/>
      <c r="T2349" s="8"/>
      <c r="U2349" s="8"/>
      <c r="V2349" s="8"/>
      <c r="W2349" s="8"/>
      <c r="X2349" s="8"/>
      <c r="Y2349" s="8"/>
      <c r="Z2349" s="8"/>
      <c r="AA2349" s="8"/>
      <c r="AB2349" s="8"/>
      <c r="AC2349" s="8"/>
      <c r="AD2349" s="8"/>
      <c r="AE2349" s="8"/>
    </row>
    <row r="2350">
      <c r="A2350" s="12">
        <v>71.0</v>
      </c>
      <c r="B2350" s="8" t="s">
        <v>374</v>
      </c>
      <c r="C2350" s="8" t="s">
        <v>1435</v>
      </c>
      <c r="I2350" s="10" t="s">
        <v>1487</v>
      </c>
      <c r="J2350" s="13" t="s">
        <v>1483</v>
      </c>
      <c r="K2350" s="13" t="s">
        <v>251</v>
      </c>
      <c r="L2350" s="13" t="s">
        <v>2174</v>
      </c>
      <c r="M2350" s="7" t="s">
        <v>253</v>
      </c>
      <c r="N2350" s="7" t="s">
        <v>253</v>
      </c>
      <c r="O2350" s="7" t="s">
        <v>254</v>
      </c>
      <c r="P2350" s="8"/>
      <c r="Q2350" s="8"/>
      <c r="R2350" s="8"/>
      <c r="S2350" s="8"/>
      <c r="T2350" s="8"/>
      <c r="U2350" s="8"/>
      <c r="V2350" s="8"/>
      <c r="W2350" s="8"/>
      <c r="X2350" s="8"/>
      <c r="Y2350" s="8"/>
      <c r="Z2350" s="8"/>
      <c r="AA2350" s="8"/>
      <c r="AB2350" s="8"/>
      <c r="AC2350" s="8"/>
      <c r="AD2350" s="8"/>
      <c r="AE2350" s="8"/>
    </row>
    <row r="2351">
      <c r="A2351" s="12">
        <v>71.0</v>
      </c>
      <c r="B2351" s="8" t="s">
        <v>374</v>
      </c>
      <c r="C2351" s="8" t="s">
        <v>1435</v>
      </c>
      <c r="I2351" s="10" t="s">
        <v>934</v>
      </c>
      <c r="J2351" s="13" t="s">
        <v>1486</v>
      </c>
      <c r="K2351" s="13" t="s">
        <v>251</v>
      </c>
      <c r="L2351" s="13" t="s">
        <v>2175</v>
      </c>
      <c r="M2351" s="7" t="s">
        <v>253</v>
      </c>
      <c r="N2351" s="7" t="s">
        <v>253</v>
      </c>
      <c r="O2351" s="7" t="s">
        <v>254</v>
      </c>
      <c r="P2351" s="8"/>
      <c r="Q2351" s="8"/>
      <c r="R2351" s="8"/>
      <c r="S2351" s="8"/>
      <c r="T2351" s="8"/>
      <c r="U2351" s="8"/>
      <c r="V2351" s="8"/>
      <c r="W2351" s="8"/>
      <c r="X2351" s="8"/>
      <c r="Y2351" s="8"/>
      <c r="Z2351" s="8"/>
      <c r="AA2351" s="8"/>
      <c r="AB2351" s="8"/>
      <c r="AC2351" s="8"/>
      <c r="AD2351" s="8"/>
      <c r="AE2351" s="8"/>
    </row>
    <row r="2352">
      <c r="A2352" s="12">
        <v>71.0</v>
      </c>
      <c r="B2352" s="8" t="s">
        <v>374</v>
      </c>
      <c r="C2352" s="8" t="s">
        <v>1435</v>
      </c>
      <c r="I2352" s="10" t="s">
        <v>845</v>
      </c>
      <c r="J2352" s="13" t="s">
        <v>1483</v>
      </c>
      <c r="K2352" s="13" t="s">
        <v>272</v>
      </c>
      <c r="L2352" s="13" t="s">
        <v>2176</v>
      </c>
      <c r="M2352" s="7" t="s">
        <v>253</v>
      </c>
      <c r="N2352" s="7" t="s">
        <v>253</v>
      </c>
      <c r="O2352" s="7" t="s">
        <v>254</v>
      </c>
      <c r="P2352" s="8"/>
      <c r="Q2352" s="8"/>
      <c r="R2352" s="8"/>
      <c r="S2352" s="8"/>
      <c r="T2352" s="8"/>
      <c r="U2352" s="8"/>
      <c r="V2352" s="8"/>
      <c r="W2352" s="8"/>
      <c r="X2352" s="8"/>
      <c r="Y2352" s="8"/>
      <c r="Z2352" s="8"/>
      <c r="AA2352" s="8"/>
      <c r="AB2352" s="8"/>
      <c r="AC2352" s="8"/>
      <c r="AD2352" s="8"/>
      <c r="AE2352" s="8"/>
    </row>
    <row r="2353">
      <c r="A2353" s="12">
        <v>71.0</v>
      </c>
      <c r="B2353" s="8" t="s">
        <v>374</v>
      </c>
      <c r="C2353" s="8" t="s">
        <v>1435</v>
      </c>
      <c r="I2353" s="10" t="s">
        <v>841</v>
      </c>
      <c r="J2353" s="13" t="s">
        <v>1486</v>
      </c>
      <c r="K2353" s="13" t="s">
        <v>276</v>
      </c>
      <c r="L2353" s="13" t="s">
        <v>2177</v>
      </c>
      <c r="M2353" s="7" t="s">
        <v>253</v>
      </c>
      <c r="N2353" s="7" t="s">
        <v>253</v>
      </c>
      <c r="O2353" s="7" t="s">
        <v>254</v>
      </c>
      <c r="P2353" s="8"/>
      <c r="Q2353" s="8"/>
      <c r="R2353" s="8"/>
      <c r="S2353" s="8"/>
      <c r="T2353" s="8"/>
      <c r="U2353" s="8"/>
      <c r="V2353" s="8"/>
      <c r="W2353" s="8"/>
      <c r="X2353" s="8"/>
      <c r="Y2353" s="8"/>
      <c r="Z2353" s="8"/>
      <c r="AA2353" s="8"/>
      <c r="AB2353" s="8"/>
      <c r="AC2353" s="8"/>
      <c r="AD2353" s="8"/>
      <c r="AE2353" s="8"/>
    </row>
    <row r="2354">
      <c r="A2354" s="12">
        <v>71.0</v>
      </c>
      <c r="B2354" s="8" t="s">
        <v>374</v>
      </c>
      <c r="C2354" s="8" t="s">
        <v>1435</v>
      </c>
      <c r="I2354" s="10" t="s">
        <v>828</v>
      </c>
      <c r="J2354" s="13" t="s">
        <v>1483</v>
      </c>
      <c r="K2354" s="13" t="s">
        <v>276</v>
      </c>
      <c r="L2354" s="13" t="s">
        <v>1616</v>
      </c>
      <c r="M2354" s="7" t="s">
        <v>253</v>
      </c>
      <c r="N2354" s="7" t="s">
        <v>253</v>
      </c>
      <c r="O2354" s="7" t="s">
        <v>254</v>
      </c>
      <c r="P2354" s="8"/>
      <c r="Q2354" s="8"/>
      <c r="R2354" s="8"/>
      <c r="S2354" s="8"/>
      <c r="T2354" s="8"/>
      <c r="U2354" s="8"/>
      <c r="V2354" s="8"/>
      <c r="W2354" s="8"/>
      <c r="X2354" s="8"/>
      <c r="Y2354" s="8"/>
      <c r="Z2354" s="8"/>
      <c r="AA2354" s="8"/>
      <c r="AB2354" s="8"/>
      <c r="AC2354" s="8"/>
      <c r="AD2354" s="8"/>
      <c r="AE2354" s="8"/>
    </row>
    <row r="2355">
      <c r="A2355" s="12">
        <v>71.0</v>
      </c>
      <c r="B2355" s="8" t="s">
        <v>374</v>
      </c>
      <c r="C2355" s="8" t="s">
        <v>1435</v>
      </c>
      <c r="I2355" s="10" t="s">
        <v>1612</v>
      </c>
      <c r="J2355" s="13" t="s">
        <v>1486</v>
      </c>
      <c r="K2355" s="13" t="s">
        <v>276</v>
      </c>
      <c r="L2355" s="13" t="s">
        <v>1613</v>
      </c>
      <c r="M2355" s="7" t="s">
        <v>253</v>
      </c>
      <c r="N2355" s="7" t="s">
        <v>253</v>
      </c>
      <c r="O2355" s="7" t="s">
        <v>254</v>
      </c>
      <c r="P2355" s="8"/>
      <c r="Q2355" s="8"/>
      <c r="R2355" s="8"/>
      <c r="S2355" s="8"/>
      <c r="T2355" s="8"/>
      <c r="U2355" s="8"/>
      <c r="V2355" s="8"/>
      <c r="W2355" s="8"/>
      <c r="X2355" s="8"/>
      <c r="Y2355" s="8"/>
      <c r="Z2355" s="8"/>
      <c r="AA2355" s="8"/>
      <c r="AB2355" s="8"/>
      <c r="AC2355" s="8"/>
      <c r="AD2355" s="8"/>
      <c r="AE2355" s="8"/>
    </row>
    <row r="2356">
      <c r="A2356" s="12">
        <v>71.0</v>
      </c>
      <c r="B2356" s="8" t="s">
        <v>374</v>
      </c>
      <c r="C2356" s="8" t="s">
        <v>1435</v>
      </c>
      <c r="I2356" s="10" t="s">
        <v>376</v>
      </c>
      <c r="J2356" s="13" t="s">
        <v>1483</v>
      </c>
      <c r="K2356" s="13" t="s">
        <v>276</v>
      </c>
      <c r="L2356" s="13" t="s">
        <v>1613</v>
      </c>
      <c r="M2356" s="7" t="s">
        <v>253</v>
      </c>
      <c r="N2356" s="7" t="s">
        <v>253</v>
      </c>
      <c r="O2356" s="7" t="s">
        <v>254</v>
      </c>
      <c r="P2356" s="8"/>
      <c r="Q2356" s="8"/>
      <c r="R2356" s="8"/>
      <c r="S2356" s="8"/>
      <c r="T2356" s="8"/>
      <c r="U2356" s="8"/>
      <c r="V2356" s="8"/>
      <c r="W2356" s="8"/>
      <c r="X2356" s="8"/>
      <c r="Y2356" s="8"/>
      <c r="Z2356" s="8"/>
      <c r="AA2356" s="8"/>
      <c r="AB2356" s="8"/>
      <c r="AC2356" s="8"/>
      <c r="AD2356" s="8"/>
      <c r="AE2356" s="8"/>
    </row>
    <row r="2357">
      <c r="A2357" s="12">
        <v>71.0</v>
      </c>
      <c r="B2357" s="8" t="s">
        <v>374</v>
      </c>
      <c r="C2357" s="8" t="s">
        <v>1435</v>
      </c>
      <c r="I2357" s="10" t="s">
        <v>936</v>
      </c>
      <c r="J2357" s="13" t="s">
        <v>1486</v>
      </c>
      <c r="K2357" s="13" t="s">
        <v>276</v>
      </c>
      <c r="L2357" s="13" t="s">
        <v>1613</v>
      </c>
      <c r="M2357" s="7" t="s">
        <v>253</v>
      </c>
      <c r="N2357" s="7" t="s">
        <v>253</v>
      </c>
      <c r="O2357" s="7" t="s">
        <v>254</v>
      </c>
      <c r="P2357" s="8"/>
      <c r="Q2357" s="8"/>
      <c r="R2357" s="8"/>
      <c r="S2357" s="8"/>
      <c r="T2357" s="8"/>
      <c r="U2357" s="8"/>
      <c r="V2357" s="8"/>
      <c r="W2357" s="8"/>
      <c r="X2357" s="8"/>
      <c r="Y2357" s="8"/>
      <c r="Z2357" s="8"/>
      <c r="AA2357" s="8"/>
      <c r="AB2357" s="8"/>
      <c r="AC2357" s="8"/>
      <c r="AD2357" s="8"/>
      <c r="AE2357" s="8"/>
    </row>
    <row r="2358">
      <c r="A2358" s="12">
        <v>71.0</v>
      </c>
      <c r="B2358" s="8" t="s">
        <v>374</v>
      </c>
      <c r="C2358" s="8" t="s">
        <v>1435</v>
      </c>
      <c r="I2358" s="10" t="s">
        <v>1615</v>
      </c>
      <c r="J2358" s="13" t="s">
        <v>1483</v>
      </c>
      <c r="K2358" s="13" t="s">
        <v>276</v>
      </c>
      <c r="L2358" s="13" t="s">
        <v>1616</v>
      </c>
      <c r="M2358" s="7" t="s">
        <v>253</v>
      </c>
      <c r="N2358" s="7" t="s">
        <v>253</v>
      </c>
      <c r="O2358" s="7" t="s">
        <v>254</v>
      </c>
      <c r="P2358" s="8"/>
      <c r="Q2358" s="8"/>
      <c r="R2358" s="8"/>
      <c r="S2358" s="8"/>
      <c r="T2358" s="8"/>
      <c r="U2358" s="8"/>
      <c r="V2358" s="8"/>
      <c r="W2358" s="8"/>
      <c r="X2358" s="8"/>
      <c r="Y2358" s="8"/>
      <c r="Z2358" s="8"/>
      <c r="AA2358" s="8"/>
      <c r="AB2358" s="8"/>
      <c r="AC2358" s="8"/>
      <c r="AD2358" s="8"/>
      <c r="AE2358" s="8"/>
    </row>
    <row r="2359">
      <c r="A2359" s="12">
        <v>71.0</v>
      </c>
      <c r="B2359" s="8" t="s">
        <v>374</v>
      </c>
      <c r="C2359" s="8" t="s">
        <v>1435</v>
      </c>
      <c r="I2359" s="10" t="s">
        <v>837</v>
      </c>
      <c r="J2359" s="13" t="s">
        <v>1486</v>
      </c>
      <c r="K2359" s="13" t="s">
        <v>276</v>
      </c>
      <c r="L2359" s="13" t="s">
        <v>2178</v>
      </c>
      <c r="M2359" s="7" t="s">
        <v>253</v>
      </c>
      <c r="N2359" s="7" t="s">
        <v>253</v>
      </c>
      <c r="O2359" s="7" t="s">
        <v>254</v>
      </c>
      <c r="P2359" s="8"/>
      <c r="Q2359" s="8"/>
      <c r="R2359" s="8"/>
      <c r="S2359" s="8"/>
      <c r="T2359" s="8"/>
      <c r="U2359" s="8"/>
      <c r="V2359" s="8"/>
      <c r="W2359" s="8"/>
      <c r="X2359" s="8"/>
      <c r="Y2359" s="8"/>
      <c r="Z2359" s="8"/>
      <c r="AA2359" s="8"/>
      <c r="AB2359" s="8"/>
      <c r="AC2359" s="8"/>
      <c r="AD2359" s="8"/>
      <c r="AE2359" s="8"/>
    </row>
    <row r="2360">
      <c r="A2360" s="12">
        <v>71.0</v>
      </c>
      <c r="B2360" s="8" t="s">
        <v>374</v>
      </c>
      <c r="C2360" s="8" t="s">
        <v>1435</v>
      </c>
      <c r="I2360" s="10" t="s">
        <v>291</v>
      </c>
      <c r="J2360" s="13" t="s">
        <v>1483</v>
      </c>
      <c r="K2360" s="13" t="s">
        <v>276</v>
      </c>
      <c r="L2360" s="13" t="s">
        <v>1616</v>
      </c>
      <c r="M2360" s="7" t="s">
        <v>253</v>
      </c>
      <c r="N2360" s="7" t="s">
        <v>253</v>
      </c>
      <c r="O2360" s="7" t="s">
        <v>254</v>
      </c>
      <c r="P2360" s="8"/>
      <c r="Q2360" s="8"/>
      <c r="R2360" s="8"/>
      <c r="S2360" s="8"/>
      <c r="T2360" s="8"/>
      <c r="U2360" s="8"/>
      <c r="V2360" s="8"/>
      <c r="W2360" s="8"/>
      <c r="X2360" s="8"/>
      <c r="Y2360" s="8"/>
      <c r="Z2360" s="8"/>
      <c r="AA2360" s="8"/>
      <c r="AB2360" s="8"/>
      <c r="AC2360" s="8"/>
      <c r="AD2360" s="8"/>
      <c r="AE2360" s="8"/>
    </row>
    <row r="2361">
      <c r="A2361" s="12">
        <v>71.0</v>
      </c>
      <c r="B2361" s="8" t="s">
        <v>374</v>
      </c>
      <c r="C2361" s="8" t="s">
        <v>1435</v>
      </c>
      <c r="I2361" s="10" t="s">
        <v>924</v>
      </c>
      <c r="J2361" s="13" t="s">
        <v>1486</v>
      </c>
      <c r="K2361" s="13" t="s">
        <v>276</v>
      </c>
      <c r="L2361" s="13" t="s">
        <v>1613</v>
      </c>
      <c r="M2361" s="7" t="s">
        <v>253</v>
      </c>
      <c r="N2361" s="7" t="s">
        <v>253</v>
      </c>
      <c r="O2361" s="7" t="s">
        <v>254</v>
      </c>
      <c r="P2361" s="8"/>
      <c r="Q2361" s="8"/>
      <c r="R2361" s="8"/>
      <c r="S2361" s="8"/>
      <c r="T2361" s="8"/>
      <c r="U2361" s="8"/>
      <c r="V2361" s="8"/>
      <c r="W2361" s="8"/>
      <c r="X2361" s="8"/>
      <c r="Y2361" s="8"/>
      <c r="Z2361" s="8"/>
      <c r="AA2361" s="8"/>
      <c r="AB2361" s="8"/>
      <c r="AC2361" s="8"/>
      <c r="AD2361" s="8"/>
      <c r="AE2361" s="8"/>
    </row>
    <row r="2362">
      <c r="A2362" s="12">
        <v>71.0</v>
      </c>
      <c r="B2362" s="8" t="s">
        <v>374</v>
      </c>
      <c r="C2362" s="8" t="s">
        <v>1435</v>
      </c>
      <c r="I2362" s="10" t="s">
        <v>948</v>
      </c>
      <c r="J2362" s="13" t="s">
        <v>1483</v>
      </c>
      <c r="K2362" s="13" t="s">
        <v>276</v>
      </c>
      <c r="L2362" s="13" t="s">
        <v>1613</v>
      </c>
      <c r="M2362" s="7" t="s">
        <v>253</v>
      </c>
      <c r="N2362" s="7" t="s">
        <v>253</v>
      </c>
      <c r="O2362" s="7" t="s">
        <v>254</v>
      </c>
      <c r="P2362" s="8"/>
      <c r="Q2362" s="8"/>
      <c r="R2362" s="8"/>
      <c r="S2362" s="8"/>
      <c r="T2362" s="8"/>
      <c r="U2362" s="8"/>
      <c r="V2362" s="8"/>
      <c r="W2362" s="8"/>
      <c r="X2362" s="8"/>
      <c r="Y2362" s="8"/>
      <c r="Z2362" s="8"/>
      <c r="AA2362" s="8"/>
      <c r="AB2362" s="8"/>
      <c r="AC2362" s="8"/>
      <c r="AD2362" s="8"/>
      <c r="AE2362" s="8"/>
    </row>
    <row r="2363">
      <c r="A2363" s="12">
        <v>71.0</v>
      </c>
      <c r="B2363" s="8" t="s">
        <v>374</v>
      </c>
      <c r="C2363" s="8" t="s">
        <v>1435</v>
      </c>
      <c r="I2363" s="10" t="s">
        <v>832</v>
      </c>
      <c r="J2363" s="13" t="s">
        <v>1486</v>
      </c>
      <c r="K2363" s="13" t="s">
        <v>276</v>
      </c>
      <c r="L2363" s="13" t="s">
        <v>1616</v>
      </c>
      <c r="M2363" s="7" t="s">
        <v>253</v>
      </c>
      <c r="N2363" s="7" t="s">
        <v>253</v>
      </c>
      <c r="O2363" s="7" t="s">
        <v>254</v>
      </c>
      <c r="P2363" s="8"/>
      <c r="Q2363" s="8"/>
      <c r="R2363" s="8"/>
      <c r="S2363" s="8"/>
      <c r="T2363" s="8"/>
      <c r="U2363" s="8"/>
      <c r="V2363" s="8"/>
      <c r="W2363" s="8"/>
      <c r="X2363" s="8"/>
      <c r="Y2363" s="8"/>
      <c r="Z2363" s="8"/>
      <c r="AA2363" s="8"/>
      <c r="AB2363" s="8"/>
      <c r="AC2363" s="8"/>
      <c r="AD2363" s="8"/>
      <c r="AE2363" s="8"/>
    </row>
    <row r="2364">
      <c r="A2364" s="12">
        <v>72.0</v>
      </c>
      <c r="B2364" s="8" t="s">
        <v>375</v>
      </c>
      <c r="C2364" s="8" t="s">
        <v>1435</v>
      </c>
      <c r="D2364" s="25">
        <f>IF(COUNTIF($B$2:$B2364,$B2364)&gt;1,"",COUNTIF($B$2:$B$2505,$B2364))</f>
        <v>31</v>
      </c>
      <c r="E2364" s="25">
        <f>IF(COUNTIF($B$2:$B2364,$B2364)&gt;1,"",COUNTIFS($B$2:$B$2505,$B2364,$K$2:$K$2505,"PHÙ HỢP CAO"))</f>
        <v>5</v>
      </c>
      <c r="F2364" s="25">
        <f>IF(COUNTIF($B$2:$B2364,$B2364)&gt;1,"",COUNTIFS($B$2:$B$2505,$B2364,$K$2:$K$2505,"CÓ THỂ ĐI"))</f>
        <v>0</v>
      </c>
      <c r="G2364" s="25">
        <f>IF(COUNTIF($B$2:$B2364,$B2364)&gt;1,"",COUNTIFS($B$2:$B$2505,$B2364,$K$2:$K$2505,"CẦN SOÁT"))</f>
        <v>26</v>
      </c>
      <c r="H2364" s="26" t="str">
        <f>IFERROR(__xludf.DUMMYFUNCTION("IF(COUNTIF($B$2:$B2364,$B2364)&gt;1,"""",IFERROR(TEXTJOIN(CHAR(10),TRUE,BYROW(QUERY({$B$2:$B$2505,$J$2:$J$2505},""select Col2, count(Col2) where Col1 = '""&amp;$B2364&amp;""' group by Col2 order by count(Col2) desc label count(Col2) ''"",0),LAMBDA(r,INDEX(r,1,1)&amp;"" "&amp;"– ""&amp;INDEX(r,1,2)&amp;"" link""))),""""))"),"nên vay tín chấp ở đâu – 31 link")</f>
        <v>nên vay tín chấp ở đâu – 31 link</v>
      </c>
      <c r="I2364" s="10" t="s">
        <v>1493</v>
      </c>
      <c r="J2364" s="13" t="s">
        <v>1495</v>
      </c>
      <c r="K2364" s="13" t="s">
        <v>251</v>
      </c>
      <c r="L2364" s="13" t="s">
        <v>2179</v>
      </c>
      <c r="M2364" s="7" t="s">
        <v>253</v>
      </c>
      <c r="N2364" s="7" t="s">
        <v>253</v>
      </c>
      <c r="O2364" s="7" t="s">
        <v>254</v>
      </c>
      <c r="P2364" s="8"/>
      <c r="Q2364" s="8"/>
      <c r="R2364" s="8"/>
      <c r="S2364" s="8"/>
      <c r="T2364" s="8"/>
      <c r="U2364" s="8"/>
      <c r="V2364" s="8"/>
      <c r="W2364" s="8"/>
      <c r="X2364" s="8"/>
      <c r="Y2364" s="8"/>
      <c r="Z2364" s="8"/>
      <c r="AA2364" s="8"/>
      <c r="AB2364" s="8"/>
      <c r="AC2364" s="8"/>
      <c r="AD2364" s="8"/>
      <c r="AE2364" s="8"/>
    </row>
    <row r="2365">
      <c r="A2365" s="12">
        <v>72.0</v>
      </c>
      <c r="B2365" s="8" t="s">
        <v>375</v>
      </c>
      <c r="C2365" s="8" t="s">
        <v>1435</v>
      </c>
      <c r="I2365" s="10" t="s">
        <v>1496</v>
      </c>
      <c r="J2365" s="13" t="s">
        <v>1495</v>
      </c>
      <c r="K2365" s="13" t="s">
        <v>251</v>
      </c>
      <c r="L2365" s="13" t="s">
        <v>2180</v>
      </c>
      <c r="M2365" s="7" t="s">
        <v>253</v>
      </c>
      <c r="N2365" s="7" t="s">
        <v>253</v>
      </c>
      <c r="O2365" s="7" t="s">
        <v>254</v>
      </c>
      <c r="P2365" s="8"/>
      <c r="Q2365" s="8"/>
      <c r="R2365" s="8"/>
      <c r="S2365" s="8"/>
      <c r="T2365" s="8"/>
      <c r="U2365" s="8"/>
      <c r="V2365" s="8"/>
      <c r="W2365" s="8"/>
      <c r="X2365" s="8"/>
      <c r="Y2365" s="8"/>
      <c r="Z2365" s="8"/>
      <c r="AA2365" s="8"/>
      <c r="AB2365" s="8"/>
      <c r="AC2365" s="8"/>
      <c r="AD2365" s="8"/>
      <c r="AE2365" s="8"/>
    </row>
    <row r="2366">
      <c r="A2366" s="12">
        <v>72.0</v>
      </c>
      <c r="B2366" s="8" t="s">
        <v>375</v>
      </c>
      <c r="C2366" s="8" t="s">
        <v>1435</v>
      </c>
      <c r="I2366" s="10" t="s">
        <v>1499</v>
      </c>
      <c r="J2366" s="13" t="s">
        <v>1495</v>
      </c>
      <c r="K2366" s="13" t="s">
        <v>251</v>
      </c>
      <c r="L2366" s="13" t="s">
        <v>2181</v>
      </c>
      <c r="M2366" s="7" t="s">
        <v>253</v>
      </c>
      <c r="N2366" s="7" t="s">
        <v>253</v>
      </c>
      <c r="O2366" s="7" t="s">
        <v>254</v>
      </c>
      <c r="P2366" s="8"/>
      <c r="Q2366" s="8"/>
      <c r="R2366" s="8"/>
      <c r="S2366" s="8"/>
      <c r="T2366" s="8"/>
      <c r="U2366" s="8"/>
      <c r="V2366" s="8"/>
      <c r="W2366" s="8"/>
      <c r="X2366" s="8"/>
      <c r="Y2366" s="8"/>
      <c r="Z2366" s="8"/>
      <c r="AA2366" s="8"/>
      <c r="AB2366" s="8"/>
      <c r="AC2366" s="8"/>
      <c r="AD2366" s="8"/>
      <c r="AE2366" s="8"/>
    </row>
    <row r="2367">
      <c r="A2367" s="12">
        <v>72.0</v>
      </c>
      <c r="B2367" s="8" t="s">
        <v>375</v>
      </c>
      <c r="C2367" s="8" t="s">
        <v>1435</v>
      </c>
      <c r="I2367" s="10" t="s">
        <v>1504</v>
      </c>
      <c r="J2367" s="13" t="s">
        <v>1495</v>
      </c>
      <c r="K2367" s="13" t="s">
        <v>251</v>
      </c>
      <c r="L2367" s="13" t="s">
        <v>2182</v>
      </c>
      <c r="M2367" s="7" t="s">
        <v>253</v>
      </c>
      <c r="N2367" s="7" t="s">
        <v>253</v>
      </c>
      <c r="O2367" s="7" t="s">
        <v>254</v>
      </c>
      <c r="P2367" s="8"/>
      <c r="Q2367" s="8"/>
      <c r="R2367" s="8"/>
      <c r="S2367" s="8"/>
      <c r="T2367" s="8"/>
      <c r="U2367" s="8"/>
      <c r="V2367" s="8"/>
      <c r="W2367" s="8"/>
      <c r="X2367" s="8"/>
      <c r="Y2367" s="8"/>
      <c r="Z2367" s="8"/>
      <c r="AA2367" s="8"/>
      <c r="AB2367" s="8"/>
      <c r="AC2367" s="8"/>
      <c r="AD2367" s="8"/>
      <c r="AE2367" s="8"/>
    </row>
    <row r="2368">
      <c r="A2368" s="12">
        <v>72.0</v>
      </c>
      <c r="B2368" s="8" t="s">
        <v>375</v>
      </c>
      <c r="C2368" s="8" t="s">
        <v>1435</v>
      </c>
      <c r="I2368" s="10" t="s">
        <v>913</v>
      </c>
      <c r="J2368" s="13" t="s">
        <v>1495</v>
      </c>
      <c r="K2368" s="13" t="s">
        <v>251</v>
      </c>
      <c r="L2368" s="13" t="s">
        <v>2183</v>
      </c>
      <c r="M2368" s="7" t="s">
        <v>253</v>
      </c>
      <c r="N2368" s="7" t="s">
        <v>253</v>
      </c>
      <c r="O2368" s="7" t="s">
        <v>254</v>
      </c>
      <c r="P2368" s="8"/>
      <c r="Q2368" s="8"/>
      <c r="R2368" s="8"/>
      <c r="S2368" s="8"/>
      <c r="T2368" s="8"/>
      <c r="U2368" s="8"/>
      <c r="V2368" s="8"/>
      <c r="W2368" s="8"/>
      <c r="X2368" s="8"/>
      <c r="Y2368" s="8"/>
      <c r="Z2368" s="8"/>
      <c r="AA2368" s="8"/>
      <c r="AB2368" s="8"/>
      <c r="AC2368" s="8"/>
      <c r="AD2368" s="8"/>
      <c r="AE2368" s="8"/>
    </row>
    <row r="2369">
      <c r="A2369" s="12">
        <v>72.0</v>
      </c>
      <c r="B2369" s="8" t="s">
        <v>375</v>
      </c>
      <c r="C2369" s="8" t="s">
        <v>1435</v>
      </c>
      <c r="I2369" s="10" t="s">
        <v>1980</v>
      </c>
      <c r="J2369" s="13" t="s">
        <v>1495</v>
      </c>
      <c r="K2369" s="13" t="s">
        <v>276</v>
      </c>
      <c r="L2369" s="13" t="s">
        <v>2184</v>
      </c>
      <c r="M2369" s="7" t="s">
        <v>253</v>
      </c>
      <c r="N2369" s="7" t="s">
        <v>253</v>
      </c>
      <c r="O2369" s="7" t="s">
        <v>254</v>
      </c>
      <c r="P2369" s="8"/>
      <c r="Q2369" s="8"/>
      <c r="R2369" s="8"/>
      <c r="S2369" s="8"/>
      <c r="T2369" s="8"/>
      <c r="U2369" s="8"/>
      <c r="V2369" s="8"/>
      <c r="W2369" s="8"/>
      <c r="X2369" s="8"/>
      <c r="Y2369" s="8"/>
      <c r="Z2369" s="8"/>
      <c r="AA2369" s="8"/>
      <c r="AB2369" s="8"/>
      <c r="AC2369" s="8"/>
      <c r="AD2369" s="8"/>
      <c r="AE2369" s="8"/>
    </row>
    <row r="2370">
      <c r="A2370" s="12">
        <v>72.0</v>
      </c>
      <c r="B2370" s="8" t="s">
        <v>375</v>
      </c>
      <c r="C2370" s="8" t="s">
        <v>1435</v>
      </c>
      <c r="I2370" s="10" t="s">
        <v>2185</v>
      </c>
      <c r="J2370" s="13" t="s">
        <v>1495</v>
      </c>
      <c r="K2370" s="13" t="s">
        <v>276</v>
      </c>
      <c r="L2370" s="13" t="s">
        <v>2184</v>
      </c>
      <c r="M2370" s="7" t="s">
        <v>253</v>
      </c>
      <c r="N2370" s="7" t="s">
        <v>253</v>
      </c>
      <c r="O2370" s="7" t="s">
        <v>254</v>
      </c>
      <c r="P2370" s="8"/>
      <c r="Q2370" s="8"/>
      <c r="R2370" s="8"/>
      <c r="S2370" s="8"/>
      <c r="T2370" s="8"/>
      <c r="U2370" s="8"/>
      <c r="V2370" s="8"/>
      <c r="W2370" s="8"/>
      <c r="X2370" s="8"/>
      <c r="Y2370" s="8"/>
      <c r="Z2370" s="8"/>
      <c r="AA2370" s="8"/>
      <c r="AB2370" s="8"/>
      <c r="AC2370" s="8"/>
      <c r="AD2370" s="8"/>
      <c r="AE2370" s="8"/>
    </row>
    <row r="2371">
      <c r="A2371" s="12">
        <v>72.0</v>
      </c>
      <c r="B2371" s="8" t="s">
        <v>375</v>
      </c>
      <c r="C2371" s="8" t="s">
        <v>1435</v>
      </c>
      <c r="I2371" s="10" t="s">
        <v>1893</v>
      </c>
      <c r="J2371" s="13" t="s">
        <v>1495</v>
      </c>
      <c r="K2371" s="13" t="s">
        <v>276</v>
      </c>
      <c r="L2371" s="13" t="s">
        <v>2184</v>
      </c>
      <c r="M2371" s="7" t="s">
        <v>253</v>
      </c>
      <c r="N2371" s="7" t="s">
        <v>253</v>
      </c>
      <c r="O2371" s="7" t="s">
        <v>254</v>
      </c>
      <c r="P2371" s="8"/>
      <c r="Q2371" s="8"/>
      <c r="R2371" s="8"/>
      <c r="S2371" s="8"/>
      <c r="T2371" s="8"/>
      <c r="U2371" s="8"/>
      <c r="V2371" s="8"/>
      <c r="W2371" s="8"/>
      <c r="X2371" s="8"/>
      <c r="Y2371" s="8"/>
      <c r="Z2371" s="8"/>
      <c r="AA2371" s="8"/>
      <c r="AB2371" s="8"/>
      <c r="AC2371" s="8"/>
      <c r="AD2371" s="8"/>
      <c r="AE2371" s="8"/>
    </row>
    <row r="2372">
      <c r="A2372" s="12">
        <v>72.0</v>
      </c>
      <c r="B2372" s="8" t="s">
        <v>375</v>
      </c>
      <c r="C2372" s="8" t="s">
        <v>1435</v>
      </c>
      <c r="I2372" s="10" t="s">
        <v>1895</v>
      </c>
      <c r="J2372" s="13" t="s">
        <v>1495</v>
      </c>
      <c r="K2372" s="13" t="s">
        <v>276</v>
      </c>
      <c r="L2372" s="13" t="s">
        <v>2184</v>
      </c>
      <c r="M2372" s="7" t="s">
        <v>253</v>
      </c>
      <c r="N2372" s="7" t="s">
        <v>253</v>
      </c>
      <c r="O2372" s="7" t="s">
        <v>254</v>
      </c>
      <c r="P2372" s="8"/>
      <c r="Q2372" s="8"/>
      <c r="R2372" s="8"/>
      <c r="S2372" s="8"/>
      <c r="T2372" s="8"/>
      <c r="U2372" s="8"/>
      <c r="V2372" s="8"/>
      <c r="W2372" s="8"/>
      <c r="X2372" s="8"/>
      <c r="Y2372" s="8"/>
      <c r="Z2372" s="8"/>
      <c r="AA2372" s="8"/>
      <c r="AB2372" s="8"/>
      <c r="AC2372" s="8"/>
      <c r="AD2372" s="8"/>
      <c r="AE2372" s="8"/>
    </row>
    <row r="2373">
      <c r="A2373" s="12">
        <v>72.0</v>
      </c>
      <c r="B2373" s="8" t="s">
        <v>375</v>
      </c>
      <c r="C2373" s="8" t="s">
        <v>1435</v>
      </c>
      <c r="I2373" s="10" t="s">
        <v>1730</v>
      </c>
      <c r="J2373" s="13" t="s">
        <v>1495</v>
      </c>
      <c r="K2373" s="13" t="s">
        <v>276</v>
      </c>
      <c r="L2373" s="13" t="s">
        <v>2184</v>
      </c>
      <c r="M2373" s="7" t="s">
        <v>253</v>
      </c>
      <c r="N2373" s="7" t="s">
        <v>253</v>
      </c>
      <c r="O2373" s="7" t="s">
        <v>254</v>
      </c>
      <c r="P2373" s="8"/>
      <c r="Q2373" s="8"/>
      <c r="R2373" s="8"/>
      <c r="S2373" s="8"/>
      <c r="T2373" s="8"/>
      <c r="U2373" s="8"/>
      <c r="V2373" s="8"/>
      <c r="W2373" s="8"/>
      <c r="X2373" s="8"/>
      <c r="Y2373" s="8"/>
      <c r="Z2373" s="8"/>
      <c r="AA2373" s="8"/>
      <c r="AB2373" s="8"/>
      <c r="AC2373" s="8"/>
      <c r="AD2373" s="8"/>
      <c r="AE2373" s="8"/>
    </row>
    <row r="2374">
      <c r="A2374" s="12">
        <v>72.0</v>
      </c>
      <c r="B2374" s="8" t="s">
        <v>375</v>
      </c>
      <c r="C2374" s="8" t="s">
        <v>1435</v>
      </c>
      <c r="I2374" s="10" t="s">
        <v>2186</v>
      </c>
      <c r="J2374" s="13" t="s">
        <v>1495</v>
      </c>
      <c r="K2374" s="13" t="s">
        <v>276</v>
      </c>
      <c r="L2374" s="13" t="s">
        <v>2184</v>
      </c>
      <c r="M2374" s="7" t="s">
        <v>253</v>
      </c>
      <c r="N2374" s="7" t="s">
        <v>253</v>
      </c>
      <c r="O2374" s="7" t="s">
        <v>254</v>
      </c>
      <c r="P2374" s="8"/>
      <c r="Q2374" s="8"/>
      <c r="R2374" s="8"/>
      <c r="S2374" s="8"/>
      <c r="T2374" s="8"/>
      <c r="U2374" s="8"/>
      <c r="V2374" s="8"/>
      <c r="W2374" s="8"/>
      <c r="X2374" s="8"/>
      <c r="Y2374" s="8"/>
      <c r="Z2374" s="8"/>
      <c r="AA2374" s="8"/>
      <c r="AB2374" s="8"/>
      <c r="AC2374" s="8"/>
      <c r="AD2374" s="8"/>
      <c r="AE2374" s="8"/>
    </row>
    <row r="2375">
      <c r="A2375" s="12">
        <v>72.0</v>
      </c>
      <c r="B2375" s="8" t="s">
        <v>375</v>
      </c>
      <c r="C2375" s="8" t="s">
        <v>1435</v>
      </c>
      <c r="I2375" s="10" t="s">
        <v>1262</v>
      </c>
      <c r="J2375" s="13" t="s">
        <v>1495</v>
      </c>
      <c r="K2375" s="13" t="s">
        <v>276</v>
      </c>
      <c r="L2375" s="13" t="s">
        <v>2187</v>
      </c>
      <c r="M2375" s="7" t="s">
        <v>253</v>
      </c>
      <c r="N2375" s="7" t="s">
        <v>253</v>
      </c>
      <c r="O2375" s="7" t="s">
        <v>254</v>
      </c>
      <c r="P2375" s="8"/>
      <c r="Q2375" s="8"/>
      <c r="R2375" s="8"/>
      <c r="S2375" s="8"/>
      <c r="T2375" s="8"/>
      <c r="U2375" s="8"/>
      <c r="V2375" s="8"/>
      <c r="W2375" s="8"/>
      <c r="X2375" s="8"/>
      <c r="Y2375" s="8"/>
      <c r="Z2375" s="8"/>
      <c r="AA2375" s="8"/>
      <c r="AB2375" s="8"/>
      <c r="AC2375" s="8"/>
      <c r="AD2375" s="8"/>
      <c r="AE2375" s="8"/>
    </row>
    <row r="2376">
      <c r="A2376" s="12">
        <v>72.0</v>
      </c>
      <c r="B2376" s="8" t="s">
        <v>375</v>
      </c>
      <c r="C2376" s="8" t="s">
        <v>1435</v>
      </c>
      <c r="I2376" s="10" t="s">
        <v>643</v>
      </c>
      <c r="J2376" s="13" t="s">
        <v>1495</v>
      </c>
      <c r="K2376" s="13" t="s">
        <v>276</v>
      </c>
      <c r="L2376" s="13" t="s">
        <v>2157</v>
      </c>
      <c r="M2376" s="7" t="s">
        <v>253</v>
      </c>
      <c r="N2376" s="7" t="s">
        <v>253</v>
      </c>
      <c r="O2376" s="7" t="s">
        <v>254</v>
      </c>
      <c r="P2376" s="8"/>
      <c r="Q2376" s="8"/>
      <c r="R2376" s="8"/>
      <c r="S2376" s="8"/>
      <c r="T2376" s="8"/>
      <c r="U2376" s="8"/>
      <c r="V2376" s="8"/>
      <c r="W2376" s="8"/>
      <c r="X2376" s="8"/>
      <c r="Y2376" s="8"/>
      <c r="Z2376" s="8"/>
      <c r="AA2376" s="8"/>
      <c r="AB2376" s="8"/>
      <c r="AC2376" s="8"/>
      <c r="AD2376" s="8"/>
      <c r="AE2376" s="8"/>
    </row>
    <row r="2377">
      <c r="A2377" s="12">
        <v>72.0</v>
      </c>
      <c r="B2377" s="8" t="s">
        <v>375</v>
      </c>
      <c r="C2377" s="8" t="s">
        <v>1435</v>
      </c>
      <c r="I2377" s="10" t="s">
        <v>1440</v>
      </c>
      <c r="J2377" s="13" t="s">
        <v>1495</v>
      </c>
      <c r="K2377" s="13" t="s">
        <v>276</v>
      </c>
      <c r="L2377" s="13" t="s">
        <v>2157</v>
      </c>
      <c r="M2377" s="7" t="s">
        <v>253</v>
      </c>
      <c r="N2377" s="7" t="s">
        <v>253</v>
      </c>
      <c r="O2377" s="7" t="s">
        <v>254</v>
      </c>
      <c r="P2377" s="8"/>
      <c r="Q2377" s="8"/>
      <c r="R2377" s="8"/>
      <c r="S2377" s="8"/>
      <c r="T2377" s="8"/>
      <c r="U2377" s="8"/>
      <c r="V2377" s="8"/>
      <c r="W2377" s="8"/>
      <c r="X2377" s="8"/>
      <c r="Y2377" s="8"/>
      <c r="Z2377" s="8"/>
      <c r="AA2377" s="8"/>
      <c r="AB2377" s="8"/>
      <c r="AC2377" s="8"/>
      <c r="AD2377" s="8"/>
      <c r="AE2377" s="8"/>
    </row>
    <row r="2378">
      <c r="A2378" s="12">
        <v>72.0</v>
      </c>
      <c r="B2378" s="8" t="s">
        <v>375</v>
      </c>
      <c r="C2378" s="8" t="s">
        <v>1435</v>
      </c>
      <c r="I2378" s="10" t="s">
        <v>2188</v>
      </c>
      <c r="J2378" s="13" t="s">
        <v>1495</v>
      </c>
      <c r="K2378" s="13" t="s">
        <v>276</v>
      </c>
      <c r="L2378" s="13" t="s">
        <v>2187</v>
      </c>
      <c r="M2378" s="7" t="s">
        <v>253</v>
      </c>
      <c r="N2378" s="7" t="s">
        <v>253</v>
      </c>
      <c r="O2378" s="7" t="s">
        <v>254</v>
      </c>
      <c r="P2378" s="8"/>
      <c r="Q2378" s="8"/>
      <c r="R2378" s="8"/>
      <c r="S2378" s="8"/>
      <c r="T2378" s="8"/>
      <c r="U2378" s="8"/>
      <c r="V2378" s="8"/>
      <c r="W2378" s="8"/>
      <c r="X2378" s="8"/>
      <c r="Y2378" s="8"/>
      <c r="Z2378" s="8"/>
      <c r="AA2378" s="8"/>
      <c r="AB2378" s="8"/>
      <c r="AC2378" s="8"/>
      <c r="AD2378" s="8"/>
      <c r="AE2378" s="8"/>
    </row>
    <row r="2379">
      <c r="A2379" s="12">
        <v>72.0</v>
      </c>
      <c r="B2379" s="8" t="s">
        <v>375</v>
      </c>
      <c r="C2379" s="8" t="s">
        <v>1435</v>
      </c>
      <c r="I2379" s="10" t="s">
        <v>885</v>
      </c>
      <c r="J2379" s="13" t="s">
        <v>1495</v>
      </c>
      <c r="K2379" s="13" t="s">
        <v>276</v>
      </c>
      <c r="L2379" s="13" t="s">
        <v>2187</v>
      </c>
      <c r="M2379" s="7" t="s">
        <v>253</v>
      </c>
      <c r="N2379" s="7" t="s">
        <v>253</v>
      </c>
      <c r="O2379" s="7" t="s">
        <v>254</v>
      </c>
      <c r="P2379" s="8"/>
      <c r="Q2379" s="8"/>
      <c r="R2379" s="8"/>
      <c r="S2379" s="8"/>
      <c r="T2379" s="8"/>
      <c r="U2379" s="8"/>
      <c r="V2379" s="8"/>
      <c r="W2379" s="8"/>
      <c r="X2379" s="8"/>
      <c r="Y2379" s="8"/>
      <c r="Z2379" s="8"/>
      <c r="AA2379" s="8"/>
      <c r="AB2379" s="8"/>
      <c r="AC2379" s="8"/>
      <c r="AD2379" s="8"/>
      <c r="AE2379" s="8"/>
    </row>
    <row r="2380">
      <c r="A2380" s="12">
        <v>72.0</v>
      </c>
      <c r="B2380" s="8" t="s">
        <v>375</v>
      </c>
      <c r="C2380" s="8" t="s">
        <v>1435</v>
      </c>
      <c r="I2380" s="10" t="s">
        <v>1632</v>
      </c>
      <c r="J2380" s="13" t="s">
        <v>1495</v>
      </c>
      <c r="K2380" s="13" t="s">
        <v>276</v>
      </c>
      <c r="L2380" s="13" t="s">
        <v>2157</v>
      </c>
      <c r="M2380" s="7" t="s">
        <v>253</v>
      </c>
      <c r="N2380" s="7" t="s">
        <v>253</v>
      </c>
      <c r="O2380" s="7" t="s">
        <v>254</v>
      </c>
      <c r="P2380" s="8"/>
      <c r="Q2380" s="8"/>
      <c r="R2380" s="8"/>
      <c r="S2380" s="8"/>
      <c r="T2380" s="8"/>
      <c r="U2380" s="8"/>
      <c r="V2380" s="8"/>
      <c r="W2380" s="8"/>
      <c r="X2380" s="8"/>
      <c r="Y2380" s="8"/>
      <c r="Z2380" s="8"/>
      <c r="AA2380" s="8"/>
      <c r="AB2380" s="8"/>
      <c r="AC2380" s="8"/>
      <c r="AD2380" s="8"/>
      <c r="AE2380" s="8"/>
    </row>
    <row r="2381">
      <c r="A2381" s="12">
        <v>72.0</v>
      </c>
      <c r="B2381" s="8" t="s">
        <v>375</v>
      </c>
      <c r="C2381" s="8" t="s">
        <v>1435</v>
      </c>
      <c r="I2381" s="10" t="s">
        <v>1406</v>
      </c>
      <c r="J2381" s="13" t="s">
        <v>1495</v>
      </c>
      <c r="K2381" s="13" t="s">
        <v>276</v>
      </c>
      <c r="L2381" s="13" t="s">
        <v>2184</v>
      </c>
      <c r="M2381" s="7" t="s">
        <v>253</v>
      </c>
      <c r="N2381" s="7" t="s">
        <v>253</v>
      </c>
      <c r="O2381" s="7" t="s">
        <v>254</v>
      </c>
      <c r="P2381" s="8"/>
      <c r="Q2381" s="8"/>
      <c r="R2381" s="8"/>
      <c r="S2381" s="8"/>
      <c r="T2381" s="8"/>
      <c r="U2381" s="8"/>
      <c r="V2381" s="8"/>
      <c r="W2381" s="8"/>
      <c r="X2381" s="8"/>
      <c r="Y2381" s="8"/>
      <c r="Z2381" s="8"/>
      <c r="AA2381" s="8"/>
      <c r="AB2381" s="8"/>
      <c r="AC2381" s="8"/>
      <c r="AD2381" s="8"/>
      <c r="AE2381" s="8"/>
    </row>
    <row r="2382">
      <c r="A2382" s="12">
        <v>72.0</v>
      </c>
      <c r="B2382" s="8" t="s">
        <v>375</v>
      </c>
      <c r="C2382" s="8" t="s">
        <v>1435</v>
      </c>
      <c r="I2382" s="10" t="s">
        <v>1913</v>
      </c>
      <c r="J2382" s="13" t="s">
        <v>1495</v>
      </c>
      <c r="K2382" s="13" t="s">
        <v>276</v>
      </c>
      <c r="L2382" s="13" t="s">
        <v>2157</v>
      </c>
      <c r="M2382" s="7" t="s">
        <v>253</v>
      </c>
      <c r="N2382" s="7" t="s">
        <v>253</v>
      </c>
      <c r="O2382" s="7" t="s">
        <v>254</v>
      </c>
      <c r="P2382" s="8"/>
      <c r="Q2382" s="8"/>
      <c r="R2382" s="8"/>
      <c r="S2382" s="8"/>
      <c r="T2382" s="8"/>
      <c r="U2382" s="8"/>
      <c r="V2382" s="8"/>
      <c r="W2382" s="8"/>
      <c r="X2382" s="8"/>
      <c r="Y2382" s="8"/>
      <c r="Z2382" s="8"/>
      <c r="AA2382" s="8"/>
      <c r="AB2382" s="8"/>
      <c r="AC2382" s="8"/>
      <c r="AD2382" s="8"/>
      <c r="AE2382" s="8"/>
    </row>
    <row r="2383">
      <c r="A2383" s="12">
        <v>72.0</v>
      </c>
      <c r="B2383" s="8" t="s">
        <v>375</v>
      </c>
      <c r="C2383" s="8" t="s">
        <v>1435</v>
      </c>
      <c r="I2383" s="10" t="s">
        <v>1291</v>
      </c>
      <c r="J2383" s="13" t="s">
        <v>1495</v>
      </c>
      <c r="K2383" s="13" t="s">
        <v>276</v>
      </c>
      <c r="L2383" s="13" t="s">
        <v>2157</v>
      </c>
      <c r="M2383" s="7" t="s">
        <v>253</v>
      </c>
      <c r="N2383" s="7" t="s">
        <v>253</v>
      </c>
      <c r="O2383" s="7" t="s">
        <v>254</v>
      </c>
      <c r="P2383" s="8"/>
      <c r="Q2383" s="8"/>
      <c r="R2383" s="8"/>
      <c r="S2383" s="8"/>
      <c r="T2383" s="8"/>
      <c r="U2383" s="8"/>
      <c r="V2383" s="8"/>
      <c r="W2383" s="8"/>
      <c r="X2383" s="8"/>
      <c r="Y2383" s="8"/>
      <c r="Z2383" s="8"/>
      <c r="AA2383" s="8"/>
      <c r="AB2383" s="8"/>
      <c r="AC2383" s="8"/>
      <c r="AD2383" s="8"/>
      <c r="AE2383" s="8"/>
    </row>
    <row r="2384">
      <c r="A2384" s="12">
        <v>72.0</v>
      </c>
      <c r="B2384" s="8" t="s">
        <v>375</v>
      </c>
      <c r="C2384" s="8" t="s">
        <v>1435</v>
      </c>
      <c r="I2384" s="10" t="s">
        <v>1487</v>
      </c>
      <c r="J2384" s="13" t="s">
        <v>1495</v>
      </c>
      <c r="K2384" s="13" t="s">
        <v>276</v>
      </c>
      <c r="L2384" s="13" t="s">
        <v>2184</v>
      </c>
      <c r="M2384" s="7" t="s">
        <v>253</v>
      </c>
      <c r="N2384" s="7" t="s">
        <v>253</v>
      </c>
      <c r="O2384" s="7" t="s">
        <v>254</v>
      </c>
      <c r="P2384" s="8"/>
      <c r="Q2384" s="8"/>
      <c r="R2384" s="8"/>
      <c r="S2384" s="8"/>
      <c r="T2384" s="8"/>
      <c r="U2384" s="8"/>
      <c r="V2384" s="8"/>
      <c r="W2384" s="8"/>
      <c r="X2384" s="8"/>
      <c r="Y2384" s="8"/>
      <c r="Z2384" s="8"/>
      <c r="AA2384" s="8"/>
      <c r="AB2384" s="8"/>
      <c r="AC2384" s="8"/>
      <c r="AD2384" s="8"/>
      <c r="AE2384" s="8"/>
    </row>
    <row r="2385">
      <c r="A2385" s="12">
        <v>72.0</v>
      </c>
      <c r="B2385" s="8" t="s">
        <v>375</v>
      </c>
      <c r="C2385" s="8" t="s">
        <v>1435</v>
      </c>
      <c r="I2385" s="10" t="s">
        <v>372</v>
      </c>
      <c r="J2385" s="13" t="s">
        <v>1495</v>
      </c>
      <c r="K2385" s="13" t="s">
        <v>276</v>
      </c>
      <c r="L2385" s="13" t="s">
        <v>2157</v>
      </c>
      <c r="M2385" s="7" t="s">
        <v>253</v>
      </c>
      <c r="N2385" s="7" t="s">
        <v>253</v>
      </c>
      <c r="O2385" s="7" t="s">
        <v>254</v>
      </c>
      <c r="P2385" s="8"/>
      <c r="Q2385" s="8"/>
      <c r="R2385" s="8"/>
      <c r="S2385" s="8"/>
      <c r="T2385" s="8"/>
      <c r="U2385" s="8"/>
      <c r="V2385" s="8"/>
      <c r="W2385" s="8"/>
      <c r="X2385" s="8"/>
      <c r="Y2385" s="8"/>
      <c r="Z2385" s="8"/>
      <c r="AA2385" s="8"/>
      <c r="AB2385" s="8"/>
      <c r="AC2385" s="8"/>
      <c r="AD2385" s="8"/>
      <c r="AE2385" s="8"/>
    </row>
    <row r="2386">
      <c r="A2386" s="12">
        <v>72.0</v>
      </c>
      <c r="B2386" s="8" t="s">
        <v>375</v>
      </c>
      <c r="C2386" s="8" t="s">
        <v>1435</v>
      </c>
      <c r="I2386" s="10" t="s">
        <v>2053</v>
      </c>
      <c r="J2386" s="13" t="s">
        <v>1495</v>
      </c>
      <c r="K2386" s="13" t="s">
        <v>276</v>
      </c>
      <c r="L2386" s="13" t="s">
        <v>2189</v>
      </c>
      <c r="M2386" s="7" t="s">
        <v>253</v>
      </c>
      <c r="N2386" s="7" t="s">
        <v>253</v>
      </c>
      <c r="O2386" s="7" t="s">
        <v>254</v>
      </c>
      <c r="P2386" s="8"/>
      <c r="Q2386" s="8"/>
      <c r="R2386" s="8"/>
      <c r="S2386" s="8"/>
      <c r="T2386" s="8"/>
      <c r="U2386" s="8"/>
      <c r="V2386" s="8"/>
      <c r="W2386" s="8"/>
      <c r="X2386" s="8"/>
      <c r="Y2386" s="8"/>
      <c r="Z2386" s="8"/>
      <c r="AA2386" s="8"/>
      <c r="AB2386" s="8"/>
      <c r="AC2386" s="8"/>
      <c r="AD2386" s="8"/>
      <c r="AE2386" s="8"/>
    </row>
    <row r="2387">
      <c r="A2387" s="12">
        <v>72.0</v>
      </c>
      <c r="B2387" s="8" t="s">
        <v>375</v>
      </c>
      <c r="C2387" s="8" t="s">
        <v>1435</v>
      </c>
      <c r="I2387" s="10" t="s">
        <v>1417</v>
      </c>
      <c r="J2387" s="13" t="s">
        <v>1495</v>
      </c>
      <c r="K2387" s="13" t="s">
        <v>276</v>
      </c>
      <c r="L2387" s="13" t="s">
        <v>2157</v>
      </c>
      <c r="M2387" s="7" t="s">
        <v>253</v>
      </c>
      <c r="N2387" s="7" t="s">
        <v>253</v>
      </c>
      <c r="O2387" s="7" t="s">
        <v>254</v>
      </c>
      <c r="P2387" s="8"/>
      <c r="Q2387" s="8"/>
      <c r="R2387" s="8"/>
      <c r="S2387" s="8"/>
      <c r="T2387" s="8"/>
      <c r="U2387" s="8"/>
      <c r="V2387" s="8"/>
      <c r="W2387" s="8"/>
      <c r="X2387" s="8"/>
      <c r="Y2387" s="8"/>
      <c r="Z2387" s="8"/>
      <c r="AA2387" s="8"/>
      <c r="AB2387" s="8"/>
      <c r="AC2387" s="8"/>
      <c r="AD2387" s="8"/>
      <c r="AE2387" s="8"/>
    </row>
    <row r="2388">
      <c r="A2388" s="12">
        <v>72.0</v>
      </c>
      <c r="B2388" s="8" t="s">
        <v>375</v>
      </c>
      <c r="C2388" s="8" t="s">
        <v>1435</v>
      </c>
      <c r="I2388" s="10" t="s">
        <v>371</v>
      </c>
      <c r="J2388" s="13" t="s">
        <v>1495</v>
      </c>
      <c r="K2388" s="13" t="s">
        <v>276</v>
      </c>
      <c r="L2388" s="13" t="s">
        <v>2157</v>
      </c>
      <c r="M2388" s="7" t="s">
        <v>253</v>
      </c>
      <c r="N2388" s="7" t="s">
        <v>253</v>
      </c>
      <c r="O2388" s="7" t="s">
        <v>254</v>
      </c>
      <c r="P2388" s="8"/>
      <c r="Q2388" s="8"/>
      <c r="R2388" s="8"/>
      <c r="S2388" s="8"/>
      <c r="T2388" s="8"/>
      <c r="U2388" s="8"/>
      <c r="V2388" s="8"/>
      <c r="W2388" s="8"/>
      <c r="X2388" s="8"/>
      <c r="Y2388" s="8"/>
      <c r="Z2388" s="8"/>
      <c r="AA2388" s="8"/>
      <c r="AB2388" s="8"/>
      <c r="AC2388" s="8"/>
      <c r="AD2388" s="8"/>
      <c r="AE2388" s="8"/>
    </row>
    <row r="2389">
      <c r="A2389" s="12">
        <v>72.0</v>
      </c>
      <c r="B2389" s="8" t="s">
        <v>375</v>
      </c>
      <c r="C2389" s="8" t="s">
        <v>1435</v>
      </c>
      <c r="I2389" s="10" t="s">
        <v>1274</v>
      </c>
      <c r="J2389" s="13" t="s">
        <v>1495</v>
      </c>
      <c r="K2389" s="13" t="s">
        <v>276</v>
      </c>
      <c r="L2389" s="13" t="s">
        <v>2190</v>
      </c>
      <c r="M2389" s="7" t="s">
        <v>253</v>
      </c>
      <c r="N2389" s="7" t="s">
        <v>253</v>
      </c>
      <c r="O2389" s="7" t="s">
        <v>254</v>
      </c>
      <c r="P2389" s="8"/>
      <c r="Q2389" s="8"/>
      <c r="R2389" s="8"/>
      <c r="S2389" s="8"/>
      <c r="T2389" s="8"/>
      <c r="U2389" s="8"/>
      <c r="V2389" s="8"/>
      <c r="W2389" s="8"/>
      <c r="X2389" s="8"/>
      <c r="Y2389" s="8"/>
      <c r="Z2389" s="8"/>
      <c r="AA2389" s="8"/>
      <c r="AB2389" s="8"/>
      <c r="AC2389" s="8"/>
      <c r="AD2389" s="8"/>
      <c r="AE2389" s="8"/>
    </row>
    <row r="2390">
      <c r="A2390" s="12">
        <v>72.0</v>
      </c>
      <c r="B2390" s="8" t="s">
        <v>375</v>
      </c>
      <c r="C2390" s="8" t="s">
        <v>1435</v>
      </c>
      <c r="I2390" s="10" t="s">
        <v>2042</v>
      </c>
      <c r="J2390" s="13" t="s">
        <v>1495</v>
      </c>
      <c r="K2390" s="13" t="s">
        <v>276</v>
      </c>
      <c r="L2390" s="13" t="s">
        <v>2191</v>
      </c>
      <c r="M2390" s="7" t="s">
        <v>253</v>
      </c>
      <c r="N2390" s="7" t="s">
        <v>253</v>
      </c>
      <c r="O2390" s="7" t="s">
        <v>254</v>
      </c>
      <c r="P2390" s="8"/>
      <c r="Q2390" s="8"/>
      <c r="R2390" s="8"/>
      <c r="S2390" s="8"/>
      <c r="T2390" s="8"/>
      <c r="U2390" s="8"/>
      <c r="V2390" s="8"/>
      <c r="W2390" s="8"/>
      <c r="X2390" s="8"/>
      <c r="Y2390" s="8"/>
      <c r="Z2390" s="8"/>
      <c r="AA2390" s="8"/>
      <c r="AB2390" s="8"/>
      <c r="AC2390" s="8"/>
      <c r="AD2390" s="8"/>
      <c r="AE2390" s="8"/>
    </row>
    <row r="2391">
      <c r="A2391" s="12">
        <v>72.0</v>
      </c>
      <c r="B2391" s="8" t="s">
        <v>375</v>
      </c>
      <c r="C2391" s="8" t="s">
        <v>1435</v>
      </c>
      <c r="I2391" s="10" t="s">
        <v>1740</v>
      </c>
      <c r="J2391" s="13" t="s">
        <v>1495</v>
      </c>
      <c r="K2391" s="13" t="s">
        <v>276</v>
      </c>
      <c r="L2391" s="13" t="s">
        <v>2184</v>
      </c>
      <c r="M2391" s="7" t="s">
        <v>253</v>
      </c>
      <c r="N2391" s="7" t="s">
        <v>253</v>
      </c>
      <c r="O2391" s="7" t="s">
        <v>254</v>
      </c>
      <c r="P2391" s="8"/>
      <c r="Q2391" s="8"/>
      <c r="R2391" s="8"/>
      <c r="S2391" s="8"/>
      <c r="T2391" s="8"/>
      <c r="U2391" s="8"/>
      <c r="V2391" s="8"/>
      <c r="W2391" s="8"/>
      <c r="X2391" s="8"/>
      <c r="Y2391" s="8"/>
      <c r="Z2391" s="8"/>
      <c r="AA2391" s="8"/>
      <c r="AB2391" s="8"/>
      <c r="AC2391" s="8"/>
      <c r="AD2391" s="8"/>
      <c r="AE2391" s="8"/>
    </row>
    <row r="2392">
      <c r="A2392" s="12">
        <v>72.0</v>
      </c>
      <c r="B2392" s="8" t="s">
        <v>375</v>
      </c>
      <c r="C2392" s="8" t="s">
        <v>1435</v>
      </c>
      <c r="I2392" s="10" t="s">
        <v>1146</v>
      </c>
      <c r="J2392" s="13" t="s">
        <v>1495</v>
      </c>
      <c r="K2392" s="13" t="s">
        <v>276</v>
      </c>
      <c r="L2392" s="13" t="s">
        <v>2157</v>
      </c>
      <c r="M2392" s="7" t="s">
        <v>253</v>
      </c>
      <c r="N2392" s="7" t="s">
        <v>253</v>
      </c>
      <c r="O2392" s="7" t="s">
        <v>254</v>
      </c>
      <c r="P2392" s="8"/>
      <c r="Q2392" s="8"/>
      <c r="R2392" s="8"/>
      <c r="S2392" s="8"/>
      <c r="T2392" s="8"/>
      <c r="U2392" s="8"/>
      <c r="V2392" s="8"/>
      <c r="W2392" s="8"/>
      <c r="X2392" s="8"/>
      <c r="Y2392" s="8"/>
      <c r="Z2392" s="8"/>
      <c r="AA2392" s="8"/>
      <c r="AB2392" s="8"/>
      <c r="AC2392" s="8"/>
      <c r="AD2392" s="8"/>
      <c r="AE2392" s="8"/>
    </row>
    <row r="2393">
      <c r="A2393" s="12">
        <v>72.0</v>
      </c>
      <c r="B2393" s="8" t="s">
        <v>375</v>
      </c>
      <c r="C2393" s="8" t="s">
        <v>1435</v>
      </c>
      <c r="I2393" s="10" t="s">
        <v>377</v>
      </c>
      <c r="J2393" s="13" t="s">
        <v>1495</v>
      </c>
      <c r="K2393" s="13" t="s">
        <v>276</v>
      </c>
      <c r="L2393" s="13" t="s">
        <v>2184</v>
      </c>
      <c r="M2393" s="7" t="s">
        <v>253</v>
      </c>
      <c r="N2393" s="7" t="s">
        <v>253</v>
      </c>
      <c r="O2393" s="7" t="s">
        <v>254</v>
      </c>
      <c r="P2393" s="8"/>
      <c r="Q2393" s="8"/>
      <c r="R2393" s="8"/>
      <c r="S2393" s="8"/>
      <c r="T2393" s="8"/>
      <c r="U2393" s="8"/>
      <c r="V2393" s="8"/>
      <c r="W2393" s="8"/>
      <c r="X2393" s="8"/>
      <c r="Y2393" s="8"/>
      <c r="Z2393" s="8"/>
      <c r="AA2393" s="8"/>
      <c r="AB2393" s="8"/>
      <c r="AC2393" s="8"/>
      <c r="AD2393" s="8"/>
      <c r="AE2393" s="8"/>
    </row>
    <row r="2394">
      <c r="A2394" s="12">
        <v>72.0</v>
      </c>
      <c r="B2394" s="8" t="s">
        <v>375</v>
      </c>
      <c r="C2394" s="8" t="s">
        <v>1435</v>
      </c>
      <c r="I2394" s="10" t="s">
        <v>1861</v>
      </c>
      <c r="J2394" s="13" t="s">
        <v>1495</v>
      </c>
      <c r="K2394" s="13" t="s">
        <v>276</v>
      </c>
      <c r="L2394" s="13" t="s">
        <v>2157</v>
      </c>
      <c r="M2394" s="7" t="s">
        <v>253</v>
      </c>
      <c r="N2394" s="7" t="s">
        <v>253</v>
      </c>
      <c r="O2394" s="7" t="s">
        <v>254</v>
      </c>
      <c r="P2394" s="8"/>
      <c r="Q2394" s="8"/>
      <c r="R2394" s="8"/>
      <c r="S2394" s="8"/>
      <c r="T2394" s="8"/>
      <c r="U2394" s="8"/>
      <c r="V2394" s="8"/>
      <c r="W2394" s="8"/>
      <c r="X2394" s="8"/>
      <c r="Y2394" s="8"/>
      <c r="Z2394" s="8"/>
      <c r="AA2394" s="8"/>
      <c r="AB2394" s="8"/>
      <c r="AC2394" s="8"/>
      <c r="AD2394" s="8"/>
      <c r="AE2394" s="8"/>
    </row>
    <row r="2395">
      <c r="A2395" s="12">
        <v>73.0</v>
      </c>
      <c r="B2395" s="8" t="s">
        <v>376</v>
      </c>
      <c r="C2395" s="8" t="s">
        <v>1435</v>
      </c>
      <c r="D2395" s="25">
        <f>IF(COUNTIF($B$2:$B2395,$B2395)&gt;1,"",COUNTIF($B$2:$B$2505,$B2395))</f>
        <v>16</v>
      </c>
      <c r="E2395" s="25">
        <f>IF(COUNTIF($B$2:$B2395,$B2395)&gt;1,"",COUNTIFS($B$2:$B$2505,$B2395,$K$2:$K$2505,"PHÙ HỢP CAO"))</f>
        <v>2</v>
      </c>
      <c r="F2395" s="25">
        <f>IF(COUNTIF($B$2:$B2395,$B2395)&gt;1,"",COUNTIFS($B$2:$B$2505,$B2395,$K$2:$K$2505,"CÓ THỂ ĐI"))</f>
        <v>3</v>
      </c>
      <c r="G2395" s="25">
        <f>IF(COUNTIF($B$2:$B2395,$B2395)&gt;1,"",COUNTIFS($B$2:$B$2505,$B2395,$K$2:$K$2505,"CẦN SOÁT"))</f>
        <v>11</v>
      </c>
      <c r="H2395" s="26" t="str">
        <f>IFERROR(__xludf.DUMMYFUNCTION("IF(COUNTIF($B$2:$B2395,$B2395)&gt;1,"""",IFERROR(TEXTJOIN(CHAR(10),TRUE,BYROW(QUERY({$B$2:$B$2505,$J$2:$J$2505},""select Col2, count(Col2) where Col1 = '""&amp;$B2395&amp;""' group by Col2 order by count(Col2) desc label count(Col2) ''"",0),LAMBDA(r,INDEX(r,1,1)&amp;"" "&amp;"– ""&amp;INDEX(r,1,2)&amp;"" link""))),""""))"),"nợ xấu – 8 link
nợ xấu là gì – 8 link")</f>
        <v>nợ xấu – 8 link
nợ xấu là gì – 8 link</v>
      </c>
      <c r="I2395" s="10" t="s">
        <v>841</v>
      </c>
      <c r="J2395" s="13" t="s">
        <v>1511</v>
      </c>
      <c r="K2395" s="13" t="s">
        <v>251</v>
      </c>
      <c r="L2395" s="13" t="s">
        <v>2192</v>
      </c>
      <c r="M2395" s="7" t="s">
        <v>253</v>
      </c>
      <c r="N2395" s="7" t="s">
        <v>253</v>
      </c>
      <c r="O2395" s="7" t="s">
        <v>254</v>
      </c>
      <c r="P2395" s="8"/>
      <c r="Q2395" s="8"/>
      <c r="R2395" s="8"/>
      <c r="S2395" s="8"/>
      <c r="T2395" s="8"/>
      <c r="U2395" s="8"/>
      <c r="V2395" s="8"/>
      <c r="W2395" s="8"/>
      <c r="X2395" s="8"/>
      <c r="Y2395" s="8"/>
      <c r="Z2395" s="8"/>
      <c r="AA2395" s="8"/>
      <c r="AB2395" s="8"/>
      <c r="AC2395" s="8"/>
      <c r="AD2395" s="8"/>
      <c r="AE2395" s="8"/>
    </row>
    <row r="2396">
      <c r="A2396" s="12">
        <v>73.0</v>
      </c>
      <c r="B2396" s="8" t="s">
        <v>376</v>
      </c>
      <c r="C2396" s="8" t="s">
        <v>1435</v>
      </c>
      <c r="I2396" s="10" t="s">
        <v>837</v>
      </c>
      <c r="J2396" s="13" t="s">
        <v>1513</v>
      </c>
      <c r="K2396" s="13" t="s">
        <v>251</v>
      </c>
      <c r="L2396" s="13" t="s">
        <v>2193</v>
      </c>
      <c r="M2396" s="7" t="s">
        <v>253</v>
      </c>
      <c r="N2396" s="7" t="s">
        <v>253</v>
      </c>
      <c r="O2396" s="7" t="s">
        <v>254</v>
      </c>
      <c r="P2396" s="8"/>
      <c r="Q2396" s="8"/>
      <c r="R2396" s="8"/>
      <c r="S2396" s="8"/>
      <c r="T2396" s="8"/>
      <c r="U2396" s="8"/>
      <c r="V2396" s="8"/>
      <c r="W2396" s="8"/>
      <c r="X2396" s="8"/>
      <c r="Y2396" s="8"/>
      <c r="Z2396" s="8"/>
      <c r="AA2396" s="8"/>
      <c r="AB2396" s="8"/>
      <c r="AC2396" s="8"/>
      <c r="AD2396" s="8"/>
      <c r="AE2396" s="8"/>
    </row>
    <row r="2397">
      <c r="A2397" s="12">
        <v>73.0</v>
      </c>
      <c r="B2397" s="8" t="s">
        <v>376</v>
      </c>
      <c r="C2397" s="8" t="s">
        <v>1435</v>
      </c>
      <c r="I2397" s="10" t="s">
        <v>1514</v>
      </c>
      <c r="J2397" s="13" t="s">
        <v>1511</v>
      </c>
      <c r="K2397" s="13" t="s">
        <v>272</v>
      </c>
      <c r="L2397" s="13" t="s">
        <v>2194</v>
      </c>
      <c r="M2397" s="7" t="s">
        <v>253</v>
      </c>
      <c r="N2397" s="7" t="s">
        <v>253</v>
      </c>
      <c r="O2397" s="7" t="s">
        <v>254</v>
      </c>
      <c r="P2397" s="8"/>
      <c r="Q2397" s="8"/>
      <c r="R2397" s="8"/>
      <c r="S2397" s="8"/>
      <c r="T2397" s="8"/>
      <c r="U2397" s="8"/>
      <c r="V2397" s="8"/>
      <c r="W2397" s="8"/>
      <c r="X2397" s="8"/>
      <c r="Y2397" s="8"/>
      <c r="Z2397" s="8"/>
      <c r="AA2397" s="8"/>
      <c r="AB2397" s="8"/>
      <c r="AC2397" s="8"/>
      <c r="AD2397" s="8"/>
      <c r="AE2397" s="8"/>
    </row>
    <row r="2398">
      <c r="A2398" s="12">
        <v>73.0</v>
      </c>
      <c r="B2398" s="8" t="s">
        <v>376</v>
      </c>
      <c r="C2398" s="8" t="s">
        <v>1435</v>
      </c>
      <c r="I2398" s="10" t="s">
        <v>948</v>
      </c>
      <c r="J2398" s="13" t="s">
        <v>1513</v>
      </c>
      <c r="K2398" s="13" t="s">
        <v>272</v>
      </c>
      <c r="L2398" s="13" t="s">
        <v>2195</v>
      </c>
      <c r="M2398" s="7" t="s">
        <v>253</v>
      </c>
      <c r="N2398" s="7" t="s">
        <v>253</v>
      </c>
      <c r="O2398" s="7" t="s">
        <v>254</v>
      </c>
      <c r="P2398" s="8"/>
      <c r="Q2398" s="8"/>
      <c r="R2398" s="8"/>
      <c r="S2398" s="8"/>
      <c r="T2398" s="8"/>
      <c r="U2398" s="8"/>
      <c r="V2398" s="8"/>
      <c r="W2398" s="8"/>
      <c r="X2398" s="8"/>
      <c r="Y2398" s="8"/>
      <c r="Z2398" s="8"/>
      <c r="AA2398" s="8"/>
      <c r="AB2398" s="8"/>
      <c r="AC2398" s="8"/>
      <c r="AD2398" s="8"/>
      <c r="AE2398" s="8"/>
    </row>
    <row r="2399">
      <c r="A2399" s="12">
        <v>73.0</v>
      </c>
      <c r="B2399" s="8" t="s">
        <v>376</v>
      </c>
      <c r="C2399" s="8" t="s">
        <v>1435</v>
      </c>
      <c r="I2399" s="10" t="s">
        <v>1612</v>
      </c>
      <c r="J2399" s="13" t="s">
        <v>1511</v>
      </c>
      <c r="K2399" s="13" t="s">
        <v>272</v>
      </c>
      <c r="L2399" s="13" t="s">
        <v>2196</v>
      </c>
      <c r="M2399" s="7" t="s">
        <v>253</v>
      </c>
      <c r="N2399" s="7" t="s">
        <v>253</v>
      </c>
      <c r="O2399" s="7" t="s">
        <v>254</v>
      </c>
      <c r="P2399" s="8"/>
      <c r="Q2399" s="8"/>
      <c r="R2399" s="8"/>
      <c r="S2399" s="8"/>
      <c r="T2399" s="8"/>
      <c r="U2399" s="8"/>
      <c r="V2399" s="8"/>
      <c r="W2399" s="8"/>
      <c r="X2399" s="8"/>
      <c r="Y2399" s="8"/>
      <c r="Z2399" s="8"/>
      <c r="AA2399" s="8"/>
      <c r="AB2399" s="8"/>
      <c r="AC2399" s="8"/>
      <c r="AD2399" s="8"/>
      <c r="AE2399" s="8"/>
    </row>
    <row r="2400">
      <c r="A2400" s="12">
        <v>73.0</v>
      </c>
      <c r="B2400" s="8" t="s">
        <v>376</v>
      </c>
      <c r="C2400" s="8" t="s">
        <v>1435</v>
      </c>
      <c r="I2400" s="10" t="s">
        <v>1256</v>
      </c>
      <c r="J2400" s="13" t="s">
        <v>1513</v>
      </c>
      <c r="K2400" s="13" t="s">
        <v>276</v>
      </c>
      <c r="L2400" s="13" t="s">
        <v>1750</v>
      </c>
      <c r="M2400" s="7" t="s">
        <v>253</v>
      </c>
      <c r="N2400" s="7" t="s">
        <v>253</v>
      </c>
      <c r="O2400" s="7" t="s">
        <v>254</v>
      </c>
      <c r="P2400" s="8"/>
      <c r="Q2400" s="8"/>
      <c r="R2400" s="8"/>
      <c r="S2400" s="8"/>
      <c r="T2400" s="8"/>
      <c r="U2400" s="8"/>
      <c r="V2400" s="8"/>
      <c r="W2400" s="8"/>
      <c r="X2400" s="8"/>
      <c r="Y2400" s="8"/>
      <c r="Z2400" s="8"/>
      <c r="AA2400" s="8"/>
      <c r="AB2400" s="8"/>
      <c r="AC2400" s="8"/>
      <c r="AD2400" s="8"/>
      <c r="AE2400" s="8"/>
    </row>
    <row r="2401">
      <c r="A2401" s="12">
        <v>73.0</v>
      </c>
      <c r="B2401" s="8" t="s">
        <v>376</v>
      </c>
      <c r="C2401" s="8" t="s">
        <v>1435</v>
      </c>
      <c r="I2401" s="10" t="s">
        <v>374</v>
      </c>
      <c r="J2401" s="13" t="s">
        <v>1511</v>
      </c>
      <c r="K2401" s="13" t="s">
        <v>276</v>
      </c>
      <c r="L2401" s="13" t="s">
        <v>1613</v>
      </c>
      <c r="M2401" s="7" t="s">
        <v>253</v>
      </c>
      <c r="N2401" s="7" t="s">
        <v>253</v>
      </c>
      <c r="O2401" s="7" t="s">
        <v>254</v>
      </c>
      <c r="P2401" s="8"/>
      <c r="Q2401" s="8"/>
      <c r="R2401" s="8"/>
      <c r="S2401" s="8"/>
      <c r="T2401" s="8"/>
      <c r="U2401" s="8"/>
      <c r="V2401" s="8"/>
      <c r="W2401" s="8"/>
      <c r="X2401" s="8"/>
      <c r="Y2401" s="8"/>
      <c r="Z2401" s="8"/>
      <c r="AA2401" s="8"/>
      <c r="AB2401" s="8"/>
      <c r="AC2401" s="8"/>
      <c r="AD2401" s="8"/>
      <c r="AE2401" s="8"/>
    </row>
    <row r="2402">
      <c r="A2402" s="12">
        <v>73.0</v>
      </c>
      <c r="B2402" s="8" t="s">
        <v>376</v>
      </c>
      <c r="C2402" s="8" t="s">
        <v>1435</v>
      </c>
      <c r="I2402" s="10" t="s">
        <v>940</v>
      </c>
      <c r="J2402" s="13" t="s">
        <v>1513</v>
      </c>
      <c r="K2402" s="13" t="s">
        <v>276</v>
      </c>
      <c r="L2402" s="13" t="s">
        <v>1750</v>
      </c>
      <c r="M2402" s="7" t="s">
        <v>253</v>
      </c>
      <c r="N2402" s="7" t="s">
        <v>253</v>
      </c>
      <c r="O2402" s="7" t="s">
        <v>254</v>
      </c>
      <c r="P2402" s="8"/>
      <c r="Q2402" s="8"/>
      <c r="R2402" s="8"/>
      <c r="S2402" s="8"/>
      <c r="T2402" s="8"/>
      <c r="U2402" s="8"/>
      <c r="V2402" s="8"/>
      <c r="W2402" s="8"/>
      <c r="X2402" s="8"/>
      <c r="Y2402" s="8"/>
      <c r="Z2402" s="8"/>
      <c r="AA2402" s="8"/>
      <c r="AB2402" s="8"/>
      <c r="AC2402" s="8"/>
      <c r="AD2402" s="8"/>
      <c r="AE2402" s="8"/>
    </row>
    <row r="2403">
      <c r="A2403" s="12">
        <v>73.0</v>
      </c>
      <c r="B2403" s="8" t="s">
        <v>376</v>
      </c>
      <c r="C2403" s="8" t="s">
        <v>1435</v>
      </c>
      <c r="I2403" s="10" t="s">
        <v>1116</v>
      </c>
      <c r="J2403" s="13" t="s">
        <v>1511</v>
      </c>
      <c r="K2403" s="13" t="s">
        <v>276</v>
      </c>
      <c r="L2403" s="13" t="s">
        <v>1613</v>
      </c>
      <c r="M2403" s="7" t="s">
        <v>253</v>
      </c>
      <c r="N2403" s="7" t="s">
        <v>253</v>
      </c>
      <c r="O2403" s="7" t="s">
        <v>254</v>
      </c>
      <c r="P2403" s="8"/>
      <c r="Q2403" s="8"/>
      <c r="R2403" s="8"/>
      <c r="S2403" s="8"/>
      <c r="T2403" s="8"/>
      <c r="U2403" s="8"/>
      <c r="V2403" s="8"/>
      <c r="W2403" s="8"/>
      <c r="X2403" s="8"/>
      <c r="Y2403" s="8"/>
      <c r="Z2403" s="8"/>
      <c r="AA2403" s="8"/>
      <c r="AB2403" s="8"/>
      <c r="AC2403" s="8"/>
      <c r="AD2403" s="8"/>
      <c r="AE2403" s="8"/>
    </row>
    <row r="2404">
      <c r="A2404" s="12">
        <v>73.0</v>
      </c>
      <c r="B2404" s="8" t="s">
        <v>376</v>
      </c>
      <c r="C2404" s="8" t="s">
        <v>1435</v>
      </c>
      <c r="I2404" s="10" t="s">
        <v>936</v>
      </c>
      <c r="J2404" s="13" t="s">
        <v>1513</v>
      </c>
      <c r="K2404" s="13" t="s">
        <v>276</v>
      </c>
      <c r="L2404" s="13" t="s">
        <v>1613</v>
      </c>
      <c r="M2404" s="7" t="s">
        <v>253</v>
      </c>
      <c r="N2404" s="7" t="s">
        <v>253</v>
      </c>
      <c r="O2404" s="7" t="s">
        <v>254</v>
      </c>
      <c r="P2404" s="8"/>
      <c r="Q2404" s="8"/>
      <c r="R2404" s="8"/>
      <c r="S2404" s="8"/>
      <c r="T2404" s="8"/>
      <c r="U2404" s="8"/>
      <c r="V2404" s="8"/>
      <c r="W2404" s="8"/>
      <c r="X2404" s="8"/>
      <c r="Y2404" s="8"/>
      <c r="Z2404" s="8"/>
      <c r="AA2404" s="8"/>
      <c r="AB2404" s="8"/>
      <c r="AC2404" s="8"/>
      <c r="AD2404" s="8"/>
      <c r="AE2404" s="8"/>
    </row>
    <row r="2405">
      <c r="A2405" s="12">
        <v>73.0</v>
      </c>
      <c r="B2405" s="8" t="s">
        <v>376</v>
      </c>
      <c r="C2405" s="8" t="s">
        <v>1435</v>
      </c>
      <c r="I2405" s="10" t="s">
        <v>924</v>
      </c>
      <c r="J2405" s="13" t="s">
        <v>1511</v>
      </c>
      <c r="K2405" s="13" t="s">
        <v>276</v>
      </c>
      <c r="L2405" s="13" t="s">
        <v>1613</v>
      </c>
      <c r="M2405" s="7" t="s">
        <v>253</v>
      </c>
      <c r="N2405" s="7" t="s">
        <v>253</v>
      </c>
      <c r="O2405" s="7" t="s">
        <v>254</v>
      </c>
      <c r="P2405" s="8"/>
      <c r="Q2405" s="8"/>
      <c r="R2405" s="8"/>
      <c r="S2405" s="8"/>
      <c r="T2405" s="8"/>
      <c r="U2405" s="8"/>
      <c r="V2405" s="8"/>
      <c r="W2405" s="8"/>
      <c r="X2405" s="8"/>
      <c r="Y2405" s="8"/>
      <c r="Z2405" s="8"/>
      <c r="AA2405" s="8"/>
      <c r="AB2405" s="8"/>
      <c r="AC2405" s="8"/>
      <c r="AD2405" s="8"/>
      <c r="AE2405" s="8"/>
    </row>
    <row r="2406">
      <c r="A2406" s="12">
        <v>73.0</v>
      </c>
      <c r="B2406" s="8" t="s">
        <v>376</v>
      </c>
      <c r="C2406" s="8" t="s">
        <v>1435</v>
      </c>
      <c r="I2406" s="10" t="s">
        <v>1484</v>
      </c>
      <c r="J2406" s="13" t="s">
        <v>1513</v>
      </c>
      <c r="K2406" s="13" t="s">
        <v>276</v>
      </c>
      <c r="L2406" s="13" t="s">
        <v>1613</v>
      </c>
      <c r="M2406" s="7" t="s">
        <v>253</v>
      </c>
      <c r="N2406" s="7" t="s">
        <v>253</v>
      </c>
      <c r="O2406" s="7" t="s">
        <v>254</v>
      </c>
      <c r="P2406" s="8"/>
      <c r="Q2406" s="8"/>
      <c r="R2406" s="8"/>
      <c r="S2406" s="8"/>
      <c r="T2406" s="8"/>
      <c r="U2406" s="8"/>
      <c r="V2406" s="8"/>
      <c r="W2406" s="8"/>
      <c r="X2406" s="8"/>
      <c r="Y2406" s="8"/>
      <c r="Z2406" s="8"/>
      <c r="AA2406" s="8"/>
      <c r="AB2406" s="8"/>
      <c r="AC2406" s="8"/>
      <c r="AD2406" s="8"/>
      <c r="AE2406" s="8"/>
    </row>
    <row r="2407">
      <c r="A2407" s="12">
        <v>73.0</v>
      </c>
      <c r="B2407" s="8" t="s">
        <v>376</v>
      </c>
      <c r="C2407" s="8" t="s">
        <v>1435</v>
      </c>
      <c r="I2407" s="10" t="s">
        <v>934</v>
      </c>
      <c r="J2407" s="13" t="s">
        <v>1511</v>
      </c>
      <c r="K2407" s="13" t="s">
        <v>276</v>
      </c>
      <c r="L2407" s="13" t="s">
        <v>1613</v>
      </c>
      <c r="M2407" s="7" t="s">
        <v>253</v>
      </c>
      <c r="N2407" s="7" t="s">
        <v>253</v>
      </c>
      <c r="O2407" s="7" t="s">
        <v>254</v>
      </c>
      <c r="P2407" s="8"/>
      <c r="Q2407" s="8"/>
      <c r="R2407" s="8"/>
      <c r="S2407" s="8"/>
      <c r="T2407" s="8"/>
      <c r="U2407" s="8"/>
      <c r="V2407" s="8"/>
      <c r="W2407" s="8"/>
      <c r="X2407" s="8"/>
      <c r="Y2407" s="8"/>
      <c r="Z2407" s="8"/>
      <c r="AA2407" s="8"/>
      <c r="AB2407" s="8"/>
      <c r="AC2407" s="8"/>
      <c r="AD2407" s="8"/>
      <c r="AE2407" s="8"/>
    </row>
    <row r="2408">
      <c r="A2408" s="12">
        <v>73.0</v>
      </c>
      <c r="B2408" s="8" t="s">
        <v>376</v>
      </c>
      <c r="C2408" s="8" t="s">
        <v>1435</v>
      </c>
      <c r="I2408" s="10" t="s">
        <v>1487</v>
      </c>
      <c r="J2408" s="13" t="s">
        <v>1513</v>
      </c>
      <c r="K2408" s="13" t="s">
        <v>276</v>
      </c>
      <c r="L2408" s="13" t="s">
        <v>1613</v>
      </c>
      <c r="M2408" s="7" t="s">
        <v>253</v>
      </c>
      <c r="N2408" s="7" t="s">
        <v>253</v>
      </c>
      <c r="O2408" s="7" t="s">
        <v>254</v>
      </c>
      <c r="P2408" s="8"/>
      <c r="Q2408" s="8"/>
      <c r="R2408" s="8"/>
      <c r="S2408" s="8"/>
      <c r="T2408" s="8"/>
      <c r="U2408" s="8"/>
      <c r="V2408" s="8"/>
      <c r="W2408" s="8"/>
      <c r="X2408" s="8"/>
      <c r="Y2408" s="8"/>
      <c r="Z2408" s="8"/>
      <c r="AA2408" s="8"/>
      <c r="AB2408" s="8"/>
      <c r="AC2408" s="8"/>
      <c r="AD2408" s="8"/>
      <c r="AE2408" s="8"/>
    </row>
    <row r="2409">
      <c r="A2409" s="12">
        <v>73.0</v>
      </c>
      <c r="B2409" s="8" t="s">
        <v>376</v>
      </c>
      <c r="C2409" s="8" t="s">
        <v>1435</v>
      </c>
      <c r="I2409" s="10" t="s">
        <v>1462</v>
      </c>
      <c r="J2409" s="13" t="s">
        <v>1511</v>
      </c>
      <c r="K2409" s="13" t="s">
        <v>276</v>
      </c>
      <c r="L2409" s="13" t="s">
        <v>1750</v>
      </c>
      <c r="M2409" s="7" t="s">
        <v>253</v>
      </c>
      <c r="N2409" s="7" t="s">
        <v>253</v>
      </c>
      <c r="O2409" s="7" t="s">
        <v>254</v>
      </c>
      <c r="P2409" s="8"/>
      <c r="Q2409" s="8"/>
      <c r="R2409" s="8"/>
      <c r="S2409" s="8"/>
      <c r="T2409" s="8"/>
      <c r="U2409" s="8"/>
      <c r="V2409" s="8"/>
      <c r="W2409" s="8"/>
      <c r="X2409" s="8"/>
      <c r="Y2409" s="8"/>
      <c r="Z2409" s="8"/>
      <c r="AA2409" s="8"/>
      <c r="AB2409" s="8"/>
      <c r="AC2409" s="8"/>
      <c r="AD2409" s="8"/>
      <c r="AE2409" s="8"/>
    </row>
    <row r="2410">
      <c r="A2410" s="12">
        <v>73.0</v>
      </c>
      <c r="B2410" s="8" t="s">
        <v>376</v>
      </c>
      <c r="C2410" s="8" t="s">
        <v>1435</v>
      </c>
      <c r="I2410" s="10" t="s">
        <v>845</v>
      </c>
      <c r="J2410" s="13" t="s">
        <v>1513</v>
      </c>
      <c r="K2410" s="13" t="s">
        <v>276</v>
      </c>
      <c r="L2410" s="13" t="s">
        <v>1613</v>
      </c>
      <c r="M2410" s="7" t="s">
        <v>253</v>
      </c>
      <c r="N2410" s="7" t="s">
        <v>253</v>
      </c>
      <c r="O2410" s="7" t="s">
        <v>254</v>
      </c>
      <c r="P2410" s="8"/>
      <c r="Q2410" s="8"/>
      <c r="R2410" s="8"/>
      <c r="S2410" s="8"/>
      <c r="T2410" s="8"/>
      <c r="U2410" s="8"/>
      <c r="V2410" s="8"/>
      <c r="W2410" s="8"/>
      <c r="X2410" s="8"/>
      <c r="Y2410" s="8"/>
      <c r="Z2410" s="8"/>
      <c r="AA2410" s="8"/>
      <c r="AB2410" s="8"/>
      <c r="AC2410" s="8"/>
      <c r="AD2410" s="8"/>
      <c r="AE2410" s="8"/>
    </row>
    <row r="2411">
      <c r="A2411" s="12">
        <v>74.0</v>
      </c>
      <c r="B2411" s="8" t="s">
        <v>377</v>
      </c>
      <c r="C2411" s="8" t="s">
        <v>1435</v>
      </c>
      <c r="D2411" s="25">
        <f>IF(COUNTIF($B$2:$B2411,$B2411)&gt;1,"",COUNTIF($B$2:$B$2505,$B2411))</f>
        <v>34</v>
      </c>
      <c r="E2411" s="25">
        <f>IF(COUNTIF($B$2:$B2411,$B2411)&gt;1,"",COUNTIFS($B$2:$B$2505,$B2411,$K$2:$K$2505,"PHÙ HỢP CAO"))</f>
        <v>2</v>
      </c>
      <c r="F2411" s="25">
        <f>IF(COUNTIF($B$2:$B2411,$B2411)&gt;1,"",COUNTIFS($B$2:$B$2505,$B2411,$K$2:$K$2505,"CÓ THỂ ĐI"))</f>
        <v>3</v>
      </c>
      <c r="G2411" s="25">
        <f>IF(COUNTIF($B$2:$B2411,$B2411)&gt;1,"",COUNTIFS($B$2:$B$2505,$B2411,$K$2:$K$2505,"CẦN SOÁT"))</f>
        <v>29</v>
      </c>
      <c r="H2411" s="26" t="str">
        <f>IFERROR(__xludf.DUMMYFUNCTION("IF(COUNTIF($B$2:$B2411,$B2411)&gt;1,"""",IFERROR(TEXTJOIN(CHAR(10),TRUE,BYROW(QUERY({$B$2:$B$2505,$J$2:$J$2505},""select Col2, count(Col2) where Col1 = '""&amp;$B2411&amp;""' group by Col2 order by count(Col2) desc label count(Col2) ''"",0),LAMBDA(r,INDEX(r,1,1)&amp;"" "&amp;"– ""&amp;INDEX(r,1,2)&amp;"" link""))),""""))"),"vay tín chấp không trả được có sao không – 34 link")</f>
        <v>vay tín chấp không trả được có sao không – 34 link</v>
      </c>
      <c r="I2411" s="10" t="s">
        <v>1519</v>
      </c>
      <c r="J2411" s="13" t="s">
        <v>1522</v>
      </c>
      <c r="K2411" s="13" t="s">
        <v>251</v>
      </c>
      <c r="L2411" s="13" t="s">
        <v>2197</v>
      </c>
      <c r="M2411" s="7" t="s">
        <v>253</v>
      </c>
      <c r="N2411" s="7" t="s">
        <v>253</v>
      </c>
      <c r="O2411" s="7" t="s">
        <v>254</v>
      </c>
      <c r="P2411" s="8"/>
      <c r="Q2411" s="8"/>
      <c r="R2411" s="8"/>
      <c r="S2411" s="8"/>
      <c r="T2411" s="8"/>
      <c r="U2411" s="8"/>
      <c r="V2411" s="8"/>
      <c r="W2411" s="8"/>
      <c r="X2411" s="8"/>
      <c r="Y2411" s="8"/>
      <c r="Z2411" s="8"/>
      <c r="AA2411" s="8"/>
      <c r="AB2411" s="8"/>
      <c r="AC2411" s="8"/>
      <c r="AD2411" s="8"/>
      <c r="AE2411" s="8"/>
    </row>
    <row r="2412">
      <c r="A2412" s="12">
        <v>74.0</v>
      </c>
      <c r="B2412" s="8" t="s">
        <v>377</v>
      </c>
      <c r="C2412" s="8" t="s">
        <v>1435</v>
      </c>
      <c r="I2412" s="10" t="s">
        <v>1462</v>
      </c>
      <c r="J2412" s="13" t="s">
        <v>1522</v>
      </c>
      <c r="K2412" s="13" t="s">
        <v>251</v>
      </c>
      <c r="L2412" s="13" t="s">
        <v>2198</v>
      </c>
      <c r="M2412" s="7" t="s">
        <v>253</v>
      </c>
      <c r="N2412" s="7" t="s">
        <v>253</v>
      </c>
      <c r="O2412" s="7" t="s">
        <v>254</v>
      </c>
      <c r="P2412" s="8"/>
      <c r="Q2412" s="8"/>
      <c r="R2412" s="8"/>
      <c r="S2412" s="8"/>
      <c r="T2412" s="8"/>
      <c r="U2412" s="8"/>
      <c r="V2412" s="8"/>
      <c r="W2412" s="8"/>
      <c r="X2412" s="8"/>
      <c r="Y2412" s="8"/>
      <c r="Z2412" s="8"/>
      <c r="AA2412" s="8"/>
      <c r="AB2412" s="8"/>
      <c r="AC2412" s="8"/>
      <c r="AD2412" s="8"/>
      <c r="AE2412" s="8"/>
    </row>
    <row r="2413">
      <c r="A2413" s="12">
        <v>74.0</v>
      </c>
      <c r="B2413" s="8" t="s">
        <v>377</v>
      </c>
      <c r="C2413" s="8" t="s">
        <v>1435</v>
      </c>
      <c r="I2413" s="10" t="s">
        <v>948</v>
      </c>
      <c r="J2413" s="13" t="s">
        <v>1522</v>
      </c>
      <c r="K2413" s="13" t="s">
        <v>272</v>
      </c>
      <c r="L2413" s="13" t="s">
        <v>2199</v>
      </c>
      <c r="M2413" s="7" t="s">
        <v>253</v>
      </c>
      <c r="N2413" s="7" t="s">
        <v>253</v>
      </c>
      <c r="O2413" s="7" t="s">
        <v>254</v>
      </c>
      <c r="P2413" s="8"/>
      <c r="Q2413" s="8"/>
      <c r="R2413" s="8"/>
      <c r="S2413" s="8"/>
      <c r="T2413" s="8"/>
      <c r="U2413" s="8"/>
      <c r="V2413" s="8"/>
      <c r="W2413" s="8"/>
      <c r="X2413" s="8"/>
      <c r="Y2413" s="8"/>
      <c r="Z2413" s="8"/>
      <c r="AA2413" s="8"/>
      <c r="AB2413" s="8"/>
      <c r="AC2413" s="8"/>
      <c r="AD2413" s="8"/>
      <c r="AE2413" s="8"/>
    </row>
    <row r="2414">
      <c r="A2414" s="12">
        <v>74.0</v>
      </c>
      <c r="B2414" s="8" t="s">
        <v>377</v>
      </c>
      <c r="C2414" s="8" t="s">
        <v>1435</v>
      </c>
      <c r="I2414" s="10" t="s">
        <v>1493</v>
      </c>
      <c r="J2414" s="13" t="s">
        <v>1522</v>
      </c>
      <c r="K2414" s="13" t="s">
        <v>272</v>
      </c>
      <c r="L2414" s="13" t="s">
        <v>2200</v>
      </c>
      <c r="M2414" s="7" t="s">
        <v>253</v>
      </c>
      <c r="N2414" s="7" t="s">
        <v>253</v>
      </c>
      <c r="O2414" s="7" t="s">
        <v>254</v>
      </c>
      <c r="P2414" s="8"/>
      <c r="Q2414" s="8"/>
      <c r="R2414" s="8"/>
      <c r="S2414" s="8"/>
      <c r="T2414" s="8"/>
      <c r="U2414" s="8"/>
      <c r="V2414" s="8"/>
      <c r="W2414" s="8"/>
      <c r="X2414" s="8"/>
      <c r="Y2414" s="8"/>
      <c r="Z2414" s="8"/>
      <c r="AA2414" s="8"/>
      <c r="AB2414" s="8"/>
      <c r="AC2414" s="8"/>
      <c r="AD2414" s="8"/>
      <c r="AE2414" s="8"/>
    </row>
    <row r="2415">
      <c r="A2415" s="12">
        <v>74.0</v>
      </c>
      <c r="B2415" s="8" t="s">
        <v>377</v>
      </c>
      <c r="C2415" s="8" t="s">
        <v>1435</v>
      </c>
      <c r="I2415" s="10" t="s">
        <v>1298</v>
      </c>
      <c r="J2415" s="13" t="s">
        <v>1522</v>
      </c>
      <c r="K2415" s="13" t="s">
        <v>272</v>
      </c>
      <c r="L2415" s="13" t="s">
        <v>2201</v>
      </c>
      <c r="M2415" s="7" t="s">
        <v>253</v>
      </c>
      <c r="N2415" s="7" t="s">
        <v>253</v>
      </c>
      <c r="O2415" s="7" t="s">
        <v>254</v>
      </c>
      <c r="P2415" s="8"/>
      <c r="Q2415" s="8"/>
      <c r="R2415" s="8"/>
      <c r="S2415" s="8"/>
      <c r="T2415" s="8"/>
      <c r="U2415" s="8"/>
      <c r="V2415" s="8"/>
      <c r="W2415" s="8"/>
      <c r="X2415" s="8"/>
      <c r="Y2415" s="8"/>
      <c r="Z2415" s="8"/>
      <c r="AA2415" s="8"/>
      <c r="AB2415" s="8"/>
      <c r="AC2415" s="8"/>
      <c r="AD2415" s="8"/>
      <c r="AE2415" s="8"/>
    </row>
    <row r="2416">
      <c r="A2416" s="12">
        <v>74.0</v>
      </c>
      <c r="B2416" s="8" t="s">
        <v>377</v>
      </c>
      <c r="C2416" s="8" t="s">
        <v>1435</v>
      </c>
      <c r="I2416" s="10" t="s">
        <v>1256</v>
      </c>
      <c r="J2416" s="13" t="s">
        <v>1522</v>
      </c>
      <c r="K2416" s="13" t="s">
        <v>276</v>
      </c>
      <c r="L2416" s="13" t="s">
        <v>1750</v>
      </c>
      <c r="M2416" s="7" t="s">
        <v>253</v>
      </c>
      <c r="N2416" s="7" t="s">
        <v>253</v>
      </c>
      <c r="O2416" s="7" t="s">
        <v>254</v>
      </c>
      <c r="P2416" s="8"/>
      <c r="Q2416" s="8"/>
      <c r="R2416" s="8"/>
      <c r="S2416" s="8"/>
      <c r="T2416" s="8"/>
      <c r="U2416" s="8"/>
      <c r="V2416" s="8"/>
      <c r="W2416" s="8"/>
      <c r="X2416" s="8"/>
      <c r="Y2416" s="8"/>
      <c r="Z2416" s="8"/>
      <c r="AA2416" s="8"/>
      <c r="AB2416" s="8"/>
      <c r="AC2416" s="8"/>
      <c r="AD2416" s="8"/>
      <c r="AE2416" s="8"/>
    </row>
    <row r="2417">
      <c r="A2417" s="12">
        <v>74.0</v>
      </c>
      <c r="B2417" s="8" t="s">
        <v>377</v>
      </c>
      <c r="C2417" s="8" t="s">
        <v>1435</v>
      </c>
      <c r="I2417" s="10" t="s">
        <v>1980</v>
      </c>
      <c r="J2417" s="13" t="s">
        <v>1522</v>
      </c>
      <c r="K2417" s="13" t="s">
        <v>276</v>
      </c>
      <c r="L2417" s="13" t="s">
        <v>2184</v>
      </c>
      <c r="M2417" s="7" t="s">
        <v>253</v>
      </c>
      <c r="N2417" s="7" t="s">
        <v>253</v>
      </c>
      <c r="O2417" s="7" t="s">
        <v>254</v>
      </c>
      <c r="P2417" s="8"/>
      <c r="Q2417" s="8"/>
      <c r="R2417" s="8"/>
      <c r="S2417" s="8"/>
      <c r="T2417" s="8"/>
      <c r="U2417" s="8"/>
      <c r="V2417" s="8"/>
      <c r="W2417" s="8"/>
      <c r="X2417" s="8"/>
      <c r="Y2417" s="8"/>
      <c r="Z2417" s="8"/>
      <c r="AA2417" s="8"/>
      <c r="AB2417" s="8"/>
      <c r="AC2417" s="8"/>
      <c r="AD2417" s="8"/>
      <c r="AE2417" s="8"/>
    </row>
    <row r="2418">
      <c r="A2418" s="12">
        <v>74.0</v>
      </c>
      <c r="B2418" s="8" t="s">
        <v>377</v>
      </c>
      <c r="C2418" s="8" t="s">
        <v>1435</v>
      </c>
      <c r="I2418" s="10" t="s">
        <v>2185</v>
      </c>
      <c r="J2418" s="13" t="s">
        <v>1522</v>
      </c>
      <c r="K2418" s="13" t="s">
        <v>276</v>
      </c>
      <c r="L2418" s="13" t="s">
        <v>2184</v>
      </c>
      <c r="M2418" s="7" t="s">
        <v>253</v>
      </c>
      <c r="N2418" s="7" t="s">
        <v>253</v>
      </c>
      <c r="O2418" s="7" t="s">
        <v>254</v>
      </c>
      <c r="P2418" s="8"/>
      <c r="Q2418" s="8"/>
      <c r="R2418" s="8"/>
      <c r="S2418" s="8"/>
      <c r="T2418" s="8"/>
      <c r="U2418" s="8"/>
      <c r="V2418" s="8"/>
      <c r="W2418" s="8"/>
      <c r="X2418" s="8"/>
      <c r="Y2418" s="8"/>
      <c r="Z2418" s="8"/>
      <c r="AA2418" s="8"/>
      <c r="AB2418" s="8"/>
      <c r="AC2418" s="8"/>
      <c r="AD2418" s="8"/>
      <c r="AE2418" s="8"/>
    </row>
    <row r="2419">
      <c r="A2419" s="12">
        <v>74.0</v>
      </c>
      <c r="B2419" s="8" t="s">
        <v>377</v>
      </c>
      <c r="C2419" s="8" t="s">
        <v>1435</v>
      </c>
      <c r="I2419" s="10" t="s">
        <v>1893</v>
      </c>
      <c r="J2419" s="13" t="s">
        <v>1522</v>
      </c>
      <c r="K2419" s="13" t="s">
        <v>276</v>
      </c>
      <c r="L2419" s="13" t="s">
        <v>2184</v>
      </c>
      <c r="M2419" s="7" t="s">
        <v>253</v>
      </c>
      <c r="N2419" s="7" t="s">
        <v>253</v>
      </c>
      <c r="O2419" s="7" t="s">
        <v>254</v>
      </c>
      <c r="P2419" s="8"/>
      <c r="Q2419" s="8"/>
      <c r="R2419" s="8"/>
      <c r="S2419" s="8"/>
      <c r="T2419" s="8"/>
      <c r="U2419" s="8"/>
      <c r="V2419" s="8"/>
      <c r="W2419" s="8"/>
      <c r="X2419" s="8"/>
      <c r="Y2419" s="8"/>
      <c r="Z2419" s="8"/>
      <c r="AA2419" s="8"/>
      <c r="AB2419" s="8"/>
      <c r="AC2419" s="8"/>
      <c r="AD2419" s="8"/>
      <c r="AE2419" s="8"/>
    </row>
    <row r="2420">
      <c r="A2420" s="12">
        <v>74.0</v>
      </c>
      <c r="B2420" s="8" t="s">
        <v>377</v>
      </c>
      <c r="C2420" s="8" t="s">
        <v>1435</v>
      </c>
      <c r="I2420" s="10" t="s">
        <v>1895</v>
      </c>
      <c r="J2420" s="13" t="s">
        <v>1522</v>
      </c>
      <c r="K2420" s="13" t="s">
        <v>276</v>
      </c>
      <c r="L2420" s="13" t="s">
        <v>2184</v>
      </c>
      <c r="M2420" s="7" t="s">
        <v>253</v>
      </c>
      <c r="N2420" s="7" t="s">
        <v>253</v>
      </c>
      <c r="O2420" s="7" t="s">
        <v>254</v>
      </c>
      <c r="P2420" s="8"/>
      <c r="Q2420" s="8"/>
      <c r="R2420" s="8"/>
      <c r="S2420" s="8"/>
      <c r="T2420" s="8"/>
      <c r="U2420" s="8"/>
      <c r="V2420" s="8"/>
      <c r="W2420" s="8"/>
      <c r="X2420" s="8"/>
      <c r="Y2420" s="8"/>
      <c r="Z2420" s="8"/>
      <c r="AA2420" s="8"/>
      <c r="AB2420" s="8"/>
      <c r="AC2420" s="8"/>
      <c r="AD2420" s="8"/>
      <c r="AE2420" s="8"/>
    </row>
    <row r="2421">
      <c r="A2421" s="12">
        <v>74.0</v>
      </c>
      <c r="B2421" s="8" t="s">
        <v>377</v>
      </c>
      <c r="C2421" s="8" t="s">
        <v>1435</v>
      </c>
      <c r="I2421" s="10" t="s">
        <v>1730</v>
      </c>
      <c r="J2421" s="13" t="s">
        <v>1522</v>
      </c>
      <c r="K2421" s="13" t="s">
        <v>276</v>
      </c>
      <c r="L2421" s="13" t="s">
        <v>2184</v>
      </c>
      <c r="M2421" s="7" t="s">
        <v>253</v>
      </c>
      <c r="N2421" s="7" t="s">
        <v>253</v>
      </c>
      <c r="O2421" s="7" t="s">
        <v>254</v>
      </c>
      <c r="P2421" s="8"/>
      <c r="Q2421" s="8"/>
      <c r="R2421" s="8"/>
      <c r="S2421" s="8"/>
      <c r="T2421" s="8"/>
      <c r="U2421" s="8"/>
      <c r="V2421" s="8"/>
      <c r="W2421" s="8"/>
      <c r="X2421" s="8"/>
      <c r="Y2421" s="8"/>
      <c r="Z2421" s="8"/>
      <c r="AA2421" s="8"/>
      <c r="AB2421" s="8"/>
      <c r="AC2421" s="8"/>
      <c r="AD2421" s="8"/>
      <c r="AE2421" s="8"/>
    </row>
    <row r="2422">
      <c r="A2422" s="12">
        <v>74.0</v>
      </c>
      <c r="B2422" s="8" t="s">
        <v>377</v>
      </c>
      <c r="C2422" s="8" t="s">
        <v>1435</v>
      </c>
      <c r="I2422" s="10" t="s">
        <v>2186</v>
      </c>
      <c r="J2422" s="13" t="s">
        <v>1522</v>
      </c>
      <c r="K2422" s="13" t="s">
        <v>276</v>
      </c>
      <c r="L2422" s="13" t="s">
        <v>2184</v>
      </c>
      <c r="M2422" s="7" t="s">
        <v>253</v>
      </c>
      <c r="N2422" s="7" t="s">
        <v>253</v>
      </c>
      <c r="O2422" s="7" t="s">
        <v>254</v>
      </c>
      <c r="P2422" s="8"/>
      <c r="Q2422" s="8"/>
      <c r="R2422" s="8"/>
      <c r="S2422" s="8"/>
      <c r="T2422" s="8"/>
      <c r="U2422" s="8"/>
      <c r="V2422" s="8"/>
      <c r="W2422" s="8"/>
      <c r="X2422" s="8"/>
      <c r="Y2422" s="8"/>
      <c r="Z2422" s="8"/>
      <c r="AA2422" s="8"/>
      <c r="AB2422" s="8"/>
      <c r="AC2422" s="8"/>
      <c r="AD2422" s="8"/>
      <c r="AE2422" s="8"/>
    </row>
    <row r="2423">
      <c r="A2423" s="12">
        <v>74.0</v>
      </c>
      <c r="B2423" s="8" t="s">
        <v>377</v>
      </c>
      <c r="C2423" s="8" t="s">
        <v>1435</v>
      </c>
      <c r="I2423" s="10" t="s">
        <v>375</v>
      </c>
      <c r="J2423" s="13" t="s">
        <v>1522</v>
      </c>
      <c r="K2423" s="13" t="s">
        <v>276</v>
      </c>
      <c r="L2423" s="13" t="s">
        <v>2184</v>
      </c>
      <c r="M2423" s="7" t="s">
        <v>253</v>
      </c>
      <c r="N2423" s="7" t="s">
        <v>253</v>
      </c>
      <c r="O2423" s="7" t="s">
        <v>254</v>
      </c>
      <c r="P2423" s="8"/>
      <c r="Q2423" s="8"/>
      <c r="R2423" s="8"/>
      <c r="S2423" s="8"/>
      <c r="T2423" s="8"/>
      <c r="U2423" s="8"/>
      <c r="V2423" s="8"/>
      <c r="W2423" s="8"/>
      <c r="X2423" s="8"/>
      <c r="Y2423" s="8"/>
      <c r="Z2423" s="8"/>
      <c r="AA2423" s="8"/>
      <c r="AB2423" s="8"/>
      <c r="AC2423" s="8"/>
      <c r="AD2423" s="8"/>
      <c r="AE2423" s="8"/>
    </row>
    <row r="2424">
      <c r="A2424" s="12">
        <v>74.0</v>
      </c>
      <c r="B2424" s="8" t="s">
        <v>377</v>
      </c>
      <c r="C2424" s="8" t="s">
        <v>1435</v>
      </c>
      <c r="I2424" s="10" t="s">
        <v>841</v>
      </c>
      <c r="J2424" s="13" t="s">
        <v>1522</v>
      </c>
      <c r="K2424" s="13" t="s">
        <v>276</v>
      </c>
      <c r="L2424" s="13" t="s">
        <v>1613</v>
      </c>
      <c r="M2424" s="7" t="s">
        <v>253</v>
      </c>
      <c r="N2424" s="7" t="s">
        <v>253</v>
      </c>
      <c r="O2424" s="7" t="s">
        <v>254</v>
      </c>
      <c r="P2424" s="8"/>
      <c r="Q2424" s="8"/>
      <c r="R2424" s="8"/>
      <c r="S2424" s="8"/>
      <c r="T2424" s="8"/>
      <c r="U2424" s="8"/>
      <c r="V2424" s="8"/>
      <c r="W2424" s="8"/>
      <c r="X2424" s="8"/>
      <c r="Y2424" s="8"/>
      <c r="Z2424" s="8"/>
      <c r="AA2424" s="8"/>
      <c r="AB2424" s="8"/>
      <c r="AC2424" s="8"/>
      <c r="AD2424" s="8"/>
      <c r="AE2424" s="8"/>
    </row>
    <row r="2425">
      <c r="A2425" s="12">
        <v>74.0</v>
      </c>
      <c r="B2425" s="8" t="s">
        <v>377</v>
      </c>
      <c r="C2425" s="8" t="s">
        <v>1435</v>
      </c>
      <c r="I2425" s="10" t="s">
        <v>374</v>
      </c>
      <c r="J2425" s="13" t="s">
        <v>1522</v>
      </c>
      <c r="K2425" s="13" t="s">
        <v>276</v>
      </c>
      <c r="L2425" s="13" t="s">
        <v>1613</v>
      </c>
      <c r="M2425" s="7" t="s">
        <v>253</v>
      </c>
      <c r="N2425" s="7" t="s">
        <v>253</v>
      </c>
      <c r="O2425" s="7" t="s">
        <v>254</v>
      </c>
      <c r="P2425" s="8"/>
      <c r="Q2425" s="8"/>
      <c r="R2425" s="8"/>
      <c r="S2425" s="8"/>
      <c r="T2425" s="8"/>
      <c r="U2425" s="8"/>
      <c r="V2425" s="8"/>
      <c r="W2425" s="8"/>
      <c r="X2425" s="8"/>
      <c r="Y2425" s="8"/>
      <c r="Z2425" s="8"/>
      <c r="AA2425" s="8"/>
      <c r="AB2425" s="8"/>
      <c r="AC2425" s="8"/>
      <c r="AD2425" s="8"/>
      <c r="AE2425" s="8"/>
    </row>
    <row r="2426">
      <c r="A2426" s="12">
        <v>74.0</v>
      </c>
      <c r="B2426" s="8" t="s">
        <v>377</v>
      </c>
      <c r="C2426" s="8" t="s">
        <v>1435</v>
      </c>
      <c r="I2426" s="10" t="s">
        <v>1612</v>
      </c>
      <c r="J2426" s="13" t="s">
        <v>1522</v>
      </c>
      <c r="K2426" s="13" t="s">
        <v>276</v>
      </c>
      <c r="L2426" s="13" t="s">
        <v>1613</v>
      </c>
      <c r="M2426" s="7" t="s">
        <v>253</v>
      </c>
      <c r="N2426" s="7" t="s">
        <v>253</v>
      </c>
      <c r="O2426" s="7" t="s">
        <v>254</v>
      </c>
      <c r="P2426" s="8"/>
      <c r="Q2426" s="8"/>
      <c r="R2426" s="8"/>
      <c r="S2426" s="8"/>
      <c r="T2426" s="8"/>
      <c r="U2426" s="8"/>
      <c r="V2426" s="8"/>
      <c r="W2426" s="8"/>
      <c r="X2426" s="8"/>
      <c r="Y2426" s="8"/>
      <c r="Z2426" s="8"/>
      <c r="AA2426" s="8"/>
      <c r="AB2426" s="8"/>
      <c r="AC2426" s="8"/>
      <c r="AD2426" s="8"/>
      <c r="AE2426" s="8"/>
    </row>
    <row r="2427">
      <c r="A2427" s="12">
        <v>74.0</v>
      </c>
      <c r="B2427" s="8" t="s">
        <v>377</v>
      </c>
      <c r="C2427" s="8" t="s">
        <v>1435</v>
      </c>
      <c r="I2427" s="10" t="s">
        <v>1504</v>
      </c>
      <c r="J2427" s="13" t="s">
        <v>1522</v>
      </c>
      <c r="K2427" s="13" t="s">
        <v>276</v>
      </c>
      <c r="L2427" s="13" t="s">
        <v>2184</v>
      </c>
      <c r="M2427" s="7" t="s">
        <v>253</v>
      </c>
      <c r="N2427" s="7" t="s">
        <v>253</v>
      </c>
      <c r="O2427" s="7" t="s">
        <v>254</v>
      </c>
      <c r="P2427" s="8"/>
      <c r="Q2427" s="8"/>
      <c r="R2427" s="8"/>
      <c r="S2427" s="8"/>
      <c r="T2427" s="8"/>
      <c r="U2427" s="8"/>
      <c r="V2427" s="8"/>
      <c r="W2427" s="8"/>
      <c r="X2427" s="8"/>
      <c r="Y2427" s="8"/>
      <c r="Z2427" s="8"/>
      <c r="AA2427" s="8"/>
      <c r="AB2427" s="8"/>
      <c r="AC2427" s="8"/>
      <c r="AD2427" s="8"/>
      <c r="AE2427" s="8"/>
    </row>
    <row r="2428">
      <c r="A2428" s="12">
        <v>74.0</v>
      </c>
      <c r="B2428" s="8" t="s">
        <v>377</v>
      </c>
      <c r="C2428" s="8" t="s">
        <v>1435</v>
      </c>
      <c r="I2428" s="10" t="s">
        <v>376</v>
      </c>
      <c r="J2428" s="13" t="s">
        <v>1522</v>
      </c>
      <c r="K2428" s="13" t="s">
        <v>276</v>
      </c>
      <c r="L2428" s="13" t="s">
        <v>1613</v>
      </c>
      <c r="M2428" s="7" t="s">
        <v>253</v>
      </c>
      <c r="N2428" s="7" t="s">
        <v>253</v>
      </c>
      <c r="O2428" s="7" t="s">
        <v>254</v>
      </c>
      <c r="P2428" s="8"/>
      <c r="Q2428" s="8"/>
      <c r="R2428" s="8"/>
      <c r="S2428" s="8"/>
      <c r="T2428" s="8"/>
      <c r="U2428" s="8"/>
      <c r="V2428" s="8"/>
      <c r="W2428" s="8"/>
      <c r="X2428" s="8"/>
      <c r="Y2428" s="8"/>
      <c r="Z2428" s="8"/>
      <c r="AA2428" s="8"/>
      <c r="AB2428" s="8"/>
      <c r="AC2428" s="8"/>
      <c r="AD2428" s="8"/>
      <c r="AE2428" s="8"/>
    </row>
    <row r="2429">
      <c r="A2429" s="12">
        <v>74.0</v>
      </c>
      <c r="B2429" s="8" t="s">
        <v>377</v>
      </c>
      <c r="C2429" s="8" t="s">
        <v>1435</v>
      </c>
      <c r="I2429" s="10" t="s">
        <v>940</v>
      </c>
      <c r="J2429" s="13" t="s">
        <v>1522</v>
      </c>
      <c r="K2429" s="13" t="s">
        <v>276</v>
      </c>
      <c r="L2429" s="13" t="s">
        <v>1750</v>
      </c>
      <c r="M2429" s="7" t="s">
        <v>253</v>
      </c>
      <c r="N2429" s="7" t="s">
        <v>253</v>
      </c>
      <c r="O2429" s="7" t="s">
        <v>254</v>
      </c>
      <c r="P2429" s="8"/>
      <c r="Q2429" s="8"/>
      <c r="R2429" s="8"/>
      <c r="S2429" s="8"/>
      <c r="T2429" s="8"/>
      <c r="U2429" s="8"/>
      <c r="V2429" s="8"/>
      <c r="W2429" s="8"/>
      <c r="X2429" s="8"/>
      <c r="Y2429" s="8"/>
      <c r="Z2429" s="8"/>
      <c r="AA2429" s="8"/>
      <c r="AB2429" s="8"/>
      <c r="AC2429" s="8"/>
      <c r="AD2429" s="8"/>
      <c r="AE2429" s="8"/>
    </row>
    <row r="2430">
      <c r="A2430" s="12">
        <v>74.0</v>
      </c>
      <c r="B2430" s="8" t="s">
        <v>377</v>
      </c>
      <c r="C2430" s="8" t="s">
        <v>1435</v>
      </c>
      <c r="I2430" s="10" t="s">
        <v>1116</v>
      </c>
      <c r="J2430" s="13" t="s">
        <v>1522</v>
      </c>
      <c r="K2430" s="13" t="s">
        <v>276</v>
      </c>
      <c r="L2430" s="13" t="s">
        <v>1613</v>
      </c>
      <c r="M2430" s="7" t="s">
        <v>253</v>
      </c>
      <c r="N2430" s="7" t="s">
        <v>253</v>
      </c>
      <c r="O2430" s="7" t="s">
        <v>254</v>
      </c>
      <c r="P2430" s="8"/>
      <c r="Q2430" s="8"/>
      <c r="R2430" s="8"/>
      <c r="S2430" s="8"/>
      <c r="T2430" s="8"/>
      <c r="U2430" s="8"/>
      <c r="V2430" s="8"/>
      <c r="W2430" s="8"/>
      <c r="X2430" s="8"/>
      <c r="Y2430" s="8"/>
      <c r="Z2430" s="8"/>
      <c r="AA2430" s="8"/>
      <c r="AB2430" s="8"/>
      <c r="AC2430" s="8"/>
      <c r="AD2430" s="8"/>
      <c r="AE2430" s="8"/>
    </row>
    <row r="2431">
      <c r="A2431" s="12">
        <v>74.0</v>
      </c>
      <c r="B2431" s="8" t="s">
        <v>377</v>
      </c>
      <c r="C2431" s="8" t="s">
        <v>1435</v>
      </c>
      <c r="I2431" s="10" t="s">
        <v>1496</v>
      </c>
      <c r="J2431" s="13" t="s">
        <v>1522</v>
      </c>
      <c r="K2431" s="13" t="s">
        <v>276</v>
      </c>
      <c r="L2431" s="13" t="s">
        <v>2184</v>
      </c>
      <c r="M2431" s="7" t="s">
        <v>253</v>
      </c>
      <c r="N2431" s="7" t="s">
        <v>253</v>
      </c>
      <c r="O2431" s="7" t="s">
        <v>254</v>
      </c>
      <c r="P2431" s="8"/>
      <c r="Q2431" s="8"/>
      <c r="R2431" s="8"/>
      <c r="S2431" s="8"/>
      <c r="T2431" s="8"/>
      <c r="U2431" s="8"/>
      <c r="V2431" s="8"/>
      <c r="W2431" s="8"/>
      <c r="X2431" s="8"/>
      <c r="Y2431" s="8"/>
      <c r="Z2431" s="8"/>
      <c r="AA2431" s="8"/>
      <c r="AB2431" s="8"/>
      <c r="AC2431" s="8"/>
      <c r="AD2431" s="8"/>
      <c r="AE2431" s="8"/>
    </row>
    <row r="2432">
      <c r="A2432" s="12">
        <v>74.0</v>
      </c>
      <c r="B2432" s="8" t="s">
        <v>377</v>
      </c>
      <c r="C2432" s="8" t="s">
        <v>1435</v>
      </c>
      <c r="I2432" s="10" t="s">
        <v>936</v>
      </c>
      <c r="J2432" s="13" t="s">
        <v>1522</v>
      </c>
      <c r="K2432" s="13" t="s">
        <v>276</v>
      </c>
      <c r="L2432" s="13" t="s">
        <v>1613</v>
      </c>
      <c r="M2432" s="7" t="s">
        <v>253</v>
      </c>
      <c r="N2432" s="7" t="s">
        <v>253</v>
      </c>
      <c r="O2432" s="7" t="s">
        <v>254</v>
      </c>
      <c r="P2432" s="8"/>
      <c r="Q2432" s="8"/>
      <c r="R2432" s="8"/>
      <c r="S2432" s="8"/>
      <c r="T2432" s="8"/>
      <c r="U2432" s="8"/>
      <c r="V2432" s="8"/>
      <c r="W2432" s="8"/>
      <c r="X2432" s="8"/>
      <c r="Y2432" s="8"/>
      <c r="Z2432" s="8"/>
      <c r="AA2432" s="8"/>
      <c r="AB2432" s="8"/>
      <c r="AC2432" s="8"/>
      <c r="AD2432" s="8"/>
      <c r="AE2432" s="8"/>
    </row>
    <row r="2433">
      <c r="A2433" s="12">
        <v>74.0</v>
      </c>
      <c r="B2433" s="8" t="s">
        <v>377</v>
      </c>
      <c r="C2433" s="8" t="s">
        <v>1435</v>
      </c>
      <c r="I2433" s="10" t="s">
        <v>837</v>
      </c>
      <c r="J2433" s="13" t="s">
        <v>1522</v>
      </c>
      <c r="K2433" s="13" t="s">
        <v>276</v>
      </c>
      <c r="L2433" s="13" t="s">
        <v>1613</v>
      </c>
      <c r="M2433" s="7" t="s">
        <v>253</v>
      </c>
      <c r="N2433" s="7" t="s">
        <v>253</v>
      </c>
      <c r="O2433" s="7" t="s">
        <v>254</v>
      </c>
      <c r="P2433" s="8"/>
      <c r="Q2433" s="8"/>
      <c r="R2433" s="8"/>
      <c r="S2433" s="8"/>
      <c r="T2433" s="8"/>
      <c r="U2433" s="8"/>
      <c r="V2433" s="8"/>
      <c r="W2433" s="8"/>
      <c r="X2433" s="8"/>
      <c r="Y2433" s="8"/>
      <c r="Z2433" s="8"/>
      <c r="AA2433" s="8"/>
      <c r="AB2433" s="8"/>
      <c r="AC2433" s="8"/>
      <c r="AD2433" s="8"/>
      <c r="AE2433" s="8"/>
    </row>
    <row r="2434">
      <c r="A2434" s="12">
        <v>74.0</v>
      </c>
      <c r="B2434" s="8" t="s">
        <v>377</v>
      </c>
      <c r="C2434" s="8" t="s">
        <v>1435</v>
      </c>
      <c r="I2434" s="10" t="s">
        <v>1499</v>
      </c>
      <c r="J2434" s="13" t="s">
        <v>1522</v>
      </c>
      <c r="K2434" s="13" t="s">
        <v>276</v>
      </c>
      <c r="L2434" s="13" t="s">
        <v>2184</v>
      </c>
      <c r="M2434" s="7" t="s">
        <v>253</v>
      </c>
      <c r="N2434" s="7" t="s">
        <v>253</v>
      </c>
      <c r="O2434" s="7" t="s">
        <v>254</v>
      </c>
      <c r="P2434" s="8"/>
      <c r="Q2434" s="8"/>
      <c r="R2434" s="8"/>
      <c r="S2434" s="8"/>
      <c r="T2434" s="8"/>
      <c r="U2434" s="8"/>
      <c r="V2434" s="8"/>
      <c r="W2434" s="8"/>
      <c r="X2434" s="8"/>
      <c r="Y2434" s="8"/>
      <c r="Z2434" s="8"/>
      <c r="AA2434" s="8"/>
      <c r="AB2434" s="8"/>
      <c r="AC2434" s="8"/>
      <c r="AD2434" s="8"/>
      <c r="AE2434" s="8"/>
    </row>
    <row r="2435">
      <c r="A2435" s="12">
        <v>74.0</v>
      </c>
      <c r="B2435" s="8" t="s">
        <v>377</v>
      </c>
      <c r="C2435" s="8" t="s">
        <v>1435</v>
      </c>
      <c r="I2435" s="10" t="s">
        <v>1406</v>
      </c>
      <c r="J2435" s="13" t="s">
        <v>1522</v>
      </c>
      <c r="K2435" s="13" t="s">
        <v>276</v>
      </c>
      <c r="L2435" s="13" t="s">
        <v>2184</v>
      </c>
      <c r="M2435" s="7" t="s">
        <v>253</v>
      </c>
      <c r="N2435" s="7" t="s">
        <v>253</v>
      </c>
      <c r="O2435" s="7" t="s">
        <v>254</v>
      </c>
      <c r="P2435" s="8"/>
      <c r="Q2435" s="8"/>
      <c r="R2435" s="8"/>
      <c r="S2435" s="8"/>
      <c r="T2435" s="8"/>
      <c r="U2435" s="8"/>
      <c r="V2435" s="8"/>
      <c r="W2435" s="8"/>
      <c r="X2435" s="8"/>
      <c r="Y2435" s="8"/>
      <c r="Z2435" s="8"/>
      <c r="AA2435" s="8"/>
      <c r="AB2435" s="8"/>
      <c r="AC2435" s="8"/>
      <c r="AD2435" s="8"/>
      <c r="AE2435" s="8"/>
    </row>
    <row r="2436">
      <c r="A2436" s="12">
        <v>74.0</v>
      </c>
      <c r="B2436" s="8" t="s">
        <v>377</v>
      </c>
      <c r="C2436" s="8" t="s">
        <v>1435</v>
      </c>
      <c r="I2436" s="10" t="s">
        <v>924</v>
      </c>
      <c r="J2436" s="13" t="s">
        <v>1522</v>
      </c>
      <c r="K2436" s="13" t="s">
        <v>276</v>
      </c>
      <c r="L2436" s="13" t="s">
        <v>1613</v>
      </c>
      <c r="M2436" s="7" t="s">
        <v>253</v>
      </c>
      <c r="N2436" s="7" t="s">
        <v>253</v>
      </c>
      <c r="O2436" s="7" t="s">
        <v>254</v>
      </c>
      <c r="P2436" s="8"/>
      <c r="Q2436" s="8"/>
      <c r="R2436" s="8"/>
      <c r="S2436" s="8"/>
      <c r="T2436" s="8"/>
      <c r="U2436" s="8"/>
      <c r="V2436" s="8"/>
      <c r="W2436" s="8"/>
      <c r="X2436" s="8"/>
      <c r="Y2436" s="8"/>
      <c r="Z2436" s="8"/>
      <c r="AA2436" s="8"/>
      <c r="AB2436" s="8"/>
      <c r="AC2436" s="8"/>
      <c r="AD2436" s="8"/>
      <c r="AE2436" s="8"/>
    </row>
    <row r="2437">
      <c r="A2437" s="12">
        <v>74.0</v>
      </c>
      <c r="B2437" s="8" t="s">
        <v>377</v>
      </c>
      <c r="C2437" s="8" t="s">
        <v>1435</v>
      </c>
      <c r="I2437" s="10" t="s">
        <v>1484</v>
      </c>
      <c r="J2437" s="13" t="s">
        <v>1522</v>
      </c>
      <c r="K2437" s="13" t="s">
        <v>276</v>
      </c>
      <c r="L2437" s="13" t="s">
        <v>1613</v>
      </c>
      <c r="M2437" s="7" t="s">
        <v>253</v>
      </c>
      <c r="N2437" s="7" t="s">
        <v>253</v>
      </c>
      <c r="O2437" s="7" t="s">
        <v>254</v>
      </c>
      <c r="P2437" s="8"/>
      <c r="Q2437" s="8"/>
      <c r="R2437" s="8"/>
      <c r="S2437" s="8"/>
      <c r="T2437" s="8"/>
      <c r="U2437" s="8"/>
      <c r="V2437" s="8"/>
      <c r="W2437" s="8"/>
      <c r="X2437" s="8"/>
      <c r="Y2437" s="8"/>
      <c r="Z2437" s="8"/>
      <c r="AA2437" s="8"/>
      <c r="AB2437" s="8"/>
      <c r="AC2437" s="8"/>
      <c r="AD2437" s="8"/>
      <c r="AE2437" s="8"/>
    </row>
    <row r="2438">
      <c r="A2438" s="12">
        <v>74.0</v>
      </c>
      <c r="B2438" s="8" t="s">
        <v>377</v>
      </c>
      <c r="C2438" s="8" t="s">
        <v>1435</v>
      </c>
      <c r="I2438" s="10" t="s">
        <v>934</v>
      </c>
      <c r="J2438" s="13" t="s">
        <v>1522</v>
      </c>
      <c r="K2438" s="13" t="s">
        <v>276</v>
      </c>
      <c r="L2438" s="13" t="s">
        <v>1613</v>
      </c>
      <c r="M2438" s="7" t="s">
        <v>253</v>
      </c>
      <c r="N2438" s="7" t="s">
        <v>253</v>
      </c>
      <c r="O2438" s="7" t="s">
        <v>254</v>
      </c>
      <c r="P2438" s="8"/>
      <c r="Q2438" s="8"/>
      <c r="R2438" s="8"/>
      <c r="S2438" s="8"/>
      <c r="T2438" s="8"/>
      <c r="U2438" s="8"/>
      <c r="V2438" s="8"/>
      <c r="W2438" s="8"/>
      <c r="X2438" s="8"/>
      <c r="Y2438" s="8"/>
      <c r="Z2438" s="8"/>
      <c r="AA2438" s="8"/>
      <c r="AB2438" s="8"/>
      <c r="AC2438" s="8"/>
      <c r="AD2438" s="8"/>
      <c r="AE2438" s="8"/>
    </row>
    <row r="2439">
      <c r="A2439" s="12">
        <v>74.0</v>
      </c>
      <c r="B2439" s="8" t="s">
        <v>377</v>
      </c>
      <c r="C2439" s="8" t="s">
        <v>1435</v>
      </c>
      <c r="I2439" s="10" t="s">
        <v>1487</v>
      </c>
      <c r="J2439" s="13" t="s">
        <v>1522</v>
      </c>
      <c r="K2439" s="13" t="s">
        <v>276</v>
      </c>
      <c r="L2439" s="13" t="s">
        <v>2202</v>
      </c>
      <c r="M2439" s="7" t="s">
        <v>253</v>
      </c>
      <c r="N2439" s="7" t="s">
        <v>253</v>
      </c>
      <c r="O2439" s="7" t="s">
        <v>254</v>
      </c>
      <c r="P2439" s="8"/>
      <c r="Q2439" s="8"/>
      <c r="R2439" s="8"/>
      <c r="S2439" s="8"/>
      <c r="T2439" s="8"/>
      <c r="U2439" s="8"/>
      <c r="V2439" s="8"/>
      <c r="W2439" s="8"/>
      <c r="X2439" s="8"/>
      <c r="Y2439" s="8"/>
      <c r="Z2439" s="8"/>
      <c r="AA2439" s="8"/>
      <c r="AB2439" s="8"/>
      <c r="AC2439" s="8"/>
      <c r="AD2439" s="8"/>
      <c r="AE2439" s="8"/>
    </row>
    <row r="2440">
      <c r="A2440" s="12">
        <v>74.0</v>
      </c>
      <c r="B2440" s="8" t="s">
        <v>377</v>
      </c>
      <c r="C2440" s="8" t="s">
        <v>1435</v>
      </c>
      <c r="I2440" s="10" t="s">
        <v>2053</v>
      </c>
      <c r="J2440" s="13" t="s">
        <v>1522</v>
      </c>
      <c r="K2440" s="13" t="s">
        <v>276</v>
      </c>
      <c r="L2440" s="13" t="s">
        <v>2184</v>
      </c>
      <c r="M2440" s="7" t="s">
        <v>253</v>
      </c>
      <c r="N2440" s="7" t="s">
        <v>253</v>
      </c>
      <c r="O2440" s="7" t="s">
        <v>254</v>
      </c>
      <c r="P2440" s="8"/>
      <c r="Q2440" s="8"/>
      <c r="R2440" s="8"/>
      <c r="S2440" s="8"/>
      <c r="T2440" s="8"/>
      <c r="U2440" s="8"/>
      <c r="V2440" s="8"/>
      <c r="W2440" s="8"/>
      <c r="X2440" s="8"/>
      <c r="Y2440" s="8"/>
      <c r="Z2440" s="8"/>
      <c r="AA2440" s="8"/>
      <c r="AB2440" s="8"/>
      <c r="AC2440" s="8"/>
      <c r="AD2440" s="8"/>
      <c r="AE2440" s="8"/>
    </row>
    <row r="2441">
      <c r="A2441" s="12">
        <v>74.0</v>
      </c>
      <c r="B2441" s="8" t="s">
        <v>377</v>
      </c>
      <c r="C2441" s="8" t="s">
        <v>1435</v>
      </c>
      <c r="I2441" s="10" t="s">
        <v>845</v>
      </c>
      <c r="J2441" s="13" t="s">
        <v>1522</v>
      </c>
      <c r="K2441" s="13" t="s">
        <v>276</v>
      </c>
      <c r="L2441" s="13" t="s">
        <v>1613</v>
      </c>
      <c r="M2441" s="7" t="s">
        <v>253</v>
      </c>
      <c r="N2441" s="7" t="s">
        <v>253</v>
      </c>
      <c r="O2441" s="7" t="s">
        <v>254</v>
      </c>
      <c r="P2441" s="8"/>
      <c r="Q2441" s="8"/>
      <c r="R2441" s="8"/>
      <c r="S2441" s="8"/>
      <c r="T2441" s="8"/>
      <c r="U2441" s="8"/>
      <c r="V2441" s="8"/>
      <c r="W2441" s="8"/>
      <c r="X2441" s="8"/>
      <c r="Y2441" s="8"/>
      <c r="Z2441" s="8"/>
      <c r="AA2441" s="8"/>
      <c r="AB2441" s="8"/>
      <c r="AC2441" s="8"/>
      <c r="AD2441" s="8"/>
      <c r="AE2441" s="8"/>
    </row>
    <row r="2442">
      <c r="A2442" s="12">
        <v>74.0</v>
      </c>
      <c r="B2442" s="8" t="s">
        <v>377</v>
      </c>
      <c r="C2442" s="8" t="s">
        <v>1435</v>
      </c>
      <c r="I2442" s="10" t="s">
        <v>913</v>
      </c>
      <c r="J2442" s="13" t="s">
        <v>1522</v>
      </c>
      <c r="K2442" s="13" t="s">
        <v>276</v>
      </c>
      <c r="L2442" s="13" t="s">
        <v>2184</v>
      </c>
      <c r="M2442" s="7" t="s">
        <v>253</v>
      </c>
      <c r="N2442" s="7" t="s">
        <v>253</v>
      </c>
      <c r="O2442" s="7" t="s">
        <v>254</v>
      </c>
      <c r="P2442" s="8"/>
      <c r="Q2442" s="8"/>
      <c r="R2442" s="8"/>
      <c r="S2442" s="8"/>
      <c r="T2442" s="8"/>
      <c r="U2442" s="8"/>
      <c r="V2442" s="8"/>
      <c r="W2442" s="8"/>
      <c r="X2442" s="8"/>
      <c r="Y2442" s="8"/>
      <c r="Z2442" s="8"/>
      <c r="AA2442" s="8"/>
      <c r="AB2442" s="8"/>
      <c r="AC2442" s="8"/>
      <c r="AD2442" s="8"/>
      <c r="AE2442" s="8"/>
    </row>
    <row r="2443">
      <c r="A2443" s="12">
        <v>74.0</v>
      </c>
      <c r="B2443" s="8" t="s">
        <v>377</v>
      </c>
      <c r="C2443" s="8" t="s">
        <v>1435</v>
      </c>
      <c r="I2443" s="10" t="s">
        <v>1274</v>
      </c>
      <c r="J2443" s="13" t="s">
        <v>1522</v>
      </c>
      <c r="K2443" s="13" t="s">
        <v>276</v>
      </c>
      <c r="L2443" s="13" t="s">
        <v>2184</v>
      </c>
      <c r="M2443" s="7" t="s">
        <v>253</v>
      </c>
      <c r="N2443" s="7" t="s">
        <v>253</v>
      </c>
      <c r="O2443" s="7" t="s">
        <v>254</v>
      </c>
      <c r="P2443" s="8"/>
      <c r="Q2443" s="8"/>
      <c r="R2443" s="8"/>
      <c r="S2443" s="8"/>
      <c r="T2443" s="8"/>
      <c r="U2443" s="8"/>
      <c r="V2443" s="8"/>
      <c r="W2443" s="8"/>
      <c r="X2443" s="8"/>
      <c r="Y2443" s="8"/>
      <c r="Z2443" s="8"/>
      <c r="AA2443" s="8"/>
      <c r="AB2443" s="8"/>
      <c r="AC2443" s="8"/>
      <c r="AD2443" s="8"/>
      <c r="AE2443" s="8"/>
    </row>
    <row r="2444">
      <c r="A2444" s="12">
        <v>74.0</v>
      </c>
      <c r="B2444" s="8" t="s">
        <v>377</v>
      </c>
      <c r="C2444" s="8" t="s">
        <v>1435</v>
      </c>
      <c r="I2444" s="10" t="s">
        <v>1740</v>
      </c>
      <c r="J2444" s="13" t="s">
        <v>1522</v>
      </c>
      <c r="K2444" s="13" t="s">
        <v>276</v>
      </c>
      <c r="L2444" s="13" t="s">
        <v>2184</v>
      </c>
      <c r="M2444" s="7" t="s">
        <v>253</v>
      </c>
      <c r="N2444" s="7" t="s">
        <v>253</v>
      </c>
      <c r="O2444" s="7" t="s">
        <v>254</v>
      </c>
      <c r="P2444" s="8"/>
      <c r="Q2444" s="8"/>
      <c r="R2444" s="8"/>
      <c r="S2444" s="8"/>
      <c r="T2444" s="8"/>
      <c r="U2444" s="8"/>
      <c r="V2444" s="8"/>
      <c r="W2444" s="8"/>
      <c r="X2444" s="8"/>
      <c r="Y2444" s="8"/>
      <c r="Z2444" s="8"/>
      <c r="AA2444" s="8"/>
      <c r="AB2444" s="8"/>
      <c r="AC2444" s="8"/>
      <c r="AD2444" s="8"/>
      <c r="AE2444" s="8"/>
    </row>
    <row r="2445">
      <c r="A2445" s="12">
        <v>75.0</v>
      </c>
      <c r="B2445" s="8" t="s">
        <v>378</v>
      </c>
      <c r="C2445" s="8" t="s">
        <v>1527</v>
      </c>
      <c r="D2445" s="25">
        <f>IF(COUNTIF($B$2:$B2445,$B2445)&gt;1,"",COUNTIF($B$2:$B$2505,$B2445))</f>
        <v>61</v>
      </c>
      <c r="E2445" s="25">
        <f>IF(COUNTIF($B$2:$B2445,$B2445)&gt;1,"",COUNTIFS($B$2:$B$2505,$B2445,$K$2:$K$2505,"PHÙ HỢP CAO"))</f>
        <v>5</v>
      </c>
      <c r="F2445" s="25">
        <f>IF(COUNTIF($B$2:$B2445,$B2445)&gt;1,"",COUNTIFS($B$2:$B$2505,$B2445,$K$2:$K$2505,"CÓ THỂ ĐI"))</f>
        <v>0</v>
      </c>
      <c r="G2445" s="25">
        <f>IF(COUNTIF($B$2:$B2445,$B2445)&gt;1,"",COUNTIFS($B$2:$B$2505,$B2445,$K$2:$K$2505,"CẦN SOÁT"))</f>
        <v>56</v>
      </c>
      <c r="H2445" s="26" t="str">
        <f>IFERROR(__xludf.DUMMYFUNCTION("IF(COUNTIF($B$2:$B2445,$B2445)&gt;1,"""",IFERROR(TEXTJOIN(CHAR(10),TRUE,BYROW(QUERY({$B$2:$B$2505,$J$2:$J$2505},""select Col2, count(Col2) where Col1 = '""&amp;$B2445&amp;""' group by Col2 order by count(Col2) desc label count(Col2) ''"",0),LAMBDA(r,INDEX(r,1,1)&amp;"" "&amp;"– ""&amp;INDEX(r,1,2)&amp;"" link""))),""""))"),"phương pháp đầu tư chứng chỉ quỹ – 21 link
cách đầu tư chứng chỉ quỹ – 20 link
đầu tư chứng chỉ quỹ cho người mới – 20 link")</f>
        <v>phương pháp đầu tư chứng chỉ quỹ – 21 link
cách đầu tư chứng chỉ quỹ – 20 link
đầu tư chứng chỉ quỹ cho người mới – 20 link</v>
      </c>
      <c r="I2445" s="10" t="s">
        <v>1528</v>
      </c>
      <c r="J2445" s="13" t="s">
        <v>1530</v>
      </c>
      <c r="K2445" s="13" t="s">
        <v>251</v>
      </c>
      <c r="L2445" s="13" t="s">
        <v>2203</v>
      </c>
      <c r="M2445" s="7" t="s">
        <v>253</v>
      </c>
      <c r="N2445" s="7" t="s">
        <v>253</v>
      </c>
      <c r="O2445" s="7" t="s">
        <v>254</v>
      </c>
      <c r="P2445" s="8"/>
      <c r="Q2445" s="8"/>
      <c r="R2445" s="8"/>
      <c r="S2445" s="8"/>
      <c r="T2445" s="8"/>
      <c r="U2445" s="8"/>
      <c r="V2445" s="8"/>
      <c r="W2445" s="8"/>
      <c r="X2445" s="8"/>
      <c r="Y2445" s="8"/>
      <c r="Z2445" s="8"/>
      <c r="AA2445" s="8"/>
      <c r="AB2445" s="8"/>
      <c r="AC2445" s="8"/>
      <c r="AD2445" s="8"/>
      <c r="AE2445" s="8"/>
    </row>
    <row r="2446">
      <c r="A2446" s="12">
        <v>75.0</v>
      </c>
      <c r="B2446" s="8" t="s">
        <v>378</v>
      </c>
      <c r="C2446" s="8" t="s">
        <v>1527</v>
      </c>
      <c r="I2446" s="10" t="s">
        <v>409</v>
      </c>
      <c r="J2446" s="13" t="s">
        <v>1532</v>
      </c>
      <c r="K2446" s="13" t="s">
        <v>251</v>
      </c>
      <c r="L2446" s="13" t="s">
        <v>2204</v>
      </c>
      <c r="M2446" s="7" t="s">
        <v>253</v>
      </c>
      <c r="N2446" s="7" t="s">
        <v>253</v>
      </c>
      <c r="O2446" s="7" t="s">
        <v>254</v>
      </c>
      <c r="P2446" s="8"/>
      <c r="Q2446" s="8"/>
      <c r="R2446" s="8"/>
      <c r="S2446" s="8"/>
      <c r="T2446" s="8"/>
      <c r="U2446" s="8"/>
      <c r="V2446" s="8"/>
      <c r="W2446" s="8"/>
      <c r="X2446" s="8"/>
      <c r="Y2446" s="8"/>
      <c r="Z2446" s="8"/>
      <c r="AA2446" s="8"/>
      <c r="AB2446" s="8"/>
      <c r="AC2446" s="8"/>
      <c r="AD2446" s="8"/>
      <c r="AE2446" s="8"/>
    </row>
    <row r="2447">
      <c r="A2447" s="12">
        <v>75.0</v>
      </c>
      <c r="B2447" s="8" t="s">
        <v>378</v>
      </c>
      <c r="C2447" s="8" t="s">
        <v>1527</v>
      </c>
      <c r="I2447" s="10" t="s">
        <v>1533</v>
      </c>
      <c r="J2447" s="13" t="s">
        <v>1537</v>
      </c>
      <c r="K2447" s="13" t="s">
        <v>251</v>
      </c>
      <c r="L2447" s="13" t="s">
        <v>2205</v>
      </c>
      <c r="M2447" s="7" t="s">
        <v>253</v>
      </c>
      <c r="N2447" s="7" t="s">
        <v>253</v>
      </c>
      <c r="O2447" s="7" t="s">
        <v>254</v>
      </c>
      <c r="P2447" s="8"/>
      <c r="Q2447" s="8"/>
      <c r="R2447" s="8"/>
      <c r="S2447" s="8"/>
      <c r="T2447" s="8"/>
      <c r="U2447" s="8"/>
      <c r="V2447" s="8"/>
      <c r="W2447" s="8"/>
      <c r="X2447" s="8"/>
      <c r="Y2447" s="8"/>
      <c r="Z2447" s="8"/>
      <c r="AA2447" s="8"/>
      <c r="AB2447" s="8"/>
      <c r="AC2447" s="8"/>
      <c r="AD2447" s="8"/>
      <c r="AE2447" s="8"/>
    </row>
    <row r="2448">
      <c r="A2448" s="12">
        <v>75.0</v>
      </c>
      <c r="B2448" s="8" t="s">
        <v>378</v>
      </c>
      <c r="C2448" s="8" t="s">
        <v>1527</v>
      </c>
      <c r="I2448" s="10" t="s">
        <v>1538</v>
      </c>
      <c r="J2448" s="13" t="s">
        <v>1530</v>
      </c>
      <c r="K2448" s="13" t="s">
        <v>251</v>
      </c>
      <c r="L2448" s="13" t="s">
        <v>2206</v>
      </c>
      <c r="M2448" s="7" t="s">
        <v>253</v>
      </c>
      <c r="N2448" s="7" t="s">
        <v>253</v>
      </c>
      <c r="O2448" s="7" t="s">
        <v>254</v>
      </c>
      <c r="P2448" s="8"/>
      <c r="Q2448" s="8"/>
      <c r="R2448" s="8"/>
      <c r="S2448" s="8"/>
      <c r="T2448" s="8"/>
      <c r="U2448" s="8"/>
      <c r="V2448" s="8"/>
      <c r="W2448" s="8"/>
      <c r="X2448" s="8"/>
      <c r="Y2448" s="8"/>
      <c r="Z2448" s="8"/>
      <c r="AA2448" s="8"/>
      <c r="AB2448" s="8"/>
      <c r="AC2448" s="8"/>
      <c r="AD2448" s="8"/>
      <c r="AE2448" s="8"/>
    </row>
    <row r="2449">
      <c r="A2449" s="12">
        <v>75.0</v>
      </c>
      <c r="B2449" s="8" t="s">
        <v>378</v>
      </c>
      <c r="C2449" s="8" t="s">
        <v>1527</v>
      </c>
      <c r="I2449" s="10" t="s">
        <v>1541</v>
      </c>
      <c r="J2449" s="13" t="s">
        <v>1532</v>
      </c>
      <c r="K2449" s="13" t="s">
        <v>251</v>
      </c>
      <c r="L2449" s="13" t="s">
        <v>2207</v>
      </c>
      <c r="M2449" s="7" t="s">
        <v>253</v>
      </c>
      <c r="N2449" s="7" t="s">
        <v>253</v>
      </c>
      <c r="O2449" s="7" t="s">
        <v>254</v>
      </c>
      <c r="P2449" s="8"/>
      <c r="Q2449" s="8"/>
      <c r="R2449" s="8"/>
      <c r="S2449" s="8"/>
      <c r="T2449" s="8"/>
      <c r="U2449" s="8"/>
      <c r="V2449" s="8"/>
      <c r="W2449" s="8"/>
      <c r="X2449" s="8"/>
      <c r="Y2449" s="8"/>
      <c r="Z2449" s="8"/>
      <c r="AA2449" s="8"/>
      <c r="AB2449" s="8"/>
      <c r="AC2449" s="8"/>
      <c r="AD2449" s="8"/>
      <c r="AE2449" s="8"/>
    </row>
    <row r="2450">
      <c r="A2450" s="12">
        <v>75.0</v>
      </c>
      <c r="B2450" s="8" t="s">
        <v>378</v>
      </c>
      <c r="C2450" s="8" t="s">
        <v>1527</v>
      </c>
      <c r="I2450" s="10" t="s">
        <v>2208</v>
      </c>
      <c r="J2450" s="13" t="s">
        <v>1537</v>
      </c>
      <c r="K2450" s="13" t="s">
        <v>276</v>
      </c>
      <c r="L2450" s="13" t="s">
        <v>2209</v>
      </c>
      <c r="M2450" s="7" t="s">
        <v>253</v>
      </c>
      <c r="N2450" s="7" t="s">
        <v>253</v>
      </c>
      <c r="O2450" s="7" t="s">
        <v>254</v>
      </c>
      <c r="P2450" s="8"/>
      <c r="Q2450" s="8"/>
      <c r="R2450" s="8"/>
      <c r="S2450" s="8"/>
      <c r="T2450" s="8"/>
      <c r="U2450" s="8"/>
      <c r="V2450" s="8"/>
      <c r="W2450" s="8"/>
      <c r="X2450" s="8"/>
      <c r="Y2450" s="8"/>
      <c r="Z2450" s="8"/>
      <c r="AA2450" s="8"/>
      <c r="AB2450" s="8"/>
      <c r="AC2450" s="8"/>
      <c r="AD2450" s="8"/>
      <c r="AE2450" s="8"/>
    </row>
    <row r="2451">
      <c r="A2451" s="12">
        <v>75.0</v>
      </c>
      <c r="B2451" s="8" t="s">
        <v>378</v>
      </c>
      <c r="C2451" s="8" t="s">
        <v>1527</v>
      </c>
      <c r="I2451" s="10" t="s">
        <v>2210</v>
      </c>
      <c r="J2451" s="13" t="s">
        <v>1530</v>
      </c>
      <c r="K2451" s="13" t="s">
        <v>276</v>
      </c>
      <c r="L2451" s="13" t="s">
        <v>2209</v>
      </c>
      <c r="M2451" s="7" t="s">
        <v>253</v>
      </c>
      <c r="N2451" s="7" t="s">
        <v>253</v>
      </c>
      <c r="O2451" s="7" t="s">
        <v>254</v>
      </c>
      <c r="P2451" s="8"/>
      <c r="Q2451" s="8"/>
      <c r="R2451" s="8"/>
      <c r="S2451" s="8"/>
      <c r="T2451" s="8"/>
      <c r="U2451" s="8"/>
      <c r="V2451" s="8"/>
      <c r="W2451" s="8"/>
      <c r="X2451" s="8"/>
      <c r="Y2451" s="8"/>
      <c r="Z2451" s="8"/>
      <c r="AA2451" s="8"/>
      <c r="AB2451" s="8"/>
      <c r="AC2451" s="8"/>
      <c r="AD2451" s="8"/>
      <c r="AE2451" s="8"/>
    </row>
    <row r="2452">
      <c r="A2452" s="12">
        <v>75.0</v>
      </c>
      <c r="B2452" s="8" t="s">
        <v>378</v>
      </c>
      <c r="C2452" s="8" t="s">
        <v>1527</v>
      </c>
      <c r="I2452" s="10" t="s">
        <v>2211</v>
      </c>
      <c r="J2452" s="13" t="s">
        <v>1532</v>
      </c>
      <c r="K2452" s="13" t="s">
        <v>276</v>
      </c>
      <c r="L2452" s="13" t="s">
        <v>2209</v>
      </c>
      <c r="M2452" s="7" t="s">
        <v>253</v>
      </c>
      <c r="N2452" s="7" t="s">
        <v>253</v>
      </c>
      <c r="O2452" s="7" t="s">
        <v>254</v>
      </c>
      <c r="P2452" s="8"/>
      <c r="Q2452" s="8"/>
      <c r="R2452" s="8"/>
      <c r="S2452" s="8"/>
      <c r="T2452" s="8"/>
      <c r="U2452" s="8"/>
      <c r="V2452" s="8"/>
      <c r="W2452" s="8"/>
      <c r="X2452" s="8"/>
      <c r="Y2452" s="8"/>
      <c r="Z2452" s="8"/>
      <c r="AA2452" s="8"/>
      <c r="AB2452" s="8"/>
      <c r="AC2452" s="8"/>
      <c r="AD2452" s="8"/>
      <c r="AE2452" s="8"/>
    </row>
    <row r="2453">
      <c r="A2453" s="12">
        <v>75.0</v>
      </c>
      <c r="B2453" s="8" t="s">
        <v>378</v>
      </c>
      <c r="C2453" s="8" t="s">
        <v>1527</v>
      </c>
      <c r="I2453" s="10" t="s">
        <v>1520</v>
      </c>
      <c r="J2453" s="13" t="s">
        <v>1537</v>
      </c>
      <c r="K2453" s="13" t="s">
        <v>276</v>
      </c>
      <c r="L2453" s="13" t="s">
        <v>2209</v>
      </c>
      <c r="M2453" s="7" t="s">
        <v>253</v>
      </c>
      <c r="N2453" s="7" t="s">
        <v>253</v>
      </c>
      <c r="O2453" s="7" t="s">
        <v>254</v>
      </c>
      <c r="P2453" s="8"/>
      <c r="Q2453" s="8"/>
      <c r="R2453" s="8"/>
      <c r="S2453" s="8"/>
      <c r="T2453" s="8"/>
      <c r="U2453" s="8"/>
      <c r="V2453" s="8"/>
      <c r="W2453" s="8"/>
      <c r="X2453" s="8"/>
      <c r="Y2453" s="8"/>
      <c r="Z2453" s="8"/>
      <c r="AA2453" s="8"/>
      <c r="AB2453" s="8"/>
      <c r="AC2453" s="8"/>
      <c r="AD2453" s="8"/>
      <c r="AE2453" s="8"/>
    </row>
    <row r="2454">
      <c r="A2454" s="12">
        <v>75.0</v>
      </c>
      <c r="B2454" s="8" t="s">
        <v>378</v>
      </c>
      <c r="C2454" s="8" t="s">
        <v>1527</v>
      </c>
      <c r="I2454" s="10" t="s">
        <v>1979</v>
      </c>
      <c r="J2454" s="13" t="s">
        <v>1530</v>
      </c>
      <c r="K2454" s="13" t="s">
        <v>276</v>
      </c>
      <c r="L2454" s="13" t="s">
        <v>2209</v>
      </c>
      <c r="M2454" s="7" t="s">
        <v>253</v>
      </c>
      <c r="N2454" s="7" t="s">
        <v>253</v>
      </c>
      <c r="O2454" s="7" t="s">
        <v>254</v>
      </c>
      <c r="P2454" s="8"/>
      <c r="Q2454" s="8"/>
      <c r="R2454" s="8"/>
      <c r="S2454" s="8"/>
      <c r="T2454" s="8"/>
      <c r="U2454" s="8"/>
      <c r="V2454" s="8"/>
      <c r="W2454" s="8"/>
      <c r="X2454" s="8"/>
      <c r="Y2454" s="8"/>
      <c r="Z2454" s="8"/>
      <c r="AA2454" s="8"/>
      <c r="AB2454" s="8"/>
      <c r="AC2454" s="8"/>
      <c r="AD2454" s="8"/>
      <c r="AE2454" s="8"/>
    </row>
    <row r="2455">
      <c r="A2455" s="12">
        <v>75.0</v>
      </c>
      <c r="B2455" s="8" t="s">
        <v>378</v>
      </c>
      <c r="C2455" s="8" t="s">
        <v>1527</v>
      </c>
      <c r="I2455" s="10" t="s">
        <v>1571</v>
      </c>
      <c r="J2455" s="13" t="s">
        <v>1532</v>
      </c>
      <c r="K2455" s="13" t="s">
        <v>276</v>
      </c>
      <c r="L2455" s="13" t="s">
        <v>2209</v>
      </c>
      <c r="M2455" s="7" t="s">
        <v>253</v>
      </c>
      <c r="N2455" s="7" t="s">
        <v>253</v>
      </c>
      <c r="O2455" s="7" t="s">
        <v>254</v>
      </c>
      <c r="P2455" s="8"/>
      <c r="Q2455" s="8"/>
      <c r="R2455" s="8"/>
      <c r="S2455" s="8"/>
      <c r="T2455" s="8"/>
      <c r="U2455" s="8"/>
      <c r="V2455" s="8"/>
      <c r="W2455" s="8"/>
      <c r="X2455" s="8"/>
      <c r="Y2455" s="8"/>
      <c r="Z2455" s="8"/>
      <c r="AA2455" s="8"/>
      <c r="AB2455" s="8"/>
      <c r="AC2455" s="8"/>
      <c r="AD2455" s="8"/>
      <c r="AE2455" s="8"/>
    </row>
    <row r="2456">
      <c r="A2456" s="12">
        <v>75.0</v>
      </c>
      <c r="B2456" s="8" t="s">
        <v>378</v>
      </c>
      <c r="C2456" s="8" t="s">
        <v>1527</v>
      </c>
      <c r="I2456" s="10" t="s">
        <v>2212</v>
      </c>
      <c r="J2456" s="13" t="s">
        <v>1537</v>
      </c>
      <c r="K2456" s="13" t="s">
        <v>276</v>
      </c>
      <c r="L2456" s="13" t="s">
        <v>2209</v>
      </c>
      <c r="M2456" s="7" t="s">
        <v>253</v>
      </c>
      <c r="N2456" s="7" t="s">
        <v>253</v>
      </c>
      <c r="O2456" s="7" t="s">
        <v>254</v>
      </c>
      <c r="P2456" s="8"/>
      <c r="Q2456" s="8"/>
      <c r="R2456" s="8"/>
      <c r="S2456" s="8"/>
      <c r="T2456" s="8"/>
      <c r="U2456" s="8"/>
      <c r="V2456" s="8"/>
      <c r="W2456" s="8"/>
      <c r="X2456" s="8"/>
      <c r="Y2456" s="8"/>
      <c r="Z2456" s="8"/>
      <c r="AA2456" s="8"/>
      <c r="AB2456" s="8"/>
      <c r="AC2456" s="8"/>
      <c r="AD2456" s="8"/>
      <c r="AE2456" s="8"/>
    </row>
    <row r="2457">
      <c r="A2457" s="12">
        <v>75.0</v>
      </c>
      <c r="B2457" s="8" t="s">
        <v>378</v>
      </c>
      <c r="C2457" s="8" t="s">
        <v>1527</v>
      </c>
      <c r="I2457" s="10" t="s">
        <v>401</v>
      </c>
      <c r="J2457" s="13" t="s">
        <v>1530</v>
      </c>
      <c r="K2457" s="13" t="s">
        <v>276</v>
      </c>
      <c r="L2457" s="13" t="s">
        <v>2209</v>
      </c>
      <c r="M2457" s="7" t="s">
        <v>253</v>
      </c>
      <c r="N2457" s="7" t="s">
        <v>253</v>
      </c>
      <c r="O2457" s="7" t="s">
        <v>254</v>
      </c>
      <c r="P2457" s="8"/>
      <c r="Q2457" s="8"/>
      <c r="R2457" s="8"/>
      <c r="S2457" s="8"/>
      <c r="T2457" s="8"/>
      <c r="U2457" s="8"/>
      <c r="V2457" s="8"/>
      <c r="W2457" s="8"/>
      <c r="X2457" s="8"/>
      <c r="Y2457" s="8"/>
      <c r="Z2457" s="8"/>
      <c r="AA2457" s="8"/>
      <c r="AB2457" s="8"/>
      <c r="AC2457" s="8"/>
      <c r="AD2457" s="8"/>
      <c r="AE2457" s="8"/>
    </row>
    <row r="2458">
      <c r="A2458" s="12">
        <v>75.0</v>
      </c>
      <c r="B2458" s="8" t="s">
        <v>378</v>
      </c>
      <c r="C2458" s="8" t="s">
        <v>1527</v>
      </c>
      <c r="I2458" s="10" t="s">
        <v>2107</v>
      </c>
      <c r="J2458" s="13" t="s">
        <v>1532</v>
      </c>
      <c r="K2458" s="13" t="s">
        <v>276</v>
      </c>
      <c r="L2458" s="13" t="s">
        <v>2209</v>
      </c>
      <c r="M2458" s="7" t="s">
        <v>253</v>
      </c>
      <c r="N2458" s="7" t="s">
        <v>253</v>
      </c>
      <c r="O2458" s="7" t="s">
        <v>254</v>
      </c>
      <c r="P2458" s="8"/>
      <c r="Q2458" s="8"/>
      <c r="R2458" s="8"/>
      <c r="S2458" s="8"/>
      <c r="T2458" s="8"/>
      <c r="U2458" s="8"/>
      <c r="V2458" s="8"/>
      <c r="W2458" s="8"/>
      <c r="X2458" s="8"/>
      <c r="Y2458" s="8"/>
      <c r="Z2458" s="8"/>
      <c r="AA2458" s="8"/>
      <c r="AB2458" s="8"/>
      <c r="AC2458" s="8"/>
      <c r="AD2458" s="8"/>
      <c r="AE2458" s="8"/>
    </row>
    <row r="2459">
      <c r="A2459" s="12">
        <v>75.0</v>
      </c>
      <c r="B2459" s="8" t="s">
        <v>378</v>
      </c>
      <c r="C2459" s="8" t="s">
        <v>1527</v>
      </c>
      <c r="I2459" s="10" t="s">
        <v>402</v>
      </c>
      <c r="J2459" s="13" t="s">
        <v>1537</v>
      </c>
      <c r="K2459" s="13" t="s">
        <v>276</v>
      </c>
      <c r="L2459" s="13" t="s">
        <v>2209</v>
      </c>
      <c r="M2459" s="7" t="s">
        <v>253</v>
      </c>
      <c r="N2459" s="7" t="s">
        <v>253</v>
      </c>
      <c r="O2459" s="7" t="s">
        <v>254</v>
      </c>
      <c r="P2459" s="8"/>
      <c r="Q2459" s="8"/>
      <c r="R2459" s="8"/>
      <c r="S2459" s="8"/>
      <c r="T2459" s="8"/>
      <c r="U2459" s="8"/>
      <c r="V2459" s="8"/>
      <c r="W2459" s="8"/>
      <c r="X2459" s="8"/>
      <c r="Y2459" s="8"/>
      <c r="Z2459" s="8"/>
      <c r="AA2459" s="8"/>
      <c r="AB2459" s="8"/>
      <c r="AC2459" s="8"/>
      <c r="AD2459" s="8"/>
      <c r="AE2459" s="8"/>
    </row>
    <row r="2460">
      <c r="A2460" s="12">
        <v>75.0</v>
      </c>
      <c r="B2460" s="8" t="s">
        <v>378</v>
      </c>
      <c r="C2460" s="8" t="s">
        <v>1527</v>
      </c>
      <c r="I2460" s="10" t="s">
        <v>2109</v>
      </c>
      <c r="J2460" s="13" t="s">
        <v>1530</v>
      </c>
      <c r="K2460" s="13" t="s">
        <v>276</v>
      </c>
      <c r="L2460" s="13" t="s">
        <v>2209</v>
      </c>
      <c r="M2460" s="7" t="s">
        <v>253</v>
      </c>
      <c r="N2460" s="7" t="s">
        <v>253</v>
      </c>
      <c r="O2460" s="7" t="s">
        <v>254</v>
      </c>
      <c r="P2460" s="8"/>
      <c r="Q2460" s="8"/>
      <c r="R2460" s="8"/>
      <c r="S2460" s="8"/>
      <c r="T2460" s="8"/>
      <c r="U2460" s="8"/>
      <c r="V2460" s="8"/>
      <c r="W2460" s="8"/>
      <c r="X2460" s="8"/>
      <c r="Y2460" s="8"/>
      <c r="Z2460" s="8"/>
      <c r="AA2460" s="8"/>
      <c r="AB2460" s="8"/>
      <c r="AC2460" s="8"/>
      <c r="AD2460" s="8"/>
      <c r="AE2460" s="8"/>
    </row>
    <row r="2461">
      <c r="A2461" s="12">
        <v>75.0</v>
      </c>
      <c r="B2461" s="8" t="s">
        <v>378</v>
      </c>
      <c r="C2461" s="8" t="s">
        <v>1527</v>
      </c>
      <c r="I2461" s="10" t="s">
        <v>2213</v>
      </c>
      <c r="J2461" s="13" t="s">
        <v>1532</v>
      </c>
      <c r="K2461" s="13" t="s">
        <v>276</v>
      </c>
      <c r="L2461" s="13" t="s">
        <v>2209</v>
      </c>
      <c r="M2461" s="7" t="s">
        <v>253</v>
      </c>
      <c r="N2461" s="7" t="s">
        <v>253</v>
      </c>
      <c r="O2461" s="7" t="s">
        <v>254</v>
      </c>
      <c r="P2461" s="8"/>
      <c r="Q2461" s="8"/>
      <c r="R2461" s="8"/>
      <c r="S2461" s="8"/>
      <c r="T2461" s="8"/>
      <c r="U2461" s="8"/>
      <c r="V2461" s="8"/>
      <c r="W2461" s="8"/>
      <c r="X2461" s="8"/>
      <c r="Y2461" s="8"/>
      <c r="Z2461" s="8"/>
      <c r="AA2461" s="8"/>
      <c r="AB2461" s="8"/>
      <c r="AC2461" s="8"/>
      <c r="AD2461" s="8"/>
      <c r="AE2461" s="8"/>
    </row>
    <row r="2462">
      <c r="A2462" s="12">
        <v>75.0</v>
      </c>
      <c r="B2462" s="8" t="s">
        <v>378</v>
      </c>
      <c r="C2462" s="8" t="s">
        <v>1527</v>
      </c>
      <c r="I2462" s="10" t="s">
        <v>2214</v>
      </c>
      <c r="J2462" s="13" t="s">
        <v>1537</v>
      </c>
      <c r="K2462" s="13" t="s">
        <v>276</v>
      </c>
      <c r="L2462" s="13" t="s">
        <v>2209</v>
      </c>
      <c r="M2462" s="7" t="s">
        <v>253</v>
      </c>
      <c r="N2462" s="7" t="s">
        <v>253</v>
      </c>
      <c r="O2462" s="7" t="s">
        <v>254</v>
      </c>
      <c r="P2462" s="8"/>
      <c r="Q2462" s="8"/>
      <c r="R2462" s="8"/>
      <c r="S2462" s="8"/>
      <c r="T2462" s="8"/>
      <c r="U2462" s="8"/>
      <c r="V2462" s="8"/>
      <c r="W2462" s="8"/>
      <c r="X2462" s="8"/>
      <c r="Y2462" s="8"/>
      <c r="Z2462" s="8"/>
      <c r="AA2462" s="8"/>
      <c r="AB2462" s="8"/>
      <c r="AC2462" s="8"/>
      <c r="AD2462" s="8"/>
      <c r="AE2462" s="8"/>
    </row>
    <row r="2463">
      <c r="A2463" s="12">
        <v>75.0</v>
      </c>
      <c r="B2463" s="8" t="s">
        <v>378</v>
      </c>
      <c r="C2463" s="8" t="s">
        <v>1527</v>
      </c>
      <c r="I2463" s="10" t="s">
        <v>1584</v>
      </c>
      <c r="J2463" s="13" t="s">
        <v>1530</v>
      </c>
      <c r="K2463" s="13" t="s">
        <v>276</v>
      </c>
      <c r="L2463" s="13" t="s">
        <v>2209</v>
      </c>
      <c r="M2463" s="7" t="s">
        <v>253</v>
      </c>
      <c r="N2463" s="7" t="s">
        <v>253</v>
      </c>
      <c r="O2463" s="7" t="s">
        <v>254</v>
      </c>
      <c r="P2463" s="8"/>
      <c r="Q2463" s="8"/>
      <c r="R2463" s="8"/>
      <c r="S2463" s="8"/>
      <c r="T2463" s="8"/>
      <c r="U2463" s="8"/>
      <c r="V2463" s="8"/>
      <c r="W2463" s="8"/>
      <c r="X2463" s="8"/>
      <c r="Y2463" s="8"/>
      <c r="Z2463" s="8"/>
      <c r="AA2463" s="8"/>
      <c r="AB2463" s="8"/>
      <c r="AC2463" s="8"/>
      <c r="AD2463" s="8"/>
      <c r="AE2463" s="8"/>
    </row>
    <row r="2464">
      <c r="A2464" s="12">
        <v>75.0</v>
      </c>
      <c r="B2464" s="8" t="s">
        <v>378</v>
      </c>
      <c r="C2464" s="8" t="s">
        <v>1527</v>
      </c>
      <c r="I2464" s="10" t="s">
        <v>2215</v>
      </c>
      <c r="J2464" s="13" t="s">
        <v>1532</v>
      </c>
      <c r="K2464" s="13" t="s">
        <v>276</v>
      </c>
      <c r="L2464" s="13" t="s">
        <v>2216</v>
      </c>
      <c r="M2464" s="7" t="s">
        <v>253</v>
      </c>
      <c r="N2464" s="7" t="s">
        <v>253</v>
      </c>
      <c r="O2464" s="7" t="s">
        <v>254</v>
      </c>
      <c r="P2464" s="8"/>
      <c r="Q2464" s="8"/>
      <c r="R2464" s="8"/>
      <c r="S2464" s="8"/>
      <c r="T2464" s="8"/>
      <c r="U2464" s="8"/>
      <c r="V2464" s="8"/>
      <c r="W2464" s="8"/>
      <c r="X2464" s="8"/>
      <c r="Y2464" s="8"/>
      <c r="Z2464" s="8"/>
      <c r="AA2464" s="8"/>
      <c r="AB2464" s="8"/>
      <c r="AC2464" s="8"/>
      <c r="AD2464" s="8"/>
      <c r="AE2464" s="8"/>
    </row>
    <row r="2465">
      <c r="A2465" s="12">
        <v>75.0</v>
      </c>
      <c r="B2465" s="8" t="s">
        <v>378</v>
      </c>
      <c r="C2465" s="8" t="s">
        <v>1527</v>
      </c>
      <c r="I2465" s="10" t="s">
        <v>404</v>
      </c>
      <c r="J2465" s="13" t="s">
        <v>1537</v>
      </c>
      <c r="K2465" s="13" t="s">
        <v>276</v>
      </c>
      <c r="L2465" s="13" t="s">
        <v>2209</v>
      </c>
      <c r="M2465" s="7" t="s">
        <v>253</v>
      </c>
      <c r="N2465" s="7" t="s">
        <v>253</v>
      </c>
      <c r="O2465" s="7" t="s">
        <v>254</v>
      </c>
      <c r="P2465" s="8"/>
      <c r="Q2465" s="8"/>
      <c r="R2465" s="8"/>
      <c r="S2465" s="8"/>
      <c r="T2465" s="8"/>
      <c r="U2465" s="8"/>
      <c r="V2465" s="8"/>
      <c r="W2465" s="8"/>
      <c r="X2465" s="8"/>
      <c r="Y2465" s="8"/>
      <c r="Z2465" s="8"/>
      <c r="AA2465" s="8"/>
      <c r="AB2465" s="8"/>
      <c r="AC2465" s="8"/>
      <c r="AD2465" s="8"/>
      <c r="AE2465" s="8"/>
    </row>
    <row r="2466">
      <c r="A2466" s="12">
        <v>75.0</v>
      </c>
      <c r="B2466" s="8" t="s">
        <v>378</v>
      </c>
      <c r="C2466" s="8" t="s">
        <v>1527</v>
      </c>
      <c r="I2466" s="10" t="s">
        <v>2217</v>
      </c>
      <c r="J2466" s="13" t="s">
        <v>1530</v>
      </c>
      <c r="K2466" s="13" t="s">
        <v>276</v>
      </c>
      <c r="L2466" s="13" t="s">
        <v>2209</v>
      </c>
      <c r="M2466" s="7" t="s">
        <v>253</v>
      </c>
      <c r="N2466" s="7" t="s">
        <v>253</v>
      </c>
      <c r="O2466" s="7" t="s">
        <v>254</v>
      </c>
      <c r="P2466" s="8"/>
      <c r="Q2466" s="8"/>
      <c r="R2466" s="8"/>
      <c r="S2466" s="8"/>
      <c r="T2466" s="8"/>
      <c r="U2466" s="8"/>
      <c r="V2466" s="8"/>
      <c r="W2466" s="8"/>
      <c r="X2466" s="8"/>
      <c r="Y2466" s="8"/>
      <c r="Z2466" s="8"/>
      <c r="AA2466" s="8"/>
      <c r="AB2466" s="8"/>
      <c r="AC2466" s="8"/>
      <c r="AD2466" s="8"/>
      <c r="AE2466" s="8"/>
    </row>
    <row r="2467">
      <c r="A2467" s="12">
        <v>75.0</v>
      </c>
      <c r="B2467" s="8" t="s">
        <v>378</v>
      </c>
      <c r="C2467" s="8" t="s">
        <v>1527</v>
      </c>
      <c r="I2467" s="10" t="s">
        <v>405</v>
      </c>
      <c r="J2467" s="13" t="s">
        <v>1532</v>
      </c>
      <c r="K2467" s="13" t="s">
        <v>276</v>
      </c>
      <c r="L2467" s="13" t="s">
        <v>2218</v>
      </c>
      <c r="M2467" s="7" t="s">
        <v>253</v>
      </c>
      <c r="N2467" s="7" t="s">
        <v>253</v>
      </c>
      <c r="O2467" s="7" t="s">
        <v>254</v>
      </c>
      <c r="P2467" s="8"/>
      <c r="Q2467" s="8"/>
      <c r="R2467" s="8"/>
      <c r="S2467" s="8"/>
      <c r="T2467" s="8"/>
      <c r="U2467" s="8"/>
      <c r="V2467" s="8"/>
      <c r="W2467" s="8"/>
      <c r="X2467" s="8"/>
      <c r="Y2467" s="8"/>
      <c r="Z2467" s="8"/>
      <c r="AA2467" s="8"/>
      <c r="AB2467" s="8"/>
      <c r="AC2467" s="8"/>
      <c r="AD2467" s="8"/>
      <c r="AE2467" s="8"/>
    </row>
    <row r="2468">
      <c r="A2468" s="12">
        <v>75.0</v>
      </c>
      <c r="B2468" s="8" t="s">
        <v>378</v>
      </c>
      <c r="C2468" s="8" t="s">
        <v>1527</v>
      </c>
      <c r="I2468" s="10" t="s">
        <v>2116</v>
      </c>
      <c r="J2468" s="13" t="s">
        <v>1537</v>
      </c>
      <c r="K2468" s="13" t="s">
        <v>276</v>
      </c>
      <c r="L2468" s="13" t="s">
        <v>2209</v>
      </c>
      <c r="M2468" s="7" t="s">
        <v>253</v>
      </c>
      <c r="N2468" s="7" t="s">
        <v>253</v>
      </c>
      <c r="O2468" s="7" t="s">
        <v>254</v>
      </c>
      <c r="P2468" s="8"/>
      <c r="Q2468" s="8"/>
      <c r="R2468" s="8"/>
      <c r="S2468" s="8"/>
      <c r="T2468" s="8"/>
      <c r="U2468" s="8"/>
      <c r="V2468" s="8"/>
      <c r="W2468" s="8"/>
      <c r="X2468" s="8"/>
      <c r="Y2468" s="8"/>
      <c r="Z2468" s="8"/>
      <c r="AA2468" s="8"/>
      <c r="AB2468" s="8"/>
      <c r="AC2468" s="8"/>
      <c r="AD2468" s="8"/>
      <c r="AE2468" s="8"/>
    </row>
    <row r="2469">
      <c r="A2469" s="12">
        <v>75.0</v>
      </c>
      <c r="B2469" s="8" t="s">
        <v>378</v>
      </c>
      <c r="C2469" s="8" t="s">
        <v>1527</v>
      </c>
      <c r="I2469" s="10" t="s">
        <v>1765</v>
      </c>
      <c r="J2469" s="13" t="s">
        <v>1530</v>
      </c>
      <c r="K2469" s="13" t="s">
        <v>276</v>
      </c>
      <c r="L2469" s="13" t="s">
        <v>2218</v>
      </c>
      <c r="M2469" s="7" t="s">
        <v>253</v>
      </c>
      <c r="N2469" s="7" t="s">
        <v>253</v>
      </c>
      <c r="O2469" s="7" t="s">
        <v>254</v>
      </c>
      <c r="P2469" s="8"/>
      <c r="Q2469" s="8"/>
      <c r="R2469" s="8"/>
      <c r="S2469" s="8"/>
      <c r="T2469" s="8"/>
      <c r="U2469" s="8"/>
      <c r="V2469" s="8"/>
      <c r="W2469" s="8"/>
      <c r="X2469" s="8"/>
      <c r="Y2469" s="8"/>
      <c r="Z2469" s="8"/>
      <c r="AA2469" s="8"/>
      <c r="AB2469" s="8"/>
      <c r="AC2469" s="8"/>
      <c r="AD2469" s="8"/>
      <c r="AE2469" s="8"/>
    </row>
    <row r="2470">
      <c r="A2470" s="12">
        <v>75.0</v>
      </c>
      <c r="B2470" s="8" t="s">
        <v>378</v>
      </c>
      <c r="C2470" s="8" t="s">
        <v>1527</v>
      </c>
      <c r="I2470" s="10" t="s">
        <v>406</v>
      </c>
      <c r="J2470" s="13" t="s">
        <v>1532</v>
      </c>
      <c r="K2470" s="13" t="s">
        <v>276</v>
      </c>
      <c r="L2470" s="13" t="s">
        <v>2218</v>
      </c>
      <c r="M2470" s="7" t="s">
        <v>253</v>
      </c>
      <c r="N2470" s="7" t="s">
        <v>253</v>
      </c>
      <c r="O2470" s="7" t="s">
        <v>254</v>
      </c>
      <c r="P2470" s="8"/>
      <c r="Q2470" s="8"/>
      <c r="R2470" s="8"/>
      <c r="S2470" s="8"/>
      <c r="T2470" s="8"/>
      <c r="U2470" s="8"/>
      <c r="V2470" s="8"/>
      <c r="W2470" s="8"/>
      <c r="X2470" s="8"/>
      <c r="Y2470" s="8"/>
      <c r="Z2470" s="8"/>
      <c r="AA2470" s="8"/>
      <c r="AB2470" s="8"/>
      <c r="AC2470" s="8"/>
      <c r="AD2470" s="8"/>
      <c r="AE2470" s="8"/>
    </row>
    <row r="2471">
      <c r="A2471" s="12">
        <v>75.0</v>
      </c>
      <c r="B2471" s="8" t="s">
        <v>378</v>
      </c>
      <c r="C2471" s="8" t="s">
        <v>1527</v>
      </c>
      <c r="I2471" s="10" t="s">
        <v>1767</v>
      </c>
      <c r="J2471" s="13" t="s">
        <v>1537</v>
      </c>
      <c r="K2471" s="13" t="s">
        <v>276</v>
      </c>
      <c r="L2471" s="13" t="s">
        <v>2209</v>
      </c>
      <c r="M2471" s="7" t="s">
        <v>253</v>
      </c>
      <c r="N2471" s="7" t="s">
        <v>253</v>
      </c>
      <c r="O2471" s="7" t="s">
        <v>254</v>
      </c>
      <c r="P2471" s="8"/>
      <c r="Q2471" s="8"/>
      <c r="R2471" s="8"/>
      <c r="S2471" s="8"/>
      <c r="T2471" s="8"/>
      <c r="U2471" s="8"/>
      <c r="V2471" s="8"/>
      <c r="W2471" s="8"/>
      <c r="X2471" s="8"/>
      <c r="Y2471" s="8"/>
      <c r="Z2471" s="8"/>
      <c r="AA2471" s="8"/>
      <c r="AB2471" s="8"/>
      <c r="AC2471" s="8"/>
      <c r="AD2471" s="8"/>
      <c r="AE2471" s="8"/>
    </row>
    <row r="2472">
      <c r="A2472" s="12">
        <v>75.0</v>
      </c>
      <c r="B2472" s="8" t="s">
        <v>378</v>
      </c>
      <c r="C2472" s="8" t="s">
        <v>1527</v>
      </c>
      <c r="I2472" s="10" t="s">
        <v>966</v>
      </c>
      <c r="J2472" s="13" t="s">
        <v>1530</v>
      </c>
      <c r="K2472" s="13" t="s">
        <v>276</v>
      </c>
      <c r="L2472" s="13" t="s">
        <v>2209</v>
      </c>
      <c r="M2472" s="7" t="s">
        <v>253</v>
      </c>
      <c r="N2472" s="7" t="s">
        <v>253</v>
      </c>
      <c r="O2472" s="7" t="s">
        <v>254</v>
      </c>
      <c r="P2472" s="8"/>
      <c r="Q2472" s="8"/>
      <c r="R2472" s="8"/>
      <c r="S2472" s="8"/>
      <c r="T2472" s="8"/>
      <c r="U2472" s="8"/>
      <c r="V2472" s="8"/>
      <c r="W2472" s="8"/>
      <c r="X2472" s="8"/>
      <c r="Y2472" s="8"/>
      <c r="Z2472" s="8"/>
      <c r="AA2472" s="8"/>
      <c r="AB2472" s="8"/>
      <c r="AC2472" s="8"/>
      <c r="AD2472" s="8"/>
      <c r="AE2472" s="8"/>
    </row>
    <row r="2473">
      <c r="A2473" s="12">
        <v>75.0</v>
      </c>
      <c r="B2473" s="8" t="s">
        <v>378</v>
      </c>
      <c r="C2473" s="8" t="s">
        <v>1527</v>
      </c>
      <c r="I2473" s="10" t="s">
        <v>1769</v>
      </c>
      <c r="J2473" s="13" t="s">
        <v>1532</v>
      </c>
      <c r="K2473" s="13" t="s">
        <v>276</v>
      </c>
      <c r="L2473" s="13" t="s">
        <v>2209</v>
      </c>
      <c r="M2473" s="7" t="s">
        <v>253</v>
      </c>
      <c r="N2473" s="7" t="s">
        <v>253</v>
      </c>
      <c r="O2473" s="7" t="s">
        <v>254</v>
      </c>
      <c r="P2473" s="8"/>
      <c r="Q2473" s="8"/>
      <c r="R2473" s="8"/>
      <c r="S2473" s="8"/>
      <c r="T2473" s="8"/>
      <c r="U2473" s="8"/>
      <c r="V2473" s="8"/>
      <c r="W2473" s="8"/>
      <c r="X2473" s="8"/>
      <c r="Y2473" s="8"/>
      <c r="Z2473" s="8"/>
      <c r="AA2473" s="8"/>
      <c r="AB2473" s="8"/>
      <c r="AC2473" s="8"/>
      <c r="AD2473" s="8"/>
      <c r="AE2473" s="8"/>
    </row>
    <row r="2474">
      <c r="A2474" s="12">
        <v>75.0</v>
      </c>
      <c r="B2474" s="8" t="s">
        <v>378</v>
      </c>
      <c r="C2474" s="8" t="s">
        <v>1527</v>
      </c>
      <c r="I2474" s="10" t="s">
        <v>1266</v>
      </c>
      <c r="J2474" s="13" t="s">
        <v>1537</v>
      </c>
      <c r="K2474" s="13" t="s">
        <v>276</v>
      </c>
      <c r="L2474" s="13" t="s">
        <v>2209</v>
      </c>
      <c r="M2474" s="7" t="s">
        <v>253</v>
      </c>
      <c r="N2474" s="7" t="s">
        <v>253</v>
      </c>
      <c r="O2474" s="7" t="s">
        <v>254</v>
      </c>
      <c r="P2474" s="8"/>
      <c r="Q2474" s="8"/>
      <c r="R2474" s="8"/>
      <c r="S2474" s="8"/>
      <c r="T2474" s="8"/>
      <c r="U2474" s="8"/>
      <c r="V2474" s="8"/>
      <c r="W2474" s="8"/>
      <c r="X2474" s="8"/>
      <c r="Y2474" s="8"/>
      <c r="Z2474" s="8"/>
      <c r="AA2474" s="8"/>
      <c r="AB2474" s="8"/>
      <c r="AC2474" s="8"/>
      <c r="AD2474" s="8"/>
      <c r="AE2474" s="8"/>
    </row>
    <row r="2475">
      <c r="A2475" s="12">
        <v>75.0</v>
      </c>
      <c r="B2475" s="8" t="s">
        <v>378</v>
      </c>
      <c r="C2475" s="8" t="s">
        <v>1527</v>
      </c>
      <c r="I2475" s="10" t="s">
        <v>1770</v>
      </c>
      <c r="J2475" s="13" t="s">
        <v>1530</v>
      </c>
      <c r="K2475" s="13" t="s">
        <v>276</v>
      </c>
      <c r="L2475" s="13" t="s">
        <v>2209</v>
      </c>
      <c r="M2475" s="7" t="s">
        <v>253</v>
      </c>
      <c r="N2475" s="7" t="s">
        <v>253</v>
      </c>
      <c r="O2475" s="7" t="s">
        <v>254</v>
      </c>
      <c r="P2475" s="8"/>
      <c r="Q2475" s="8"/>
      <c r="R2475" s="8"/>
      <c r="S2475" s="8"/>
      <c r="T2475" s="8"/>
      <c r="U2475" s="8"/>
      <c r="V2475" s="8"/>
      <c r="W2475" s="8"/>
      <c r="X2475" s="8"/>
      <c r="Y2475" s="8"/>
      <c r="Z2475" s="8"/>
      <c r="AA2475" s="8"/>
      <c r="AB2475" s="8"/>
      <c r="AC2475" s="8"/>
      <c r="AD2475" s="8"/>
      <c r="AE2475" s="8"/>
    </row>
    <row r="2476">
      <c r="A2476" s="12">
        <v>75.0</v>
      </c>
      <c r="B2476" s="8" t="s">
        <v>378</v>
      </c>
      <c r="C2476" s="8" t="s">
        <v>1527</v>
      </c>
      <c r="I2476" s="10" t="s">
        <v>408</v>
      </c>
      <c r="J2476" s="13" t="s">
        <v>1532</v>
      </c>
      <c r="K2476" s="13" t="s">
        <v>276</v>
      </c>
      <c r="L2476" s="13" t="s">
        <v>2209</v>
      </c>
      <c r="M2476" s="7" t="s">
        <v>253</v>
      </c>
      <c r="N2476" s="7" t="s">
        <v>253</v>
      </c>
      <c r="O2476" s="7" t="s">
        <v>254</v>
      </c>
      <c r="P2476" s="8"/>
      <c r="Q2476" s="8"/>
      <c r="R2476" s="8"/>
      <c r="S2476" s="8"/>
      <c r="T2476" s="8"/>
      <c r="U2476" s="8"/>
      <c r="V2476" s="8"/>
      <c r="W2476" s="8"/>
      <c r="X2476" s="8"/>
      <c r="Y2476" s="8"/>
      <c r="Z2476" s="8"/>
      <c r="AA2476" s="8"/>
      <c r="AB2476" s="8"/>
      <c r="AC2476" s="8"/>
      <c r="AD2476" s="8"/>
      <c r="AE2476" s="8"/>
    </row>
    <row r="2477">
      <c r="A2477" s="12">
        <v>75.0</v>
      </c>
      <c r="B2477" s="8" t="s">
        <v>378</v>
      </c>
      <c r="C2477" s="8" t="s">
        <v>1527</v>
      </c>
      <c r="I2477" s="10" t="s">
        <v>1331</v>
      </c>
      <c r="J2477" s="13" t="s">
        <v>1537</v>
      </c>
      <c r="K2477" s="13" t="s">
        <v>276</v>
      </c>
      <c r="L2477" s="13" t="s">
        <v>2209</v>
      </c>
      <c r="M2477" s="7" t="s">
        <v>253</v>
      </c>
      <c r="N2477" s="7" t="s">
        <v>253</v>
      </c>
      <c r="O2477" s="7" t="s">
        <v>254</v>
      </c>
      <c r="P2477" s="8"/>
      <c r="Q2477" s="8"/>
      <c r="R2477" s="8"/>
      <c r="S2477" s="8"/>
      <c r="T2477" s="8"/>
      <c r="U2477" s="8"/>
      <c r="V2477" s="8"/>
      <c r="W2477" s="8"/>
      <c r="X2477" s="8"/>
      <c r="Y2477" s="8"/>
      <c r="Z2477" s="8"/>
      <c r="AA2477" s="8"/>
      <c r="AB2477" s="8"/>
      <c r="AC2477" s="8"/>
      <c r="AD2477" s="8"/>
      <c r="AE2477" s="8"/>
    </row>
    <row r="2478">
      <c r="A2478" s="12">
        <v>75.0</v>
      </c>
      <c r="B2478" s="8" t="s">
        <v>378</v>
      </c>
      <c r="C2478" s="8" t="s">
        <v>1527</v>
      </c>
      <c r="I2478" s="10" t="s">
        <v>1592</v>
      </c>
      <c r="J2478" s="13" t="s">
        <v>1530</v>
      </c>
      <c r="K2478" s="13" t="s">
        <v>276</v>
      </c>
      <c r="L2478" s="13" t="s">
        <v>2209</v>
      </c>
      <c r="M2478" s="7" t="s">
        <v>253</v>
      </c>
      <c r="N2478" s="7" t="s">
        <v>253</v>
      </c>
      <c r="O2478" s="7" t="s">
        <v>254</v>
      </c>
      <c r="P2478" s="8"/>
      <c r="Q2478" s="8"/>
      <c r="R2478" s="8"/>
      <c r="S2478" s="8"/>
      <c r="T2478" s="8"/>
      <c r="U2478" s="8"/>
      <c r="V2478" s="8"/>
      <c r="W2478" s="8"/>
      <c r="X2478" s="8"/>
      <c r="Y2478" s="8"/>
      <c r="Z2478" s="8"/>
      <c r="AA2478" s="8"/>
      <c r="AB2478" s="8"/>
      <c r="AC2478" s="8"/>
      <c r="AD2478" s="8"/>
      <c r="AE2478" s="8"/>
    </row>
    <row r="2479">
      <c r="A2479" s="12">
        <v>75.0</v>
      </c>
      <c r="B2479" s="8" t="s">
        <v>378</v>
      </c>
      <c r="C2479" s="8" t="s">
        <v>1527</v>
      </c>
      <c r="I2479" s="10" t="s">
        <v>979</v>
      </c>
      <c r="J2479" s="13" t="s">
        <v>1532</v>
      </c>
      <c r="K2479" s="13" t="s">
        <v>276</v>
      </c>
      <c r="L2479" s="13" t="s">
        <v>2209</v>
      </c>
      <c r="M2479" s="7" t="s">
        <v>253</v>
      </c>
      <c r="N2479" s="7" t="s">
        <v>253</v>
      </c>
      <c r="O2479" s="7" t="s">
        <v>254</v>
      </c>
      <c r="P2479" s="8"/>
      <c r="Q2479" s="8"/>
      <c r="R2479" s="8"/>
      <c r="S2479" s="8"/>
      <c r="T2479" s="8"/>
      <c r="U2479" s="8"/>
      <c r="V2479" s="8"/>
      <c r="W2479" s="8"/>
      <c r="X2479" s="8"/>
      <c r="Y2479" s="8"/>
      <c r="Z2479" s="8"/>
      <c r="AA2479" s="8"/>
      <c r="AB2479" s="8"/>
      <c r="AC2479" s="8"/>
      <c r="AD2479" s="8"/>
      <c r="AE2479" s="8"/>
    </row>
    <row r="2480">
      <c r="A2480" s="12">
        <v>75.0</v>
      </c>
      <c r="B2480" s="8" t="s">
        <v>378</v>
      </c>
      <c r="C2480" s="8" t="s">
        <v>1527</v>
      </c>
      <c r="I2480" s="10" t="s">
        <v>2219</v>
      </c>
      <c r="J2480" s="13" t="s">
        <v>1537</v>
      </c>
      <c r="K2480" s="13" t="s">
        <v>276</v>
      </c>
      <c r="L2480" s="13" t="s">
        <v>2209</v>
      </c>
      <c r="M2480" s="7" t="s">
        <v>253</v>
      </c>
      <c r="N2480" s="7" t="s">
        <v>253</v>
      </c>
      <c r="O2480" s="7" t="s">
        <v>254</v>
      </c>
      <c r="P2480" s="8"/>
      <c r="Q2480" s="8"/>
      <c r="R2480" s="8"/>
      <c r="S2480" s="8"/>
      <c r="T2480" s="8"/>
      <c r="U2480" s="8"/>
      <c r="V2480" s="8"/>
      <c r="W2480" s="8"/>
      <c r="X2480" s="8"/>
      <c r="Y2480" s="8"/>
      <c r="Z2480" s="8"/>
      <c r="AA2480" s="8"/>
      <c r="AB2480" s="8"/>
      <c r="AC2480" s="8"/>
      <c r="AD2480" s="8"/>
      <c r="AE2480" s="8"/>
    </row>
    <row r="2481">
      <c r="A2481" s="12">
        <v>75.0</v>
      </c>
      <c r="B2481" s="8" t="s">
        <v>378</v>
      </c>
      <c r="C2481" s="8" t="s">
        <v>1527</v>
      </c>
      <c r="I2481" s="10" t="s">
        <v>1771</v>
      </c>
      <c r="J2481" s="13" t="s">
        <v>1530</v>
      </c>
      <c r="K2481" s="13" t="s">
        <v>276</v>
      </c>
      <c r="L2481" s="13" t="s">
        <v>2209</v>
      </c>
      <c r="M2481" s="7" t="s">
        <v>253</v>
      </c>
      <c r="N2481" s="7" t="s">
        <v>253</v>
      </c>
      <c r="O2481" s="7" t="s">
        <v>254</v>
      </c>
      <c r="P2481" s="8"/>
      <c r="Q2481" s="8"/>
      <c r="R2481" s="8"/>
      <c r="S2481" s="8"/>
      <c r="T2481" s="8"/>
      <c r="U2481" s="8"/>
      <c r="V2481" s="8"/>
      <c r="W2481" s="8"/>
      <c r="X2481" s="8"/>
      <c r="Y2481" s="8"/>
      <c r="Z2481" s="8"/>
      <c r="AA2481" s="8"/>
      <c r="AB2481" s="8"/>
      <c r="AC2481" s="8"/>
      <c r="AD2481" s="8"/>
      <c r="AE2481" s="8"/>
    </row>
    <row r="2482">
      <c r="A2482" s="12">
        <v>75.0</v>
      </c>
      <c r="B2482" s="8" t="s">
        <v>378</v>
      </c>
      <c r="C2482" s="8" t="s">
        <v>1527</v>
      </c>
      <c r="I2482" s="10" t="s">
        <v>2220</v>
      </c>
      <c r="J2482" s="13" t="s">
        <v>1532</v>
      </c>
      <c r="K2482" s="13" t="s">
        <v>276</v>
      </c>
      <c r="L2482" s="13" t="s">
        <v>2209</v>
      </c>
      <c r="M2482" s="7" t="s">
        <v>253</v>
      </c>
      <c r="N2482" s="7" t="s">
        <v>253</v>
      </c>
      <c r="O2482" s="7" t="s">
        <v>254</v>
      </c>
      <c r="P2482" s="8"/>
      <c r="Q2482" s="8"/>
      <c r="R2482" s="8"/>
      <c r="S2482" s="8"/>
      <c r="T2482" s="8"/>
      <c r="U2482" s="8"/>
      <c r="V2482" s="8"/>
      <c r="W2482" s="8"/>
      <c r="X2482" s="8"/>
      <c r="Y2482" s="8"/>
      <c r="Z2482" s="8"/>
      <c r="AA2482" s="8"/>
      <c r="AB2482" s="8"/>
      <c r="AC2482" s="8"/>
      <c r="AD2482" s="8"/>
      <c r="AE2482" s="8"/>
    </row>
    <row r="2483">
      <c r="A2483" s="12">
        <v>75.0</v>
      </c>
      <c r="B2483" s="8" t="s">
        <v>378</v>
      </c>
      <c r="C2483" s="8" t="s">
        <v>1527</v>
      </c>
      <c r="I2483" s="10" t="s">
        <v>2221</v>
      </c>
      <c r="J2483" s="13" t="s">
        <v>1537</v>
      </c>
      <c r="K2483" s="13" t="s">
        <v>276</v>
      </c>
      <c r="L2483" s="13" t="s">
        <v>2209</v>
      </c>
      <c r="M2483" s="7" t="s">
        <v>253</v>
      </c>
      <c r="N2483" s="7" t="s">
        <v>253</v>
      </c>
      <c r="O2483" s="7" t="s">
        <v>254</v>
      </c>
      <c r="P2483" s="8"/>
      <c r="Q2483" s="8"/>
      <c r="R2483" s="8"/>
      <c r="S2483" s="8"/>
      <c r="T2483" s="8"/>
      <c r="U2483" s="8"/>
      <c r="V2483" s="8"/>
      <c r="W2483" s="8"/>
      <c r="X2483" s="8"/>
      <c r="Y2483" s="8"/>
      <c r="Z2483" s="8"/>
      <c r="AA2483" s="8"/>
      <c r="AB2483" s="8"/>
      <c r="AC2483" s="8"/>
      <c r="AD2483" s="8"/>
      <c r="AE2483" s="8"/>
    </row>
    <row r="2484">
      <c r="A2484" s="12">
        <v>75.0</v>
      </c>
      <c r="B2484" s="8" t="s">
        <v>378</v>
      </c>
      <c r="C2484" s="8" t="s">
        <v>1527</v>
      </c>
      <c r="I2484" s="10" t="s">
        <v>2222</v>
      </c>
      <c r="J2484" s="13" t="s">
        <v>1530</v>
      </c>
      <c r="K2484" s="13" t="s">
        <v>276</v>
      </c>
      <c r="L2484" s="13" t="s">
        <v>2209</v>
      </c>
      <c r="M2484" s="7" t="s">
        <v>253</v>
      </c>
      <c r="N2484" s="7" t="s">
        <v>253</v>
      </c>
      <c r="O2484" s="7" t="s">
        <v>254</v>
      </c>
      <c r="P2484" s="8"/>
      <c r="Q2484" s="8"/>
      <c r="R2484" s="8"/>
      <c r="S2484" s="8"/>
      <c r="T2484" s="8"/>
      <c r="U2484" s="8"/>
      <c r="V2484" s="8"/>
      <c r="W2484" s="8"/>
      <c r="X2484" s="8"/>
      <c r="Y2484" s="8"/>
      <c r="Z2484" s="8"/>
      <c r="AA2484" s="8"/>
      <c r="AB2484" s="8"/>
      <c r="AC2484" s="8"/>
      <c r="AD2484" s="8"/>
      <c r="AE2484" s="8"/>
    </row>
    <row r="2485">
      <c r="A2485" s="12">
        <v>75.0</v>
      </c>
      <c r="B2485" s="8" t="s">
        <v>378</v>
      </c>
      <c r="C2485" s="8" t="s">
        <v>1527</v>
      </c>
      <c r="I2485" s="10" t="s">
        <v>2134</v>
      </c>
      <c r="J2485" s="13" t="s">
        <v>1532</v>
      </c>
      <c r="K2485" s="13" t="s">
        <v>276</v>
      </c>
      <c r="L2485" s="13" t="s">
        <v>2218</v>
      </c>
      <c r="M2485" s="7" t="s">
        <v>253</v>
      </c>
      <c r="N2485" s="7" t="s">
        <v>253</v>
      </c>
      <c r="O2485" s="7" t="s">
        <v>254</v>
      </c>
      <c r="P2485" s="8"/>
      <c r="Q2485" s="8"/>
      <c r="R2485" s="8"/>
      <c r="S2485" s="8"/>
      <c r="T2485" s="8"/>
      <c r="U2485" s="8"/>
      <c r="V2485" s="8"/>
      <c r="W2485" s="8"/>
      <c r="X2485" s="8"/>
      <c r="Y2485" s="8"/>
      <c r="Z2485" s="8"/>
      <c r="AA2485" s="8"/>
      <c r="AB2485" s="8"/>
      <c r="AC2485" s="8"/>
      <c r="AD2485" s="8"/>
      <c r="AE2485" s="8"/>
    </row>
    <row r="2486">
      <c r="A2486" s="12">
        <v>75.0</v>
      </c>
      <c r="B2486" s="8" t="s">
        <v>378</v>
      </c>
      <c r="C2486" s="8" t="s">
        <v>1527</v>
      </c>
      <c r="I2486" s="10" t="s">
        <v>2223</v>
      </c>
      <c r="J2486" s="13" t="s">
        <v>1537</v>
      </c>
      <c r="K2486" s="13" t="s">
        <v>276</v>
      </c>
      <c r="L2486" s="13" t="s">
        <v>2218</v>
      </c>
      <c r="M2486" s="7" t="s">
        <v>253</v>
      </c>
      <c r="N2486" s="7" t="s">
        <v>253</v>
      </c>
      <c r="O2486" s="7" t="s">
        <v>254</v>
      </c>
      <c r="P2486" s="8"/>
      <c r="Q2486" s="8"/>
      <c r="R2486" s="8"/>
      <c r="S2486" s="8"/>
      <c r="T2486" s="8"/>
      <c r="U2486" s="8"/>
      <c r="V2486" s="8"/>
      <c r="W2486" s="8"/>
      <c r="X2486" s="8"/>
      <c r="Y2486" s="8"/>
      <c r="Z2486" s="8"/>
      <c r="AA2486" s="8"/>
      <c r="AB2486" s="8"/>
      <c r="AC2486" s="8"/>
      <c r="AD2486" s="8"/>
      <c r="AE2486" s="8"/>
    </row>
    <row r="2487">
      <c r="A2487" s="12">
        <v>75.0</v>
      </c>
      <c r="B2487" s="8" t="s">
        <v>378</v>
      </c>
      <c r="C2487" s="8" t="s">
        <v>1527</v>
      </c>
      <c r="I2487" s="10" t="s">
        <v>2224</v>
      </c>
      <c r="J2487" s="13" t="s">
        <v>1530</v>
      </c>
      <c r="K2487" s="13" t="s">
        <v>276</v>
      </c>
      <c r="L2487" s="13" t="s">
        <v>2216</v>
      </c>
      <c r="M2487" s="7" t="s">
        <v>253</v>
      </c>
      <c r="N2487" s="7" t="s">
        <v>253</v>
      </c>
      <c r="O2487" s="7" t="s">
        <v>254</v>
      </c>
      <c r="P2487" s="8"/>
      <c r="Q2487" s="8"/>
      <c r="R2487" s="8"/>
      <c r="S2487" s="8"/>
      <c r="T2487" s="8"/>
      <c r="U2487" s="8"/>
      <c r="V2487" s="8"/>
      <c r="W2487" s="8"/>
      <c r="X2487" s="8"/>
      <c r="Y2487" s="8"/>
      <c r="Z2487" s="8"/>
      <c r="AA2487" s="8"/>
      <c r="AB2487" s="8"/>
      <c r="AC2487" s="8"/>
      <c r="AD2487" s="8"/>
      <c r="AE2487" s="8"/>
    </row>
    <row r="2488">
      <c r="A2488" s="12">
        <v>75.0</v>
      </c>
      <c r="B2488" s="8" t="s">
        <v>378</v>
      </c>
      <c r="C2488" s="8" t="s">
        <v>1527</v>
      </c>
      <c r="I2488" s="10" t="s">
        <v>2070</v>
      </c>
      <c r="J2488" s="13" t="s">
        <v>1532</v>
      </c>
      <c r="K2488" s="13" t="s">
        <v>276</v>
      </c>
      <c r="L2488" s="13" t="s">
        <v>2209</v>
      </c>
      <c r="M2488" s="7" t="s">
        <v>253</v>
      </c>
      <c r="N2488" s="7" t="s">
        <v>253</v>
      </c>
      <c r="O2488" s="7" t="s">
        <v>254</v>
      </c>
      <c r="P2488" s="8"/>
      <c r="Q2488" s="8"/>
      <c r="R2488" s="8"/>
      <c r="S2488" s="8"/>
      <c r="T2488" s="8"/>
      <c r="U2488" s="8"/>
      <c r="V2488" s="8"/>
      <c r="W2488" s="8"/>
      <c r="X2488" s="8"/>
      <c r="Y2488" s="8"/>
      <c r="Z2488" s="8"/>
      <c r="AA2488" s="8"/>
      <c r="AB2488" s="8"/>
      <c r="AC2488" s="8"/>
      <c r="AD2488" s="8"/>
      <c r="AE2488" s="8"/>
    </row>
    <row r="2489">
      <c r="A2489" s="12">
        <v>75.0</v>
      </c>
      <c r="B2489" s="8" t="s">
        <v>378</v>
      </c>
      <c r="C2489" s="8" t="s">
        <v>1527</v>
      </c>
      <c r="I2489" s="10" t="s">
        <v>2225</v>
      </c>
      <c r="J2489" s="13" t="s">
        <v>1537</v>
      </c>
      <c r="K2489" s="13" t="s">
        <v>276</v>
      </c>
      <c r="L2489" s="13" t="s">
        <v>2209</v>
      </c>
      <c r="M2489" s="7" t="s">
        <v>253</v>
      </c>
      <c r="N2489" s="7" t="s">
        <v>253</v>
      </c>
      <c r="O2489" s="7" t="s">
        <v>254</v>
      </c>
      <c r="P2489" s="8"/>
      <c r="Q2489" s="8"/>
      <c r="R2489" s="8"/>
      <c r="S2489" s="8"/>
      <c r="T2489" s="8"/>
      <c r="U2489" s="8"/>
      <c r="V2489" s="8"/>
      <c r="W2489" s="8"/>
      <c r="X2489" s="8"/>
      <c r="Y2489" s="8"/>
      <c r="Z2489" s="8"/>
      <c r="AA2489" s="8"/>
      <c r="AB2489" s="8"/>
      <c r="AC2489" s="8"/>
      <c r="AD2489" s="8"/>
      <c r="AE2489" s="8"/>
    </row>
    <row r="2490">
      <c r="A2490" s="12">
        <v>75.0</v>
      </c>
      <c r="B2490" s="8" t="s">
        <v>378</v>
      </c>
      <c r="C2490" s="8" t="s">
        <v>1527</v>
      </c>
      <c r="I2490" s="10" t="s">
        <v>1549</v>
      </c>
      <c r="J2490" s="13" t="s">
        <v>1530</v>
      </c>
      <c r="K2490" s="13" t="s">
        <v>276</v>
      </c>
      <c r="L2490" s="13" t="s">
        <v>2209</v>
      </c>
      <c r="M2490" s="7" t="s">
        <v>253</v>
      </c>
      <c r="N2490" s="7" t="s">
        <v>253</v>
      </c>
      <c r="O2490" s="7" t="s">
        <v>254</v>
      </c>
      <c r="P2490" s="8"/>
      <c r="Q2490" s="8"/>
      <c r="R2490" s="8"/>
      <c r="S2490" s="8"/>
      <c r="T2490" s="8"/>
      <c r="U2490" s="8"/>
      <c r="V2490" s="8"/>
      <c r="W2490" s="8"/>
      <c r="X2490" s="8"/>
      <c r="Y2490" s="8"/>
      <c r="Z2490" s="8"/>
      <c r="AA2490" s="8"/>
      <c r="AB2490" s="8"/>
      <c r="AC2490" s="8"/>
      <c r="AD2490" s="8"/>
      <c r="AE2490" s="8"/>
    </row>
    <row r="2491">
      <c r="A2491" s="12">
        <v>75.0</v>
      </c>
      <c r="B2491" s="8" t="s">
        <v>378</v>
      </c>
      <c r="C2491" s="8" t="s">
        <v>1527</v>
      </c>
      <c r="I2491" s="10" t="s">
        <v>1596</v>
      </c>
      <c r="J2491" s="13" t="s">
        <v>1532</v>
      </c>
      <c r="K2491" s="13" t="s">
        <v>276</v>
      </c>
      <c r="L2491" s="13" t="s">
        <v>2209</v>
      </c>
      <c r="M2491" s="7" t="s">
        <v>253</v>
      </c>
      <c r="N2491" s="7" t="s">
        <v>253</v>
      </c>
      <c r="O2491" s="7" t="s">
        <v>254</v>
      </c>
      <c r="P2491" s="8"/>
      <c r="Q2491" s="8"/>
      <c r="R2491" s="8"/>
      <c r="S2491" s="8"/>
      <c r="T2491" s="8"/>
      <c r="U2491" s="8"/>
      <c r="V2491" s="8"/>
      <c r="W2491" s="8"/>
      <c r="X2491" s="8"/>
      <c r="Y2491" s="8"/>
      <c r="Z2491" s="8"/>
      <c r="AA2491" s="8"/>
      <c r="AB2491" s="8"/>
      <c r="AC2491" s="8"/>
      <c r="AD2491" s="8"/>
      <c r="AE2491" s="8"/>
    </row>
    <row r="2492">
      <c r="A2492" s="12">
        <v>75.0</v>
      </c>
      <c r="B2492" s="8" t="s">
        <v>378</v>
      </c>
      <c r="C2492" s="8" t="s">
        <v>1527</v>
      </c>
      <c r="I2492" s="10" t="s">
        <v>2226</v>
      </c>
      <c r="J2492" s="13" t="s">
        <v>1537</v>
      </c>
      <c r="K2492" s="13" t="s">
        <v>276</v>
      </c>
      <c r="L2492" s="13" t="s">
        <v>2216</v>
      </c>
      <c r="M2492" s="7" t="s">
        <v>253</v>
      </c>
      <c r="N2492" s="7" t="s">
        <v>253</v>
      </c>
      <c r="O2492" s="7" t="s">
        <v>254</v>
      </c>
      <c r="P2492" s="8"/>
      <c r="Q2492" s="8"/>
      <c r="R2492" s="8"/>
      <c r="S2492" s="8"/>
      <c r="T2492" s="8"/>
      <c r="U2492" s="8"/>
      <c r="V2492" s="8"/>
      <c r="W2492" s="8"/>
      <c r="X2492" s="8"/>
      <c r="Y2492" s="8"/>
      <c r="Z2492" s="8"/>
      <c r="AA2492" s="8"/>
      <c r="AB2492" s="8"/>
      <c r="AC2492" s="8"/>
      <c r="AD2492" s="8"/>
      <c r="AE2492" s="8"/>
    </row>
    <row r="2493">
      <c r="A2493" s="12">
        <v>75.0</v>
      </c>
      <c r="B2493" s="8" t="s">
        <v>378</v>
      </c>
      <c r="C2493" s="8" t="s">
        <v>1527</v>
      </c>
      <c r="I2493" s="10" t="s">
        <v>2227</v>
      </c>
      <c r="J2493" s="13" t="s">
        <v>1530</v>
      </c>
      <c r="K2493" s="13" t="s">
        <v>276</v>
      </c>
      <c r="L2493" s="13" t="s">
        <v>2209</v>
      </c>
      <c r="M2493" s="7" t="s">
        <v>253</v>
      </c>
      <c r="N2493" s="7" t="s">
        <v>253</v>
      </c>
      <c r="O2493" s="7" t="s">
        <v>254</v>
      </c>
      <c r="P2493" s="8"/>
      <c r="Q2493" s="8"/>
      <c r="R2493" s="8"/>
      <c r="S2493" s="8"/>
      <c r="T2493" s="8"/>
      <c r="U2493" s="8"/>
      <c r="V2493" s="8"/>
      <c r="W2493" s="8"/>
      <c r="X2493" s="8"/>
      <c r="Y2493" s="8"/>
      <c r="Z2493" s="8"/>
      <c r="AA2493" s="8"/>
      <c r="AB2493" s="8"/>
      <c r="AC2493" s="8"/>
      <c r="AD2493" s="8"/>
      <c r="AE2493" s="8"/>
    </row>
    <row r="2494">
      <c r="A2494" s="12">
        <v>75.0</v>
      </c>
      <c r="B2494" s="8" t="s">
        <v>378</v>
      </c>
      <c r="C2494" s="8" t="s">
        <v>1527</v>
      </c>
      <c r="I2494" s="10" t="s">
        <v>2135</v>
      </c>
      <c r="J2494" s="13" t="s">
        <v>1532</v>
      </c>
      <c r="K2494" s="13" t="s">
        <v>276</v>
      </c>
      <c r="L2494" s="13" t="s">
        <v>2209</v>
      </c>
      <c r="M2494" s="7" t="s">
        <v>253</v>
      </c>
      <c r="N2494" s="7" t="s">
        <v>253</v>
      </c>
      <c r="O2494" s="7" t="s">
        <v>254</v>
      </c>
      <c r="P2494" s="8"/>
      <c r="Q2494" s="8"/>
      <c r="R2494" s="8"/>
      <c r="S2494" s="8"/>
      <c r="T2494" s="8"/>
      <c r="U2494" s="8"/>
      <c r="V2494" s="8"/>
      <c r="W2494" s="8"/>
      <c r="X2494" s="8"/>
      <c r="Y2494" s="8"/>
      <c r="Z2494" s="8"/>
      <c r="AA2494" s="8"/>
      <c r="AB2494" s="8"/>
      <c r="AC2494" s="8"/>
      <c r="AD2494" s="8"/>
      <c r="AE2494" s="8"/>
    </row>
    <row r="2495">
      <c r="A2495" s="12">
        <v>75.0</v>
      </c>
      <c r="B2495" s="8" t="s">
        <v>378</v>
      </c>
      <c r="C2495" s="8" t="s">
        <v>1527</v>
      </c>
      <c r="I2495" s="10" t="s">
        <v>1303</v>
      </c>
      <c r="J2495" s="13" t="s">
        <v>1537</v>
      </c>
      <c r="K2495" s="13" t="s">
        <v>276</v>
      </c>
      <c r="L2495" s="13" t="s">
        <v>2209</v>
      </c>
      <c r="M2495" s="7" t="s">
        <v>253</v>
      </c>
      <c r="N2495" s="7" t="s">
        <v>253</v>
      </c>
      <c r="O2495" s="7" t="s">
        <v>254</v>
      </c>
      <c r="P2495" s="8"/>
      <c r="Q2495" s="8"/>
      <c r="R2495" s="8"/>
      <c r="S2495" s="8"/>
      <c r="T2495" s="8"/>
      <c r="U2495" s="8"/>
      <c r="V2495" s="8"/>
      <c r="W2495" s="8"/>
      <c r="X2495" s="8"/>
      <c r="Y2495" s="8"/>
      <c r="Z2495" s="8"/>
      <c r="AA2495" s="8"/>
      <c r="AB2495" s="8"/>
      <c r="AC2495" s="8"/>
      <c r="AD2495" s="8"/>
      <c r="AE2495" s="8"/>
    </row>
    <row r="2496">
      <c r="A2496" s="12">
        <v>75.0</v>
      </c>
      <c r="B2496" s="8" t="s">
        <v>378</v>
      </c>
      <c r="C2496" s="8" t="s">
        <v>1527</v>
      </c>
      <c r="I2496" s="10" t="s">
        <v>411</v>
      </c>
      <c r="J2496" s="13" t="s">
        <v>1530</v>
      </c>
      <c r="K2496" s="13" t="s">
        <v>276</v>
      </c>
      <c r="L2496" s="13" t="s">
        <v>2209</v>
      </c>
      <c r="M2496" s="7" t="s">
        <v>253</v>
      </c>
      <c r="N2496" s="7" t="s">
        <v>253</v>
      </c>
      <c r="O2496" s="7" t="s">
        <v>254</v>
      </c>
      <c r="P2496" s="8"/>
      <c r="Q2496" s="8"/>
      <c r="R2496" s="8"/>
      <c r="S2496" s="8"/>
      <c r="T2496" s="8"/>
      <c r="U2496" s="8"/>
      <c r="V2496" s="8"/>
      <c r="W2496" s="8"/>
      <c r="X2496" s="8"/>
      <c r="Y2496" s="8"/>
      <c r="Z2496" s="8"/>
      <c r="AA2496" s="8"/>
      <c r="AB2496" s="8"/>
      <c r="AC2496" s="8"/>
      <c r="AD2496" s="8"/>
      <c r="AE2496" s="8"/>
    </row>
    <row r="2497">
      <c r="A2497" s="12">
        <v>75.0</v>
      </c>
      <c r="B2497" s="8" t="s">
        <v>378</v>
      </c>
      <c r="C2497" s="8" t="s">
        <v>1527</v>
      </c>
      <c r="I2497" s="10" t="s">
        <v>2123</v>
      </c>
      <c r="J2497" s="13" t="s">
        <v>1532</v>
      </c>
      <c r="K2497" s="13" t="s">
        <v>276</v>
      </c>
      <c r="L2497" s="13" t="s">
        <v>2209</v>
      </c>
      <c r="M2497" s="7" t="s">
        <v>253</v>
      </c>
      <c r="N2497" s="7" t="s">
        <v>253</v>
      </c>
      <c r="O2497" s="7" t="s">
        <v>254</v>
      </c>
      <c r="P2497" s="8"/>
      <c r="Q2497" s="8"/>
      <c r="R2497" s="8"/>
      <c r="S2497" s="8"/>
      <c r="T2497" s="8"/>
      <c r="U2497" s="8"/>
      <c r="V2497" s="8"/>
      <c r="W2497" s="8"/>
      <c r="X2497" s="8"/>
      <c r="Y2497" s="8"/>
      <c r="Z2497" s="8"/>
      <c r="AA2497" s="8"/>
      <c r="AB2497" s="8"/>
      <c r="AC2497" s="8"/>
      <c r="AD2497" s="8"/>
      <c r="AE2497" s="8"/>
    </row>
    <row r="2498">
      <c r="A2498" s="12">
        <v>75.0</v>
      </c>
      <c r="B2498" s="8" t="s">
        <v>378</v>
      </c>
      <c r="C2498" s="8" t="s">
        <v>1527</v>
      </c>
      <c r="I2498" s="10" t="s">
        <v>1598</v>
      </c>
      <c r="J2498" s="13" t="s">
        <v>1537</v>
      </c>
      <c r="K2498" s="13" t="s">
        <v>276</v>
      </c>
      <c r="L2498" s="13" t="s">
        <v>2209</v>
      </c>
      <c r="M2498" s="7" t="s">
        <v>253</v>
      </c>
      <c r="N2498" s="7" t="s">
        <v>253</v>
      </c>
      <c r="O2498" s="7" t="s">
        <v>254</v>
      </c>
      <c r="P2498" s="8"/>
      <c r="Q2498" s="8"/>
      <c r="R2498" s="8"/>
      <c r="S2498" s="8"/>
      <c r="T2498" s="8"/>
      <c r="U2498" s="8"/>
      <c r="V2498" s="8"/>
      <c r="W2498" s="8"/>
      <c r="X2498" s="8"/>
      <c r="Y2498" s="8"/>
      <c r="Z2498" s="8"/>
      <c r="AA2498" s="8"/>
      <c r="AB2498" s="8"/>
      <c r="AC2498" s="8"/>
      <c r="AD2498" s="8"/>
      <c r="AE2498" s="8"/>
    </row>
    <row r="2499">
      <c r="A2499" s="12">
        <v>75.0</v>
      </c>
      <c r="B2499" s="8" t="s">
        <v>378</v>
      </c>
      <c r="C2499" s="8" t="s">
        <v>1527</v>
      </c>
      <c r="I2499" s="10" t="s">
        <v>2228</v>
      </c>
      <c r="J2499" s="13" t="s">
        <v>1530</v>
      </c>
      <c r="K2499" s="13" t="s">
        <v>276</v>
      </c>
      <c r="L2499" s="13" t="s">
        <v>2209</v>
      </c>
      <c r="M2499" s="7" t="s">
        <v>253</v>
      </c>
      <c r="N2499" s="7" t="s">
        <v>253</v>
      </c>
      <c r="O2499" s="7" t="s">
        <v>254</v>
      </c>
      <c r="P2499" s="8"/>
      <c r="Q2499" s="8"/>
      <c r="R2499" s="8"/>
      <c r="S2499" s="8"/>
      <c r="T2499" s="8"/>
      <c r="U2499" s="8"/>
      <c r="V2499" s="8"/>
      <c r="W2499" s="8"/>
      <c r="X2499" s="8"/>
      <c r="Y2499" s="8"/>
      <c r="Z2499" s="8"/>
      <c r="AA2499" s="8"/>
      <c r="AB2499" s="8"/>
      <c r="AC2499" s="8"/>
      <c r="AD2499" s="8"/>
      <c r="AE2499" s="8"/>
    </row>
    <row r="2500">
      <c r="A2500" s="12">
        <v>75.0</v>
      </c>
      <c r="B2500" s="8" t="s">
        <v>378</v>
      </c>
      <c r="C2500" s="8" t="s">
        <v>1527</v>
      </c>
      <c r="I2500" s="10" t="s">
        <v>2229</v>
      </c>
      <c r="J2500" s="13" t="s">
        <v>1532</v>
      </c>
      <c r="K2500" s="13" t="s">
        <v>276</v>
      </c>
      <c r="L2500" s="13" t="s">
        <v>2209</v>
      </c>
      <c r="M2500" s="7" t="s">
        <v>253</v>
      </c>
      <c r="N2500" s="7" t="s">
        <v>253</v>
      </c>
      <c r="O2500" s="7" t="s">
        <v>254</v>
      </c>
      <c r="P2500" s="8"/>
      <c r="Q2500" s="8"/>
      <c r="R2500" s="8"/>
      <c r="S2500" s="8"/>
      <c r="T2500" s="8"/>
      <c r="U2500" s="8"/>
      <c r="V2500" s="8"/>
      <c r="W2500" s="8"/>
      <c r="X2500" s="8"/>
      <c r="Y2500" s="8"/>
      <c r="Z2500" s="8"/>
      <c r="AA2500" s="8"/>
      <c r="AB2500" s="8"/>
      <c r="AC2500" s="8"/>
      <c r="AD2500" s="8"/>
      <c r="AE2500" s="8"/>
    </row>
    <row r="2501">
      <c r="A2501" s="12">
        <v>75.0</v>
      </c>
      <c r="B2501" s="8" t="s">
        <v>378</v>
      </c>
      <c r="C2501" s="8" t="s">
        <v>1527</v>
      </c>
      <c r="I2501" s="10" t="s">
        <v>968</v>
      </c>
      <c r="J2501" s="13" t="s">
        <v>1537</v>
      </c>
      <c r="K2501" s="13" t="s">
        <v>276</v>
      </c>
      <c r="L2501" s="13" t="s">
        <v>2209</v>
      </c>
      <c r="M2501" s="7" t="s">
        <v>253</v>
      </c>
      <c r="N2501" s="7" t="s">
        <v>253</v>
      </c>
      <c r="O2501" s="7" t="s">
        <v>254</v>
      </c>
      <c r="P2501" s="8"/>
      <c r="Q2501" s="8"/>
      <c r="R2501" s="8"/>
      <c r="S2501" s="8"/>
      <c r="T2501" s="8"/>
      <c r="U2501" s="8"/>
      <c r="V2501" s="8"/>
      <c r="W2501" s="8"/>
      <c r="X2501" s="8"/>
      <c r="Y2501" s="8"/>
      <c r="Z2501" s="8"/>
      <c r="AA2501" s="8"/>
      <c r="AB2501" s="8"/>
      <c r="AC2501" s="8"/>
      <c r="AD2501" s="8"/>
      <c r="AE2501" s="8"/>
    </row>
    <row r="2502">
      <c r="A2502" s="12">
        <v>75.0</v>
      </c>
      <c r="B2502" s="8" t="s">
        <v>378</v>
      </c>
      <c r="C2502" s="8" t="s">
        <v>1527</v>
      </c>
      <c r="I2502" s="10" t="s">
        <v>971</v>
      </c>
      <c r="J2502" s="13" t="s">
        <v>1530</v>
      </c>
      <c r="K2502" s="13" t="s">
        <v>276</v>
      </c>
      <c r="L2502" s="13" t="s">
        <v>2209</v>
      </c>
      <c r="M2502" s="7" t="s">
        <v>253</v>
      </c>
      <c r="N2502" s="7" t="s">
        <v>253</v>
      </c>
      <c r="O2502" s="7" t="s">
        <v>254</v>
      </c>
      <c r="P2502" s="8"/>
      <c r="Q2502" s="8"/>
      <c r="R2502" s="8"/>
      <c r="S2502" s="8"/>
      <c r="T2502" s="8"/>
      <c r="U2502" s="8"/>
      <c r="V2502" s="8"/>
      <c r="W2502" s="8"/>
      <c r="X2502" s="8"/>
      <c r="Y2502" s="8"/>
      <c r="Z2502" s="8"/>
      <c r="AA2502" s="8"/>
      <c r="AB2502" s="8"/>
      <c r="AC2502" s="8"/>
      <c r="AD2502" s="8"/>
      <c r="AE2502" s="8"/>
    </row>
    <row r="2503">
      <c r="A2503" s="12">
        <v>75.0</v>
      </c>
      <c r="B2503" s="8" t="s">
        <v>378</v>
      </c>
      <c r="C2503" s="8" t="s">
        <v>1527</v>
      </c>
      <c r="I2503" s="10" t="s">
        <v>2230</v>
      </c>
      <c r="J2503" s="13" t="s">
        <v>1532</v>
      </c>
      <c r="K2503" s="13" t="s">
        <v>276</v>
      </c>
      <c r="L2503" s="13" t="s">
        <v>2209</v>
      </c>
      <c r="M2503" s="7" t="s">
        <v>253</v>
      </c>
      <c r="N2503" s="7" t="s">
        <v>253</v>
      </c>
      <c r="O2503" s="7" t="s">
        <v>254</v>
      </c>
      <c r="P2503" s="8"/>
      <c r="Q2503" s="8"/>
      <c r="R2503" s="8"/>
      <c r="S2503" s="8"/>
      <c r="T2503" s="8"/>
      <c r="U2503" s="8"/>
      <c r="V2503" s="8"/>
      <c r="W2503" s="8"/>
      <c r="X2503" s="8"/>
      <c r="Y2503" s="8"/>
      <c r="Z2503" s="8"/>
      <c r="AA2503" s="8"/>
      <c r="AB2503" s="8"/>
      <c r="AC2503" s="8"/>
      <c r="AD2503" s="8"/>
      <c r="AE2503" s="8"/>
    </row>
    <row r="2504">
      <c r="A2504" s="12">
        <v>75.0</v>
      </c>
      <c r="B2504" s="8" t="s">
        <v>378</v>
      </c>
      <c r="C2504" s="8" t="s">
        <v>1527</v>
      </c>
      <c r="I2504" s="10" t="s">
        <v>2231</v>
      </c>
      <c r="J2504" s="13" t="s">
        <v>1537</v>
      </c>
      <c r="K2504" s="13" t="s">
        <v>276</v>
      </c>
      <c r="L2504" s="13" t="s">
        <v>2218</v>
      </c>
      <c r="M2504" s="7" t="s">
        <v>253</v>
      </c>
      <c r="N2504" s="7" t="s">
        <v>253</v>
      </c>
      <c r="O2504" s="7" t="s">
        <v>254</v>
      </c>
      <c r="P2504" s="8"/>
      <c r="Q2504" s="8"/>
      <c r="R2504" s="8"/>
      <c r="S2504" s="8"/>
      <c r="T2504" s="8"/>
      <c r="U2504" s="8"/>
      <c r="V2504" s="8"/>
      <c r="W2504" s="8"/>
      <c r="X2504" s="8"/>
      <c r="Y2504" s="8"/>
      <c r="Z2504" s="8"/>
      <c r="AA2504" s="8"/>
      <c r="AB2504" s="8"/>
      <c r="AC2504" s="8"/>
      <c r="AD2504" s="8"/>
      <c r="AE2504" s="8"/>
    </row>
    <row r="2505">
      <c r="A2505" s="12">
        <v>75.0</v>
      </c>
      <c r="B2505" s="8" t="s">
        <v>378</v>
      </c>
      <c r="C2505" s="8" t="s">
        <v>1527</v>
      </c>
      <c r="I2505" s="10" t="s">
        <v>2232</v>
      </c>
      <c r="J2505" s="13" t="s">
        <v>1530</v>
      </c>
      <c r="K2505" s="13" t="s">
        <v>276</v>
      </c>
      <c r="L2505" s="13" t="s">
        <v>2209</v>
      </c>
      <c r="M2505" s="7" t="s">
        <v>253</v>
      </c>
      <c r="N2505" s="7" t="s">
        <v>253</v>
      </c>
      <c r="O2505" s="7" t="s">
        <v>254</v>
      </c>
      <c r="P2505" s="8"/>
      <c r="Q2505" s="8"/>
      <c r="R2505" s="8"/>
      <c r="S2505" s="8"/>
      <c r="T2505" s="8"/>
      <c r="U2505" s="8"/>
      <c r="V2505" s="8"/>
      <c r="W2505" s="8"/>
      <c r="X2505" s="8"/>
      <c r="Y2505" s="8"/>
      <c r="Z2505" s="8"/>
      <c r="AA2505" s="8"/>
      <c r="AB2505" s="8"/>
      <c r="AC2505" s="8"/>
      <c r="AD2505" s="8"/>
      <c r="AE2505" s="8"/>
    </row>
    <row r="2506">
      <c r="A2506" s="11"/>
      <c r="B2506" s="28"/>
      <c r="C2506" s="28"/>
      <c r="D2506" s="28"/>
      <c r="E2506" s="28"/>
      <c r="F2506" s="28"/>
      <c r="G2506" s="28"/>
      <c r="H2506" s="28"/>
      <c r="I2506" s="28"/>
      <c r="J2506" s="8"/>
      <c r="K2506" s="8"/>
      <c r="L2506" s="8"/>
      <c r="M2506" s="8"/>
      <c r="N2506" s="8"/>
      <c r="O2506" s="8"/>
      <c r="P2506" s="8"/>
      <c r="Q2506" s="8"/>
      <c r="R2506" s="8"/>
      <c r="S2506" s="8"/>
      <c r="T2506" s="8"/>
      <c r="U2506" s="8"/>
      <c r="V2506" s="8"/>
      <c r="W2506" s="8"/>
      <c r="X2506" s="8"/>
      <c r="Y2506" s="8"/>
      <c r="Z2506" s="8"/>
      <c r="AA2506" s="8"/>
      <c r="AB2506" s="8"/>
      <c r="AC2506" s="8"/>
      <c r="AD2506" s="8"/>
      <c r="AE2506" s="8"/>
    </row>
    <row r="2507">
      <c r="A2507" s="11"/>
      <c r="B2507" s="28"/>
      <c r="C2507" s="28"/>
      <c r="D2507" s="28"/>
      <c r="E2507" s="28"/>
      <c r="F2507" s="28"/>
      <c r="G2507" s="28"/>
      <c r="H2507" s="28"/>
      <c r="I2507" s="28"/>
      <c r="J2507" s="8"/>
      <c r="K2507" s="8"/>
      <c r="L2507" s="8"/>
      <c r="M2507" s="8"/>
      <c r="N2507" s="8"/>
      <c r="O2507" s="8"/>
      <c r="P2507" s="8"/>
      <c r="Q2507" s="8"/>
      <c r="R2507" s="8"/>
      <c r="S2507" s="8"/>
      <c r="T2507" s="8"/>
      <c r="U2507" s="8"/>
      <c r="V2507" s="8"/>
      <c r="W2507" s="8"/>
      <c r="X2507" s="8"/>
      <c r="Y2507" s="8"/>
      <c r="Z2507" s="8"/>
      <c r="AA2507" s="8"/>
      <c r="AB2507" s="8"/>
      <c r="AC2507" s="8"/>
      <c r="AD2507" s="8"/>
      <c r="AE2507" s="8"/>
    </row>
    <row r="2508">
      <c r="A2508" s="11"/>
      <c r="B2508" s="28"/>
      <c r="C2508" s="28"/>
      <c r="D2508" s="28"/>
      <c r="E2508" s="28"/>
      <c r="F2508" s="28"/>
      <c r="G2508" s="28"/>
      <c r="H2508" s="28"/>
      <c r="I2508" s="28"/>
      <c r="J2508" s="8"/>
      <c r="K2508" s="8"/>
      <c r="L2508" s="8"/>
      <c r="M2508" s="8"/>
      <c r="N2508" s="8"/>
      <c r="O2508" s="8"/>
      <c r="P2508" s="8"/>
      <c r="Q2508" s="8"/>
      <c r="R2508" s="8"/>
      <c r="S2508" s="8"/>
      <c r="T2508" s="8"/>
      <c r="U2508" s="8"/>
      <c r="V2508" s="8"/>
      <c r="W2508" s="8"/>
      <c r="X2508" s="8"/>
      <c r="Y2508" s="8"/>
      <c r="Z2508" s="8"/>
      <c r="AA2508" s="8"/>
      <c r="AB2508" s="8"/>
      <c r="AC2508" s="8"/>
      <c r="AD2508" s="8"/>
      <c r="AE2508" s="8"/>
    </row>
    <row r="2509">
      <c r="A2509" s="11"/>
      <c r="B2509" s="28"/>
      <c r="C2509" s="28"/>
      <c r="D2509" s="28"/>
      <c r="E2509" s="28"/>
      <c r="F2509" s="28"/>
      <c r="G2509" s="28"/>
      <c r="H2509" s="28"/>
      <c r="I2509" s="28"/>
      <c r="J2509" s="8"/>
      <c r="K2509" s="8"/>
      <c r="L2509" s="8"/>
      <c r="M2509" s="8"/>
      <c r="N2509" s="8"/>
      <c r="O2509" s="8"/>
      <c r="P2509" s="8"/>
      <c r="Q2509" s="8"/>
      <c r="R2509" s="8"/>
      <c r="S2509" s="8"/>
      <c r="T2509" s="8"/>
      <c r="U2509" s="8"/>
      <c r="V2509" s="8"/>
      <c r="W2509" s="8"/>
      <c r="X2509" s="8"/>
      <c r="Y2509" s="8"/>
      <c r="Z2509" s="8"/>
      <c r="AA2509" s="8"/>
      <c r="AB2509" s="8"/>
      <c r="AC2509" s="8"/>
      <c r="AD2509" s="8"/>
      <c r="AE2509" s="8"/>
    </row>
    <row r="2510">
      <c r="A2510" s="11"/>
      <c r="B2510" s="28"/>
      <c r="C2510" s="28"/>
      <c r="D2510" s="28"/>
      <c r="E2510" s="28"/>
      <c r="F2510" s="28"/>
      <c r="G2510" s="28"/>
      <c r="H2510" s="28"/>
      <c r="I2510" s="28"/>
      <c r="J2510" s="8"/>
      <c r="K2510" s="8"/>
      <c r="L2510" s="8"/>
      <c r="M2510" s="8"/>
      <c r="N2510" s="8"/>
      <c r="O2510" s="8"/>
      <c r="P2510" s="8"/>
      <c r="Q2510" s="8"/>
      <c r="R2510" s="8"/>
      <c r="S2510" s="8"/>
      <c r="T2510" s="8"/>
      <c r="U2510" s="8"/>
      <c r="V2510" s="8"/>
      <c r="W2510" s="8"/>
      <c r="X2510" s="8"/>
      <c r="Y2510" s="8"/>
      <c r="Z2510" s="8"/>
      <c r="AA2510" s="8"/>
      <c r="AB2510" s="8"/>
      <c r="AC2510" s="8"/>
      <c r="AD2510" s="8"/>
      <c r="AE2510" s="8"/>
    </row>
    <row r="2511">
      <c r="A2511" s="11"/>
      <c r="B2511" s="28"/>
      <c r="C2511" s="28"/>
      <c r="D2511" s="28"/>
      <c r="E2511" s="28"/>
      <c r="F2511" s="28"/>
      <c r="G2511" s="28"/>
      <c r="H2511" s="28"/>
      <c r="I2511" s="28"/>
      <c r="J2511" s="8"/>
      <c r="K2511" s="8"/>
      <c r="L2511" s="8"/>
      <c r="M2511" s="8"/>
      <c r="N2511" s="8"/>
      <c r="O2511" s="8"/>
      <c r="P2511" s="8"/>
      <c r="Q2511" s="8"/>
      <c r="R2511" s="8"/>
      <c r="S2511" s="8"/>
      <c r="T2511" s="8"/>
      <c r="U2511" s="8"/>
      <c r="V2511" s="8"/>
      <c r="W2511" s="8"/>
      <c r="X2511" s="8"/>
      <c r="Y2511" s="8"/>
      <c r="Z2511" s="8"/>
      <c r="AA2511" s="8"/>
      <c r="AB2511" s="8"/>
      <c r="AC2511" s="8"/>
      <c r="AD2511" s="8"/>
      <c r="AE2511" s="8"/>
    </row>
    <row r="2512">
      <c r="A2512" s="11"/>
      <c r="B2512" s="28"/>
      <c r="C2512" s="28"/>
      <c r="D2512" s="28"/>
      <c r="E2512" s="28"/>
      <c r="F2512" s="28"/>
      <c r="G2512" s="28"/>
      <c r="H2512" s="28"/>
      <c r="I2512" s="28"/>
      <c r="J2512" s="8"/>
      <c r="K2512" s="8"/>
      <c r="L2512" s="8"/>
      <c r="M2512" s="8"/>
      <c r="N2512" s="8"/>
      <c r="O2512" s="8"/>
      <c r="P2512" s="8"/>
      <c r="Q2512" s="8"/>
      <c r="R2512" s="8"/>
      <c r="S2512" s="8"/>
      <c r="T2512" s="8"/>
      <c r="U2512" s="8"/>
      <c r="V2512" s="8"/>
      <c r="W2512" s="8"/>
      <c r="X2512" s="8"/>
      <c r="Y2512" s="8"/>
      <c r="Z2512" s="8"/>
      <c r="AA2512" s="8"/>
      <c r="AB2512" s="8"/>
      <c r="AC2512" s="8"/>
      <c r="AD2512" s="8"/>
      <c r="AE2512" s="8"/>
    </row>
    <row r="2513">
      <c r="A2513" s="11"/>
      <c r="B2513" s="28"/>
      <c r="C2513" s="28"/>
      <c r="D2513" s="28"/>
      <c r="E2513" s="28"/>
      <c r="F2513" s="28"/>
      <c r="G2513" s="28"/>
      <c r="H2513" s="28"/>
      <c r="I2513" s="28"/>
      <c r="J2513" s="8"/>
      <c r="K2513" s="8"/>
      <c r="L2513" s="8"/>
      <c r="M2513" s="8"/>
      <c r="N2513" s="8"/>
      <c r="O2513" s="8"/>
      <c r="P2513" s="8"/>
      <c r="Q2513" s="8"/>
      <c r="R2513" s="8"/>
      <c r="S2513" s="8"/>
      <c r="T2513" s="8"/>
      <c r="U2513" s="8"/>
      <c r="V2513" s="8"/>
      <c r="W2513" s="8"/>
      <c r="X2513" s="8"/>
      <c r="Y2513" s="8"/>
      <c r="Z2513" s="8"/>
      <c r="AA2513" s="8"/>
      <c r="AB2513" s="8"/>
      <c r="AC2513" s="8"/>
      <c r="AD2513" s="8"/>
      <c r="AE2513" s="8"/>
    </row>
    <row r="2514">
      <c r="A2514" s="11"/>
      <c r="B2514" s="28"/>
      <c r="C2514" s="28"/>
      <c r="D2514" s="28"/>
      <c r="E2514" s="28"/>
      <c r="F2514" s="28"/>
      <c r="G2514" s="28"/>
      <c r="H2514" s="28"/>
      <c r="I2514" s="28"/>
      <c r="J2514" s="8"/>
      <c r="K2514" s="8"/>
      <c r="L2514" s="8"/>
      <c r="M2514" s="8"/>
      <c r="N2514" s="8"/>
      <c r="O2514" s="8"/>
      <c r="P2514" s="8"/>
      <c r="Q2514" s="8"/>
      <c r="R2514" s="8"/>
      <c r="S2514" s="8"/>
      <c r="T2514" s="8"/>
      <c r="U2514" s="8"/>
      <c r="V2514" s="8"/>
      <c r="W2514" s="8"/>
      <c r="X2514" s="8"/>
      <c r="Y2514" s="8"/>
      <c r="Z2514" s="8"/>
      <c r="AA2514" s="8"/>
      <c r="AB2514" s="8"/>
      <c r="AC2514" s="8"/>
      <c r="AD2514" s="8"/>
      <c r="AE2514" s="8"/>
    </row>
    <row r="2515">
      <c r="A2515" s="11"/>
      <c r="B2515" s="28"/>
      <c r="C2515" s="28"/>
      <c r="D2515" s="28"/>
      <c r="E2515" s="28"/>
      <c r="F2515" s="28"/>
      <c r="G2515" s="28"/>
      <c r="H2515" s="28"/>
      <c r="I2515" s="28"/>
      <c r="J2515" s="8"/>
      <c r="K2515" s="8"/>
      <c r="L2515" s="8"/>
      <c r="M2515" s="8"/>
      <c r="N2515" s="8"/>
      <c r="O2515" s="8"/>
      <c r="P2515" s="8"/>
      <c r="Q2515" s="8"/>
      <c r="R2515" s="8"/>
      <c r="S2515" s="8"/>
      <c r="T2515" s="8"/>
      <c r="U2515" s="8"/>
      <c r="V2515" s="8"/>
      <c r="W2515" s="8"/>
      <c r="X2515" s="8"/>
      <c r="Y2515" s="8"/>
      <c r="Z2515" s="8"/>
      <c r="AA2515" s="8"/>
      <c r="AB2515" s="8"/>
      <c r="AC2515" s="8"/>
      <c r="AD2515" s="8"/>
      <c r="AE2515" s="8"/>
    </row>
    <row r="2516">
      <c r="A2516" s="11"/>
      <c r="B2516" s="28"/>
      <c r="C2516" s="28"/>
      <c r="D2516" s="28"/>
      <c r="E2516" s="28"/>
      <c r="F2516" s="28"/>
      <c r="G2516" s="28"/>
      <c r="H2516" s="28"/>
      <c r="I2516" s="28"/>
      <c r="J2516" s="8"/>
      <c r="K2516" s="8"/>
      <c r="L2516" s="8"/>
      <c r="M2516" s="8"/>
      <c r="N2516" s="8"/>
      <c r="O2516" s="8"/>
      <c r="P2516" s="8"/>
      <c r="Q2516" s="8"/>
      <c r="R2516" s="8"/>
      <c r="S2516" s="8"/>
      <c r="T2516" s="8"/>
      <c r="U2516" s="8"/>
      <c r="V2516" s="8"/>
      <c r="W2516" s="8"/>
      <c r="X2516" s="8"/>
      <c r="Y2516" s="8"/>
      <c r="Z2516" s="8"/>
      <c r="AA2516" s="8"/>
      <c r="AB2516" s="8"/>
      <c r="AC2516" s="8"/>
      <c r="AD2516" s="8"/>
      <c r="AE2516" s="8"/>
    </row>
    <row r="2517">
      <c r="A2517" s="11"/>
      <c r="B2517" s="28"/>
      <c r="C2517" s="28"/>
      <c r="D2517" s="28"/>
      <c r="E2517" s="28"/>
      <c r="F2517" s="28"/>
      <c r="G2517" s="28"/>
      <c r="H2517" s="28"/>
      <c r="I2517" s="28"/>
      <c r="J2517" s="8"/>
      <c r="K2517" s="8"/>
      <c r="L2517" s="8"/>
      <c r="M2517" s="8"/>
      <c r="N2517" s="8"/>
      <c r="O2517" s="8"/>
      <c r="P2517" s="8"/>
      <c r="Q2517" s="8"/>
      <c r="R2517" s="8"/>
      <c r="S2517" s="8"/>
      <c r="T2517" s="8"/>
      <c r="U2517" s="8"/>
      <c r="V2517" s="8"/>
      <c r="W2517" s="8"/>
      <c r="X2517" s="8"/>
      <c r="Y2517" s="8"/>
      <c r="Z2517" s="8"/>
      <c r="AA2517" s="8"/>
      <c r="AB2517" s="8"/>
      <c r="AC2517" s="8"/>
      <c r="AD2517" s="8"/>
      <c r="AE2517" s="8"/>
    </row>
    <row r="2518">
      <c r="A2518" s="11"/>
      <c r="B2518" s="28"/>
      <c r="C2518" s="28"/>
      <c r="D2518" s="28"/>
      <c r="E2518" s="28"/>
      <c r="F2518" s="28"/>
      <c r="G2518" s="28"/>
      <c r="H2518" s="28"/>
      <c r="I2518" s="28"/>
      <c r="J2518" s="8"/>
      <c r="K2518" s="8"/>
      <c r="L2518" s="8"/>
      <c r="M2518" s="8"/>
      <c r="N2518" s="8"/>
      <c r="O2518" s="8"/>
      <c r="P2518" s="8"/>
      <c r="Q2518" s="8"/>
      <c r="R2518" s="8"/>
      <c r="S2518" s="8"/>
      <c r="T2518" s="8"/>
      <c r="U2518" s="8"/>
      <c r="V2518" s="8"/>
      <c r="W2518" s="8"/>
      <c r="X2518" s="8"/>
      <c r="Y2518" s="8"/>
      <c r="Z2518" s="8"/>
      <c r="AA2518" s="8"/>
      <c r="AB2518" s="8"/>
      <c r="AC2518" s="8"/>
      <c r="AD2518" s="8"/>
      <c r="AE2518" s="8"/>
    </row>
    <row r="2519">
      <c r="A2519" s="11"/>
      <c r="B2519" s="28"/>
      <c r="C2519" s="28"/>
      <c r="D2519" s="28"/>
      <c r="E2519" s="28"/>
      <c r="F2519" s="28"/>
      <c r="G2519" s="28"/>
      <c r="H2519" s="28"/>
      <c r="I2519" s="28"/>
      <c r="J2519" s="8"/>
      <c r="K2519" s="8"/>
      <c r="L2519" s="8"/>
      <c r="M2519" s="8"/>
      <c r="N2519" s="8"/>
      <c r="O2519" s="8"/>
      <c r="P2519" s="8"/>
      <c r="Q2519" s="8"/>
      <c r="R2519" s="8"/>
      <c r="S2519" s="8"/>
      <c r="T2519" s="8"/>
      <c r="U2519" s="8"/>
      <c r="V2519" s="8"/>
      <c r="W2519" s="8"/>
      <c r="X2519" s="8"/>
      <c r="Y2519" s="8"/>
      <c r="Z2519" s="8"/>
      <c r="AA2519" s="8"/>
      <c r="AB2519" s="8"/>
      <c r="AC2519" s="8"/>
      <c r="AD2519" s="8"/>
      <c r="AE2519" s="8"/>
    </row>
    <row r="2520">
      <c r="A2520" s="11"/>
      <c r="B2520" s="28"/>
      <c r="C2520" s="28"/>
      <c r="D2520" s="28"/>
      <c r="E2520" s="28"/>
      <c r="F2520" s="28"/>
      <c r="G2520" s="28"/>
      <c r="H2520" s="28"/>
      <c r="I2520" s="28"/>
      <c r="J2520" s="8"/>
      <c r="K2520" s="8"/>
      <c r="L2520" s="8"/>
      <c r="M2520" s="8"/>
      <c r="N2520" s="8"/>
      <c r="O2520" s="8"/>
      <c r="P2520" s="8"/>
      <c r="Q2520" s="8"/>
      <c r="R2520" s="8"/>
      <c r="S2520" s="8"/>
      <c r="T2520" s="8"/>
      <c r="U2520" s="8"/>
      <c r="V2520" s="8"/>
      <c r="W2520" s="8"/>
      <c r="X2520" s="8"/>
      <c r="Y2520" s="8"/>
      <c r="Z2520" s="8"/>
      <c r="AA2520" s="8"/>
      <c r="AB2520" s="8"/>
      <c r="AC2520" s="8"/>
      <c r="AD2520" s="8"/>
      <c r="AE2520" s="8"/>
    </row>
    <row r="2521">
      <c r="A2521" s="11"/>
      <c r="B2521" s="28"/>
      <c r="C2521" s="28"/>
      <c r="D2521" s="28"/>
      <c r="E2521" s="28"/>
      <c r="F2521" s="28"/>
      <c r="G2521" s="28"/>
      <c r="H2521" s="28"/>
      <c r="I2521" s="28"/>
      <c r="J2521" s="8"/>
      <c r="K2521" s="8"/>
      <c r="L2521" s="8"/>
      <c r="M2521" s="8"/>
      <c r="N2521" s="8"/>
      <c r="O2521" s="8"/>
      <c r="P2521" s="8"/>
      <c r="Q2521" s="8"/>
      <c r="R2521" s="8"/>
      <c r="S2521" s="8"/>
      <c r="T2521" s="8"/>
      <c r="U2521" s="8"/>
      <c r="V2521" s="8"/>
      <c r="W2521" s="8"/>
      <c r="X2521" s="8"/>
      <c r="Y2521" s="8"/>
      <c r="Z2521" s="8"/>
      <c r="AA2521" s="8"/>
      <c r="AB2521" s="8"/>
      <c r="AC2521" s="8"/>
      <c r="AD2521" s="8"/>
      <c r="AE2521" s="8"/>
    </row>
    <row r="2522">
      <c r="A2522" s="11"/>
      <c r="B2522" s="28"/>
      <c r="C2522" s="28"/>
      <c r="D2522" s="28"/>
      <c r="E2522" s="28"/>
      <c r="F2522" s="28"/>
      <c r="G2522" s="28"/>
      <c r="H2522" s="28"/>
      <c r="I2522" s="28"/>
      <c r="J2522" s="8"/>
      <c r="K2522" s="8"/>
      <c r="L2522" s="8"/>
      <c r="M2522" s="8"/>
      <c r="N2522" s="8"/>
      <c r="O2522" s="8"/>
      <c r="P2522" s="8"/>
      <c r="Q2522" s="8"/>
      <c r="R2522" s="8"/>
      <c r="S2522" s="8"/>
      <c r="T2522" s="8"/>
      <c r="U2522" s="8"/>
      <c r="V2522" s="8"/>
      <c r="W2522" s="8"/>
      <c r="X2522" s="8"/>
      <c r="Y2522" s="8"/>
      <c r="Z2522" s="8"/>
      <c r="AA2522" s="8"/>
      <c r="AB2522" s="8"/>
      <c r="AC2522" s="8"/>
      <c r="AD2522" s="8"/>
      <c r="AE2522" s="8"/>
    </row>
    <row r="2523">
      <c r="A2523" s="11"/>
      <c r="B2523" s="28"/>
      <c r="C2523" s="28"/>
      <c r="D2523" s="28"/>
      <c r="E2523" s="28"/>
      <c r="F2523" s="28"/>
      <c r="G2523" s="28"/>
      <c r="H2523" s="28"/>
      <c r="I2523" s="28"/>
      <c r="J2523" s="8"/>
      <c r="K2523" s="8"/>
      <c r="L2523" s="8"/>
      <c r="M2523" s="8"/>
      <c r="N2523" s="8"/>
      <c r="O2523" s="8"/>
      <c r="P2523" s="8"/>
      <c r="Q2523" s="8"/>
      <c r="R2523" s="8"/>
      <c r="S2523" s="8"/>
      <c r="T2523" s="8"/>
      <c r="U2523" s="8"/>
      <c r="V2523" s="8"/>
      <c r="W2523" s="8"/>
      <c r="X2523" s="8"/>
      <c r="Y2523" s="8"/>
      <c r="Z2523" s="8"/>
      <c r="AA2523" s="8"/>
      <c r="AB2523" s="8"/>
      <c r="AC2523" s="8"/>
      <c r="AD2523" s="8"/>
      <c r="AE2523" s="8"/>
    </row>
    <row r="2524">
      <c r="A2524" s="11"/>
      <c r="B2524" s="28"/>
      <c r="C2524" s="28"/>
      <c r="D2524" s="28"/>
      <c r="E2524" s="28"/>
      <c r="F2524" s="28"/>
      <c r="G2524" s="28"/>
      <c r="H2524" s="28"/>
      <c r="I2524" s="28"/>
      <c r="J2524" s="8"/>
      <c r="K2524" s="8"/>
      <c r="L2524" s="8"/>
      <c r="M2524" s="8"/>
      <c r="N2524" s="8"/>
      <c r="O2524" s="8"/>
      <c r="P2524" s="8"/>
      <c r="Q2524" s="8"/>
      <c r="R2524" s="8"/>
      <c r="S2524" s="8"/>
      <c r="T2524" s="8"/>
      <c r="U2524" s="8"/>
      <c r="V2524" s="8"/>
      <c r="W2524" s="8"/>
      <c r="X2524" s="8"/>
      <c r="Y2524" s="8"/>
      <c r="Z2524" s="8"/>
      <c r="AA2524" s="8"/>
      <c r="AB2524" s="8"/>
      <c r="AC2524" s="8"/>
      <c r="AD2524" s="8"/>
      <c r="AE2524" s="8"/>
    </row>
    <row r="2525">
      <c r="A2525" s="11"/>
      <c r="B2525" s="28"/>
      <c r="C2525" s="28"/>
      <c r="D2525" s="28"/>
      <c r="E2525" s="28"/>
      <c r="F2525" s="28"/>
      <c r="G2525" s="28"/>
      <c r="H2525" s="28"/>
      <c r="I2525" s="28"/>
      <c r="J2525" s="8"/>
      <c r="K2525" s="8"/>
      <c r="L2525" s="8"/>
      <c r="M2525" s="8"/>
      <c r="N2525" s="8"/>
      <c r="O2525" s="8"/>
      <c r="P2525" s="8"/>
      <c r="Q2525" s="8"/>
      <c r="R2525" s="8"/>
      <c r="S2525" s="8"/>
      <c r="T2525" s="8"/>
      <c r="U2525" s="8"/>
      <c r="V2525" s="8"/>
      <c r="W2525" s="8"/>
      <c r="X2525" s="8"/>
      <c r="Y2525" s="8"/>
      <c r="Z2525" s="8"/>
      <c r="AA2525" s="8"/>
      <c r="AB2525" s="8"/>
      <c r="AC2525" s="8"/>
      <c r="AD2525" s="8"/>
      <c r="AE2525" s="8"/>
    </row>
    <row r="2526">
      <c r="A2526" s="11"/>
      <c r="B2526" s="28"/>
      <c r="C2526" s="28"/>
      <c r="D2526" s="28"/>
      <c r="E2526" s="28"/>
      <c r="F2526" s="28"/>
      <c r="G2526" s="28"/>
      <c r="H2526" s="28"/>
      <c r="I2526" s="28"/>
      <c r="J2526" s="8"/>
      <c r="K2526" s="8"/>
      <c r="L2526" s="8"/>
      <c r="M2526" s="8"/>
      <c r="N2526" s="8"/>
      <c r="O2526" s="8"/>
      <c r="P2526" s="8"/>
      <c r="Q2526" s="8"/>
      <c r="R2526" s="8"/>
      <c r="S2526" s="8"/>
      <c r="T2526" s="8"/>
      <c r="U2526" s="8"/>
      <c r="V2526" s="8"/>
      <c r="W2526" s="8"/>
      <c r="X2526" s="8"/>
      <c r="Y2526" s="8"/>
      <c r="Z2526" s="8"/>
      <c r="AA2526" s="8"/>
      <c r="AB2526" s="8"/>
      <c r="AC2526" s="8"/>
      <c r="AD2526" s="8"/>
      <c r="AE2526" s="8"/>
    </row>
    <row r="2527">
      <c r="A2527" s="11"/>
      <c r="B2527" s="28"/>
      <c r="C2527" s="28"/>
      <c r="D2527" s="28"/>
      <c r="E2527" s="28"/>
      <c r="F2527" s="28"/>
      <c r="G2527" s="28"/>
      <c r="H2527" s="28"/>
      <c r="I2527" s="28"/>
      <c r="J2527" s="8"/>
      <c r="K2527" s="8"/>
      <c r="L2527" s="8"/>
      <c r="M2527" s="8"/>
      <c r="N2527" s="8"/>
      <c r="O2527" s="8"/>
      <c r="P2527" s="8"/>
      <c r="Q2527" s="8"/>
      <c r="R2527" s="8"/>
      <c r="S2527" s="8"/>
      <c r="T2527" s="8"/>
      <c r="U2527" s="8"/>
      <c r="V2527" s="8"/>
      <c r="W2527" s="8"/>
      <c r="X2527" s="8"/>
      <c r="Y2527" s="8"/>
      <c r="Z2527" s="8"/>
      <c r="AA2527" s="8"/>
      <c r="AB2527" s="8"/>
      <c r="AC2527" s="8"/>
      <c r="AD2527" s="8"/>
      <c r="AE2527" s="8"/>
    </row>
    <row r="2528">
      <c r="A2528" s="11"/>
      <c r="B2528" s="28"/>
      <c r="C2528" s="28"/>
      <c r="D2528" s="28"/>
      <c r="E2528" s="28"/>
      <c r="F2528" s="28"/>
      <c r="G2528" s="28"/>
      <c r="H2528" s="28"/>
      <c r="I2528" s="28"/>
      <c r="J2528" s="8"/>
      <c r="K2528" s="8"/>
      <c r="L2528" s="8"/>
      <c r="M2528" s="8"/>
      <c r="N2528" s="8"/>
      <c r="O2528" s="8"/>
      <c r="P2528" s="8"/>
      <c r="Q2528" s="8"/>
      <c r="R2528" s="8"/>
      <c r="S2528" s="8"/>
      <c r="T2528" s="8"/>
      <c r="U2528" s="8"/>
      <c r="V2528" s="8"/>
      <c r="W2528" s="8"/>
      <c r="X2528" s="8"/>
      <c r="Y2528" s="8"/>
      <c r="Z2528" s="8"/>
      <c r="AA2528" s="8"/>
      <c r="AB2528" s="8"/>
      <c r="AC2528" s="8"/>
      <c r="AD2528" s="8"/>
      <c r="AE2528" s="8"/>
    </row>
    <row r="2529">
      <c r="A2529" s="11"/>
      <c r="B2529" s="28"/>
      <c r="C2529" s="28"/>
      <c r="D2529" s="28"/>
      <c r="E2529" s="28"/>
      <c r="F2529" s="28"/>
      <c r="G2529" s="28"/>
      <c r="H2529" s="28"/>
      <c r="I2529" s="28"/>
      <c r="J2529" s="8"/>
      <c r="K2529" s="8"/>
      <c r="L2529" s="8"/>
      <c r="M2529" s="8"/>
      <c r="N2529" s="8"/>
      <c r="O2529" s="8"/>
      <c r="P2529" s="8"/>
      <c r="Q2529" s="8"/>
      <c r="R2529" s="8"/>
      <c r="S2529" s="8"/>
      <c r="T2529" s="8"/>
      <c r="U2529" s="8"/>
      <c r="V2529" s="8"/>
      <c r="W2529" s="8"/>
      <c r="X2529" s="8"/>
      <c r="Y2529" s="8"/>
      <c r="Z2529" s="8"/>
      <c r="AA2529" s="8"/>
      <c r="AB2529" s="8"/>
      <c r="AC2529" s="8"/>
      <c r="AD2529" s="8"/>
      <c r="AE2529" s="8"/>
    </row>
    <row r="2530">
      <c r="A2530" s="11"/>
      <c r="B2530" s="28"/>
      <c r="C2530" s="28"/>
      <c r="D2530" s="28"/>
      <c r="E2530" s="28"/>
      <c r="F2530" s="28"/>
      <c r="G2530" s="28"/>
      <c r="H2530" s="28"/>
      <c r="I2530" s="28"/>
      <c r="J2530" s="8"/>
      <c r="K2530" s="8"/>
      <c r="L2530" s="8"/>
      <c r="M2530" s="8"/>
      <c r="N2530" s="8"/>
      <c r="O2530" s="8"/>
      <c r="P2530" s="8"/>
      <c r="Q2530" s="8"/>
      <c r="R2530" s="8"/>
      <c r="S2530" s="8"/>
      <c r="T2530" s="8"/>
      <c r="U2530" s="8"/>
      <c r="V2530" s="8"/>
      <c r="W2530" s="8"/>
      <c r="X2530" s="8"/>
      <c r="Y2530" s="8"/>
      <c r="Z2530" s="8"/>
      <c r="AA2530" s="8"/>
      <c r="AB2530" s="8"/>
      <c r="AC2530" s="8"/>
      <c r="AD2530" s="8"/>
      <c r="AE2530" s="8"/>
    </row>
    <row r="2531">
      <c r="A2531" s="11"/>
      <c r="B2531" s="28"/>
      <c r="C2531" s="28"/>
      <c r="D2531" s="28"/>
      <c r="E2531" s="28"/>
      <c r="F2531" s="28"/>
      <c r="G2531" s="28"/>
      <c r="H2531" s="28"/>
      <c r="I2531" s="28"/>
      <c r="J2531" s="8"/>
      <c r="K2531" s="8"/>
      <c r="L2531" s="8"/>
      <c r="M2531" s="8"/>
      <c r="N2531" s="8"/>
      <c r="O2531" s="8"/>
      <c r="P2531" s="8"/>
      <c r="Q2531" s="8"/>
      <c r="R2531" s="8"/>
      <c r="S2531" s="8"/>
      <c r="T2531" s="8"/>
      <c r="U2531" s="8"/>
      <c r="V2531" s="8"/>
      <c r="W2531" s="8"/>
      <c r="X2531" s="8"/>
      <c r="Y2531" s="8"/>
      <c r="Z2531" s="8"/>
      <c r="AA2531" s="8"/>
      <c r="AB2531" s="8"/>
      <c r="AC2531" s="8"/>
      <c r="AD2531" s="8"/>
      <c r="AE2531" s="8"/>
    </row>
    <row r="2532">
      <c r="A2532" s="11"/>
      <c r="B2532" s="28"/>
      <c r="C2532" s="28"/>
      <c r="D2532" s="28"/>
      <c r="E2532" s="28"/>
      <c r="F2532" s="28"/>
      <c r="G2532" s="28"/>
      <c r="H2532" s="28"/>
      <c r="I2532" s="28"/>
      <c r="J2532" s="8"/>
      <c r="K2532" s="8"/>
      <c r="L2532" s="8"/>
      <c r="M2532" s="8"/>
      <c r="N2532" s="8"/>
      <c r="O2532" s="8"/>
      <c r="P2532" s="8"/>
      <c r="Q2532" s="8"/>
      <c r="R2532" s="8"/>
      <c r="S2532" s="8"/>
      <c r="T2532" s="8"/>
      <c r="U2532" s="8"/>
      <c r="V2532" s="8"/>
      <c r="W2532" s="8"/>
      <c r="X2532" s="8"/>
      <c r="Y2532" s="8"/>
      <c r="Z2532" s="8"/>
      <c r="AA2532" s="8"/>
      <c r="AB2532" s="8"/>
      <c r="AC2532" s="8"/>
      <c r="AD2532" s="8"/>
      <c r="AE2532" s="8"/>
    </row>
    <row r="2533">
      <c r="A2533" s="11"/>
      <c r="B2533" s="28"/>
      <c r="C2533" s="28"/>
      <c r="D2533" s="28"/>
      <c r="E2533" s="28"/>
      <c r="F2533" s="28"/>
      <c r="G2533" s="28"/>
      <c r="H2533" s="28"/>
      <c r="I2533" s="28"/>
      <c r="J2533" s="8"/>
      <c r="K2533" s="8"/>
      <c r="L2533" s="8"/>
      <c r="M2533" s="8"/>
      <c r="N2533" s="8"/>
      <c r="O2533" s="8"/>
      <c r="P2533" s="8"/>
      <c r="Q2533" s="8"/>
      <c r="R2533" s="8"/>
      <c r="S2533" s="8"/>
      <c r="T2533" s="8"/>
      <c r="U2533" s="8"/>
      <c r="V2533" s="8"/>
      <c r="W2533" s="8"/>
      <c r="X2533" s="8"/>
      <c r="Y2533" s="8"/>
      <c r="Z2533" s="8"/>
      <c r="AA2533" s="8"/>
      <c r="AB2533" s="8"/>
      <c r="AC2533" s="8"/>
      <c r="AD2533" s="8"/>
      <c r="AE2533" s="8"/>
    </row>
    <row r="2534">
      <c r="A2534" s="11"/>
      <c r="B2534" s="28"/>
      <c r="C2534" s="28"/>
      <c r="D2534" s="28"/>
      <c r="E2534" s="28"/>
      <c r="F2534" s="28"/>
      <c r="G2534" s="28"/>
      <c r="H2534" s="28"/>
      <c r="I2534" s="28"/>
      <c r="J2534" s="8"/>
      <c r="K2534" s="8"/>
      <c r="L2534" s="8"/>
      <c r="M2534" s="8"/>
      <c r="N2534" s="8"/>
      <c r="O2534" s="8"/>
      <c r="P2534" s="8"/>
      <c r="Q2534" s="8"/>
      <c r="R2534" s="8"/>
      <c r="S2534" s="8"/>
      <c r="T2534" s="8"/>
      <c r="U2534" s="8"/>
      <c r="V2534" s="8"/>
      <c r="W2534" s="8"/>
      <c r="X2534" s="8"/>
      <c r="Y2534" s="8"/>
      <c r="Z2534" s="8"/>
      <c r="AA2534" s="8"/>
      <c r="AB2534" s="8"/>
      <c r="AC2534" s="8"/>
      <c r="AD2534" s="8"/>
      <c r="AE2534" s="8"/>
    </row>
    <row r="2535">
      <c r="A2535" s="11"/>
      <c r="B2535" s="28"/>
      <c r="C2535" s="28"/>
      <c r="D2535" s="28"/>
      <c r="E2535" s="28"/>
      <c r="F2535" s="28"/>
      <c r="G2535" s="28"/>
      <c r="H2535" s="28"/>
      <c r="I2535" s="28"/>
      <c r="J2535" s="8"/>
      <c r="K2535" s="8"/>
      <c r="L2535" s="8"/>
      <c r="M2535" s="8"/>
      <c r="N2535" s="8"/>
      <c r="O2535" s="8"/>
      <c r="P2535" s="8"/>
      <c r="Q2535" s="8"/>
      <c r="R2535" s="8"/>
      <c r="S2535" s="8"/>
      <c r="T2535" s="8"/>
      <c r="U2535" s="8"/>
      <c r="V2535" s="8"/>
      <c r="W2535" s="8"/>
      <c r="X2535" s="8"/>
      <c r="Y2535" s="8"/>
      <c r="Z2535" s="8"/>
      <c r="AA2535" s="8"/>
      <c r="AB2535" s="8"/>
      <c r="AC2535" s="8"/>
      <c r="AD2535" s="8"/>
      <c r="AE2535" s="8"/>
    </row>
    <row r="2536">
      <c r="A2536" s="11"/>
      <c r="B2536" s="28"/>
      <c r="C2536" s="28"/>
      <c r="D2536" s="28"/>
      <c r="E2536" s="28"/>
      <c r="F2536" s="28"/>
      <c r="G2536" s="28"/>
      <c r="H2536" s="28"/>
      <c r="I2536" s="28"/>
      <c r="J2536" s="8"/>
      <c r="K2536" s="8"/>
      <c r="L2536" s="8"/>
      <c r="M2536" s="8"/>
      <c r="N2536" s="8"/>
      <c r="O2536" s="8"/>
      <c r="P2536" s="8"/>
      <c r="Q2536" s="8"/>
      <c r="R2536" s="8"/>
      <c r="S2536" s="8"/>
      <c r="T2536" s="8"/>
      <c r="U2536" s="8"/>
      <c r="V2536" s="8"/>
      <c r="W2536" s="8"/>
      <c r="X2536" s="8"/>
      <c r="Y2536" s="8"/>
      <c r="Z2536" s="8"/>
      <c r="AA2536" s="8"/>
      <c r="AB2536" s="8"/>
      <c r="AC2536" s="8"/>
      <c r="AD2536" s="8"/>
      <c r="AE2536" s="8"/>
    </row>
    <row r="2537">
      <c r="A2537" s="11"/>
      <c r="B2537" s="28"/>
      <c r="C2537" s="28"/>
      <c r="D2537" s="28"/>
      <c r="E2537" s="28"/>
      <c r="F2537" s="28"/>
      <c r="G2537" s="28"/>
      <c r="H2537" s="28"/>
      <c r="I2537" s="28"/>
      <c r="J2537" s="8"/>
      <c r="K2537" s="8"/>
      <c r="L2537" s="8"/>
      <c r="M2537" s="8"/>
      <c r="N2537" s="8"/>
      <c r="O2537" s="8"/>
      <c r="P2537" s="8"/>
      <c r="Q2537" s="8"/>
      <c r="R2537" s="8"/>
      <c r="S2537" s="8"/>
      <c r="T2537" s="8"/>
      <c r="U2537" s="8"/>
      <c r="V2537" s="8"/>
      <c r="W2537" s="8"/>
      <c r="X2537" s="8"/>
      <c r="Y2537" s="8"/>
      <c r="Z2537" s="8"/>
      <c r="AA2537" s="8"/>
      <c r="AB2537" s="8"/>
      <c r="AC2537" s="8"/>
      <c r="AD2537" s="8"/>
      <c r="AE2537" s="8"/>
    </row>
    <row r="2538">
      <c r="A2538" s="11"/>
      <c r="B2538" s="28"/>
      <c r="C2538" s="28"/>
      <c r="D2538" s="28"/>
      <c r="E2538" s="28"/>
      <c r="F2538" s="28"/>
      <c r="G2538" s="28"/>
      <c r="H2538" s="28"/>
      <c r="I2538" s="28"/>
      <c r="J2538" s="8"/>
      <c r="K2538" s="8"/>
      <c r="L2538" s="8"/>
      <c r="M2538" s="8"/>
      <c r="N2538" s="8"/>
      <c r="O2538" s="8"/>
      <c r="P2538" s="8"/>
      <c r="Q2538" s="8"/>
      <c r="R2538" s="8"/>
      <c r="S2538" s="8"/>
      <c r="T2538" s="8"/>
      <c r="U2538" s="8"/>
      <c r="V2538" s="8"/>
      <c r="W2538" s="8"/>
      <c r="X2538" s="8"/>
      <c r="Y2538" s="8"/>
      <c r="Z2538" s="8"/>
      <c r="AA2538" s="8"/>
      <c r="AB2538" s="8"/>
      <c r="AC2538" s="8"/>
      <c r="AD2538" s="8"/>
      <c r="AE2538" s="8"/>
    </row>
    <row r="2539">
      <c r="A2539" s="11"/>
      <c r="B2539" s="28"/>
      <c r="C2539" s="28"/>
      <c r="D2539" s="28"/>
      <c r="E2539" s="28"/>
      <c r="F2539" s="28"/>
      <c r="G2539" s="28"/>
      <c r="H2539" s="28"/>
      <c r="I2539" s="28"/>
      <c r="J2539" s="8"/>
      <c r="K2539" s="8"/>
      <c r="L2539" s="8"/>
      <c r="M2539" s="8"/>
      <c r="N2539" s="8"/>
      <c r="O2539" s="8"/>
      <c r="P2539" s="8"/>
      <c r="Q2539" s="8"/>
      <c r="R2539" s="8"/>
      <c r="S2539" s="8"/>
      <c r="T2539" s="8"/>
      <c r="U2539" s="8"/>
      <c r="V2539" s="8"/>
      <c r="W2539" s="8"/>
      <c r="X2539" s="8"/>
      <c r="Y2539" s="8"/>
      <c r="Z2539" s="8"/>
      <c r="AA2539" s="8"/>
      <c r="AB2539" s="8"/>
      <c r="AC2539" s="8"/>
      <c r="AD2539" s="8"/>
      <c r="AE2539" s="8"/>
    </row>
    <row r="2540">
      <c r="A2540" s="11"/>
      <c r="B2540" s="28"/>
      <c r="C2540" s="28"/>
      <c r="D2540" s="28"/>
      <c r="E2540" s="28"/>
      <c r="F2540" s="28"/>
      <c r="G2540" s="28"/>
      <c r="H2540" s="28"/>
      <c r="I2540" s="28"/>
      <c r="J2540" s="8"/>
      <c r="K2540" s="8"/>
      <c r="L2540" s="8"/>
      <c r="M2540" s="8"/>
      <c r="N2540" s="8"/>
      <c r="O2540" s="8"/>
      <c r="P2540" s="8"/>
      <c r="Q2540" s="8"/>
      <c r="R2540" s="8"/>
      <c r="S2540" s="8"/>
      <c r="T2540" s="8"/>
      <c r="U2540" s="8"/>
      <c r="V2540" s="8"/>
      <c r="W2540" s="8"/>
      <c r="X2540" s="8"/>
      <c r="Y2540" s="8"/>
      <c r="Z2540" s="8"/>
      <c r="AA2540" s="8"/>
      <c r="AB2540" s="8"/>
      <c r="AC2540" s="8"/>
      <c r="AD2540" s="8"/>
      <c r="AE2540" s="8"/>
    </row>
    <row r="2541">
      <c r="A2541" s="11"/>
      <c r="B2541" s="28"/>
      <c r="C2541" s="28"/>
      <c r="D2541" s="28"/>
      <c r="E2541" s="28"/>
      <c r="F2541" s="28"/>
      <c r="G2541" s="28"/>
      <c r="H2541" s="28"/>
      <c r="I2541" s="28"/>
      <c r="J2541" s="8"/>
      <c r="K2541" s="8"/>
      <c r="L2541" s="8"/>
      <c r="M2541" s="8"/>
      <c r="N2541" s="8"/>
      <c r="O2541" s="8"/>
      <c r="P2541" s="8"/>
      <c r="Q2541" s="8"/>
      <c r="R2541" s="8"/>
      <c r="S2541" s="8"/>
      <c r="T2541" s="8"/>
      <c r="U2541" s="8"/>
      <c r="V2541" s="8"/>
      <c r="W2541" s="8"/>
      <c r="X2541" s="8"/>
      <c r="Y2541" s="8"/>
      <c r="Z2541" s="8"/>
      <c r="AA2541" s="8"/>
      <c r="AB2541" s="8"/>
      <c r="AC2541" s="8"/>
      <c r="AD2541" s="8"/>
      <c r="AE2541" s="8"/>
    </row>
    <row r="2542">
      <c r="A2542" s="11"/>
      <c r="B2542" s="28"/>
      <c r="C2542" s="28"/>
      <c r="D2542" s="28"/>
      <c r="E2542" s="28"/>
      <c r="F2542" s="28"/>
      <c r="G2542" s="28"/>
      <c r="H2542" s="28"/>
      <c r="I2542" s="28"/>
      <c r="J2542" s="8"/>
      <c r="K2542" s="8"/>
      <c r="L2542" s="8"/>
      <c r="M2542" s="8"/>
      <c r="N2542" s="8"/>
      <c r="O2542" s="8"/>
      <c r="P2542" s="8"/>
      <c r="Q2542" s="8"/>
      <c r="R2542" s="8"/>
      <c r="S2542" s="8"/>
      <c r="T2542" s="8"/>
      <c r="U2542" s="8"/>
      <c r="V2542" s="8"/>
      <c r="W2542" s="8"/>
      <c r="X2542" s="8"/>
      <c r="Y2542" s="8"/>
      <c r="Z2542" s="8"/>
      <c r="AA2542" s="8"/>
      <c r="AB2542" s="8"/>
      <c r="AC2542" s="8"/>
      <c r="AD2542" s="8"/>
      <c r="AE2542" s="8"/>
    </row>
    <row r="2543">
      <c r="A2543" s="11"/>
      <c r="B2543" s="28"/>
      <c r="C2543" s="28"/>
      <c r="D2543" s="28"/>
      <c r="E2543" s="28"/>
      <c r="F2543" s="28"/>
      <c r="G2543" s="28"/>
      <c r="H2543" s="28"/>
      <c r="I2543" s="28"/>
      <c r="J2543" s="8"/>
      <c r="K2543" s="8"/>
      <c r="L2543" s="8"/>
      <c r="M2543" s="8"/>
      <c r="N2543" s="8"/>
      <c r="O2543" s="8"/>
      <c r="P2543" s="8"/>
      <c r="Q2543" s="8"/>
      <c r="R2543" s="8"/>
      <c r="S2543" s="8"/>
      <c r="T2543" s="8"/>
      <c r="U2543" s="8"/>
      <c r="V2543" s="8"/>
      <c r="W2543" s="8"/>
      <c r="X2543" s="8"/>
      <c r="Y2543" s="8"/>
      <c r="Z2543" s="8"/>
      <c r="AA2543" s="8"/>
      <c r="AB2543" s="8"/>
      <c r="AC2543" s="8"/>
      <c r="AD2543" s="8"/>
      <c r="AE2543" s="8"/>
    </row>
    <row r="2544">
      <c r="A2544" s="11"/>
      <c r="B2544" s="28"/>
      <c r="C2544" s="28"/>
      <c r="D2544" s="28"/>
      <c r="E2544" s="28"/>
      <c r="F2544" s="28"/>
      <c r="G2544" s="28"/>
      <c r="H2544" s="28"/>
      <c r="I2544" s="28"/>
      <c r="J2544" s="8"/>
      <c r="K2544" s="8"/>
      <c r="L2544" s="8"/>
      <c r="M2544" s="8"/>
      <c r="N2544" s="8"/>
      <c r="O2544" s="8"/>
      <c r="P2544" s="8"/>
      <c r="Q2544" s="8"/>
      <c r="R2544" s="8"/>
      <c r="S2544" s="8"/>
      <c r="T2544" s="8"/>
      <c r="U2544" s="8"/>
      <c r="V2544" s="8"/>
      <c r="W2544" s="8"/>
      <c r="X2544" s="8"/>
      <c r="Y2544" s="8"/>
      <c r="Z2544" s="8"/>
      <c r="AA2544" s="8"/>
      <c r="AB2544" s="8"/>
      <c r="AC2544" s="8"/>
      <c r="AD2544" s="8"/>
      <c r="AE2544" s="8"/>
    </row>
    <row r="2545">
      <c r="A2545" s="11"/>
      <c r="B2545" s="28"/>
      <c r="C2545" s="28"/>
      <c r="D2545" s="28"/>
      <c r="E2545" s="28"/>
      <c r="F2545" s="28"/>
      <c r="G2545" s="28"/>
      <c r="H2545" s="28"/>
      <c r="I2545" s="28"/>
      <c r="J2545" s="8"/>
      <c r="K2545" s="8"/>
      <c r="L2545" s="8"/>
      <c r="M2545" s="8"/>
      <c r="N2545" s="8"/>
      <c r="O2545" s="8"/>
      <c r="P2545" s="8"/>
      <c r="Q2545" s="8"/>
      <c r="R2545" s="8"/>
      <c r="S2545" s="8"/>
      <c r="T2545" s="8"/>
      <c r="U2545" s="8"/>
      <c r="V2545" s="8"/>
      <c r="W2545" s="8"/>
      <c r="X2545" s="8"/>
      <c r="Y2545" s="8"/>
      <c r="Z2545" s="8"/>
      <c r="AA2545" s="8"/>
      <c r="AB2545" s="8"/>
      <c r="AC2545" s="8"/>
      <c r="AD2545" s="8"/>
      <c r="AE2545" s="8"/>
    </row>
    <row r="2546">
      <c r="A2546" s="11"/>
      <c r="B2546" s="28"/>
      <c r="C2546" s="28"/>
      <c r="D2546" s="28"/>
      <c r="E2546" s="28"/>
      <c r="F2546" s="28"/>
      <c r="G2546" s="28"/>
      <c r="H2546" s="28"/>
      <c r="I2546" s="28"/>
      <c r="J2546" s="8"/>
      <c r="K2546" s="8"/>
      <c r="L2546" s="8"/>
      <c r="M2546" s="8"/>
      <c r="N2546" s="8"/>
      <c r="O2546" s="8"/>
      <c r="P2546" s="8"/>
      <c r="Q2546" s="8"/>
      <c r="R2546" s="8"/>
      <c r="S2546" s="8"/>
      <c r="T2546" s="8"/>
      <c r="U2546" s="8"/>
      <c r="V2546" s="8"/>
      <c r="W2546" s="8"/>
      <c r="X2546" s="8"/>
      <c r="Y2546" s="8"/>
      <c r="Z2546" s="8"/>
      <c r="AA2546" s="8"/>
      <c r="AB2546" s="8"/>
      <c r="AC2546" s="8"/>
      <c r="AD2546" s="8"/>
      <c r="AE2546" s="8"/>
    </row>
    <row r="2547">
      <c r="A2547" s="11"/>
      <c r="B2547" s="28"/>
      <c r="C2547" s="28"/>
      <c r="D2547" s="28"/>
      <c r="E2547" s="28"/>
      <c r="F2547" s="28"/>
      <c r="G2547" s="28"/>
      <c r="H2547" s="28"/>
      <c r="I2547" s="28"/>
      <c r="J2547" s="8"/>
      <c r="K2547" s="8"/>
      <c r="L2547" s="8"/>
      <c r="M2547" s="8"/>
      <c r="N2547" s="8"/>
      <c r="O2547" s="8"/>
      <c r="P2547" s="8"/>
      <c r="Q2547" s="8"/>
      <c r="R2547" s="8"/>
      <c r="S2547" s="8"/>
      <c r="T2547" s="8"/>
      <c r="U2547" s="8"/>
      <c r="V2547" s="8"/>
      <c r="W2547" s="8"/>
      <c r="X2547" s="8"/>
      <c r="Y2547" s="8"/>
      <c r="Z2547" s="8"/>
      <c r="AA2547" s="8"/>
      <c r="AB2547" s="8"/>
      <c r="AC2547" s="8"/>
      <c r="AD2547" s="8"/>
      <c r="AE2547" s="8"/>
    </row>
    <row r="2548">
      <c r="A2548" s="11"/>
      <c r="B2548" s="28"/>
      <c r="C2548" s="28"/>
      <c r="D2548" s="28"/>
      <c r="E2548" s="28"/>
      <c r="F2548" s="28"/>
      <c r="G2548" s="28"/>
      <c r="H2548" s="28"/>
      <c r="I2548" s="28"/>
      <c r="J2548" s="8"/>
      <c r="K2548" s="8"/>
      <c r="L2548" s="8"/>
      <c r="M2548" s="8"/>
      <c r="N2548" s="8"/>
      <c r="O2548" s="8"/>
      <c r="P2548" s="8"/>
      <c r="Q2548" s="8"/>
      <c r="R2548" s="8"/>
      <c r="S2548" s="8"/>
      <c r="T2548" s="8"/>
      <c r="U2548" s="8"/>
      <c r="V2548" s="8"/>
      <c r="W2548" s="8"/>
      <c r="X2548" s="8"/>
      <c r="Y2548" s="8"/>
      <c r="Z2548" s="8"/>
      <c r="AA2548" s="8"/>
      <c r="AB2548" s="8"/>
      <c r="AC2548" s="8"/>
      <c r="AD2548" s="8"/>
      <c r="AE2548" s="8"/>
    </row>
    <row r="2549">
      <c r="A2549" s="11"/>
      <c r="B2549" s="28"/>
      <c r="C2549" s="28"/>
      <c r="D2549" s="28"/>
      <c r="E2549" s="28"/>
      <c r="F2549" s="28"/>
      <c r="G2549" s="28"/>
      <c r="H2549" s="28"/>
      <c r="I2549" s="28"/>
      <c r="J2549" s="8"/>
      <c r="K2549" s="8"/>
      <c r="L2549" s="8"/>
      <c r="M2549" s="8"/>
      <c r="N2549" s="8"/>
      <c r="O2549" s="8"/>
      <c r="P2549" s="8"/>
      <c r="Q2549" s="8"/>
      <c r="R2549" s="8"/>
      <c r="S2549" s="8"/>
      <c r="T2549" s="8"/>
      <c r="U2549" s="8"/>
      <c r="V2549" s="8"/>
      <c r="W2549" s="8"/>
      <c r="X2549" s="8"/>
      <c r="Y2549" s="8"/>
      <c r="Z2549" s="8"/>
      <c r="AA2549" s="8"/>
      <c r="AB2549" s="8"/>
      <c r="AC2549" s="8"/>
      <c r="AD2549" s="8"/>
      <c r="AE2549" s="8"/>
    </row>
    <row r="2550">
      <c r="A2550" s="11"/>
      <c r="B2550" s="28"/>
      <c r="C2550" s="28"/>
      <c r="D2550" s="28"/>
      <c r="E2550" s="28"/>
      <c r="F2550" s="28"/>
      <c r="G2550" s="28"/>
      <c r="H2550" s="28"/>
      <c r="I2550" s="28"/>
      <c r="J2550" s="8"/>
      <c r="K2550" s="8"/>
      <c r="L2550" s="8"/>
      <c r="M2550" s="8"/>
      <c r="N2550" s="8"/>
      <c r="O2550" s="8"/>
      <c r="P2550" s="8"/>
      <c r="Q2550" s="8"/>
      <c r="R2550" s="8"/>
      <c r="S2550" s="8"/>
      <c r="T2550" s="8"/>
      <c r="U2550" s="8"/>
      <c r="V2550" s="8"/>
      <c r="W2550" s="8"/>
      <c r="X2550" s="8"/>
      <c r="Y2550" s="8"/>
      <c r="Z2550" s="8"/>
      <c r="AA2550" s="8"/>
      <c r="AB2550" s="8"/>
      <c r="AC2550" s="8"/>
      <c r="AD2550" s="8"/>
      <c r="AE2550" s="8"/>
    </row>
    <row r="2551">
      <c r="A2551" s="11"/>
      <c r="B2551" s="28"/>
      <c r="C2551" s="28"/>
      <c r="D2551" s="28"/>
      <c r="E2551" s="28"/>
      <c r="F2551" s="28"/>
      <c r="G2551" s="28"/>
      <c r="H2551" s="28"/>
      <c r="I2551" s="28"/>
      <c r="J2551" s="8"/>
      <c r="K2551" s="8"/>
      <c r="L2551" s="8"/>
      <c r="M2551" s="8"/>
      <c r="N2551" s="8"/>
      <c r="O2551" s="8"/>
      <c r="P2551" s="8"/>
      <c r="Q2551" s="8"/>
      <c r="R2551" s="8"/>
      <c r="S2551" s="8"/>
      <c r="T2551" s="8"/>
      <c r="U2551" s="8"/>
      <c r="V2551" s="8"/>
      <c r="W2551" s="8"/>
      <c r="X2551" s="8"/>
      <c r="Y2551" s="8"/>
      <c r="Z2551" s="8"/>
      <c r="AA2551" s="8"/>
      <c r="AB2551" s="8"/>
      <c r="AC2551" s="8"/>
      <c r="AD2551" s="8"/>
      <c r="AE2551" s="8"/>
    </row>
    <row r="2552">
      <c r="A2552" s="11"/>
      <c r="B2552" s="28"/>
      <c r="C2552" s="28"/>
      <c r="D2552" s="28"/>
      <c r="E2552" s="28"/>
      <c r="F2552" s="28"/>
      <c r="G2552" s="28"/>
      <c r="H2552" s="28"/>
      <c r="I2552" s="28"/>
      <c r="J2552" s="8"/>
      <c r="K2552" s="8"/>
      <c r="L2552" s="8"/>
      <c r="M2552" s="8"/>
      <c r="N2552" s="8"/>
      <c r="O2552" s="8"/>
      <c r="P2552" s="8"/>
      <c r="Q2552" s="8"/>
      <c r="R2552" s="8"/>
      <c r="S2552" s="8"/>
      <c r="T2552" s="8"/>
      <c r="U2552" s="8"/>
      <c r="V2552" s="8"/>
      <c r="W2552" s="8"/>
      <c r="X2552" s="8"/>
      <c r="Y2552" s="8"/>
      <c r="Z2552" s="8"/>
      <c r="AA2552" s="8"/>
      <c r="AB2552" s="8"/>
      <c r="AC2552" s="8"/>
      <c r="AD2552" s="8"/>
      <c r="AE2552" s="8"/>
    </row>
    <row r="2553">
      <c r="A2553" s="11"/>
      <c r="B2553" s="28"/>
      <c r="C2553" s="28"/>
      <c r="D2553" s="28"/>
      <c r="E2553" s="28"/>
      <c r="F2553" s="28"/>
      <c r="G2553" s="28"/>
      <c r="H2553" s="28"/>
      <c r="I2553" s="28"/>
      <c r="J2553" s="8"/>
      <c r="K2553" s="8"/>
      <c r="L2553" s="8"/>
      <c r="M2553" s="8"/>
      <c r="N2553" s="8"/>
      <c r="O2553" s="8"/>
      <c r="P2553" s="8"/>
      <c r="Q2553" s="8"/>
      <c r="R2553" s="8"/>
      <c r="S2553" s="8"/>
      <c r="T2553" s="8"/>
      <c r="U2553" s="8"/>
      <c r="V2553" s="8"/>
      <c r="W2553" s="8"/>
      <c r="X2553" s="8"/>
      <c r="Y2553" s="8"/>
      <c r="Z2553" s="8"/>
      <c r="AA2553" s="8"/>
      <c r="AB2553" s="8"/>
      <c r="AC2553" s="8"/>
      <c r="AD2553" s="8"/>
      <c r="AE2553" s="8"/>
    </row>
    <row r="2554">
      <c r="A2554" s="11"/>
      <c r="B2554" s="28"/>
      <c r="C2554" s="28"/>
      <c r="D2554" s="28"/>
      <c r="E2554" s="28"/>
      <c r="F2554" s="28"/>
      <c r="G2554" s="28"/>
      <c r="H2554" s="28"/>
      <c r="I2554" s="28"/>
      <c r="J2554" s="8"/>
      <c r="K2554" s="8"/>
      <c r="L2554" s="8"/>
      <c r="M2554" s="8"/>
      <c r="N2554" s="8"/>
      <c r="O2554" s="8"/>
      <c r="P2554" s="8"/>
      <c r="Q2554" s="8"/>
      <c r="R2554" s="8"/>
      <c r="S2554" s="8"/>
      <c r="T2554" s="8"/>
      <c r="U2554" s="8"/>
      <c r="V2554" s="8"/>
      <c r="W2554" s="8"/>
      <c r="X2554" s="8"/>
      <c r="Y2554" s="8"/>
      <c r="Z2554" s="8"/>
      <c r="AA2554" s="8"/>
      <c r="AB2554" s="8"/>
      <c r="AC2554" s="8"/>
      <c r="AD2554" s="8"/>
      <c r="AE2554" s="8"/>
    </row>
    <row r="2555">
      <c r="A2555" s="11"/>
      <c r="B2555" s="28"/>
      <c r="C2555" s="28"/>
      <c r="D2555" s="28"/>
      <c r="E2555" s="28"/>
      <c r="F2555" s="28"/>
      <c r="G2555" s="28"/>
      <c r="H2555" s="28"/>
      <c r="I2555" s="28"/>
      <c r="J2555" s="8"/>
      <c r="K2555" s="8"/>
      <c r="L2555" s="8"/>
      <c r="M2555" s="8"/>
      <c r="N2555" s="8"/>
      <c r="O2555" s="8"/>
      <c r="P2555" s="8"/>
      <c r="Q2555" s="8"/>
      <c r="R2555" s="8"/>
      <c r="S2555" s="8"/>
      <c r="T2555" s="8"/>
      <c r="U2555" s="8"/>
      <c r="V2555" s="8"/>
      <c r="W2555" s="8"/>
      <c r="X2555" s="8"/>
      <c r="Y2555" s="8"/>
      <c r="Z2555" s="8"/>
      <c r="AA2555" s="8"/>
      <c r="AB2555" s="8"/>
      <c r="AC2555" s="8"/>
      <c r="AD2555" s="8"/>
      <c r="AE2555" s="8"/>
    </row>
    <row r="2556">
      <c r="A2556" s="11"/>
      <c r="B2556" s="28"/>
      <c r="C2556" s="28"/>
      <c r="D2556" s="28"/>
      <c r="E2556" s="28"/>
      <c r="F2556" s="28"/>
      <c r="G2556" s="28"/>
      <c r="H2556" s="28"/>
      <c r="I2556" s="28"/>
      <c r="J2556" s="8"/>
      <c r="K2556" s="8"/>
      <c r="L2556" s="8"/>
      <c r="M2556" s="8"/>
      <c r="N2556" s="8"/>
      <c r="O2556" s="8"/>
      <c r="P2556" s="8"/>
      <c r="Q2556" s="8"/>
      <c r="R2556" s="8"/>
      <c r="S2556" s="8"/>
      <c r="T2556" s="8"/>
      <c r="U2556" s="8"/>
      <c r="V2556" s="8"/>
      <c r="W2556" s="8"/>
      <c r="X2556" s="8"/>
      <c r="Y2556" s="8"/>
      <c r="Z2556" s="8"/>
      <c r="AA2556" s="8"/>
      <c r="AB2556" s="8"/>
      <c r="AC2556" s="8"/>
      <c r="AD2556" s="8"/>
      <c r="AE2556" s="8"/>
    </row>
    <row r="2557">
      <c r="A2557" s="11"/>
      <c r="B2557" s="28"/>
      <c r="C2557" s="28"/>
      <c r="D2557" s="28"/>
      <c r="E2557" s="28"/>
      <c r="F2557" s="28"/>
      <c r="G2557" s="28"/>
      <c r="H2557" s="28"/>
      <c r="I2557" s="28"/>
      <c r="J2557" s="8"/>
      <c r="K2557" s="8"/>
      <c r="L2557" s="8"/>
      <c r="M2557" s="8"/>
      <c r="N2557" s="8"/>
      <c r="O2557" s="8"/>
      <c r="P2557" s="8"/>
      <c r="Q2557" s="8"/>
      <c r="R2557" s="8"/>
      <c r="S2557" s="8"/>
      <c r="T2557" s="8"/>
      <c r="U2557" s="8"/>
      <c r="V2557" s="8"/>
      <c r="W2557" s="8"/>
      <c r="X2557" s="8"/>
      <c r="Y2557" s="8"/>
      <c r="Z2557" s="8"/>
      <c r="AA2557" s="8"/>
      <c r="AB2557" s="8"/>
      <c r="AC2557" s="8"/>
      <c r="AD2557" s="8"/>
      <c r="AE2557" s="8"/>
    </row>
    <row r="2558">
      <c r="A2558" s="11"/>
      <c r="B2558" s="28"/>
      <c r="C2558" s="28"/>
      <c r="D2558" s="28"/>
      <c r="E2558" s="28"/>
      <c r="F2558" s="28"/>
      <c r="G2558" s="28"/>
      <c r="H2558" s="28"/>
      <c r="I2558" s="28"/>
      <c r="J2558" s="8"/>
      <c r="K2558" s="8"/>
      <c r="L2558" s="8"/>
      <c r="M2558" s="8"/>
      <c r="N2558" s="8"/>
      <c r="O2558" s="8"/>
      <c r="P2558" s="8"/>
      <c r="Q2558" s="8"/>
      <c r="R2558" s="8"/>
      <c r="S2558" s="8"/>
      <c r="T2558" s="8"/>
      <c r="U2558" s="8"/>
      <c r="V2558" s="8"/>
      <c r="W2558" s="8"/>
      <c r="X2558" s="8"/>
      <c r="Y2558" s="8"/>
      <c r="Z2558" s="8"/>
      <c r="AA2558" s="8"/>
      <c r="AB2558" s="8"/>
      <c r="AC2558" s="8"/>
      <c r="AD2558" s="8"/>
      <c r="AE2558" s="8"/>
    </row>
    <row r="2559">
      <c r="A2559" s="11"/>
      <c r="B2559" s="28"/>
      <c r="C2559" s="28"/>
      <c r="D2559" s="28"/>
      <c r="E2559" s="28"/>
      <c r="F2559" s="28"/>
      <c r="G2559" s="28"/>
      <c r="H2559" s="28"/>
      <c r="I2559" s="28"/>
      <c r="J2559" s="8"/>
      <c r="K2559" s="8"/>
      <c r="L2559" s="8"/>
      <c r="M2559" s="8"/>
      <c r="N2559" s="8"/>
      <c r="O2559" s="8"/>
      <c r="P2559" s="8"/>
      <c r="Q2559" s="8"/>
      <c r="R2559" s="8"/>
      <c r="S2559" s="8"/>
      <c r="T2559" s="8"/>
      <c r="U2559" s="8"/>
      <c r="V2559" s="8"/>
      <c r="W2559" s="8"/>
      <c r="X2559" s="8"/>
      <c r="Y2559" s="8"/>
      <c r="Z2559" s="8"/>
      <c r="AA2559" s="8"/>
      <c r="AB2559" s="8"/>
      <c r="AC2559" s="8"/>
      <c r="AD2559" s="8"/>
      <c r="AE2559" s="8"/>
    </row>
    <row r="2560">
      <c r="A2560" s="11"/>
      <c r="B2560" s="28"/>
      <c r="C2560" s="28"/>
      <c r="D2560" s="28"/>
      <c r="E2560" s="28"/>
      <c r="F2560" s="28"/>
      <c r="G2560" s="28"/>
      <c r="H2560" s="28"/>
      <c r="I2560" s="28"/>
      <c r="J2560" s="8"/>
      <c r="K2560" s="8"/>
      <c r="L2560" s="8"/>
      <c r="M2560" s="8"/>
      <c r="N2560" s="8"/>
      <c r="O2560" s="8"/>
      <c r="P2560" s="8"/>
      <c r="Q2560" s="8"/>
      <c r="R2560" s="8"/>
      <c r="S2560" s="8"/>
      <c r="T2560" s="8"/>
      <c r="U2560" s="8"/>
      <c r="V2560" s="8"/>
      <c r="W2560" s="8"/>
      <c r="X2560" s="8"/>
      <c r="Y2560" s="8"/>
      <c r="Z2560" s="8"/>
      <c r="AA2560" s="8"/>
      <c r="AB2560" s="8"/>
      <c r="AC2560" s="8"/>
      <c r="AD2560" s="8"/>
      <c r="AE2560" s="8"/>
    </row>
    <row r="2561">
      <c r="A2561" s="11"/>
      <c r="B2561" s="28"/>
      <c r="C2561" s="28"/>
      <c r="D2561" s="28"/>
      <c r="E2561" s="28"/>
      <c r="F2561" s="28"/>
      <c r="G2561" s="28"/>
      <c r="H2561" s="28"/>
      <c r="I2561" s="28"/>
      <c r="J2561" s="8"/>
      <c r="K2561" s="8"/>
      <c r="L2561" s="8"/>
      <c r="M2561" s="8"/>
      <c r="N2561" s="8"/>
      <c r="O2561" s="8"/>
      <c r="P2561" s="8"/>
      <c r="Q2561" s="8"/>
      <c r="R2561" s="8"/>
      <c r="S2561" s="8"/>
      <c r="T2561" s="8"/>
      <c r="U2561" s="8"/>
      <c r="V2561" s="8"/>
      <c r="W2561" s="8"/>
      <c r="X2561" s="8"/>
      <c r="Y2561" s="8"/>
      <c r="Z2561" s="8"/>
      <c r="AA2561" s="8"/>
      <c r="AB2561" s="8"/>
      <c r="AC2561" s="8"/>
      <c r="AD2561" s="8"/>
      <c r="AE2561" s="8"/>
    </row>
    <row r="2562">
      <c r="A2562" s="11"/>
      <c r="B2562" s="28"/>
      <c r="C2562" s="28"/>
      <c r="D2562" s="28"/>
      <c r="E2562" s="28"/>
      <c r="F2562" s="28"/>
      <c r="G2562" s="28"/>
      <c r="H2562" s="28"/>
      <c r="I2562" s="28"/>
      <c r="J2562" s="8"/>
      <c r="K2562" s="8"/>
      <c r="L2562" s="8"/>
      <c r="M2562" s="8"/>
      <c r="N2562" s="8"/>
      <c r="O2562" s="8"/>
      <c r="P2562" s="8"/>
      <c r="Q2562" s="8"/>
      <c r="R2562" s="8"/>
      <c r="S2562" s="8"/>
      <c r="T2562" s="8"/>
      <c r="U2562" s="8"/>
      <c r="V2562" s="8"/>
      <c r="W2562" s="8"/>
      <c r="X2562" s="8"/>
      <c r="Y2562" s="8"/>
      <c r="Z2562" s="8"/>
      <c r="AA2562" s="8"/>
      <c r="AB2562" s="8"/>
      <c r="AC2562" s="8"/>
      <c r="AD2562" s="8"/>
      <c r="AE2562" s="8"/>
    </row>
    <row r="2563">
      <c r="A2563" s="11"/>
      <c r="B2563" s="28"/>
      <c r="C2563" s="28"/>
      <c r="D2563" s="28"/>
      <c r="E2563" s="28"/>
      <c r="F2563" s="28"/>
      <c r="G2563" s="28"/>
      <c r="H2563" s="28"/>
      <c r="I2563" s="28"/>
      <c r="J2563" s="8"/>
      <c r="K2563" s="8"/>
      <c r="L2563" s="8"/>
      <c r="M2563" s="8"/>
      <c r="N2563" s="8"/>
      <c r="O2563" s="8"/>
      <c r="P2563" s="8"/>
      <c r="Q2563" s="8"/>
      <c r="R2563" s="8"/>
      <c r="S2563" s="8"/>
      <c r="T2563" s="8"/>
      <c r="U2563" s="8"/>
      <c r="V2563" s="8"/>
      <c r="W2563" s="8"/>
      <c r="X2563" s="8"/>
      <c r="Y2563" s="8"/>
      <c r="Z2563" s="8"/>
      <c r="AA2563" s="8"/>
      <c r="AB2563" s="8"/>
      <c r="AC2563" s="8"/>
      <c r="AD2563" s="8"/>
      <c r="AE2563" s="8"/>
    </row>
    <row r="2564">
      <c r="A2564" s="11"/>
      <c r="B2564" s="28"/>
      <c r="C2564" s="28"/>
      <c r="D2564" s="28"/>
      <c r="E2564" s="28"/>
      <c r="F2564" s="28"/>
      <c r="G2564" s="28"/>
      <c r="H2564" s="28"/>
      <c r="I2564" s="28"/>
      <c r="J2564" s="8"/>
      <c r="K2564" s="8"/>
      <c r="L2564" s="8"/>
      <c r="M2564" s="8"/>
      <c r="N2564" s="8"/>
      <c r="O2564" s="8"/>
      <c r="P2564" s="8"/>
      <c r="Q2564" s="8"/>
      <c r="R2564" s="8"/>
      <c r="S2564" s="8"/>
      <c r="T2564" s="8"/>
      <c r="U2564" s="8"/>
      <c r="V2564" s="8"/>
      <c r="W2564" s="8"/>
      <c r="X2564" s="8"/>
      <c r="Y2564" s="8"/>
      <c r="Z2564" s="8"/>
      <c r="AA2564" s="8"/>
      <c r="AB2564" s="8"/>
      <c r="AC2564" s="8"/>
      <c r="AD2564" s="8"/>
      <c r="AE2564" s="8"/>
    </row>
    <row r="2565">
      <c r="A2565" s="11"/>
      <c r="B2565" s="28"/>
      <c r="C2565" s="28"/>
      <c r="D2565" s="28"/>
      <c r="E2565" s="28"/>
      <c r="F2565" s="28"/>
      <c r="G2565" s="28"/>
      <c r="H2565" s="28"/>
      <c r="I2565" s="28"/>
      <c r="J2565" s="8"/>
      <c r="K2565" s="8"/>
      <c r="L2565" s="8"/>
      <c r="M2565" s="8"/>
      <c r="N2565" s="8"/>
      <c r="O2565" s="8"/>
      <c r="P2565" s="8"/>
      <c r="Q2565" s="8"/>
      <c r="R2565" s="8"/>
      <c r="S2565" s="8"/>
      <c r="T2565" s="8"/>
      <c r="U2565" s="8"/>
      <c r="V2565" s="8"/>
      <c r="W2565" s="8"/>
      <c r="X2565" s="8"/>
      <c r="Y2565" s="8"/>
      <c r="Z2565" s="8"/>
      <c r="AA2565" s="8"/>
      <c r="AB2565" s="8"/>
      <c r="AC2565" s="8"/>
      <c r="AD2565" s="8"/>
      <c r="AE2565" s="8"/>
    </row>
    <row r="2566">
      <c r="A2566" s="11"/>
      <c r="B2566" s="28"/>
      <c r="C2566" s="28"/>
      <c r="D2566" s="28"/>
      <c r="E2566" s="28"/>
      <c r="F2566" s="28"/>
      <c r="G2566" s="28"/>
      <c r="H2566" s="28"/>
      <c r="I2566" s="28"/>
      <c r="J2566" s="8"/>
      <c r="K2566" s="8"/>
      <c r="L2566" s="8"/>
      <c r="M2566" s="8"/>
      <c r="N2566" s="8"/>
      <c r="O2566" s="8"/>
      <c r="P2566" s="8"/>
      <c r="Q2566" s="8"/>
      <c r="R2566" s="8"/>
      <c r="S2566" s="8"/>
      <c r="T2566" s="8"/>
      <c r="U2566" s="8"/>
      <c r="V2566" s="8"/>
      <c r="W2566" s="8"/>
      <c r="X2566" s="8"/>
      <c r="Y2566" s="8"/>
      <c r="Z2566" s="8"/>
      <c r="AA2566" s="8"/>
      <c r="AB2566" s="8"/>
      <c r="AC2566" s="8"/>
      <c r="AD2566" s="8"/>
      <c r="AE2566" s="8"/>
    </row>
    <row r="2567">
      <c r="A2567" s="11"/>
      <c r="B2567" s="28"/>
      <c r="C2567" s="28"/>
      <c r="D2567" s="28"/>
      <c r="E2567" s="28"/>
      <c r="F2567" s="28"/>
      <c r="G2567" s="28"/>
      <c r="H2567" s="28"/>
      <c r="I2567" s="28"/>
      <c r="J2567" s="8"/>
      <c r="K2567" s="8"/>
      <c r="L2567" s="8"/>
      <c r="M2567" s="8"/>
      <c r="N2567" s="8"/>
      <c r="O2567" s="8"/>
      <c r="P2567" s="8"/>
      <c r="Q2567" s="8"/>
      <c r="R2567" s="8"/>
      <c r="S2567" s="8"/>
      <c r="T2567" s="8"/>
      <c r="U2567" s="8"/>
      <c r="V2567" s="8"/>
      <c r="W2567" s="8"/>
      <c r="X2567" s="8"/>
      <c r="Y2567" s="8"/>
      <c r="Z2567" s="8"/>
      <c r="AA2567" s="8"/>
      <c r="AB2567" s="8"/>
      <c r="AC2567" s="8"/>
      <c r="AD2567" s="8"/>
      <c r="AE2567" s="8"/>
    </row>
    <row r="2568">
      <c r="A2568" s="11"/>
      <c r="B2568" s="28"/>
      <c r="C2568" s="28"/>
      <c r="D2568" s="28"/>
      <c r="E2568" s="28"/>
      <c r="F2568" s="28"/>
      <c r="G2568" s="28"/>
      <c r="H2568" s="28"/>
      <c r="I2568" s="28"/>
      <c r="J2568" s="8"/>
      <c r="K2568" s="8"/>
      <c r="L2568" s="8"/>
      <c r="M2568" s="8"/>
      <c r="N2568" s="8"/>
      <c r="O2568" s="8"/>
      <c r="P2568" s="8"/>
      <c r="Q2568" s="8"/>
      <c r="R2568" s="8"/>
      <c r="S2568" s="8"/>
      <c r="T2568" s="8"/>
      <c r="U2568" s="8"/>
      <c r="V2568" s="8"/>
      <c r="W2568" s="8"/>
      <c r="X2568" s="8"/>
      <c r="Y2568" s="8"/>
      <c r="Z2568" s="8"/>
      <c r="AA2568" s="8"/>
      <c r="AB2568" s="8"/>
      <c r="AC2568" s="8"/>
      <c r="AD2568" s="8"/>
      <c r="AE2568" s="8"/>
    </row>
    <row r="2569">
      <c r="A2569" s="11"/>
      <c r="B2569" s="28"/>
      <c r="C2569" s="28"/>
      <c r="D2569" s="28"/>
      <c r="E2569" s="28"/>
      <c r="F2569" s="28"/>
      <c r="G2569" s="28"/>
      <c r="H2569" s="28"/>
      <c r="I2569" s="28"/>
      <c r="J2569" s="8"/>
      <c r="K2569" s="8"/>
      <c r="L2569" s="8"/>
      <c r="M2569" s="8"/>
      <c r="N2569" s="8"/>
      <c r="O2569" s="8"/>
      <c r="P2569" s="8"/>
      <c r="Q2569" s="8"/>
      <c r="R2569" s="8"/>
      <c r="S2569" s="8"/>
      <c r="T2569" s="8"/>
      <c r="U2569" s="8"/>
      <c r="V2569" s="8"/>
      <c r="W2569" s="8"/>
      <c r="X2569" s="8"/>
      <c r="Y2569" s="8"/>
      <c r="Z2569" s="8"/>
      <c r="AA2569" s="8"/>
      <c r="AB2569" s="8"/>
      <c r="AC2569" s="8"/>
      <c r="AD2569" s="8"/>
      <c r="AE2569" s="8"/>
    </row>
    <row r="2570">
      <c r="A2570" s="11"/>
      <c r="B2570" s="28"/>
      <c r="C2570" s="28"/>
      <c r="D2570" s="28"/>
      <c r="E2570" s="28"/>
      <c r="F2570" s="28"/>
      <c r="G2570" s="28"/>
      <c r="H2570" s="28"/>
      <c r="I2570" s="28"/>
      <c r="J2570" s="8"/>
      <c r="K2570" s="8"/>
      <c r="L2570" s="8"/>
      <c r="M2570" s="8"/>
      <c r="N2570" s="8"/>
      <c r="O2570" s="8"/>
      <c r="P2570" s="8"/>
      <c r="Q2570" s="8"/>
      <c r="R2570" s="8"/>
      <c r="S2570" s="8"/>
      <c r="T2570" s="8"/>
      <c r="U2570" s="8"/>
      <c r="V2570" s="8"/>
      <c r="W2570" s="8"/>
      <c r="X2570" s="8"/>
      <c r="Y2570" s="8"/>
      <c r="Z2570" s="8"/>
      <c r="AA2570" s="8"/>
      <c r="AB2570" s="8"/>
      <c r="AC2570" s="8"/>
      <c r="AD2570" s="8"/>
      <c r="AE2570" s="8"/>
    </row>
    <row r="2571">
      <c r="A2571" s="11"/>
      <c r="B2571" s="28"/>
      <c r="C2571" s="28"/>
      <c r="D2571" s="28"/>
      <c r="E2571" s="28"/>
      <c r="F2571" s="28"/>
      <c r="G2571" s="28"/>
      <c r="H2571" s="28"/>
      <c r="I2571" s="28"/>
      <c r="J2571" s="8"/>
      <c r="K2571" s="8"/>
      <c r="L2571" s="8"/>
      <c r="M2571" s="8"/>
      <c r="N2571" s="8"/>
      <c r="O2571" s="8"/>
      <c r="P2571" s="8"/>
      <c r="Q2571" s="8"/>
      <c r="R2571" s="8"/>
      <c r="S2571" s="8"/>
      <c r="T2571" s="8"/>
      <c r="U2571" s="8"/>
      <c r="V2571" s="8"/>
      <c r="W2571" s="8"/>
      <c r="X2571" s="8"/>
      <c r="Y2571" s="8"/>
      <c r="Z2571" s="8"/>
      <c r="AA2571" s="8"/>
      <c r="AB2571" s="8"/>
      <c r="AC2571" s="8"/>
      <c r="AD2571" s="8"/>
      <c r="AE2571" s="8"/>
    </row>
    <row r="2572">
      <c r="A2572" s="11"/>
      <c r="B2572" s="28"/>
      <c r="C2572" s="28"/>
      <c r="D2572" s="28"/>
      <c r="E2572" s="28"/>
      <c r="F2572" s="28"/>
      <c r="G2572" s="28"/>
      <c r="H2572" s="28"/>
      <c r="I2572" s="28"/>
      <c r="J2572" s="8"/>
      <c r="K2572" s="8"/>
      <c r="L2572" s="8"/>
      <c r="M2572" s="8"/>
      <c r="N2572" s="8"/>
      <c r="O2572" s="8"/>
      <c r="P2572" s="8"/>
      <c r="Q2572" s="8"/>
      <c r="R2572" s="8"/>
      <c r="S2572" s="8"/>
      <c r="T2572" s="8"/>
      <c r="U2572" s="8"/>
      <c r="V2572" s="8"/>
      <c r="W2572" s="8"/>
      <c r="X2572" s="8"/>
      <c r="Y2572" s="8"/>
      <c r="Z2572" s="8"/>
      <c r="AA2572" s="8"/>
      <c r="AB2572" s="8"/>
      <c r="AC2572" s="8"/>
      <c r="AD2572" s="8"/>
      <c r="AE2572" s="8"/>
    </row>
    <row r="2573">
      <c r="A2573" s="11"/>
      <c r="B2573" s="28"/>
      <c r="C2573" s="28"/>
      <c r="D2573" s="28"/>
      <c r="E2573" s="28"/>
      <c r="F2573" s="28"/>
      <c r="G2573" s="28"/>
      <c r="H2573" s="28"/>
      <c r="I2573" s="28"/>
      <c r="J2573" s="8"/>
      <c r="K2573" s="8"/>
      <c r="L2573" s="8"/>
      <c r="M2573" s="8"/>
      <c r="N2573" s="8"/>
      <c r="O2573" s="8"/>
      <c r="P2573" s="8"/>
      <c r="Q2573" s="8"/>
      <c r="R2573" s="8"/>
      <c r="S2573" s="8"/>
      <c r="T2573" s="8"/>
      <c r="U2573" s="8"/>
      <c r="V2573" s="8"/>
      <c r="W2573" s="8"/>
      <c r="X2573" s="8"/>
      <c r="Y2573" s="8"/>
      <c r="Z2573" s="8"/>
      <c r="AA2573" s="8"/>
      <c r="AB2573" s="8"/>
      <c r="AC2573" s="8"/>
      <c r="AD2573" s="8"/>
      <c r="AE2573" s="8"/>
    </row>
    <row r="2574">
      <c r="A2574" s="11"/>
      <c r="B2574" s="28"/>
      <c r="C2574" s="28"/>
      <c r="D2574" s="28"/>
      <c r="E2574" s="28"/>
      <c r="F2574" s="28"/>
      <c r="G2574" s="28"/>
      <c r="H2574" s="28"/>
      <c r="I2574" s="28"/>
      <c r="J2574" s="8"/>
      <c r="K2574" s="8"/>
      <c r="L2574" s="8"/>
      <c r="M2574" s="8"/>
      <c r="N2574" s="8"/>
      <c r="O2574" s="8"/>
      <c r="P2574" s="8"/>
      <c r="Q2574" s="8"/>
      <c r="R2574" s="8"/>
      <c r="S2574" s="8"/>
      <c r="T2574" s="8"/>
      <c r="U2574" s="8"/>
      <c r="V2574" s="8"/>
      <c r="W2574" s="8"/>
      <c r="X2574" s="8"/>
      <c r="Y2574" s="8"/>
      <c r="Z2574" s="8"/>
      <c r="AA2574" s="8"/>
      <c r="AB2574" s="8"/>
      <c r="AC2574" s="8"/>
      <c r="AD2574" s="8"/>
      <c r="AE2574" s="8"/>
    </row>
    <row r="2575">
      <c r="A2575" s="11"/>
      <c r="B2575" s="28"/>
      <c r="C2575" s="28"/>
      <c r="D2575" s="28"/>
      <c r="E2575" s="28"/>
      <c r="F2575" s="28"/>
      <c r="G2575" s="28"/>
      <c r="H2575" s="28"/>
      <c r="I2575" s="28"/>
      <c r="J2575" s="8"/>
      <c r="K2575" s="8"/>
      <c r="L2575" s="8"/>
      <c r="M2575" s="8"/>
      <c r="N2575" s="8"/>
      <c r="O2575" s="8"/>
      <c r="P2575" s="8"/>
      <c r="Q2575" s="8"/>
      <c r="R2575" s="8"/>
      <c r="S2575" s="8"/>
      <c r="T2575" s="8"/>
      <c r="U2575" s="8"/>
      <c r="V2575" s="8"/>
      <c r="W2575" s="8"/>
      <c r="X2575" s="8"/>
      <c r="Y2575" s="8"/>
      <c r="Z2575" s="8"/>
      <c r="AA2575" s="8"/>
      <c r="AB2575" s="8"/>
      <c r="AC2575" s="8"/>
      <c r="AD2575" s="8"/>
      <c r="AE2575" s="8"/>
    </row>
    <row r="2576">
      <c r="A2576" s="11"/>
      <c r="B2576" s="28"/>
      <c r="C2576" s="28"/>
      <c r="D2576" s="28"/>
      <c r="E2576" s="28"/>
      <c r="F2576" s="28"/>
      <c r="G2576" s="28"/>
      <c r="H2576" s="28"/>
      <c r="I2576" s="28"/>
      <c r="J2576" s="8"/>
      <c r="K2576" s="8"/>
      <c r="L2576" s="8"/>
      <c r="M2576" s="8"/>
      <c r="N2576" s="8"/>
      <c r="O2576" s="8"/>
      <c r="P2576" s="8"/>
      <c r="Q2576" s="8"/>
      <c r="R2576" s="8"/>
      <c r="S2576" s="8"/>
      <c r="T2576" s="8"/>
      <c r="U2576" s="8"/>
      <c r="V2576" s="8"/>
      <c r="W2576" s="8"/>
      <c r="X2576" s="8"/>
      <c r="Y2576" s="8"/>
      <c r="Z2576" s="8"/>
      <c r="AA2576" s="8"/>
      <c r="AB2576" s="8"/>
      <c r="AC2576" s="8"/>
      <c r="AD2576" s="8"/>
      <c r="AE2576" s="8"/>
    </row>
    <row r="2577">
      <c r="A2577" s="11"/>
      <c r="B2577" s="28"/>
      <c r="C2577" s="28"/>
      <c r="D2577" s="28"/>
      <c r="E2577" s="28"/>
      <c r="F2577" s="28"/>
      <c r="G2577" s="28"/>
      <c r="H2577" s="28"/>
      <c r="I2577" s="28"/>
      <c r="J2577" s="8"/>
      <c r="K2577" s="8"/>
      <c r="L2577" s="8"/>
      <c r="M2577" s="8"/>
      <c r="N2577" s="8"/>
      <c r="O2577" s="8"/>
      <c r="P2577" s="8"/>
      <c r="Q2577" s="8"/>
      <c r="R2577" s="8"/>
      <c r="S2577" s="8"/>
      <c r="T2577" s="8"/>
      <c r="U2577" s="8"/>
      <c r="V2577" s="8"/>
      <c r="W2577" s="8"/>
      <c r="X2577" s="8"/>
      <c r="Y2577" s="8"/>
      <c r="Z2577" s="8"/>
      <c r="AA2577" s="8"/>
      <c r="AB2577" s="8"/>
      <c r="AC2577" s="8"/>
      <c r="AD2577" s="8"/>
      <c r="AE2577" s="8"/>
    </row>
    <row r="2578">
      <c r="A2578" s="11"/>
      <c r="B2578" s="28"/>
      <c r="C2578" s="28"/>
      <c r="D2578" s="28"/>
      <c r="E2578" s="28"/>
      <c r="F2578" s="28"/>
      <c r="G2578" s="28"/>
      <c r="H2578" s="28"/>
      <c r="I2578" s="28"/>
      <c r="J2578" s="8"/>
      <c r="K2578" s="8"/>
      <c r="L2578" s="8"/>
      <c r="M2578" s="8"/>
      <c r="N2578" s="8"/>
      <c r="O2578" s="8"/>
      <c r="P2578" s="8"/>
      <c r="Q2578" s="8"/>
      <c r="R2578" s="8"/>
      <c r="S2578" s="8"/>
      <c r="T2578" s="8"/>
      <c r="U2578" s="8"/>
      <c r="V2578" s="8"/>
      <c r="W2578" s="8"/>
      <c r="X2578" s="8"/>
      <c r="Y2578" s="8"/>
      <c r="Z2578" s="8"/>
      <c r="AA2578" s="8"/>
      <c r="AB2578" s="8"/>
      <c r="AC2578" s="8"/>
      <c r="AD2578" s="8"/>
      <c r="AE2578" s="8"/>
    </row>
    <row r="2579">
      <c r="A2579" s="11"/>
      <c r="B2579" s="28"/>
      <c r="C2579" s="28"/>
      <c r="D2579" s="28"/>
      <c r="E2579" s="28"/>
      <c r="F2579" s="28"/>
      <c r="G2579" s="28"/>
      <c r="H2579" s="28"/>
      <c r="I2579" s="28"/>
      <c r="J2579" s="8"/>
      <c r="K2579" s="8"/>
      <c r="L2579" s="8"/>
      <c r="M2579" s="8"/>
      <c r="N2579" s="8"/>
      <c r="O2579" s="8"/>
      <c r="P2579" s="8"/>
      <c r="Q2579" s="8"/>
      <c r="R2579" s="8"/>
      <c r="S2579" s="8"/>
      <c r="T2579" s="8"/>
      <c r="U2579" s="8"/>
      <c r="V2579" s="8"/>
      <c r="W2579" s="8"/>
      <c r="X2579" s="8"/>
      <c r="Y2579" s="8"/>
      <c r="Z2579" s="8"/>
      <c r="AA2579" s="8"/>
      <c r="AB2579" s="8"/>
      <c r="AC2579" s="8"/>
      <c r="AD2579" s="8"/>
      <c r="AE2579" s="8"/>
    </row>
    <row r="2580">
      <c r="A2580" s="11"/>
      <c r="B2580" s="28"/>
      <c r="C2580" s="28"/>
      <c r="D2580" s="28"/>
      <c r="E2580" s="28"/>
      <c r="F2580" s="28"/>
      <c r="G2580" s="28"/>
      <c r="H2580" s="28"/>
      <c r="I2580" s="28"/>
      <c r="J2580" s="8"/>
      <c r="K2580" s="8"/>
      <c r="L2580" s="8"/>
      <c r="M2580" s="8"/>
      <c r="N2580" s="8"/>
      <c r="O2580" s="8"/>
      <c r="P2580" s="8"/>
      <c r="Q2580" s="8"/>
      <c r="R2580" s="8"/>
      <c r="S2580" s="8"/>
      <c r="T2580" s="8"/>
      <c r="U2580" s="8"/>
      <c r="V2580" s="8"/>
      <c r="W2580" s="8"/>
      <c r="X2580" s="8"/>
      <c r="Y2580" s="8"/>
      <c r="Z2580" s="8"/>
      <c r="AA2580" s="8"/>
      <c r="AB2580" s="8"/>
      <c r="AC2580" s="8"/>
      <c r="AD2580" s="8"/>
      <c r="AE2580" s="8"/>
    </row>
    <row r="2581">
      <c r="A2581" s="11"/>
      <c r="B2581" s="28"/>
      <c r="C2581" s="28"/>
      <c r="D2581" s="28"/>
      <c r="E2581" s="28"/>
      <c r="F2581" s="28"/>
      <c r="G2581" s="28"/>
      <c r="H2581" s="28"/>
      <c r="I2581" s="28"/>
      <c r="J2581" s="8"/>
      <c r="K2581" s="8"/>
      <c r="L2581" s="8"/>
      <c r="M2581" s="8"/>
      <c r="N2581" s="8"/>
      <c r="O2581" s="8"/>
      <c r="P2581" s="8"/>
      <c r="Q2581" s="8"/>
      <c r="R2581" s="8"/>
      <c r="S2581" s="8"/>
      <c r="T2581" s="8"/>
      <c r="U2581" s="8"/>
      <c r="V2581" s="8"/>
      <c r="W2581" s="8"/>
      <c r="X2581" s="8"/>
      <c r="Y2581" s="8"/>
      <c r="Z2581" s="8"/>
      <c r="AA2581" s="8"/>
      <c r="AB2581" s="8"/>
      <c r="AC2581" s="8"/>
      <c r="AD2581" s="8"/>
      <c r="AE2581" s="8"/>
    </row>
    <row r="2582">
      <c r="A2582" s="11"/>
      <c r="B2582" s="28"/>
      <c r="C2582" s="28"/>
      <c r="D2582" s="28"/>
      <c r="E2582" s="28"/>
      <c r="F2582" s="28"/>
      <c r="G2582" s="28"/>
      <c r="H2582" s="28"/>
      <c r="I2582" s="28"/>
      <c r="J2582" s="8"/>
      <c r="K2582" s="8"/>
      <c r="L2582" s="8"/>
      <c r="M2582" s="8"/>
      <c r="N2582" s="8"/>
      <c r="O2582" s="8"/>
      <c r="P2582" s="8"/>
      <c r="Q2582" s="8"/>
      <c r="R2582" s="8"/>
      <c r="S2582" s="8"/>
      <c r="T2582" s="8"/>
      <c r="U2582" s="8"/>
      <c r="V2582" s="8"/>
      <c r="W2582" s="8"/>
      <c r="X2582" s="8"/>
      <c r="Y2582" s="8"/>
      <c r="Z2582" s="8"/>
      <c r="AA2582" s="8"/>
      <c r="AB2582" s="8"/>
      <c r="AC2582" s="8"/>
      <c r="AD2582" s="8"/>
      <c r="AE2582" s="8"/>
    </row>
    <row r="2583">
      <c r="A2583" s="11"/>
      <c r="B2583" s="28"/>
      <c r="C2583" s="28"/>
      <c r="D2583" s="28"/>
      <c r="E2583" s="28"/>
      <c r="F2583" s="28"/>
      <c r="G2583" s="28"/>
      <c r="H2583" s="28"/>
      <c r="I2583" s="28"/>
      <c r="J2583" s="8"/>
      <c r="K2583" s="8"/>
      <c r="L2583" s="8"/>
      <c r="M2583" s="8"/>
      <c r="N2583" s="8"/>
      <c r="O2583" s="8"/>
      <c r="P2583" s="8"/>
      <c r="Q2583" s="8"/>
      <c r="R2583" s="8"/>
      <c r="S2583" s="8"/>
      <c r="T2583" s="8"/>
      <c r="U2583" s="8"/>
      <c r="V2583" s="8"/>
      <c r="W2583" s="8"/>
      <c r="X2583" s="8"/>
      <c r="Y2583" s="8"/>
      <c r="Z2583" s="8"/>
      <c r="AA2583" s="8"/>
      <c r="AB2583" s="8"/>
      <c r="AC2583" s="8"/>
      <c r="AD2583" s="8"/>
      <c r="AE2583" s="8"/>
    </row>
    <row r="2584">
      <c r="A2584" s="11"/>
      <c r="B2584" s="28"/>
      <c r="C2584" s="28"/>
      <c r="D2584" s="28"/>
      <c r="E2584" s="28"/>
      <c r="F2584" s="28"/>
      <c r="G2584" s="28"/>
      <c r="H2584" s="28"/>
      <c r="I2584" s="28"/>
      <c r="J2584" s="8"/>
      <c r="K2584" s="8"/>
      <c r="L2584" s="8"/>
      <c r="M2584" s="8"/>
      <c r="N2584" s="8"/>
      <c r="O2584" s="8"/>
      <c r="P2584" s="8"/>
      <c r="Q2584" s="8"/>
      <c r="R2584" s="8"/>
      <c r="S2584" s="8"/>
      <c r="T2584" s="8"/>
      <c r="U2584" s="8"/>
      <c r="V2584" s="8"/>
      <c r="W2584" s="8"/>
      <c r="X2584" s="8"/>
      <c r="Y2584" s="8"/>
      <c r="Z2584" s="8"/>
      <c r="AA2584" s="8"/>
      <c r="AB2584" s="8"/>
      <c r="AC2584" s="8"/>
      <c r="AD2584" s="8"/>
      <c r="AE2584" s="8"/>
    </row>
    <row r="2585">
      <c r="A2585" s="11"/>
      <c r="B2585" s="28"/>
      <c r="C2585" s="28"/>
      <c r="D2585" s="28"/>
      <c r="E2585" s="28"/>
      <c r="F2585" s="28"/>
      <c r="G2585" s="28"/>
      <c r="H2585" s="28"/>
      <c r="I2585" s="28"/>
      <c r="J2585" s="8"/>
      <c r="K2585" s="8"/>
      <c r="L2585" s="8"/>
      <c r="M2585" s="8"/>
      <c r="N2585" s="8"/>
      <c r="O2585" s="8"/>
      <c r="P2585" s="8"/>
      <c r="Q2585" s="8"/>
      <c r="R2585" s="8"/>
      <c r="S2585" s="8"/>
      <c r="T2585" s="8"/>
      <c r="U2585" s="8"/>
      <c r="V2585" s="8"/>
      <c r="W2585" s="8"/>
      <c r="X2585" s="8"/>
      <c r="Y2585" s="8"/>
      <c r="Z2585" s="8"/>
      <c r="AA2585" s="8"/>
      <c r="AB2585" s="8"/>
      <c r="AC2585" s="8"/>
      <c r="AD2585" s="8"/>
      <c r="AE2585" s="8"/>
    </row>
    <row r="2586">
      <c r="A2586" s="11"/>
      <c r="B2586" s="28"/>
      <c r="C2586" s="28"/>
      <c r="D2586" s="28"/>
      <c r="E2586" s="28"/>
      <c r="F2586" s="28"/>
      <c r="G2586" s="28"/>
      <c r="H2586" s="28"/>
      <c r="I2586" s="28"/>
      <c r="J2586" s="8"/>
      <c r="K2586" s="8"/>
      <c r="L2586" s="8"/>
      <c r="M2586" s="8"/>
      <c r="N2586" s="8"/>
      <c r="O2586" s="8"/>
      <c r="P2586" s="8"/>
      <c r="Q2586" s="8"/>
      <c r="R2586" s="8"/>
      <c r="S2586" s="8"/>
      <c r="T2586" s="8"/>
      <c r="U2586" s="8"/>
      <c r="V2586" s="8"/>
      <c r="W2586" s="8"/>
      <c r="X2586" s="8"/>
      <c r="Y2586" s="8"/>
      <c r="Z2586" s="8"/>
      <c r="AA2586" s="8"/>
      <c r="AB2586" s="8"/>
      <c r="AC2586" s="8"/>
      <c r="AD2586" s="8"/>
      <c r="AE2586" s="8"/>
    </row>
    <row r="2587">
      <c r="A2587" s="11"/>
      <c r="B2587" s="28"/>
      <c r="C2587" s="28"/>
      <c r="D2587" s="28"/>
      <c r="E2587" s="28"/>
      <c r="F2587" s="28"/>
      <c r="G2587" s="28"/>
      <c r="H2587" s="28"/>
      <c r="I2587" s="28"/>
      <c r="J2587" s="8"/>
      <c r="K2587" s="8"/>
      <c r="L2587" s="8"/>
      <c r="M2587" s="8"/>
      <c r="N2587" s="8"/>
      <c r="O2587" s="8"/>
      <c r="P2587" s="8"/>
      <c r="Q2587" s="8"/>
      <c r="R2587" s="8"/>
      <c r="S2587" s="8"/>
      <c r="T2587" s="8"/>
      <c r="U2587" s="8"/>
      <c r="V2587" s="8"/>
      <c r="W2587" s="8"/>
      <c r="X2587" s="8"/>
      <c r="Y2587" s="8"/>
      <c r="Z2587" s="8"/>
      <c r="AA2587" s="8"/>
      <c r="AB2587" s="8"/>
      <c r="AC2587" s="8"/>
      <c r="AD2587" s="8"/>
      <c r="AE2587" s="8"/>
    </row>
    <row r="2588">
      <c r="A2588" s="11"/>
      <c r="B2588" s="28"/>
      <c r="C2588" s="28"/>
      <c r="D2588" s="28"/>
      <c r="E2588" s="28"/>
      <c r="F2588" s="28"/>
      <c r="G2588" s="28"/>
      <c r="H2588" s="28"/>
      <c r="I2588" s="28"/>
      <c r="J2588" s="8"/>
      <c r="K2588" s="8"/>
      <c r="L2588" s="8"/>
      <c r="M2588" s="8"/>
      <c r="N2588" s="8"/>
      <c r="O2588" s="8"/>
      <c r="P2588" s="8"/>
      <c r="Q2588" s="8"/>
      <c r="R2588" s="8"/>
      <c r="S2588" s="8"/>
      <c r="T2588" s="8"/>
      <c r="U2588" s="8"/>
      <c r="V2588" s="8"/>
      <c r="W2588" s="8"/>
      <c r="X2588" s="8"/>
      <c r="Y2588" s="8"/>
      <c r="Z2588" s="8"/>
      <c r="AA2588" s="8"/>
      <c r="AB2588" s="8"/>
      <c r="AC2588" s="8"/>
      <c r="AD2588" s="8"/>
      <c r="AE2588" s="8"/>
    </row>
    <row r="2589">
      <c r="A2589" s="11"/>
      <c r="B2589" s="28"/>
      <c r="C2589" s="28"/>
      <c r="D2589" s="28"/>
      <c r="E2589" s="28"/>
      <c r="F2589" s="28"/>
      <c r="G2589" s="28"/>
      <c r="H2589" s="28"/>
      <c r="I2589" s="28"/>
      <c r="J2589" s="8"/>
      <c r="K2589" s="8"/>
      <c r="L2589" s="8"/>
      <c r="M2589" s="8"/>
      <c r="N2589" s="8"/>
      <c r="O2589" s="8"/>
      <c r="P2589" s="8"/>
      <c r="Q2589" s="8"/>
      <c r="R2589" s="8"/>
      <c r="S2589" s="8"/>
      <c r="T2589" s="8"/>
      <c r="U2589" s="8"/>
      <c r="V2589" s="8"/>
      <c r="W2589" s="8"/>
      <c r="X2589" s="8"/>
      <c r="Y2589" s="8"/>
      <c r="Z2589" s="8"/>
      <c r="AA2589" s="8"/>
      <c r="AB2589" s="8"/>
      <c r="AC2589" s="8"/>
      <c r="AD2589" s="8"/>
      <c r="AE2589" s="8"/>
    </row>
    <row r="2590">
      <c r="A2590" s="11"/>
      <c r="B2590" s="28"/>
      <c r="C2590" s="28"/>
      <c r="D2590" s="28"/>
      <c r="E2590" s="28"/>
      <c r="F2590" s="28"/>
      <c r="G2590" s="28"/>
      <c r="H2590" s="28"/>
      <c r="I2590" s="28"/>
      <c r="J2590" s="8"/>
      <c r="K2590" s="8"/>
      <c r="L2590" s="8"/>
      <c r="M2590" s="8"/>
      <c r="N2590" s="8"/>
      <c r="O2590" s="8"/>
      <c r="P2590" s="8"/>
      <c r="Q2590" s="8"/>
      <c r="R2590" s="8"/>
      <c r="S2590" s="8"/>
      <c r="T2590" s="8"/>
      <c r="U2590" s="8"/>
      <c r="V2590" s="8"/>
      <c r="W2590" s="8"/>
      <c r="X2590" s="8"/>
      <c r="Y2590" s="8"/>
      <c r="Z2590" s="8"/>
      <c r="AA2590" s="8"/>
      <c r="AB2590" s="8"/>
      <c r="AC2590" s="8"/>
      <c r="AD2590" s="8"/>
      <c r="AE2590" s="8"/>
    </row>
    <row r="2591">
      <c r="A2591" s="11"/>
      <c r="B2591" s="28"/>
      <c r="C2591" s="28"/>
      <c r="D2591" s="28"/>
      <c r="E2591" s="28"/>
      <c r="F2591" s="28"/>
      <c r="G2591" s="28"/>
      <c r="H2591" s="28"/>
      <c r="I2591" s="28"/>
      <c r="J2591" s="8"/>
      <c r="K2591" s="8"/>
      <c r="L2591" s="8"/>
      <c r="M2591" s="8"/>
      <c r="N2591" s="8"/>
      <c r="O2591" s="8"/>
      <c r="P2591" s="8"/>
      <c r="Q2591" s="8"/>
      <c r="R2591" s="8"/>
      <c r="S2591" s="8"/>
      <c r="T2591" s="8"/>
      <c r="U2591" s="8"/>
      <c r="V2591" s="8"/>
      <c r="W2591" s="8"/>
      <c r="X2591" s="8"/>
      <c r="Y2591" s="8"/>
      <c r="Z2591" s="8"/>
      <c r="AA2591" s="8"/>
      <c r="AB2591" s="8"/>
      <c r="AC2591" s="8"/>
      <c r="AD2591" s="8"/>
      <c r="AE2591" s="8"/>
    </row>
    <row r="2592">
      <c r="A2592" s="11"/>
      <c r="B2592" s="28"/>
      <c r="C2592" s="28"/>
      <c r="D2592" s="28"/>
      <c r="E2592" s="28"/>
      <c r="F2592" s="28"/>
      <c r="G2592" s="28"/>
      <c r="H2592" s="28"/>
      <c r="I2592" s="28"/>
      <c r="J2592" s="8"/>
      <c r="K2592" s="8"/>
      <c r="L2592" s="8"/>
      <c r="M2592" s="8"/>
      <c r="N2592" s="8"/>
      <c r="O2592" s="8"/>
      <c r="P2592" s="8"/>
      <c r="Q2592" s="8"/>
      <c r="R2592" s="8"/>
      <c r="S2592" s="8"/>
      <c r="T2592" s="8"/>
      <c r="U2592" s="8"/>
      <c r="V2592" s="8"/>
      <c r="W2592" s="8"/>
      <c r="X2592" s="8"/>
      <c r="Y2592" s="8"/>
      <c r="Z2592" s="8"/>
      <c r="AA2592" s="8"/>
      <c r="AB2592" s="8"/>
      <c r="AC2592" s="8"/>
      <c r="AD2592" s="8"/>
      <c r="AE2592" s="8"/>
    </row>
    <row r="2593">
      <c r="A2593" s="11"/>
      <c r="B2593" s="28"/>
      <c r="C2593" s="28"/>
      <c r="D2593" s="28"/>
      <c r="E2593" s="28"/>
      <c r="F2593" s="28"/>
      <c r="G2593" s="28"/>
      <c r="H2593" s="28"/>
      <c r="I2593" s="28"/>
      <c r="J2593" s="8"/>
      <c r="K2593" s="8"/>
      <c r="L2593" s="8"/>
      <c r="M2593" s="8"/>
      <c r="N2593" s="8"/>
      <c r="O2593" s="8"/>
      <c r="P2593" s="8"/>
      <c r="Q2593" s="8"/>
      <c r="R2593" s="8"/>
      <c r="S2593" s="8"/>
      <c r="T2593" s="8"/>
      <c r="U2593" s="8"/>
      <c r="V2593" s="8"/>
      <c r="W2593" s="8"/>
      <c r="X2593" s="8"/>
      <c r="Y2593" s="8"/>
      <c r="Z2593" s="8"/>
      <c r="AA2593" s="8"/>
      <c r="AB2593" s="8"/>
      <c r="AC2593" s="8"/>
      <c r="AD2593" s="8"/>
      <c r="AE2593" s="8"/>
    </row>
    <row r="2594">
      <c r="A2594" s="11"/>
      <c r="B2594" s="28"/>
      <c r="C2594" s="28"/>
      <c r="D2594" s="28"/>
      <c r="E2594" s="28"/>
      <c r="F2594" s="28"/>
      <c r="G2594" s="28"/>
      <c r="H2594" s="28"/>
      <c r="I2594" s="28"/>
      <c r="J2594" s="8"/>
      <c r="K2594" s="8"/>
      <c r="L2594" s="8"/>
      <c r="M2594" s="8"/>
      <c r="N2594" s="8"/>
      <c r="O2594" s="8"/>
      <c r="P2594" s="8"/>
      <c r="Q2594" s="8"/>
      <c r="R2594" s="8"/>
      <c r="S2594" s="8"/>
      <c r="T2594" s="8"/>
      <c r="U2594" s="8"/>
      <c r="V2594" s="8"/>
      <c r="W2594" s="8"/>
      <c r="X2594" s="8"/>
      <c r="Y2594" s="8"/>
      <c r="Z2594" s="8"/>
      <c r="AA2594" s="8"/>
      <c r="AB2594" s="8"/>
      <c r="AC2594" s="8"/>
      <c r="AD2594" s="8"/>
      <c r="AE2594" s="8"/>
    </row>
    <row r="2595">
      <c r="A2595" s="11"/>
      <c r="B2595" s="28"/>
      <c r="C2595" s="28"/>
      <c r="D2595" s="28"/>
      <c r="E2595" s="28"/>
      <c r="F2595" s="28"/>
      <c r="G2595" s="28"/>
      <c r="H2595" s="28"/>
      <c r="I2595" s="28"/>
      <c r="J2595" s="8"/>
      <c r="K2595" s="8"/>
      <c r="L2595" s="8"/>
      <c r="M2595" s="8"/>
      <c r="N2595" s="8"/>
      <c r="O2595" s="8"/>
      <c r="P2595" s="8"/>
      <c r="Q2595" s="8"/>
      <c r="R2595" s="8"/>
      <c r="S2595" s="8"/>
      <c r="T2595" s="8"/>
      <c r="U2595" s="8"/>
      <c r="V2595" s="8"/>
      <c r="W2595" s="8"/>
      <c r="X2595" s="8"/>
      <c r="Y2595" s="8"/>
      <c r="Z2595" s="8"/>
      <c r="AA2595" s="8"/>
      <c r="AB2595" s="8"/>
      <c r="AC2595" s="8"/>
      <c r="AD2595" s="8"/>
      <c r="AE2595" s="8"/>
    </row>
    <row r="2596">
      <c r="A2596" s="11"/>
      <c r="B2596" s="28"/>
      <c r="C2596" s="28"/>
      <c r="D2596" s="28"/>
      <c r="E2596" s="28"/>
      <c r="F2596" s="28"/>
      <c r="G2596" s="28"/>
      <c r="H2596" s="28"/>
      <c r="I2596" s="28"/>
      <c r="J2596" s="8"/>
      <c r="K2596" s="8"/>
      <c r="L2596" s="8"/>
      <c r="M2596" s="8"/>
      <c r="N2596" s="8"/>
      <c r="O2596" s="8"/>
      <c r="P2596" s="8"/>
      <c r="Q2596" s="8"/>
      <c r="R2596" s="8"/>
      <c r="S2596" s="8"/>
      <c r="T2596" s="8"/>
      <c r="U2596" s="8"/>
      <c r="V2596" s="8"/>
      <c r="W2596" s="8"/>
      <c r="X2596" s="8"/>
      <c r="Y2596" s="8"/>
      <c r="Z2596" s="8"/>
      <c r="AA2596" s="8"/>
      <c r="AB2596" s="8"/>
      <c r="AC2596" s="8"/>
      <c r="AD2596" s="8"/>
      <c r="AE2596" s="8"/>
    </row>
    <row r="2597">
      <c r="A2597" s="11"/>
      <c r="B2597" s="28"/>
      <c r="C2597" s="28"/>
      <c r="D2597" s="28"/>
      <c r="E2597" s="28"/>
      <c r="F2597" s="28"/>
      <c r="G2597" s="28"/>
      <c r="H2597" s="28"/>
      <c r="I2597" s="28"/>
      <c r="J2597" s="8"/>
      <c r="K2597" s="8"/>
      <c r="L2597" s="8"/>
      <c r="M2597" s="8"/>
      <c r="N2597" s="8"/>
      <c r="O2597" s="8"/>
      <c r="P2597" s="8"/>
      <c r="Q2597" s="8"/>
      <c r="R2597" s="8"/>
      <c r="S2597" s="8"/>
      <c r="T2597" s="8"/>
      <c r="U2597" s="8"/>
      <c r="V2597" s="8"/>
      <c r="W2597" s="8"/>
      <c r="X2597" s="8"/>
      <c r="Y2597" s="8"/>
      <c r="Z2597" s="8"/>
      <c r="AA2597" s="8"/>
      <c r="AB2597" s="8"/>
      <c r="AC2597" s="8"/>
      <c r="AD2597" s="8"/>
      <c r="AE2597" s="8"/>
    </row>
    <row r="2598">
      <c r="A2598" s="11"/>
      <c r="B2598" s="28"/>
      <c r="C2598" s="28"/>
      <c r="D2598" s="28"/>
      <c r="E2598" s="28"/>
      <c r="F2598" s="28"/>
      <c r="G2598" s="28"/>
      <c r="H2598" s="28"/>
      <c r="I2598" s="28"/>
      <c r="J2598" s="8"/>
      <c r="K2598" s="8"/>
      <c r="L2598" s="8"/>
      <c r="M2598" s="8"/>
      <c r="N2598" s="8"/>
      <c r="O2598" s="8"/>
      <c r="P2598" s="8"/>
      <c r="Q2598" s="8"/>
      <c r="R2598" s="8"/>
      <c r="S2598" s="8"/>
      <c r="T2598" s="8"/>
      <c r="U2598" s="8"/>
      <c r="V2598" s="8"/>
      <c r="W2598" s="8"/>
      <c r="X2598" s="8"/>
      <c r="Y2598" s="8"/>
      <c r="Z2598" s="8"/>
      <c r="AA2598" s="8"/>
      <c r="AB2598" s="8"/>
      <c r="AC2598" s="8"/>
      <c r="AD2598" s="8"/>
      <c r="AE2598" s="8"/>
    </row>
    <row r="2599">
      <c r="A2599" s="11"/>
      <c r="B2599" s="28"/>
      <c r="C2599" s="28"/>
      <c r="D2599" s="28"/>
      <c r="E2599" s="28"/>
      <c r="F2599" s="28"/>
      <c r="G2599" s="28"/>
      <c r="H2599" s="28"/>
      <c r="I2599" s="28"/>
      <c r="J2599" s="8"/>
      <c r="K2599" s="8"/>
      <c r="L2599" s="8"/>
      <c r="M2599" s="8"/>
      <c r="N2599" s="8"/>
      <c r="O2599" s="8"/>
      <c r="P2599" s="8"/>
      <c r="Q2599" s="8"/>
      <c r="R2599" s="8"/>
      <c r="S2599" s="8"/>
      <c r="T2599" s="8"/>
      <c r="U2599" s="8"/>
      <c r="V2599" s="8"/>
      <c r="W2599" s="8"/>
      <c r="X2599" s="8"/>
      <c r="Y2599" s="8"/>
      <c r="Z2599" s="8"/>
      <c r="AA2599" s="8"/>
      <c r="AB2599" s="8"/>
      <c r="AC2599" s="8"/>
      <c r="AD2599" s="8"/>
      <c r="AE2599" s="8"/>
    </row>
    <row r="2600">
      <c r="A2600" s="11"/>
      <c r="B2600" s="28"/>
      <c r="C2600" s="28"/>
      <c r="D2600" s="28"/>
      <c r="E2600" s="28"/>
      <c r="F2600" s="28"/>
      <c r="G2600" s="28"/>
      <c r="H2600" s="28"/>
      <c r="I2600" s="28"/>
      <c r="J2600" s="8"/>
      <c r="K2600" s="8"/>
      <c r="L2600" s="8"/>
      <c r="M2600" s="8"/>
      <c r="N2600" s="8"/>
      <c r="O2600" s="8"/>
      <c r="P2600" s="8"/>
      <c r="Q2600" s="8"/>
      <c r="R2600" s="8"/>
      <c r="S2600" s="8"/>
      <c r="T2600" s="8"/>
      <c r="U2600" s="8"/>
      <c r="V2600" s="8"/>
      <c r="W2600" s="8"/>
      <c r="X2600" s="8"/>
      <c r="Y2600" s="8"/>
      <c r="Z2600" s="8"/>
      <c r="AA2600" s="8"/>
      <c r="AB2600" s="8"/>
      <c r="AC2600" s="8"/>
      <c r="AD2600" s="8"/>
      <c r="AE2600" s="8"/>
    </row>
  </sheetData>
  <mergeCells count="375">
    <mergeCell ref="D828:D905"/>
    <mergeCell ref="E828:E905"/>
    <mergeCell ref="F828:F905"/>
    <mergeCell ref="G828:G905"/>
    <mergeCell ref="H828:H905"/>
    <mergeCell ref="E906:E982"/>
    <mergeCell ref="H906:H982"/>
    <mergeCell ref="D906:D982"/>
    <mergeCell ref="D983:D1059"/>
    <mergeCell ref="E983:E1059"/>
    <mergeCell ref="F983:F1059"/>
    <mergeCell ref="G983:G1059"/>
    <mergeCell ref="H983:H1059"/>
    <mergeCell ref="D1060:D1094"/>
    <mergeCell ref="D560:D617"/>
    <mergeCell ref="E560:E617"/>
    <mergeCell ref="F560:F617"/>
    <mergeCell ref="G560:G617"/>
    <mergeCell ref="H560:H617"/>
    <mergeCell ref="D618:D631"/>
    <mergeCell ref="E618:E631"/>
    <mergeCell ref="H618:H631"/>
    <mergeCell ref="F618:F631"/>
    <mergeCell ref="G618:G631"/>
    <mergeCell ref="D632:D676"/>
    <mergeCell ref="E632:E676"/>
    <mergeCell ref="F632:F676"/>
    <mergeCell ref="G632:G676"/>
    <mergeCell ref="H632:H676"/>
    <mergeCell ref="D677:D698"/>
    <mergeCell ref="E677:E698"/>
    <mergeCell ref="F677:F698"/>
    <mergeCell ref="G677:G698"/>
    <mergeCell ref="H677:H698"/>
    <mergeCell ref="D699:D734"/>
    <mergeCell ref="E699:E734"/>
    <mergeCell ref="H699:H734"/>
    <mergeCell ref="F699:F734"/>
    <mergeCell ref="G699:G734"/>
    <mergeCell ref="D735:D827"/>
    <mergeCell ref="E735:E827"/>
    <mergeCell ref="F735:F827"/>
    <mergeCell ref="G735:G827"/>
    <mergeCell ref="H735:H827"/>
    <mergeCell ref="F906:F982"/>
    <mergeCell ref="G906:G982"/>
    <mergeCell ref="G1060:G1094"/>
    <mergeCell ref="H1060:H1094"/>
    <mergeCell ref="E1060:E1094"/>
    <mergeCell ref="F1060:F1094"/>
    <mergeCell ref="D1095:D1180"/>
    <mergeCell ref="E1095:E1180"/>
    <mergeCell ref="F1095:F1180"/>
    <mergeCell ref="G1095:G1180"/>
    <mergeCell ref="H1095:H1180"/>
    <mergeCell ref="G1416:G1479"/>
    <mergeCell ref="H1416:H1479"/>
    <mergeCell ref="G1480:G1542"/>
    <mergeCell ref="H1480:H1542"/>
    <mergeCell ref="G1543:G1627"/>
    <mergeCell ref="H1543:H1627"/>
    <mergeCell ref="H1647:H1672"/>
    <mergeCell ref="G1647:G1672"/>
    <mergeCell ref="G1673:G1724"/>
    <mergeCell ref="H1673:H1724"/>
    <mergeCell ref="G1725:G1777"/>
    <mergeCell ref="H1725:H1777"/>
    <mergeCell ref="G1778:G1843"/>
    <mergeCell ref="H1778:H1843"/>
    <mergeCell ref="G1876:G1913"/>
    <mergeCell ref="H1876:H1913"/>
    <mergeCell ref="G1914:G1955"/>
    <mergeCell ref="H1914:H1955"/>
    <mergeCell ref="G1956:G2008"/>
    <mergeCell ref="H1956:H2008"/>
    <mergeCell ref="H2009:H2027"/>
    <mergeCell ref="G2009:G2027"/>
    <mergeCell ref="G2028:G2068"/>
    <mergeCell ref="H2028:H2068"/>
    <mergeCell ref="G2069:G2141"/>
    <mergeCell ref="H2069:H2141"/>
    <mergeCell ref="G2142:G2183"/>
    <mergeCell ref="H2142:H2183"/>
    <mergeCell ref="G2323:G2338"/>
    <mergeCell ref="G2339:G2347"/>
    <mergeCell ref="G2348:G2363"/>
    <mergeCell ref="G2364:G2394"/>
    <mergeCell ref="G2395:G2410"/>
    <mergeCell ref="G2411:G2444"/>
    <mergeCell ref="G2445:G2505"/>
    <mergeCell ref="H2339:H2347"/>
    <mergeCell ref="H2348:H2363"/>
    <mergeCell ref="H2364:H2394"/>
    <mergeCell ref="H2395:H2410"/>
    <mergeCell ref="H2411:H2444"/>
    <mergeCell ref="H2445:H2505"/>
    <mergeCell ref="G2184:G2243"/>
    <mergeCell ref="H2184:H2243"/>
    <mergeCell ref="G2244:G2305"/>
    <mergeCell ref="H2244:H2305"/>
    <mergeCell ref="G2306:G2322"/>
    <mergeCell ref="H2306:H2322"/>
    <mergeCell ref="H2323:H2338"/>
    <mergeCell ref="D1300:D1306"/>
    <mergeCell ref="E1300:E1306"/>
    <mergeCell ref="F1300:F1306"/>
    <mergeCell ref="G1300:G1306"/>
    <mergeCell ref="H1300:H1306"/>
    <mergeCell ref="D1307:D1311"/>
    <mergeCell ref="E1307:E1311"/>
    <mergeCell ref="H1307:H1311"/>
    <mergeCell ref="F1307:F1311"/>
    <mergeCell ref="G1307:G1311"/>
    <mergeCell ref="D1312:D1324"/>
    <mergeCell ref="E1312:E1324"/>
    <mergeCell ref="F1312:F1324"/>
    <mergeCell ref="G1312:G1324"/>
    <mergeCell ref="H1312:H1324"/>
    <mergeCell ref="F1329:F1363"/>
    <mergeCell ref="G1329:G1363"/>
    <mergeCell ref="D1325:D1328"/>
    <mergeCell ref="E1325:E1328"/>
    <mergeCell ref="F1325:F1328"/>
    <mergeCell ref="G1325:G1328"/>
    <mergeCell ref="H1325:H1328"/>
    <mergeCell ref="E1329:E1363"/>
    <mergeCell ref="H1329:H1363"/>
    <mergeCell ref="D1329:D1363"/>
    <mergeCell ref="D1364:D1415"/>
    <mergeCell ref="E1364:E1415"/>
    <mergeCell ref="F1364:F1415"/>
    <mergeCell ref="G1364:G1415"/>
    <mergeCell ref="H1364:H1415"/>
    <mergeCell ref="D1416:D1479"/>
    <mergeCell ref="E1628:E1646"/>
    <mergeCell ref="F1628:F1646"/>
    <mergeCell ref="G1628:G1646"/>
    <mergeCell ref="H1628:H1646"/>
    <mergeCell ref="G1844:G1875"/>
    <mergeCell ref="H1844:H1875"/>
    <mergeCell ref="E2184:E2243"/>
    <mergeCell ref="F2184:F2243"/>
    <mergeCell ref="D2069:D2141"/>
    <mergeCell ref="E2069:E2141"/>
    <mergeCell ref="F2069:F2141"/>
    <mergeCell ref="D2142:D2183"/>
    <mergeCell ref="E2142:E2183"/>
    <mergeCell ref="F2142:F2183"/>
    <mergeCell ref="D2184:D2243"/>
    <mergeCell ref="E2323:E2338"/>
    <mergeCell ref="F2323:F2338"/>
    <mergeCell ref="D2244:D2305"/>
    <mergeCell ref="E2244:E2305"/>
    <mergeCell ref="F2244:F2305"/>
    <mergeCell ref="D2306:D2322"/>
    <mergeCell ref="E2306:E2322"/>
    <mergeCell ref="F2306:F2322"/>
    <mergeCell ref="D2323:D2338"/>
    <mergeCell ref="E2364:E2394"/>
    <mergeCell ref="F2364:F2394"/>
    <mergeCell ref="D2339:D2347"/>
    <mergeCell ref="E2339:E2347"/>
    <mergeCell ref="F2339:F2347"/>
    <mergeCell ref="D2348:D2363"/>
    <mergeCell ref="E2348:E2363"/>
    <mergeCell ref="F2348:F2363"/>
    <mergeCell ref="D2364:D2394"/>
    <mergeCell ref="E2445:E2505"/>
    <mergeCell ref="F2445:F2505"/>
    <mergeCell ref="D2395:D2410"/>
    <mergeCell ref="E2395:E2410"/>
    <mergeCell ref="F2395:F2410"/>
    <mergeCell ref="D2411:D2444"/>
    <mergeCell ref="E2411:E2444"/>
    <mergeCell ref="F2411:F2444"/>
    <mergeCell ref="D2445:D2505"/>
    <mergeCell ref="E1416:E1479"/>
    <mergeCell ref="F1416:F1479"/>
    <mergeCell ref="D1480:D1542"/>
    <mergeCell ref="E1480:E1542"/>
    <mergeCell ref="F1480:F1542"/>
    <mergeCell ref="E1543:E1627"/>
    <mergeCell ref="F1543:F1627"/>
    <mergeCell ref="D1543:D1627"/>
    <mergeCell ref="D1628:D1646"/>
    <mergeCell ref="D1647:D1672"/>
    <mergeCell ref="E1647:E1672"/>
    <mergeCell ref="F1647:F1672"/>
    <mergeCell ref="E1673:E1724"/>
    <mergeCell ref="F1673:F1724"/>
    <mergeCell ref="D1673:D1724"/>
    <mergeCell ref="D1725:D1777"/>
    <mergeCell ref="E1725:E1777"/>
    <mergeCell ref="F1725:F1777"/>
    <mergeCell ref="D1778:D1843"/>
    <mergeCell ref="E1778:E1843"/>
    <mergeCell ref="F1778:F1843"/>
    <mergeCell ref="E1914:E1955"/>
    <mergeCell ref="F1914:F1955"/>
    <mergeCell ref="D1844:D1875"/>
    <mergeCell ref="E1844:E1875"/>
    <mergeCell ref="F1844:F1875"/>
    <mergeCell ref="D1876:D1913"/>
    <mergeCell ref="E1876:E1913"/>
    <mergeCell ref="F1876:F1913"/>
    <mergeCell ref="D1914:D1955"/>
    <mergeCell ref="E2028:E2068"/>
    <mergeCell ref="F2028:F2068"/>
    <mergeCell ref="D1956:D2008"/>
    <mergeCell ref="E1956:E2008"/>
    <mergeCell ref="F1956:F2008"/>
    <mergeCell ref="D2009:D2027"/>
    <mergeCell ref="E2009:E2027"/>
    <mergeCell ref="F2009:F2027"/>
    <mergeCell ref="D2028:D2068"/>
    <mergeCell ref="D103:D112"/>
    <mergeCell ref="D113:D131"/>
    <mergeCell ref="E113:E131"/>
    <mergeCell ref="F113:F131"/>
    <mergeCell ref="G113:G131"/>
    <mergeCell ref="H113:H131"/>
    <mergeCell ref="D132:D144"/>
    <mergeCell ref="E132:E144"/>
    <mergeCell ref="F132:F144"/>
    <mergeCell ref="D145:D169"/>
    <mergeCell ref="E145:E169"/>
    <mergeCell ref="F145:F169"/>
    <mergeCell ref="G145:G169"/>
    <mergeCell ref="H145:H169"/>
    <mergeCell ref="F178:F194"/>
    <mergeCell ref="G178:G194"/>
    <mergeCell ref="D170:D177"/>
    <mergeCell ref="E170:E177"/>
    <mergeCell ref="F170:F177"/>
    <mergeCell ref="G170:G177"/>
    <mergeCell ref="H170:H177"/>
    <mergeCell ref="E178:E194"/>
    <mergeCell ref="H178:H194"/>
    <mergeCell ref="G211:G232"/>
    <mergeCell ref="H211:H232"/>
    <mergeCell ref="D178:D194"/>
    <mergeCell ref="D195:D210"/>
    <mergeCell ref="E195:E210"/>
    <mergeCell ref="F195:F210"/>
    <mergeCell ref="G195:G210"/>
    <mergeCell ref="H195:H210"/>
    <mergeCell ref="D211:D232"/>
    <mergeCell ref="F9:F29"/>
    <mergeCell ref="G9:G29"/>
    <mergeCell ref="D2:D8"/>
    <mergeCell ref="E2:E8"/>
    <mergeCell ref="F2:F8"/>
    <mergeCell ref="G2:G8"/>
    <mergeCell ref="H2:H8"/>
    <mergeCell ref="E9:E29"/>
    <mergeCell ref="H9:H29"/>
    <mergeCell ref="G52:G79"/>
    <mergeCell ref="H52:H79"/>
    <mergeCell ref="G80:G102"/>
    <mergeCell ref="H80:H102"/>
    <mergeCell ref="G103:G112"/>
    <mergeCell ref="H103:H112"/>
    <mergeCell ref="D9:D29"/>
    <mergeCell ref="D30:D51"/>
    <mergeCell ref="E30:E51"/>
    <mergeCell ref="F30:F51"/>
    <mergeCell ref="G30:G51"/>
    <mergeCell ref="H30:H51"/>
    <mergeCell ref="D52:D79"/>
    <mergeCell ref="E52:E79"/>
    <mergeCell ref="F52:F79"/>
    <mergeCell ref="D80:D102"/>
    <mergeCell ref="E80:E102"/>
    <mergeCell ref="F80:F102"/>
    <mergeCell ref="E103:E112"/>
    <mergeCell ref="F103:F112"/>
    <mergeCell ref="G132:G144"/>
    <mergeCell ref="H132:H144"/>
    <mergeCell ref="E211:E232"/>
    <mergeCell ref="F211:F232"/>
    <mergeCell ref="D233:D285"/>
    <mergeCell ref="E233:E285"/>
    <mergeCell ref="F233:F285"/>
    <mergeCell ref="G233:G285"/>
    <mergeCell ref="H233:H285"/>
    <mergeCell ref="G510:G542"/>
    <mergeCell ref="H510:H542"/>
    <mergeCell ref="D480:D491"/>
    <mergeCell ref="D492:D509"/>
    <mergeCell ref="E492:E509"/>
    <mergeCell ref="F492:F509"/>
    <mergeCell ref="G492:G509"/>
    <mergeCell ref="H492:H509"/>
    <mergeCell ref="D510:D542"/>
    <mergeCell ref="D286:D315"/>
    <mergeCell ref="E286:E315"/>
    <mergeCell ref="F286:F315"/>
    <mergeCell ref="G286:G315"/>
    <mergeCell ref="H286:H315"/>
    <mergeCell ref="E316:E361"/>
    <mergeCell ref="H316:H361"/>
    <mergeCell ref="F390:F404"/>
    <mergeCell ref="F405:F436"/>
    <mergeCell ref="G405:G436"/>
    <mergeCell ref="H405:H436"/>
    <mergeCell ref="F316:F361"/>
    <mergeCell ref="G316:G361"/>
    <mergeCell ref="F362:F389"/>
    <mergeCell ref="G362:G389"/>
    <mergeCell ref="H362:H389"/>
    <mergeCell ref="G390:G404"/>
    <mergeCell ref="H390:H404"/>
    <mergeCell ref="D316:D361"/>
    <mergeCell ref="D362:D389"/>
    <mergeCell ref="E362:E389"/>
    <mergeCell ref="D390:D404"/>
    <mergeCell ref="E390:E404"/>
    <mergeCell ref="D405:D436"/>
    <mergeCell ref="E405:E436"/>
    <mergeCell ref="F480:F491"/>
    <mergeCell ref="G480:G491"/>
    <mergeCell ref="D437:D479"/>
    <mergeCell ref="E437:E479"/>
    <mergeCell ref="F437:F479"/>
    <mergeCell ref="G437:G479"/>
    <mergeCell ref="H437:H479"/>
    <mergeCell ref="E480:E491"/>
    <mergeCell ref="H480:H491"/>
    <mergeCell ref="E510:E542"/>
    <mergeCell ref="F510:F542"/>
    <mergeCell ref="D543:D559"/>
    <mergeCell ref="E543:E559"/>
    <mergeCell ref="F543:F559"/>
    <mergeCell ref="G543:G559"/>
    <mergeCell ref="H543:H559"/>
    <mergeCell ref="F1229:F1242"/>
    <mergeCell ref="G1229:G1242"/>
    <mergeCell ref="D1181:D1228"/>
    <mergeCell ref="E1181:E1228"/>
    <mergeCell ref="F1181:F1228"/>
    <mergeCell ref="G1181:G1228"/>
    <mergeCell ref="H1181:H1228"/>
    <mergeCell ref="E1229:E1242"/>
    <mergeCell ref="H1229:H1242"/>
    <mergeCell ref="D1229:D1242"/>
    <mergeCell ref="D1243:D1262"/>
    <mergeCell ref="E1243:E1262"/>
    <mergeCell ref="F1243:F1262"/>
    <mergeCell ref="G1243:G1262"/>
    <mergeCell ref="H1243:H1262"/>
    <mergeCell ref="D1263:D1274"/>
    <mergeCell ref="E1263:E1274"/>
    <mergeCell ref="F1263:F1274"/>
    <mergeCell ref="D1275:D1282"/>
    <mergeCell ref="E1275:E1282"/>
    <mergeCell ref="F1275:F1282"/>
    <mergeCell ref="E1283:E1289"/>
    <mergeCell ref="F1283:F1289"/>
    <mergeCell ref="G1290:G1294"/>
    <mergeCell ref="G1295:G1299"/>
    <mergeCell ref="G1263:G1274"/>
    <mergeCell ref="H1263:H1274"/>
    <mergeCell ref="G1275:G1282"/>
    <mergeCell ref="H1275:H1282"/>
    <mergeCell ref="G1283:G1289"/>
    <mergeCell ref="H1283:H1289"/>
    <mergeCell ref="H1290:H1294"/>
    <mergeCell ref="H1295:H1299"/>
    <mergeCell ref="D1283:D1289"/>
    <mergeCell ref="D1290:D1294"/>
    <mergeCell ref="E1290:E1294"/>
    <mergeCell ref="F1290:F1294"/>
    <mergeCell ref="D1295:D1299"/>
    <mergeCell ref="E1295:E1299"/>
    <mergeCell ref="F1295:F1299"/>
  </mergeCells>
  <conditionalFormatting sqref="J2:J2505">
    <cfRule type="expression" dxfId="2" priority="1" stopIfTrue="1">
      <formula>COUNTIFS(INDIRECT("'Trang tính3'!A:A"),$B2,INDIRECT("'Trang tính3'!B:B"),$J2)&gt;0</formula>
    </cfRule>
  </conditionalFormatting>
  <conditionalFormatting sqref="K2:K2600">
    <cfRule type="cellIs" dxfId="7" priority="2" stopIfTrue="1" operator="equal">
      <formula>"CẦN SOÁT"</formula>
    </cfRule>
  </conditionalFormatting>
  <conditionalFormatting sqref="K2:K2600">
    <cfRule type="cellIs" dxfId="0" priority="3" stopIfTrue="1" operator="equal">
      <formula>"CÓ THỂ ĐI"</formula>
    </cfRule>
  </conditionalFormatting>
  <conditionalFormatting sqref="K2:K2600">
    <cfRule type="cellIs" dxfId="1" priority="4" stopIfTrue="1" operator="equal">
      <formula>"PHÙ HỢP CAO"</formula>
    </cfRule>
  </conditionalFormatting>
  <hyperlinks>
    <hyperlink r:id="rId1" ref="I2"/>
    <hyperlink r:id="rId2" ref="I3"/>
    <hyperlink r:id="rId3" ref="I4"/>
    <hyperlink r:id="rId4" ref="I5"/>
    <hyperlink r:id="rId5" ref="I6"/>
    <hyperlink r:id="rId6" ref="I7"/>
    <hyperlink r:id="rId7" ref="I8"/>
    <hyperlink r:id="rId8" ref="I9"/>
    <hyperlink r:id="rId9" ref="I10"/>
    <hyperlink r:id="rId10" ref="I11"/>
    <hyperlink r:id="rId11" ref="I12"/>
    <hyperlink r:id="rId12" ref="I13"/>
    <hyperlink r:id="rId13" ref="I14"/>
    <hyperlink r:id="rId14" ref="I15"/>
    <hyperlink r:id="rId15" ref="I16"/>
    <hyperlink r:id="rId16" ref="I17"/>
    <hyperlink r:id="rId17" ref="I18"/>
    <hyperlink r:id="rId18" ref="I19"/>
    <hyperlink r:id="rId19" ref="I20"/>
    <hyperlink r:id="rId20" ref="I21"/>
    <hyperlink r:id="rId21" ref="I22"/>
    <hyperlink r:id="rId22" ref="I23"/>
    <hyperlink r:id="rId23" ref="I24"/>
    <hyperlink r:id="rId24" ref="I25"/>
    <hyperlink r:id="rId25" ref="I26"/>
    <hyperlink r:id="rId26" ref="I27"/>
    <hyperlink r:id="rId27" ref="I28"/>
    <hyperlink r:id="rId28" ref="I29"/>
    <hyperlink r:id="rId29" ref="I30"/>
    <hyperlink r:id="rId30" ref="I31"/>
    <hyperlink r:id="rId31" ref="I32"/>
    <hyperlink r:id="rId32" ref="I33"/>
    <hyperlink r:id="rId33" ref="I34"/>
    <hyperlink r:id="rId34" ref="I35"/>
    <hyperlink r:id="rId35" ref="I36"/>
    <hyperlink r:id="rId36" ref="I37"/>
    <hyperlink r:id="rId37" ref="I38"/>
    <hyperlink r:id="rId38" ref="I39"/>
    <hyperlink r:id="rId39" ref="I40"/>
    <hyperlink r:id="rId40" ref="I41"/>
    <hyperlink r:id="rId41" ref="I42"/>
    <hyperlink r:id="rId42" ref="I43"/>
    <hyperlink r:id="rId43" ref="I44"/>
    <hyperlink r:id="rId44" ref="I45"/>
    <hyperlink r:id="rId45" ref="I46"/>
    <hyperlink r:id="rId46" ref="I47"/>
    <hyperlink r:id="rId47" ref="I48"/>
    <hyperlink r:id="rId48" ref="I49"/>
    <hyperlink r:id="rId49" ref="I50"/>
    <hyperlink r:id="rId50" ref="I51"/>
    <hyperlink r:id="rId51" ref="I52"/>
    <hyperlink r:id="rId52" ref="I53"/>
    <hyperlink r:id="rId53" ref="I54"/>
    <hyperlink r:id="rId54" ref="I55"/>
    <hyperlink r:id="rId55" ref="I56"/>
    <hyperlink r:id="rId56" ref="I57"/>
    <hyperlink r:id="rId57" ref="I58"/>
    <hyperlink r:id="rId58" ref="I59"/>
    <hyperlink r:id="rId59" ref="I60"/>
    <hyperlink r:id="rId60" ref="I61"/>
    <hyperlink r:id="rId61" ref="I62"/>
    <hyperlink r:id="rId62" ref="I63"/>
    <hyperlink r:id="rId63" ref="I64"/>
    <hyperlink r:id="rId64" ref="I65"/>
    <hyperlink r:id="rId65" ref="I66"/>
    <hyperlink r:id="rId66" ref="I67"/>
    <hyperlink r:id="rId67" ref="I68"/>
    <hyperlink r:id="rId68" ref="I69"/>
    <hyperlink r:id="rId69" ref="I70"/>
    <hyperlink r:id="rId70" ref="I71"/>
    <hyperlink r:id="rId71" ref="I72"/>
    <hyperlink r:id="rId72" ref="I73"/>
    <hyperlink r:id="rId73" ref="I74"/>
    <hyperlink r:id="rId74" ref="I75"/>
    <hyperlink r:id="rId75" ref="I76"/>
    <hyperlink r:id="rId76" ref="I77"/>
    <hyperlink r:id="rId77" ref="I78"/>
    <hyperlink r:id="rId78" ref="I79"/>
    <hyperlink r:id="rId79" ref="I80"/>
    <hyperlink r:id="rId80" ref="I81"/>
    <hyperlink r:id="rId81" ref="I82"/>
    <hyperlink r:id="rId82" ref="I83"/>
    <hyperlink r:id="rId83" ref="I84"/>
    <hyperlink r:id="rId84" ref="I85"/>
    <hyperlink r:id="rId85" ref="I86"/>
    <hyperlink r:id="rId86" ref="I87"/>
    <hyperlink r:id="rId87" ref="I88"/>
    <hyperlink r:id="rId88" ref="I89"/>
    <hyperlink r:id="rId89" ref="I90"/>
    <hyperlink r:id="rId90" ref="I91"/>
    <hyperlink r:id="rId91" ref="I92"/>
    <hyperlink r:id="rId92" ref="I93"/>
    <hyperlink r:id="rId93" ref="I94"/>
    <hyperlink r:id="rId94" ref="I95"/>
    <hyperlink r:id="rId95" ref="I96"/>
    <hyperlink r:id="rId96" ref="I97"/>
    <hyperlink r:id="rId97" ref="I98"/>
    <hyperlink r:id="rId98" ref="I99"/>
    <hyperlink r:id="rId99" ref="I100"/>
    <hyperlink r:id="rId100" ref="I101"/>
    <hyperlink r:id="rId101" ref="I102"/>
    <hyperlink r:id="rId102" ref="I103"/>
    <hyperlink r:id="rId103" ref="I104"/>
    <hyperlink r:id="rId104" ref="I105"/>
    <hyperlink r:id="rId105" ref="I106"/>
    <hyperlink r:id="rId106" ref="I107"/>
    <hyperlink r:id="rId107" ref="I108"/>
    <hyperlink r:id="rId108" ref="I109"/>
    <hyperlink r:id="rId109" ref="I110"/>
    <hyperlink r:id="rId110" ref="I111"/>
    <hyperlink r:id="rId111" ref="I112"/>
    <hyperlink r:id="rId112" ref="I113"/>
    <hyperlink r:id="rId113" ref="I114"/>
    <hyperlink r:id="rId114" ref="I115"/>
    <hyperlink r:id="rId115" ref="I116"/>
    <hyperlink r:id="rId116" ref="I117"/>
    <hyperlink r:id="rId117" ref="I118"/>
    <hyperlink r:id="rId118" ref="I119"/>
    <hyperlink r:id="rId119" ref="I120"/>
    <hyperlink r:id="rId120" ref="I121"/>
    <hyperlink r:id="rId121" ref="I122"/>
    <hyperlink r:id="rId122" ref="I123"/>
    <hyperlink r:id="rId123" ref="I124"/>
    <hyperlink r:id="rId124" ref="I125"/>
    <hyperlink r:id="rId125" ref="I126"/>
    <hyperlink r:id="rId126" ref="I127"/>
    <hyperlink r:id="rId127" ref="I128"/>
    <hyperlink r:id="rId128" ref="I129"/>
    <hyperlink r:id="rId129" ref="I130"/>
    <hyperlink r:id="rId130" ref="I131"/>
    <hyperlink r:id="rId131" ref="I132"/>
    <hyperlink r:id="rId132" ref="I133"/>
    <hyperlink r:id="rId133" ref="I134"/>
    <hyperlink r:id="rId134" ref="I135"/>
    <hyperlink r:id="rId135" ref="I136"/>
    <hyperlink r:id="rId136" ref="I137"/>
    <hyperlink r:id="rId137" ref="I138"/>
    <hyperlink r:id="rId138" ref="I139"/>
    <hyperlink r:id="rId139" ref="I140"/>
    <hyperlink r:id="rId140" ref="I141"/>
    <hyperlink r:id="rId141" ref="I142"/>
    <hyperlink r:id="rId142" ref="I143"/>
    <hyperlink r:id="rId143" ref="I144"/>
    <hyperlink r:id="rId144" ref="I145"/>
    <hyperlink r:id="rId145" ref="I146"/>
    <hyperlink r:id="rId146" ref="I147"/>
    <hyperlink r:id="rId147" ref="I148"/>
    <hyperlink r:id="rId148" ref="I149"/>
    <hyperlink r:id="rId149" ref="I150"/>
    <hyperlink r:id="rId150" ref="I151"/>
    <hyperlink r:id="rId151" ref="I152"/>
    <hyperlink r:id="rId152" ref="I153"/>
    <hyperlink r:id="rId153" ref="I154"/>
    <hyperlink r:id="rId154" ref="I155"/>
    <hyperlink r:id="rId155" ref="I156"/>
    <hyperlink r:id="rId156" ref="I157"/>
    <hyperlink r:id="rId157" ref="I158"/>
    <hyperlink r:id="rId158" ref="I159"/>
    <hyperlink r:id="rId159" ref="I160"/>
    <hyperlink r:id="rId160" ref="I161"/>
    <hyperlink r:id="rId161" ref="I162"/>
    <hyperlink r:id="rId162" ref="I163"/>
    <hyperlink r:id="rId163" ref="I164"/>
    <hyperlink r:id="rId164" ref="I165"/>
    <hyperlink r:id="rId165" ref="I166"/>
    <hyperlink r:id="rId166" ref="I167"/>
    <hyperlink r:id="rId167" ref="I168"/>
    <hyperlink r:id="rId168" ref="I169"/>
    <hyperlink r:id="rId169" ref="I170"/>
    <hyperlink r:id="rId170" ref="I171"/>
    <hyperlink r:id="rId171" ref="I172"/>
    <hyperlink r:id="rId172" ref="I173"/>
    <hyperlink r:id="rId173" ref="I174"/>
    <hyperlink r:id="rId174" ref="I175"/>
    <hyperlink r:id="rId175" ref="I176"/>
    <hyperlink r:id="rId176" ref="I177"/>
    <hyperlink r:id="rId177" ref="I178"/>
    <hyperlink r:id="rId178" ref="I179"/>
    <hyperlink r:id="rId179" ref="I180"/>
    <hyperlink r:id="rId180" ref="I181"/>
    <hyperlink r:id="rId181" ref="I182"/>
    <hyperlink r:id="rId182" ref="I183"/>
    <hyperlink r:id="rId183" ref="I184"/>
    <hyperlink r:id="rId184" ref="I185"/>
    <hyperlink r:id="rId185" ref="I186"/>
    <hyperlink r:id="rId186" ref="I187"/>
    <hyperlink r:id="rId187" ref="I188"/>
    <hyperlink r:id="rId188" ref="I189"/>
    <hyperlink r:id="rId189" ref="I190"/>
    <hyperlink r:id="rId190" ref="I191"/>
    <hyperlink r:id="rId191" ref="I192"/>
    <hyperlink r:id="rId192" ref="I193"/>
    <hyperlink r:id="rId193" ref="I194"/>
    <hyperlink r:id="rId194" ref="I195"/>
    <hyperlink r:id="rId195" ref="I196"/>
    <hyperlink r:id="rId196" ref="I197"/>
    <hyperlink r:id="rId197" ref="I198"/>
    <hyperlink r:id="rId198" ref="I199"/>
    <hyperlink r:id="rId199" ref="I200"/>
    <hyperlink r:id="rId200" ref="I201"/>
    <hyperlink r:id="rId201" ref="I202"/>
    <hyperlink r:id="rId202" ref="I203"/>
    <hyperlink r:id="rId203" ref="I204"/>
    <hyperlink r:id="rId204" ref="I205"/>
    <hyperlink r:id="rId205" ref="I206"/>
    <hyperlink r:id="rId206" ref="I207"/>
    <hyperlink r:id="rId207" ref="I208"/>
    <hyperlink r:id="rId208" ref="I209"/>
    <hyperlink r:id="rId209" ref="I210"/>
    <hyperlink r:id="rId210" ref="I211"/>
    <hyperlink r:id="rId211" ref="I212"/>
    <hyperlink r:id="rId212" ref="I213"/>
    <hyperlink r:id="rId213" ref="I214"/>
    <hyperlink r:id="rId214" ref="I215"/>
    <hyperlink r:id="rId215" ref="I216"/>
    <hyperlink r:id="rId216" ref="I217"/>
    <hyperlink r:id="rId217" ref="I218"/>
    <hyperlink r:id="rId218" ref="I219"/>
    <hyperlink r:id="rId219" ref="I220"/>
    <hyperlink r:id="rId220" ref="I221"/>
    <hyperlink r:id="rId221" ref="I222"/>
    <hyperlink r:id="rId222" ref="I223"/>
    <hyperlink r:id="rId223" ref="I224"/>
    <hyperlink r:id="rId224" ref="I225"/>
    <hyperlink r:id="rId225" ref="I226"/>
    <hyperlink r:id="rId226" ref="I227"/>
    <hyperlink r:id="rId227" ref="I228"/>
    <hyperlink r:id="rId228" ref="I229"/>
    <hyperlink r:id="rId229" ref="I230"/>
    <hyperlink r:id="rId230" ref="I231"/>
    <hyperlink r:id="rId231" ref="I232"/>
    <hyperlink r:id="rId232" ref="I233"/>
    <hyperlink r:id="rId233" ref="I234"/>
    <hyperlink r:id="rId234" ref="I235"/>
    <hyperlink r:id="rId235" ref="I236"/>
    <hyperlink r:id="rId236" ref="I237"/>
    <hyperlink r:id="rId237" ref="I238"/>
    <hyperlink r:id="rId238" ref="I239"/>
    <hyperlink r:id="rId239" ref="I240"/>
    <hyperlink r:id="rId240" ref="I241"/>
    <hyperlink r:id="rId241" ref="I242"/>
    <hyperlink r:id="rId242" ref="I243"/>
    <hyperlink r:id="rId243" ref="I244"/>
    <hyperlink r:id="rId244" ref="I245"/>
    <hyperlink r:id="rId245" ref="I246"/>
    <hyperlink r:id="rId246" ref="I247"/>
    <hyperlink r:id="rId247" ref="I248"/>
    <hyperlink r:id="rId248" ref="I249"/>
    <hyperlink r:id="rId249" ref="I250"/>
    <hyperlink r:id="rId250" ref="I251"/>
    <hyperlink r:id="rId251" ref="I252"/>
    <hyperlink r:id="rId252" ref="I253"/>
    <hyperlink r:id="rId253" ref="I254"/>
    <hyperlink r:id="rId254" ref="I255"/>
    <hyperlink r:id="rId255" ref="I256"/>
    <hyperlink r:id="rId256" ref="I257"/>
    <hyperlink r:id="rId257" ref="I258"/>
    <hyperlink r:id="rId258" ref="I259"/>
    <hyperlink r:id="rId259" ref="I260"/>
    <hyperlink r:id="rId260" ref="I261"/>
    <hyperlink r:id="rId261" ref="I262"/>
    <hyperlink r:id="rId262" ref="I263"/>
    <hyperlink r:id="rId263" ref="I264"/>
    <hyperlink r:id="rId264" ref="I265"/>
    <hyperlink r:id="rId265" ref="I266"/>
    <hyperlink r:id="rId266" ref="I267"/>
    <hyperlink r:id="rId267" ref="I268"/>
    <hyperlink r:id="rId268" ref="I269"/>
    <hyperlink r:id="rId269" ref="I270"/>
    <hyperlink r:id="rId270" ref="I271"/>
    <hyperlink r:id="rId271" ref="I272"/>
    <hyperlink r:id="rId272" ref="I273"/>
    <hyperlink r:id="rId273" ref="I274"/>
    <hyperlink r:id="rId274" ref="I275"/>
    <hyperlink r:id="rId275" ref="I276"/>
    <hyperlink r:id="rId276" ref="I277"/>
    <hyperlink r:id="rId277" ref="I278"/>
    <hyperlink r:id="rId278" ref="I279"/>
    <hyperlink r:id="rId279" ref="I280"/>
    <hyperlink r:id="rId280" ref="I281"/>
    <hyperlink r:id="rId281" ref="I282"/>
    <hyperlink r:id="rId282" ref="I283"/>
    <hyperlink r:id="rId283" ref="I284"/>
    <hyperlink r:id="rId284" ref="I285"/>
    <hyperlink r:id="rId285" ref="I286"/>
    <hyperlink r:id="rId286" ref="I287"/>
    <hyperlink r:id="rId287" ref="I288"/>
    <hyperlink r:id="rId288" ref="I289"/>
    <hyperlink r:id="rId289" ref="I290"/>
    <hyperlink r:id="rId290" ref="I291"/>
    <hyperlink r:id="rId291" ref="I292"/>
    <hyperlink r:id="rId292" ref="I293"/>
    <hyperlink r:id="rId293" ref="I294"/>
    <hyperlink r:id="rId294" ref="I295"/>
    <hyperlink r:id="rId295" ref="I296"/>
    <hyperlink r:id="rId296" ref="I297"/>
    <hyperlink r:id="rId297" ref="I298"/>
    <hyperlink r:id="rId298" ref="I299"/>
    <hyperlink r:id="rId299" ref="I300"/>
    <hyperlink r:id="rId300" ref="I301"/>
    <hyperlink r:id="rId301" ref="I302"/>
    <hyperlink r:id="rId302" ref="I303"/>
    <hyperlink r:id="rId303" ref="I304"/>
    <hyperlink r:id="rId304" ref="I305"/>
    <hyperlink r:id="rId305" ref="I306"/>
    <hyperlink r:id="rId306" ref="I307"/>
    <hyperlink r:id="rId307" ref="I308"/>
    <hyperlink r:id="rId308" ref="I309"/>
    <hyperlink r:id="rId309" ref="I310"/>
    <hyperlink r:id="rId310" ref="I311"/>
    <hyperlink r:id="rId311" ref="I312"/>
    <hyperlink r:id="rId312" ref="I313"/>
    <hyperlink r:id="rId313" ref="I314"/>
    <hyperlink r:id="rId314" ref="I315"/>
    <hyperlink r:id="rId315" ref="I316"/>
    <hyperlink r:id="rId316" ref="I317"/>
    <hyperlink r:id="rId317" ref="I318"/>
    <hyperlink r:id="rId318" ref="I319"/>
    <hyperlink r:id="rId319" ref="I320"/>
    <hyperlink r:id="rId320" ref="I321"/>
    <hyperlink r:id="rId321" ref="I322"/>
    <hyperlink r:id="rId322" ref="I323"/>
    <hyperlink r:id="rId323" ref="I324"/>
    <hyperlink r:id="rId324" ref="I325"/>
    <hyperlink r:id="rId325" ref="I326"/>
    <hyperlink r:id="rId326" ref="I327"/>
    <hyperlink r:id="rId327" ref="I328"/>
    <hyperlink r:id="rId328" ref="I329"/>
    <hyperlink r:id="rId329" ref="I330"/>
    <hyperlink r:id="rId330" ref="I331"/>
    <hyperlink r:id="rId331" ref="I332"/>
    <hyperlink r:id="rId332" ref="I333"/>
    <hyperlink r:id="rId333" ref="I334"/>
    <hyperlink r:id="rId334" ref="I335"/>
    <hyperlink r:id="rId335" ref="I336"/>
    <hyperlink r:id="rId336" ref="I337"/>
    <hyperlink r:id="rId337" ref="I338"/>
    <hyperlink r:id="rId338" ref="I339"/>
    <hyperlink r:id="rId339" ref="I340"/>
    <hyperlink r:id="rId340" ref="I341"/>
    <hyperlink r:id="rId341" ref="I342"/>
    <hyperlink r:id="rId342" ref="I343"/>
    <hyperlink r:id="rId343" ref="I344"/>
    <hyperlink r:id="rId344" ref="I345"/>
    <hyperlink r:id="rId345" ref="I346"/>
    <hyperlink r:id="rId346" ref="I347"/>
    <hyperlink r:id="rId347" ref="I348"/>
    <hyperlink r:id="rId348" ref="I349"/>
    <hyperlink r:id="rId349" ref="I350"/>
    <hyperlink r:id="rId350" ref="I351"/>
    <hyperlink r:id="rId351" ref="I352"/>
    <hyperlink r:id="rId352" ref="I353"/>
    <hyperlink r:id="rId353" ref="I354"/>
    <hyperlink r:id="rId354" ref="I355"/>
    <hyperlink r:id="rId355" ref="I356"/>
    <hyperlink r:id="rId356" ref="I357"/>
    <hyperlink r:id="rId357" ref="I358"/>
    <hyperlink r:id="rId358" ref="I359"/>
    <hyperlink r:id="rId359" ref="I360"/>
    <hyperlink r:id="rId360" ref="I361"/>
    <hyperlink r:id="rId361" ref="I362"/>
    <hyperlink r:id="rId362" ref="I363"/>
    <hyperlink r:id="rId363" ref="I364"/>
    <hyperlink r:id="rId364" ref="I365"/>
    <hyperlink r:id="rId365" ref="I366"/>
    <hyperlink r:id="rId366" ref="I367"/>
    <hyperlink r:id="rId367" ref="I368"/>
    <hyperlink r:id="rId368" ref="I369"/>
    <hyperlink r:id="rId369" ref="I370"/>
    <hyperlink r:id="rId370" ref="I371"/>
    <hyperlink r:id="rId371" ref="I372"/>
    <hyperlink r:id="rId372" ref="I373"/>
    <hyperlink r:id="rId373" ref="I374"/>
    <hyperlink r:id="rId374" ref="I375"/>
    <hyperlink r:id="rId375" ref="I376"/>
    <hyperlink r:id="rId376" ref="I377"/>
    <hyperlink r:id="rId377" ref="I378"/>
    <hyperlink r:id="rId378" ref="I379"/>
    <hyperlink r:id="rId379" ref="I380"/>
    <hyperlink r:id="rId380" ref="I381"/>
    <hyperlink r:id="rId381" ref="I382"/>
    <hyperlink r:id="rId382" ref="I383"/>
    <hyperlink r:id="rId383" ref="I384"/>
    <hyperlink r:id="rId384" ref="I385"/>
    <hyperlink r:id="rId385" ref="I386"/>
    <hyperlink r:id="rId386" ref="I387"/>
    <hyperlink r:id="rId387" ref="I388"/>
    <hyperlink r:id="rId388" ref="I389"/>
    <hyperlink r:id="rId389" ref="I390"/>
    <hyperlink r:id="rId390" ref="I391"/>
    <hyperlink r:id="rId391" ref="I392"/>
    <hyperlink r:id="rId392" ref="I393"/>
    <hyperlink r:id="rId393" ref="I394"/>
    <hyperlink r:id="rId394" ref="I395"/>
    <hyperlink r:id="rId395" ref="I396"/>
    <hyperlink r:id="rId396" ref="I397"/>
    <hyperlink r:id="rId397" ref="I398"/>
    <hyperlink r:id="rId398" ref="I399"/>
    <hyperlink r:id="rId399" ref="I400"/>
    <hyperlink r:id="rId400" ref="I401"/>
    <hyperlink r:id="rId401" ref="I402"/>
    <hyperlink r:id="rId402" ref="I403"/>
    <hyperlink r:id="rId403" ref="I404"/>
    <hyperlink r:id="rId404" ref="I405"/>
    <hyperlink r:id="rId405" ref="I406"/>
    <hyperlink r:id="rId406" ref="I407"/>
    <hyperlink r:id="rId407" ref="I408"/>
    <hyperlink r:id="rId408" ref="I409"/>
    <hyperlink r:id="rId409" ref="I410"/>
    <hyperlink r:id="rId410" ref="I411"/>
    <hyperlink r:id="rId411" ref="I412"/>
    <hyperlink r:id="rId412" ref="I413"/>
    <hyperlink r:id="rId413" ref="I414"/>
    <hyperlink r:id="rId414" ref="I415"/>
    <hyperlink r:id="rId415" ref="I416"/>
    <hyperlink r:id="rId416" ref="I417"/>
    <hyperlink r:id="rId417" ref="I418"/>
    <hyperlink r:id="rId418" ref="I419"/>
    <hyperlink r:id="rId419" ref="I420"/>
    <hyperlink r:id="rId420" ref="I421"/>
    <hyperlink r:id="rId421" ref="I422"/>
    <hyperlink r:id="rId422" ref="I423"/>
    <hyperlink r:id="rId423" ref="I424"/>
    <hyperlink r:id="rId424" ref="I425"/>
    <hyperlink r:id="rId425" ref="I426"/>
    <hyperlink r:id="rId426" ref="I427"/>
    <hyperlink r:id="rId427" ref="I428"/>
    <hyperlink r:id="rId428" ref="I429"/>
    <hyperlink r:id="rId429" ref="I430"/>
    <hyperlink r:id="rId430" ref="I431"/>
    <hyperlink r:id="rId431" ref="I432"/>
    <hyperlink r:id="rId432" ref="I433"/>
    <hyperlink r:id="rId433" ref="I434"/>
    <hyperlink r:id="rId434" ref="I435"/>
    <hyperlink r:id="rId435" ref="I436"/>
    <hyperlink r:id="rId436" ref="I437"/>
    <hyperlink r:id="rId437" ref="I438"/>
    <hyperlink r:id="rId438" ref="I439"/>
    <hyperlink r:id="rId439" ref="I440"/>
    <hyperlink r:id="rId440" ref="I441"/>
    <hyperlink r:id="rId441" ref="I442"/>
    <hyperlink r:id="rId442" ref="I443"/>
    <hyperlink r:id="rId443" ref="I444"/>
    <hyperlink r:id="rId444" ref="I445"/>
    <hyperlink r:id="rId445" ref="I446"/>
    <hyperlink r:id="rId446" ref="I447"/>
    <hyperlink r:id="rId447" ref="I448"/>
    <hyperlink r:id="rId448" ref="I449"/>
    <hyperlink r:id="rId449" ref="I450"/>
    <hyperlink r:id="rId450" ref="I451"/>
    <hyperlink r:id="rId451" ref="I452"/>
    <hyperlink r:id="rId452" ref="I453"/>
    <hyperlink r:id="rId453" ref="I454"/>
    <hyperlink r:id="rId454" ref="I455"/>
    <hyperlink r:id="rId455" ref="I456"/>
    <hyperlink r:id="rId456" ref="I457"/>
    <hyperlink r:id="rId457" ref="I458"/>
    <hyperlink r:id="rId458" ref="I459"/>
    <hyperlink r:id="rId459" ref="I460"/>
    <hyperlink r:id="rId460" ref="I461"/>
    <hyperlink r:id="rId461" ref="I462"/>
    <hyperlink r:id="rId462" ref="I463"/>
    <hyperlink r:id="rId463" ref="I464"/>
    <hyperlink r:id="rId464" ref="I465"/>
    <hyperlink r:id="rId465" ref="I466"/>
    <hyperlink r:id="rId466" ref="I467"/>
    <hyperlink r:id="rId467" ref="I468"/>
    <hyperlink r:id="rId468" ref="I469"/>
    <hyperlink r:id="rId469" ref="I470"/>
    <hyperlink r:id="rId470" ref="I471"/>
    <hyperlink r:id="rId471" ref="I472"/>
    <hyperlink r:id="rId472" ref="I473"/>
    <hyperlink r:id="rId473" ref="I474"/>
    <hyperlink r:id="rId474" ref="I475"/>
    <hyperlink r:id="rId475" ref="I476"/>
    <hyperlink r:id="rId476" ref="I477"/>
    <hyperlink r:id="rId477" ref="I478"/>
    <hyperlink r:id="rId478" ref="I479"/>
    <hyperlink r:id="rId479" ref="I480"/>
    <hyperlink r:id="rId480" ref="I481"/>
    <hyperlink r:id="rId481" ref="I482"/>
    <hyperlink r:id="rId482" ref="I483"/>
    <hyperlink r:id="rId483" ref="I484"/>
    <hyperlink r:id="rId484" ref="I485"/>
    <hyperlink r:id="rId485" ref="I486"/>
    <hyperlink r:id="rId486" ref="I487"/>
    <hyperlink r:id="rId487" ref="I488"/>
    <hyperlink r:id="rId488" ref="I489"/>
    <hyperlink r:id="rId489" ref="I490"/>
    <hyperlink r:id="rId490" ref="I491"/>
    <hyperlink r:id="rId491" ref="I492"/>
    <hyperlink r:id="rId492" ref="I493"/>
    <hyperlink r:id="rId493" ref="I494"/>
    <hyperlink r:id="rId494" ref="I495"/>
    <hyperlink r:id="rId495" ref="I496"/>
    <hyperlink r:id="rId496" ref="I497"/>
    <hyperlink r:id="rId497" ref="I498"/>
    <hyperlink r:id="rId498" ref="I499"/>
    <hyperlink r:id="rId499" ref="I500"/>
    <hyperlink r:id="rId500" ref="I501"/>
    <hyperlink r:id="rId501" ref="I502"/>
    <hyperlink r:id="rId502" ref="I503"/>
    <hyperlink r:id="rId503" ref="I504"/>
    <hyperlink r:id="rId504" ref="I505"/>
    <hyperlink r:id="rId505" ref="I506"/>
    <hyperlink r:id="rId506" ref="I507"/>
    <hyperlink r:id="rId507" ref="I508"/>
    <hyperlink r:id="rId508" ref="I509"/>
    <hyperlink r:id="rId509" ref="I510"/>
    <hyperlink r:id="rId510" ref="I511"/>
    <hyperlink r:id="rId511" ref="I512"/>
    <hyperlink r:id="rId512" ref="I513"/>
    <hyperlink r:id="rId513" ref="I514"/>
    <hyperlink r:id="rId514" ref="I515"/>
    <hyperlink r:id="rId515" ref="I516"/>
    <hyperlink r:id="rId516" ref="I517"/>
    <hyperlink r:id="rId517" ref="I518"/>
    <hyperlink r:id="rId518" ref="I519"/>
    <hyperlink r:id="rId519" ref="I520"/>
    <hyperlink r:id="rId520" ref="I521"/>
    <hyperlink r:id="rId521" ref="I522"/>
    <hyperlink r:id="rId522" ref="I523"/>
    <hyperlink r:id="rId523" ref="I524"/>
    <hyperlink r:id="rId524" ref="I525"/>
    <hyperlink r:id="rId525" ref="I526"/>
    <hyperlink r:id="rId526" ref="I527"/>
    <hyperlink r:id="rId527" ref="I528"/>
    <hyperlink r:id="rId528" ref="I529"/>
    <hyperlink r:id="rId529" ref="I530"/>
    <hyperlink r:id="rId530" ref="I531"/>
    <hyperlink r:id="rId531" ref="I532"/>
    <hyperlink r:id="rId532" ref="I533"/>
    <hyperlink r:id="rId533" ref="I534"/>
    <hyperlink r:id="rId534" ref="I535"/>
    <hyperlink r:id="rId535" ref="I536"/>
    <hyperlink r:id="rId536" ref="I537"/>
    <hyperlink r:id="rId537" ref="I538"/>
    <hyperlink r:id="rId538" ref="I539"/>
    <hyperlink r:id="rId539" ref="I540"/>
    <hyperlink r:id="rId540" ref="I541"/>
    <hyperlink r:id="rId541" ref="I542"/>
    <hyperlink r:id="rId542" ref="I543"/>
    <hyperlink r:id="rId543" ref="I544"/>
    <hyperlink r:id="rId544" ref="I545"/>
    <hyperlink r:id="rId545" ref="I546"/>
    <hyperlink r:id="rId546" ref="I547"/>
    <hyperlink r:id="rId547" ref="I548"/>
    <hyperlink r:id="rId548" ref="I549"/>
    <hyperlink r:id="rId549" ref="I550"/>
    <hyperlink r:id="rId550" ref="I551"/>
    <hyperlink r:id="rId551" ref="I552"/>
    <hyperlink r:id="rId552" ref="I553"/>
    <hyperlink r:id="rId553" ref="I554"/>
    <hyperlink r:id="rId554" ref="I555"/>
    <hyperlink r:id="rId555" ref="I556"/>
    <hyperlink r:id="rId556" ref="I557"/>
    <hyperlink r:id="rId557" ref="I558"/>
    <hyperlink r:id="rId558" ref="I559"/>
    <hyperlink r:id="rId559" ref="I560"/>
    <hyperlink r:id="rId560" ref="I561"/>
    <hyperlink r:id="rId561" ref="I562"/>
    <hyperlink r:id="rId562" ref="I563"/>
    <hyperlink r:id="rId563" ref="I564"/>
    <hyperlink r:id="rId564" ref="I565"/>
    <hyperlink r:id="rId565" ref="I566"/>
    <hyperlink r:id="rId566" ref="I567"/>
    <hyperlink r:id="rId567" ref="I568"/>
    <hyperlink r:id="rId568" ref="I569"/>
    <hyperlink r:id="rId569" ref="I570"/>
    <hyperlink r:id="rId570" ref="I571"/>
    <hyperlink r:id="rId571" ref="I572"/>
    <hyperlink r:id="rId572" ref="I573"/>
    <hyperlink r:id="rId573" ref="I574"/>
    <hyperlink r:id="rId574" ref="I575"/>
    <hyperlink r:id="rId575" ref="I576"/>
    <hyperlink r:id="rId576" ref="I577"/>
    <hyperlink r:id="rId577" ref="I578"/>
    <hyperlink r:id="rId578" ref="I579"/>
    <hyperlink r:id="rId579" ref="I580"/>
    <hyperlink r:id="rId580" ref="I581"/>
    <hyperlink r:id="rId581" ref="I582"/>
    <hyperlink r:id="rId582" ref="I583"/>
    <hyperlink r:id="rId583" ref="I584"/>
    <hyperlink r:id="rId584" ref="I585"/>
    <hyperlink r:id="rId585" ref="I586"/>
    <hyperlink r:id="rId586" ref="I587"/>
    <hyperlink r:id="rId587" ref="I588"/>
    <hyperlink r:id="rId588" ref="I589"/>
    <hyperlink r:id="rId589" ref="I590"/>
    <hyperlink r:id="rId590" ref="I591"/>
    <hyperlink r:id="rId591" ref="I592"/>
    <hyperlink r:id="rId592" ref="I593"/>
    <hyperlink r:id="rId593" ref="I594"/>
    <hyperlink r:id="rId594" ref="I595"/>
    <hyperlink r:id="rId595" ref="I596"/>
    <hyperlink r:id="rId596" ref="I597"/>
    <hyperlink r:id="rId597" ref="I598"/>
    <hyperlink r:id="rId598" ref="I599"/>
    <hyperlink r:id="rId599" ref="I600"/>
    <hyperlink r:id="rId600" ref="I601"/>
    <hyperlink r:id="rId601" ref="I602"/>
    <hyperlink r:id="rId602" ref="I603"/>
    <hyperlink r:id="rId603" ref="I604"/>
    <hyperlink r:id="rId604" ref="I605"/>
    <hyperlink r:id="rId605" ref="I606"/>
    <hyperlink r:id="rId606" ref="I607"/>
    <hyperlink r:id="rId607" ref="I608"/>
    <hyperlink r:id="rId608" ref="I609"/>
    <hyperlink r:id="rId609" ref="I610"/>
    <hyperlink r:id="rId610" ref="I611"/>
    <hyperlink r:id="rId611" ref="I612"/>
    <hyperlink r:id="rId612" ref="I613"/>
    <hyperlink r:id="rId613" ref="I614"/>
    <hyperlink r:id="rId614" ref="I615"/>
    <hyperlink r:id="rId615" ref="I616"/>
    <hyperlink r:id="rId616" ref="I617"/>
    <hyperlink r:id="rId617" ref="I618"/>
    <hyperlink r:id="rId618" ref="I619"/>
    <hyperlink r:id="rId619" ref="I620"/>
    <hyperlink r:id="rId620" ref="I621"/>
    <hyperlink r:id="rId621" ref="I622"/>
    <hyperlink r:id="rId622" ref="I623"/>
    <hyperlink r:id="rId623" ref="I624"/>
    <hyperlink r:id="rId624" ref="I625"/>
    <hyperlink r:id="rId625" ref="I626"/>
    <hyperlink r:id="rId626" ref="I627"/>
    <hyperlink r:id="rId627" ref="I628"/>
    <hyperlink r:id="rId628" ref="I629"/>
    <hyperlink r:id="rId629" ref="I630"/>
    <hyperlink r:id="rId630" ref="I631"/>
    <hyperlink r:id="rId631" ref="I632"/>
    <hyperlink r:id="rId632" ref="I633"/>
    <hyperlink r:id="rId633" ref="I634"/>
    <hyperlink r:id="rId634" ref="I635"/>
    <hyperlink r:id="rId635" ref="I636"/>
    <hyperlink r:id="rId636" ref="I637"/>
    <hyperlink r:id="rId637" ref="I638"/>
    <hyperlink r:id="rId638" ref="I639"/>
    <hyperlink r:id="rId639" ref="I640"/>
    <hyperlink r:id="rId640" ref="I641"/>
    <hyperlink r:id="rId641" ref="I642"/>
    <hyperlink r:id="rId642" ref="I643"/>
    <hyperlink r:id="rId643" ref="I644"/>
    <hyperlink r:id="rId644" ref="I645"/>
    <hyperlink r:id="rId645" ref="I646"/>
    <hyperlink r:id="rId646" ref="I647"/>
    <hyperlink r:id="rId647" ref="I648"/>
    <hyperlink r:id="rId648" ref="I649"/>
    <hyperlink r:id="rId649" ref="I650"/>
    <hyperlink r:id="rId650" ref="I651"/>
    <hyperlink r:id="rId651" ref="I652"/>
    <hyperlink r:id="rId652" ref="I653"/>
    <hyperlink r:id="rId653" ref="I654"/>
    <hyperlink r:id="rId654" ref="I655"/>
    <hyperlink r:id="rId655" ref="I656"/>
    <hyperlink r:id="rId656" ref="I657"/>
    <hyperlink r:id="rId657" ref="I658"/>
    <hyperlink r:id="rId658" ref="I659"/>
    <hyperlink r:id="rId659" ref="I660"/>
    <hyperlink r:id="rId660" ref="I661"/>
    <hyperlink r:id="rId661" ref="I662"/>
    <hyperlink r:id="rId662" ref="I663"/>
    <hyperlink r:id="rId663" ref="I664"/>
    <hyperlink r:id="rId664" ref="I665"/>
    <hyperlink r:id="rId665" ref="I666"/>
    <hyperlink r:id="rId666" ref="I667"/>
    <hyperlink r:id="rId667" ref="I668"/>
    <hyperlink r:id="rId668" ref="I669"/>
    <hyperlink r:id="rId669" ref="I670"/>
    <hyperlink r:id="rId670" ref="I671"/>
    <hyperlink r:id="rId671" ref="I672"/>
    <hyperlink r:id="rId672" ref="I673"/>
    <hyperlink r:id="rId673" ref="I674"/>
    <hyperlink r:id="rId674" ref="I675"/>
    <hyperlink r:id="rId675" ref="I676"/>
    <hyperlink r:id="rId676" ref="I677"/>
    <hyperlink r:id="rId677" ref="I678"/>
    <hyperlink r:id="rId678" ref="I679"/>
    <hyperlink r:id="rId679" ref="I680"/>
    <hyperlink r:id="rId680" ref="I681"/>
    <hyperlink r:id="rId681" ref="I682"/>
    <hyperlink r:id="rId682" ref="I683"/>
    <hyperlink r:id="rId683" ref="I684"/>
    <hyperlink r:id="rId684" ref="I685"/>
    <hyperlink r:id="rId685" ref="I686"/>
    <hyperlink r:id="rId686" ref="I687"/>
    <hyperlink r:id="rId687" ref="I688"/>
    <hyperlink r:id="rId688" ref="I689"/>
    <hyperlink r:id="rId689" ref="I690"/>
    <hyperlink r:id="rId690" ref="I691"/>
    <hyperlink r:id="rId691" ref="I692"/>
    <hyperlink r:id="rId692" ref="I693"/>
    <hyperlink r:id="rId693" ref="I694"/>
    <hyperlink r:id="rId694" ref="I695"/>
    <hyperlink r:id="rId695" ref="I696"/>
    <hyperlink r:id="rId696" ref="I697"/>
    <hyperlink r:id="rId697" ref="I698"/>
    <hyperlink r:id="rId698" ref="I699"/>
    <hyperlink r:id="rId699" ref="I700"/>
    <hyperlink r:id="rId700" ref="I701"/>
    <hyperlink r:id="rId701" ref="I702"/>
    <hyperlink r:id="rId702" ref="I703"/>
    <hyperlink r:id="rId703" ref="I704"/>
    <hyperlink r:id="rId704" ref="I705"/>
    <hyperlink r:id="rId705" ref="I706"/>
    <hyperlink r:id="rId706" ref="I707"/>
    <hyperlink r:id="rId707" ref="I708"/>
    <hyperlink r:id="rId708" ref="I709"/>
    <hyperlink r:id="rId709" ref="I710"/>
    <hyperlink r:id="rId710" ref="I711"/>
    <hyperlink r:id="rId711" ref="I712"/>
    <hyperlink r:id="rId712" ref="I713"/>
    <hyperlink r:id="rId713" ref="I714"/>
    <hyperlink r:id="rId714" ref="I715"/>
    <hyperlink r:id="rId715" ref="I716"/>
    <hyperlink r:id="rId716" ref="I717"/>
    <hyperlink r:id="rId717" ref="I718"/>
    <hyperlink r:id="rId718" ref="I719"/>
    <hyperlink r:id="rId719" ref="I720"/>
    <hyperlink r:id="rId720" ref="I721"/>
    <hyperlink r:id="rId721" ref="I722"/>
    <hyperlink r:id="rId722" ref="I723"/>
    <hyperlink r:id="rId723" ref="I724"/>
    <hyperlink r:id="rId724" ref="I725"/>
    <hyperlink r:id="rId725" ref="I726"/>
    <hyperlink r:id="rId726" ref="I727"/>
    <hyperlink r:id="rId727" ref="I728"/>
    <hyperlink r:id="rId728" ref="I729"/>
    <hyperlink r:id="rId729" ref="I730"/>
    <hyperlink r:id="rId730" ref="I731"/>
    <hyperlink r:id="rId731" ref="I732"/>
    <hyperlink r:id="rId732" ref="I733"/>
    <hyperlink r:id="rId733" ref="I734"/>
    <hyperlink r:id="rId734" ref="I735"/>
    <hyperlink r:id="rId735" ref="I736"/>
    <hyperlink r:id="rId736" ref="I737"/>
    <hyperlink r:id="rId737" ref="I738"/>
    <hyperlink r:id="rId738" ref="I739"/>
    <hyperlink r:id="rId739" ref="I740"/>
    <hyperlink r:id="rId740" ref="I741"/>
    <hyperlink r:id="rId741" ref="I742"/>
    <hyperlink r:id="rId742" ref="I743"/>
    <hyperlink r:id="rId743" ref="I744"/>
    <hyperlink r:id="rId744" ref="I745"/>
    <hyperlink r:id="rId745" ref="I746"/>
    <hyperlink r:id="rId746" ref="I747"/>
    <hyperlink r:id="rId747" ref="I748"/>
    <hyperlink r:id="rId748" ref="I749"/>
    <hyperlink r:id="rId749" ref="I750"/>
    <hyperlink r:id="rId750" ref="I751"/>
    <hyperlink r:id="rId751" ref="I752"/>
    <hyperlink r:id="rId752" ref="I753"/>
    <hyperlink r:id="rId753" ref="I754"/>
    <hyperlink r:id="rId754" ref="I755"/>
    <hyperlink r:id="rId755" ref="I756"/>
    <hyperlink r:id="rId756" ref="I757"/>
    <hyperlink r:id="rId757" ref="I758"/>
    <hyperlink r:id="rId758" ref="I759"/>
    <hyperlink r:id="rId759" ref="I760"/>
    <hyperlink r:id="rId760" ref="I761"/>
    <hyperlink r:id="rId761" ref="I762"/>
    <hyperlink r:id="rId762" ref="I763"/>
    <hyperlink r:id="rId763" ref="I764"/>
    <hyperlink r:id="rId764" ref="I765"/>
    <hyperlink r:id="rId765" ref="I766"/>
    <hyperlink r:id="rId766" ref="I767"/>
    <hyperlink r:id="rId767" ref="I768"/>
    <hyperlink r:id="rId768" ref="I769"/>
    <hyperlink r:id="rId769" ref="I770"/>
    <hyperlink r:id="rId770" ref="I771"/>
    <hyperlink r:id="rId771" ref="I772"/>
    <hyperlink r:id="rId772" ref="I773"/>
    <hyperlink r:id="rId773" ref="I774"/>
    <hyperlink r:id="rId774" ref="I775"/>
    <hyperlink r:id="rId775" ref="I776"/>
    <hyperlink r:id="rId776" ref="I777"/>
    <hyperlink r:id="rId777" ref="I778"/>
    <hyperlink r:id="rId778" ref="I779"/>
    <hyperlink r:id="rId779" ref="I780"/>
    <hyperlink r:id="rId780" ref="I781"/>
    <hyperlink r:id="rId781" ref="I782"/>
    <hyperlink r:id="rId782" ref="I783"/>
    <hyperlink r:id="rId783" ref="I784"/>
    <hyperlink r:id="rId784" ref="I785"/>
    <hyperlink r:id="rId785" ref="I786"/>
    <hyperlink r:id="rId786" ref="I787"/>
    <hyperlink r:id="rId787" ref="I788"/>
    <hyperlink r:id="rId788" ref="I789"/>
    <hyperlink r:id="rId789" ref="I790"/>
    <hyperlink r:id="rId790" ref="I791"/>
    <hyperlink r:id="rId791" ref="I792"/>
    <hyperlink r:id="rId792" ref="I793"/>
    <hyperlink r:id="rId793" ref="I794"/>
    <hyperlink r:id="rId794" ref="I795"/>
    <hyperlink r:id="rId795" ref="I796"/>
    <hyperlink r:id="rId796" ref="I797"/>
    <hyperlink r:id="rId797" ref="I798"/>
    <hyperlink r:id="rId798" ref="I799"/>
    <hyperlink r:id="rId799" ref="I800"/>
    <hyperlink r:id="rId800" ref="I801"/>
    <hyperlink r:id="rId801" ref="I802"/>
    <hyperlink r:id="rId802" ref="I803"/>
    <hyperlink r:id="rId803" ref="I804"/>
    <hyperlink r:id="rId804" ref="I805"/>
    <hyperlink r:id="rId805" ref="I806"/>
    <hyperlink r:id="rId806" ref="I807"/>
    <hyperlink r:id="rId807" ref="I808"/>
    <hyperlink r:id="rId808" ref="I809"/>
    <hyperlink r:id="rId809" ref="I810"/>
    <hyperlink r:id="rId810" ref="I811"/>
    <hyperlink r:id="rId811" ref="I812"/>
    <hyperlink r:id="rId812" ref="I813"/>
    <hyperlink r:id="rId813" ref="I814"/>
    <hyperlink r:id="rId814" ref="I815"/>
    <hyperlink r:id="rId815" ref="I816"/>
    <hyperlink r:id="rId816" ref="I817"/>
    <hyperlink r:id="rId817" ref="I818"/>
    <hyperlink r:id="rId818" ref="I819"/>
    <hyperlink r:id="rId819" ref="I820"/>
    <hyperlink r:id="rId820" ref="I821"/>
    <hyperlink r:id="rId821" ref="I822"/>
    <hyperlink r:id="rId822" ref="I823"/>
    <hyperlink r:id="rId823" ref="I824"/>
    <hyperlink r:id="rId824" ref="I825"/>
    <hyperlink r:id="rId825" ref="I826"/>
    <hyperlink r:id="rId826" ref="I827"/>
    <hyperlink r:id="rId827" ref="I828"/>
    <hyperlink r:id="rId828" ref="I829"/>
    <hyperlink r:id="rId829" ref="I830"/>
    <hyperlink r:id="rId830" ref="I831"/>
    <hyperlink r:id="rId831" ref="I832"/>
    <hyperlink r:id="rId832" ref="I833"/>
    <hyperlink r:id="rId833" ref="I834"/>
    <hyperlink r:id="rId834" ref="I835"/>
    <hyperlink r:id="rId835" ref="I836"/>
    <hyperlink r:id="rId836" ref="I837"/>
    <hyperlink r:id="rId837" ref="I838"/>
    <hyperlink r:id="rId838" ref="I839"/>
    <hyperlink r:id="rId839" ref="I840"/>
    <hyperlink r:id="rId840" ref="I841"/>
    <hyperlink r:id="rId841" ref="I842"/>
    <hyperlink r:id="rId842" ref="I843"/>
    <hyperlink r:id="rId843" ref="I844"/>
    <hyperlink r:id="rId844" ref="I845"/>
    <hyperlink r:id="rId845" ref="I846"/>
    <hyperlink r:id="rId846" ref="I847"/>
    <hyperlink r:id="rId847" ref="I848"/>
    <hyperlink r:id="rId848" ref="I849"/>
    <hyperlink r:id="rId849" ref="I850"/>
    <hyperlink r:id="rId850" ref="I851"/>
    <hyperlink r:id="rId851" ref="I852"/>
    <hyperlink r:id="rId852" ref="I853"/>
    <hyperlink r:id="rId853" ref="I854"/>
    <hyperlink r:id="rId854" ref="I855"/>
    <hyperlink r:id="rId855" ref="I856"/>
    <hyperlink r:id="rId856" ref="I857"/>
    <hyperlink r:id="rId857" ref="I858"/>
    <hyperlink r:id="rId858" ref="I859"/>
    <hyperlink r:id="rId859" ref="I860"/>
    <hyperlink r:id="rId860" ref="I861"/>
    <hyperlink r:id="rId861" ref="I862"/>
    <hyperlink r:id="rId862" ref="I863"/>
    <hyperlink r:id="rId863" ref="I864"/>
    <hyperlink r:id="rId864" ref="I865"/>
    <hyperlink r:id="rId865" ref="I866"/>
    <hyperlink r:id="rId866" ref="I867"/>
    <hyperlink r:id="rId867" ref="I868"/>
    <hyperlink r:id="rId868" ref="I869"/>
    <hyperlink r:id="rId869" ref="I870"/>
    <hyperlink r:id="rId870" ref="I871"/>
    <hyperlink r:id="rId871" ref="I872"/>
    <hyperlink r:id="rId872" ref="I873"/>
    <hyperlink r:id="rId873" ref="I874"/>
    <hyperlink r:id="rId874" ref="I875"/>
    <hyperlink r:id="rId875" ref="I876"/>
    <hyperlink r:id="rId876" ref="I877"/>
    <hyperlink r:id="rId877" ref="I878"/>
    <hyperlink r:id="rId878" ref="I879"/>
    <hyperlink r:id="rId879" ref="I880"/>
    <hyperlink r:id="rId880" ref="I881"/>
    <hyperlink r:id="rId881" ref="I882"/>
    <hyperlink r:id="rId882" ref="I883"/>
    <hyperlink r:id="rId883" ref="I884"/>
    <hyperlink r:id="rId884" ref="I885"/>
    <hyperlink r:id="rId885" ref="I886"/>
    <hyperlink r:id="rId886" ref="I887"/>
    <hyperlink r:id="rId887" ref="I888"/>
    <hyperlink r:id="rId888" ref="I889"/>
    <hyperlink r:id="rId889" ref="I890"/>
    <hyperlink r:id="rId890" ref="I891"/>
    <hyperlink r:id="rId891" ref="I892"/>
    <hyperlink r:id="rId892" ref="I893"/>
    <hyperlink r:id="rId893" ref="I894"/>
    <hyperlink r:id="rId894" ref="I895"/>
    <hyperlink r:id="rId895" ref="I896"/>
    <hyperlink r:id="rId896" ref="I897"/>
    <hyperlink r:id="rId897" ref="I898"/>
    <hyperlink r:id="rId898" ref="I899"/>
    <hyperlink r:id="rId899" ref="I900"/>
    <hyperlink r:id="rId900" ref="I901"/>
    <hyperlink r:id="rId901" ref="I902"/>
    <hyperlink r:id="rId902" ref="I903"/>
    <hyperlink r:id="rId903" ref="I904"/>
    <hyperlink r:id="rId904" ref="I905"/>
    <hyperlink r:id="rId905" ref="I906"/>
    <hyperlink r:id="rId906" ref="I907"/>
    <hyperlink r:id="rId907" ref="I908"/>
    <hyperlink r:id="rId908" ref="I909"/>
    <hyperlink r:id="rId909" ref="I910"/>
    <hyperlink r:id="rId910" ref="I911"/>
    <hyperlink r:id="rId911" ref="I912"/>
    <hyperlink r:id="rId912" ref="I913"/>
    <hyperlink r:id="rId913" ref="I914"/>
    <hyperlink r:id="rId914" ref="I915"/>
    <hyperlink r:id="rId915" ref="I916"/>
    <hyperlink r:id="rId916" ref="I917"/>
    <hyperlink r:id="rId917" ref="I918"/>
    <hyperlink r:id="rId918" ref="I919"/>
    <hyperlink r:id="rId919" ref="I920"/>
    <hyperlink r:id="rId920" ref="I921"/>
    <hyperlink r:id="rId921" ref="I922"/>
    <hyperlink r:id="rId922" ref="I923"/>
    <hyperlink r:id="rId923" ref="I924"/>
    <hyperlink r:id="rId924" ref="I925"/>
    <hyperlink r:id="rId925" ref="I926"/>
    <hyperlink r:id="rId926" ref="I927"/>
    <hyperlink r:id="rId927" ref="I928"/>
    <hyperlink r:id="rId928" ref="I929"/>
    <hyperlink r:id="rId929" ref="I930"/>
    <hyperlink r:id="rId930" ref="I931"/>
    <hyperlink r:id="rId931" ref="I932"/>
    <hyperlink r:id="rId932" ref="I933"/>
    <hyperlink r:id="rId933" ref="I934"/>
    <hyperlink r:id="rId934" ref="I935"/>
    <hyperlink r:id="rId935" ref="I936"/>
    <hyperlink r:id="rId936" ref="I937"/>
    <hyperlink r:id="rId937" ref="I938"/>
    <hyperlink r:id="rId938" ref="I939"/>
    <hyperlink r:id="rId939" ref="I940"/>
    <hyperlink r:id="rId940" ref="I941"/>
    <hyperlink r:id="rId941" ref="I942"/>
    <hyperlink r:id="rId942" ref="I943"/>
    <hyperlink r:id="rId943" ref="I944"/>
    <hyperlink r:id="rId944" ref="I945"/>
    <hyperlink r:id="rId945" ref="I946"/>
    <hyperlink r:id="rId946" ref="I947"/>
    <hyperlink r:id="rId947" ref="I948"/>
    <hyperlink r:id="rId948" ref="I949"/>
    <hyperlink r:id="rId949" ref="I950"/>
    <hyperlink r:id="rId950" ref="I951"/>
    <hyperlink r:id="rId951" ref="I952"/>
    <hyperlink r:id="rId952" ref="I953"/>
    <hyperlink r:id="rId953" ref="I954"/>
    <hyperlink r:id="rId954" ref="I955"/>
    <hyperlink r:id="rId955" ref="I956"/>
    <hyperlink r:id="rId956" ref="I957"/>
    <hyperlink r:id="rId957" ref="I958"/>
    <hyperlink r:id="rId958" ref="I959"/>
    <hyperlink r:id="rId959" ref="I960"/>
    <hyperlink r:id="rId960" ref="I961"/>
    <hyperlink r:id="rId961" ref="I962"/>
    <hyperlink r:id="rId962" ref="I963"/>
    <hyperlink r:id="rId963" ref="I964"/>
    <hyperlink r:id="rId964" ref="I965"/>
    <hyperlink r:id="rId965" ref="I966"/>
    <hyperlink r:id="rId966" ref="I967"/>
    <hyperlink r:id="rId967" ref="I968"/>
    <hyperlink r:id="rId968" ref="I969"/>
    <hyperlink r:id="rId969" ref="I970"/>
    <hyperlink r:id="rId970" ref="I971"/>
    <hyperlink r:id="rId971" ref="I972"/>
    <hyperlink r:id="rId972" ref="I973"/>
    <hyperlink r:id="rId973" ref="I974"/>
    <hyperlink r:id="rId974" ref="I975"/>
    <hyperlink r:id="rId975" ref="I976"/>
    <hyperlink r:id="rId976" ref="I977"/>
    <hyperlink r:id="rId977" ref="I978"/>
    <hyperlink r:id="rId978" ref="I979"/>
    <hyperlink r:id="rId979" ref="I980"/>
    <hyperlink r:id="rId980" ref="I981"/>
    <hyperlink r:id="rId981" ref="I982"/>
    <hyperlink r:id="rId982" ref="I983"/>
    <hyperlink r:id="rId983" ref="I984"/>
    <hyperlink r:id="rId984" ref="I985"/>
    <hyperlink r:id="rId985" ref="I986"/>
    <hyperlink r:id="rId986" ref="I987"/>
    <hyperlink r:id="rId987" ref="I988"/>
    <hyperlink r:id="rId988" ref="I989"/>
    <hyperlink r:id="rId989" ref="I990"/>
    <hyperlink r:id="rId990" ref="I991"/>
    <hyperlink r:id="rId991" ref="I992"/>
    <hyperlink r:id="rId992" ref="I993"/>
    <hyperlink r:id="rId993" ref="I994"/>
    <hyperlink r:id="rId994" ref="I995"/>
    <hyperlink r:id="rId995" ref="I996"/>
    <hyperlink r:id="rId996" ref="I997"/>
    <hyperlink r:id="rId997" ref="I998"/>
    <hyperlink r:id="rId998" ref="I999"/>
    <hyperlink r:id="rId999" ref="I1000"/>
    <hyperlink r:id="rId1000" ref="I1001"/>
    <hyperlink r:id="rId1001" ref="I1002"/>
    <hyperlink r:id="rId1002" ref="I1003"/>
    <hyperlink r:id="rId1003" ref="I1004"/>
    <hyperlink r:id="rId1004" ref="I1005"/>
    <hyperlink r:id="rId1005" ref="I1006"/>
    <hyperlink r:id="rId1006" ref="I1007"/>
    <hyperlink r:id="rId1007" ref="I1008"/>
    <hyperlink r:id="rId1008" ref="I1009"/>
    <hyperlink r:id="rId1009" ref="I1010"/>
    <hyperlink r:id="rId1010" ref="I1011"/>
    <hyperlink r:id="rId1011" ref="I1012"/>
    <hyperlink r:id="rId1012" ref="I1013"/>
    <hyperlink r:id="rId1013" ref="I1014"/>
    <hyperlink r:id="rId1014" ref="I1015"/>
    <hyperlink r:id="rId1015" ref="I1016"/>
    <hyperlink r:id="rId1016" ref="I1017"/>
    <hyperlink r:id="rId1017" ref="I1018"/>
    <hyperlink r:id="rId1018" ref="I1019"/>
    <hyperlink r:id="rId1019" ref="I1020"/>
    <hyperlink r:id="rId1020" ref="I1021"/>
    <hyperlink r:id="rId1021" ref="I1022"/>
    <hyperlink r:id="rId1022" ref="I1023"/>
    <hyperlink r:id="rId1023" ref="I1024"/>
    <hyperlink r:id="rId1024" ref="I1025"/>
    <hyperlink r:id="rId1025" ref="I1026"/>
    <hyperlink r:id="rId1026" ref="I1027"/>
    <hyperlink r:id="rId1027" ref="I1028"/>
    <hyperlink r:id="rId1028" ref="I1029"/>
    <hyperlink r:id="rId1029" ref="I1030"/>
    <hyperlink r:id="rId1030" ref="I1031"/>
    <hyperlink r:id="rId1031" ref="I1032"/>
    <hyperlink r:id="rId1032" ref="I1033"/>
    <hyperlink r:id="rId1033" ref="I1034"/>
    <hyperlink r:id="rId1034" ref="I1035"/>
    <hyperlink r:id="rId1035" ref="I1036"/>
    <hyperlink r:id="rId1036" ref="I1037"/>
    <hyperlink r:id="rId1037" ref="I1038"/>
    <hyperlink r:id="rId1038" ref="I1039"/>
    <hyperlink r:id="rId1039" ref="I1040"/>
    <hyperlink r:id="rId1040" ref="I1041"/>
    <hyperlink r:id="rId1041" ref="I1042"/>
    <hyperlink r:id="rId1042" ref="I1043"/>
    <hyperlink r:id="rId1043" ref="I1044"/>
    <hyperlink r:id="rId1044" ref="I1045"/>
    <hyperlink r:id="rId1045" ref="I1046"/>
    <hyperlink r:id="rId1046" ref="I1047"/>
    <hyperlink r:id="rId1047" ref="I1048"/>
    <hyperlink r:id="rId1048" ref="I1049"/>
    <hyperlink r:id="rId1049" ref="I1050"/>
    <hyperlink r:id="rId1050" ref="I1051"/>
    <hyperlink r:id="rId1051" ref="I1052"/>
    <hyperlink r:id="rId1052" ref="I1053"/>
    <hyperlink r:id="rId1053" ref="I1054"/>
    <hyperlink r:id="rId1054" ref="I1055"/>
    <hyperlink r:id="rId1055" ref="I1056"/>
    <hyperlink r:id="rId1056" ref="I1057"/>
    <hyperlink r:id="rId1057" ref="I1058"/>
    <hyperlink r:id="rId1058" ref="I1059"/>
    <hyperlink r:id="rId1059" ref="I1060"/>
    <hyperlink r:id="rId1060" ref="I1061"/>
    <hyperlink r:id="rId1061" ref="I1062"/>
    <hyperlink r:id="rId1062" ref="I1063"/>
    <hyperlink r:id="rId1063" ref="I1064"/>
    <hyperlink r:id="rId1064" ref="I1065"/>
    <hyperlink r:id="rId1065" ref="I1066"/>
    <hyperlink r:id="rId1066" ref="I1067"/>
    <hyperlink r:id="rId1067" ref="I1068"/>
    <hyperlink r:id="rId1068" ref="I1069"/>
    <hyperlink r:id="rId1069" ref="I1070"/>
    <hyperlink r:id="rId1070" ref="I1071"/>
    <hyperlink r:id="rId1071" ref="I1072"/>
    <hyperlink r:id="rId1072" ref="I1073"/>
    <hyperlink r:id="rId1073" ref="I1074"/>
    <hyperlink r:id="rId1074" ref="I1075"/>
    <hyperlink r:id="rId1075" ref="I1076"/>
    <hyperlink r:id="rId1076" ref="I1077"/>
    <hyperlink r:id="rId1077" ref="I1078"/>
    <hyperlink r:id="rId1078" ref="I1079"/>
    <hyperlink r:id="rId1079" ref="I1080"/>
    <hyperlink r:id="rId1080" ref="I1081"/>
    <hyperlink r:id="rId1081" ref="I1082"/>
    <hyperlink r:id="rId1082" ref="I1083"/>
    <hyperlink r:id="rId1083" ref="I1084"/>
    <hyperlink r:id="rId1084" ref="I1085"/>
    <hyperlink r:id="rId1085" ref="I1086"/>
    <hyperlink r:id="rId1086" ref="I1087"/>
    <hyperlink r:id="rId1087" ref="I1088"/>
    <hyperlink r:id="rId1088" ref="I1089"/>
    <hyperlink r:id="rId1089" ref="I1090"/>
    <hyperlink r:id="rId1090" ref="I1091"/>
    <hyperlink r:id="rId1091" ref="I1092"/>
    <hyperlink r:id="rId1092" ref="I1093"/>
    <hyperlink r:id="rId1093" ref="I1094"/>
    <hyperlink r:id="rId1094" ref="I1095"/>
    <hyperlink r:id="rId1095" ref="I1096"/>
    <hyperlink r:id="rId1096" ref="I1097"/>
    <hyperlink r:id="rId1097" ref="I1098"/>
    <hyperlink r:id="rId1098" ref="I1099"/>
    <hyperlink r:id="rId1099" ref="I1100"/>
    <hyperlink r:id="rId1100" ref="I1101"/>
    <hyperlink r:id="rId1101" ref="I1102"/>
    <hyperlink r:id="rId1102" ref="I1103"/>
    <hyperlink r:id="rId1103" ref="I1104"/>
    <hyperlink r:id="rId1104" ref="I1105"/>
    <hyperlink r:id="rId1105" ref="I1106"/>
    <hyperlink r:id="rId1106" ref="I1107"/>
    <hyperlink r:id="rId1107" ref="I1108"/>
    <hyperlink r:id="rId1108" ref="I1109"/>
    <hyperlink r:id="rId1109" ref="I1110"/>
    <hyperlink r:id="rId1110" ref="I1111"/>
    <hyperlink r:id="rId1111" ref="I1112"/>
    <hyperlink r:id="rId1112" ref="I1113"/>
    <hyperlink r:id="rId1113" ref="I1114"/>
    <hyperlink r:id="rId1114" ref="I1115"/>
    <hyperlink r:id="rId1115" ref="I1116"/>
    <hyperlink r:id="rId1116" ref="I1117"/>
    <hyperlink r:id="rId1117" ref="I1118"/>
    <hyperlink r:id="rId1118" ref="I1119"/>
    <hyperlink r:id="rId1119" ref="I1120"/>
    <hyperlink r:id="rId1120" ref="I1121"/>
    <hyperlink r:id="rId1121" ref="I1122"/>
    <hyperlink r:id="rId1122" ref="I1123"/>
    <hyperlink r:id="rId1123" ref="I1124"/>
    <hyperlink r:id="rId1124" ref="I1125"/>
    <hyperlink r:id="rId1125" ref="I1126"/>
    <hyperlink r:id="rId1126" ref="I1127"/>
    <hyperlink r:id="rId1127" ref="I1128"/>
    <hyperlink r:id="rId1128" ref="I1129"/>
    <hyperlink r:id="rId1129" ref="I1130"/>
    <hyperlink r:id="rId1130" ref="I1131"/>
    <hyperlink r:id="rId1131" ref="I1132"/>
    <hyperlink r:id="rId1132" ref="I1133"/>
    <hyperlink r:id="rId1133" ref="I1134"/>
    <hyperlink r:id="rId1134" ref="I1135"/>
    <hyperlink r:id="rId1135" ref="I1136"/>
    <hyperlink r:id="rId1136" ref="I1137"/>
    <hyperlink r:id="rId1137" ref="I1138"/>
    <hyperlink r:id="rId1138" ref="I1139"/>
    <hyperlink r:id="rId1139" ref="I1140"/>
    <hyperlink r:id="rId1140" ref="I1141"/>
    <hyperlink r:id="rId1141" ref="I1142"/>
    <hyperlink r:id="rId1142" ref="I1143"/>
    <hyperlink r:id="rId1143" ref="I1144"/>
    <hyperlink r:id="rId1144" ref="I1145"/>
    <hyperlink r:id="rId1145" ref="I1146"/>
    <hyperlink r:id="rId1146" ref="I1147"/>
    <hyperlink r:id="rId1147" ref="I1148"/>
    <hyperlink r:id="rId1148" ref="I1149"/>
    <hyperlink r:id="rId1149" ref="I1150"/>
    <hyperlink r:id="rId1150" ref="I1151"/>
    <hyperlink r:id="rId1151" ref="I1152"/>
    <hyperlink r:id="rId1152" ref="I1153"/>
    <hyperlink r:id="rId1153" ref="I1154"/>
    <hyperlink r:id="rId1154" ref="I1155"/>
    <hyperlink r:id="rId1155" ref="I1156"/>
    <hyperlink r:id="rId1156" ref="I1157"/>
    <hyperlink r:id="rId1157" ref="I1158"/>
    <hyperlink r:id="rId1158" ref="I1159"/>
    <hyperlink r:id="rId1159" ref="I1160"/>
    <hyperlink r:id="rId1160" ref="I1161"/>
    <hyperlink r:id="rId1161" ref="I1162"/>
    <hyperlink r:id="rId1162" ref="I1163"/>
    <hyperlink r:id="rId1163" ref="I1164"/>
    <hyperlink r:id="rId1164" ref="I1165"/>
    <hyperlink r:id="rId1165" ref="I1166"/>
    <hyperlink r:id="rId1166" ref="I1167"/>
    <hyperlink r:id="rId1167" ref="I1168"/>
    <hyperlink r:id="rId1168" ref="I1169"/>
    <hyperlink r:id="rId1169" ref="I1170"/>
    <hyperlink r:id="rId1170" ref="I1171"/>
    <hyperlink r:id="rId1171" ref="I1172"/>
    <hyperlink r:id="rId1172" ref="I1173"/>
    <hyperlink r:id="rId1173" ref="I1174"/>
    <hyperlink r:id="rId1174" ref="I1175"/>
    <hyperlink r:id="rId1175" ref="I1176"/>
    <hyperlink r:id="rId1176" ref="I1177"/>
    <hyperlink r:id="rId1177" ref="I1178"/>
    <hyperlink r:id="rId1178" ref="I1179"/>
    <hyperlink r:id="rId1179" ref="I1180"/>
    <hyperlink r:id="rId1180" ref="I1181"/>
    <hyperlink r:id="rId1181" ref="I1182"/>
    <hyperlink r:id="rId1182" ref="I1183"/>
    <hyperlink r:id="rId1183" ref="I1184"/>
    <hyperlink r:id="rId1184" ref="I1185"/>
    <hyperlink r:id="rId1185" ref="I1186"/>
    <hyperlink r:id="rId1186" ref="I1187"/>
    <hyperlink r:id="rId1187" ref="I1188"/>
    <hyperlink r:id="rId1188" ref="I1189"/>
    <hyperlink r:id="rId1189" ref="I1190"/>
    <hyperlink r:id="rId1190" ref="I1191"/>
    <hyperlink r:id="rId1191" ref="I1192"/>
    <hyperlink r:id="rId1192" ref="I1193"/>
    <hyperlink r:id="rId1193" ref="I1194"/>
    <hyperlink r:id="rId1194" ref="I1195"/>
    <hyperlink r:id="rId1195" ref="I1196"/>
    <hyperlink r:id="rId1196" ref="I1197"/>
    <hyperlink r:id="rId1197" ref="I1198"/>
    <hyperlink r:id="rId1198" ref="I1199"/>
    <hyperlink r:id="rId1199" ref="I1200"/>
    <hyperlink r:id="rId1200" ref="I1201"/>
    <hyperlink r:id="rId1201" ref="I1202"/>
    <hyperlink r:id="rId1202" ref="I1203"/>
    <hyperlink r:id="rId1203" ref="I1204"/>
    <hyperlink r:id="rId1204" ref="I1205"/>
    <hyperlink r:id="rId1205" ref="I1206"/>
    <hyperlink r:id="rId1206" ref="I1207"/>
    <hyperlink r:id="rId1207" ref="I1208"/>
    <hyperlink r:id="rId1208" ref="I1209"/>
    <hyperlink r:id="rId1209" ref="I1210"/>
    <hyperlink r:id="rId1210" ref="I1211"/>
    <hyperlink r:id="rId1211" ref="I1212"/>
    <hyperlink r:id="rId1212" ref="I1213"/>
    <hyperlink r:id="rId1213" ref="I1214"/>
    <hyperlink r:id="rId1214" ref="I1215"/>
    <hyperlink r:id="rId1215" ref="I1216"/>
    <hyperlink r:id="rId1216" ref="I1217"/>
    <hyperlink r:id="rId1217" ref="I1218"/>
    <hyperlink r:id="rId1218" ref="I1219"/>
    <hyperlink r:id="rId1219" ref="I1220"/>
    <hyperlink r:id="rId1220" ref="I1221"/>
    <hyperlink r:id="rId1221" ref="I1222"/>
    <hyperlink r:id="rId1222" ref="I1223"/>
    <hyperlink r:id="rId1223" ref="I1224"/>
    <hyperlink r:id="rId1224" ref="I1225"/>
    <hyperlink r:id="rId1225" ref="I1226"/>
    <hyperlink r:id="rId1226" ref="I1227"/>
    <hyperlink r:id="rId1227" ref="I1228"/>
    <hyperlink r:id="rId1228" ref="I1229"/>
    <hyperlink r:id="rId1229" ref="I1230"/>
    <hyperlink r:id="rId1230" ref="I1231"/>
    <hyperlink r:id="rId1231" ref="I1232"/>
    <hyperlink r:id="rId1232" ref="I1233"/>
    <hyperlink r:id="rId1233" ref="I1234"/>
    <hyperlink r:id="rId1234" ref="I1235"/>
    <hyperlink r:id="rId1235" ref="I1236"/>
    <hyperlink r:id="rId1236" ref="I1237"/>
    <hyperlink r:id="rId1237" ref="I1238"/>
    <hyperlink r:id="rId1238" ref="I1239"/>
    <hyperlink r:id="rId1239" ref="I1240"/>
    <hyperlink r:id="rId1240" ref="I1241"/>
    <hyperlink r:id="rId1241" ref="I1242"/>
    <hyperlink r:id="rId1242" ref="I1243"/>
    <hyperlink r:id="rId1243" ref="I1244"/>
    <hyperlink r:id="rId1244" ref="I1245"/>
    <hyperlink r:id="rId1245" ref="I1246"/>
    <hyperlink r:id="rId1246" ref="I1247"/>
    <hyperlink r:id="rId1247" ref="I1248"/>
    <hyperlink r:id="rId1248" ref="I1249"/>
    <hyperlink r:id="rId1249" ref="I1250"/>
    <hyperlink r:id="rId1250" ref="I1251"/>
    <hyperlink r:id="rId1251" ref="I1252"/>
    <hyperlink r:id="rId1252" ref="I1253"/>
    <hyperlink r:id="rId1253" ref="I1254"/>
    <hyperlink r:id="rId1254" ref="I1255"/>
    <hyperlink r:id="rId1255" ref="I1256"/>
    <hyperlink r:id="rId1256" ref="I1257"/>
    <hyperlink r:id="rId1257" ref="I1258"/>
    <hyperlink r:id="rId1258" ref="I1259"/>
    <hyperlink r:id="rId1259" ref="I1260"/>
    <hyperlink r:id="rId1260" ref="I1261"/>
    <hyperlink r:id="rId1261" ref="I1262"/>
    <hyperlink r:id="rId1262" ref="I1263"/>
    <hyperlink r:id="rId1263" ref="I1264"/>
    <hyperlink r:id="rId1264" ref="I1265"/>
    <hyperlink r:id="rId1265" ref="I1266"/>
    <hyperlink r:id="rId1266" ref="I1267"/>
    <hyperlink r:id="rId1267" ref="I1268"/>
    <hyperlink r:id="rId1268" ref="I1269"/>
    <hyperlink r:id="rId1269" ref="I1270"/>
    <hyperlink r:id="rId1270" ref="I1271"/>
    <hyperlink r:id="rId1271" ref="I1272"/>
    <hyperlink r:id="rId1272" ref="I1273"/>
    <hyperlink r:id="rId1273" ref="I1274"/>
    <hyperlink r:id="rId1274" ref="I1275"/>
    <hyperlink r:id="rId1275" ref="I1276"/>
    <hyperlink r:id="rId1276" ref="I1277"/>
    <hyperlink r:id="rId1277" ref="I1278"/>
    <hyperlink r:id="rId1278" ref="I1279"/>
    <hyperlink r:id="rId1279" ref="I1280"/>
    <hyperlink r:id="rId1280" ref="I1281"/>
    <hyperlink r:id="rId1281" ref="I1282"/>
    <hyperlink r:id="rId1282" ref="I1283"/>
    <hyperlink r:id="rId1283" ref="I1284"/>
    <hyperlink r:id="rId1284" ref="I1285"/>
    <hyperlink r:id="rId1285" ref="I1286"/>
    <hyperlink r:id="rId1286" ref="I1287"/>
    <hyperlink r:id="rId1287" ref="I1288"/>
    <hyperlink r:id="rId1288" ref="I1289"/>
    <hyperlink r:id="rId1289" ref="I1290"/>
    <hyperlink r:id="rId1290" ref="I1291"/>
    <hyperlink r:id="rId1291" ref="I1292"/>
    <hyperlink r:id="rId1292" ref="I1293"/>
    <hyperlink r:id="rId1293" ref="I1294"/>
    <hyperlink r:id="rId1294" ref="I1295"/>
    <hyperlink r:id="rId1295" ref="I1296"/>
    <hyperlink r:id="rId1296" ref="I1297"/>
    <hyperlink r:id="rId1297" ref="I1298"/>
    <hyperlink r:id="rId1298" ref="I1299"/>
    <hyperlink r:id="rId1299" ref="I1300"/>
    <hyperlink r:id="rId1300" ref="I1301"/>
    <hyperlink r:id="rId1301" ref="I1302"/>
    <hyperlink r:id="rId1302" ref="I1303"/>
    <hyperlink r:id="rId1303" ref="I1304"/>
    <hyperlink r:id="rId1304" ref="I1305"/>
    <hyperlink r:id="rId1305" ref="I1306"/>
    <hyperlink r:id="rId1306" ref="I1307"/>
    <hyperlink r:id="rId1307" ref="I1308"/>
    <hyperlink r:id="rId1308" ref="I1309"/>
    <hyperlink r:id="rId1309" ref="I1310"/>
    <hyperlink r:id="rId1310" ref="I1311"/>
    <hyperlink r:id="rId1311" ref="I1312"/>
    <hyperlink r:id="rId1312" ref="I1313"/>
    <hyperlink r:id="rId1313" ref="I1314"/>
    <hyperlink r:id="rId1314" ref="I1315"/>
    <hyperlink r:id="rId1315" ref="I1316"/>
    <hyperlink r:id="rId1316" ref="I1317"/>
    <hyperlink r:id="rId1317" ref="I1318"/>
    <hyperlink r:id="rId1318" ref="I1319"/>
    <hyperlink r:id="rId1319" ref="I1320"/>
    <hyperlink r:id="rId1320" ref="I1321"/>
    <hyperlink r:id="rId1321" ref="I1322"/>
    <hyperlink r:id="rId1322" ref="I1323"/>
    <hyperlink r:id="rId1323" ref="I1324"/>
    <hyperlink r:id="rId1324" ref="I1325"/>
    <hyperlink r:id="rId1325" ref="I1326"/>
    <hyperlink r:id="rId1326" ref="I1327"/>
    <hyperlink r:id="rId1327" ref="I1328"/>
    <hyperlink r:id="rId1328" ref="I1329"/>
    <hyperlink r:id="rId1329" ref="I1330"/>
    <hyperlink r:id="rId1330" ref="I1331"/>
    <hyperlink r:id="rId1331" ref="I1332"/>
    <hyperlink r:id="rId1332" ref="I1333"/>
    <hyperlink r:id="rId1333" ref="I1334"/>
    <hyperlink r:id="rId1334" ref="I1335"/>
    <hyperlink r:id="rId1335" ref="I1336"/>
    <hyperlink r:id="rId1336" ref="I1337"/>
    <hyperlink r:id="rId1337" ref="I1338"/>
    <hyperlink r:id="rId1338" ref="I1339"/>
    <hyperlink r:id="rId1339" ref="I1340"/>
    <hyperlink r:id="rId1340" ref="I1341"/>
    <hyperlink r:id="rId1341" ref="I1342"/>
    <hyperlink r:id="rId1342" ref="I1343"/>
    <hyperlink r:id="rId1343" ref="I1344"/>
    <hyperlink r:id="rId1344" ref="I1345"/>
    <hyperlink r:id="rId1345" ref="I1346"/>
    <hyperlink r:id="rId1346" ref="I1347"/>
    <hyperlink r:id="rId1347" ref="I1348"/>
    <hyperlink r:id="rId1348" ref="I1349"/>
    <hyperlink r:id="rId1349" ref="I1350"/>
    <hyperlink r:id="rId1350" ref="I1351"/>
    <hyperlink r:id="rId1351" ref="I1352"/>
    <hyperlink r:id="rId1352" ref="I1353"/>
    <hyperlink r:id="rId1353" ref="I1354"/>
    <hyperlink r:id="rId1354" ref="I1355"/>
    <hyperlink r:id="rId1355" ref="I1356"/>
    <hyperlink r:id="rId1356" ref="I1357"/>
    <hyperlink r:id="rId1357" ref="I1358"/>
    <hyperlink r:id="rId1358" ref="I1359"/>
    <hyperlink r:id="rId1359" ref="I1360"/>
    <hyperlink r:id="rId1360" ref="I1361"/>
    <hyperlink r:id="rId1361" ref="I1362"/>
    <hyperlink r:id="rId1362" ref="I1363"/>
    <hyperlink r:id="rId1363" ref="I1364"/>
    <hyperlink r:id="rId1364" ref="I1365"/>
    <hyperlink r:id="rId1365" ref="I1366"/>
    <hyperlink r:id="rId1366" ref="I1367"/>
    <hyperlink r:id="rId1367" ref="I1368"/>
    <hyperlink r:id="rId1368" ref="I1369"/>
    <hyperlink r:id="rId1369" ref="I1370"/>
    <hyperlink r:id="rId1370" ref="I1371"/>
    <hyperlink r:id="rId1371" ref="I1372"/>
    <hyperlink r:id="rId1372" ref="I1373"/>
    <hyperlink r:id="rId1373" ref="I1374"/>
    <hyperlink r:id="rId1374" ref="I1375"/>
    <hyperlink r:id="rId1375" ref="I1376"/>
    <hyperlink r:id="rId1376" ref="I1377"/>
    <hyperlink r:id="rId1377" ref="I1378"/>
    <hyperlink r:id="rId1378" ref="I1379"/>
    <hyperlink r:id="rId1379" ref="I1380"/>
    <hyperlink r:id="rId1380" ref="I1381"/>
    <hyperlink r:id="rId1381" ref="I1382"/>
    <hyperlink r:id="rId1382" ref="I1383"/>
    <hyperlink r:id="rId1383" ref="I1384"/>
    <hyperlink r:id="rId1384" ref="I1385"/>
    <hyperlink r:id="rId1385" ref="I1386"/>
    <hyperlink r:id="rId1386" ref="I1387"/>
    <hyperlink r:id="rId1387" ref="I1388"/>
    <hyperlink r:id="rId1388" ref="I1389"/>
    <hyperlink r:id="rId1389" ref="I1390"/>
    <hyperlink r:id="rId1390" ref="I1391"/>
    <hyperlink r:id="rId1391" ref="I1392"/>
    <hyperlink r:id="rId1392" ref="I1393"/>
    <hyperlink r:id="rId1393" ref="I1394"/>
    <hyperlink r:id="rId1394" ref="I1395"/>
    <hyperlink r:id="rId1395" ref="I1396"/>
    <hyperlink r:id="rId1396" ref="I1397"/>
    <hyperlink r:id="rId1397" ref="I1398"/>
    <hyperlink r:id="rId1398" ref="I1399"/>
    <hyperlink r:id="rId1399" ref="I1400"/>
    <hyperlink r:id="rId1400" ref="I1401"/>
    <hyperlink r:id="rId1401" ref="I1402"/>
    <hyperlink r:id="rId1402" ref="I1403"/>
    <hyperlink r:id="rId1403" ref="I1404"/>
    <hyperlink r:id="rId1404" ref="I1405"/>
    <hyperlink r:id="rId1405" ref="I1406"/>
    <hyperlink r:id="rId1406" ref="I1407"/>
    <hyperlink r:id="rId1407" ref="I1408"/>
    <hyperlink r:id="rId1408" ref="I1409"/>
    <hyperlink r:id="rId1409" ref="I1410"/>
    <hyperlink r:id="rId1410" ref="I1411"/>
    <hyperlink r:id="rId1411" ref="I1412"/>
    <hyperlink r:id="rId1412" ref="I1413"/>
    <hyperlink r:id="rId1413" ref="I1414"/>
    <hyperlink r:id="rId1414" ref="I1415"/>
    <hyperlink r:id="rId1415" ref="I1416"/>
    <hyperlink r:id="rId1416" ref="I1417"/>
    <hyperlink r:id="rId1417" ref="I1418"/>
    <hyperlink r:id="rId1418" ref="I1419"/>
    <hyperlink r:id="rId1419" ref="I1420"/>
    <hyperlink r:id="rId1420" ref="I1421"/>
    <hyperlink r:id="rId1421" ref="I1422"/>
    <hyperlink r:id="rId1422" ref="I1423"/>
    <hyperlink r:id="rId1423" ref="I1424"/>
    <hyperlink r:id="rId1424" ref="I1425"/>
    <hyperlink r:id="rId1425" ref="I1426"/>
    <hyperlink r:id="rId1426" ref="I1427"/>
    <hyperlink r:id="rId1427" ref="I1428"/>
    <hyperlink r:id="rId1428" ref="I1429"/>
    <hyperlink r:id="rId1429" ref="I1430"/>
    <hyperlink r:id="rId1430" ref="I1431"/>
    <hyperlink r:id="rId1431" ref="I1432"/>
    <hyperlink r:id="rId1432" ref="I1433"/>
    <hyperlink r:id="rId1433" ref="I1434"/>
    <hyperlink r:id="rId1434" ref="I1435"/>
    <hyperlink r:id="rId1435" ref="I1436"/>
    <hyperlink r:id="rId1436" ref="I1437"/>
    <hyperlink r:id="rId1437" ref="I1438"/>
    <hyperlink r:id="rId1438" ref="I1439"/>
    <hyperlink r:id="rId1439" ref="I1440"/>
    <hyperlink r:id="rId1440" ref="I1441"/>
    <hyperlink r:id="rId1441" ref="I1442"/>
    <hyperlink r:id="rId1442" ref="I1443"/>
    <hyperlink r:id="rId1443" ref="I1444"/>
    <hyperlink r:id="rId1444" ref="I1445"/>
    <hyperlink r:id="rId1445" ref="I1446"/>
    <hyperlink r:id="rId1446" ref="I1447"/>
    <hyperlink r:id="rId1447" ref="I1448"/>
    <hyperlink r:id="rId1448" ref="I1449"/>
    <hyperlink r:id="rId1449" ref="I1450"/>
    <hyperlink r:id="rId1450" ref="I1451"/>
    <hyperlink r:id="rId1451" ref="I1452"/>
    <hyperlink r:id="rId1452" ref="I1453"/>
    <hyperlink r:id="rId1453" ref="I1454"/>
    <hyperlink r:id="rId1454" ref="I1455"/>
    <hyperlink r:id="rId1455" ref="I1456"/>
    <hyperlink r:id="rId1456" ref="I1457"/>
    <hyperlink r:id="rId1457" ref="I1458"/>
    <hyperlink r:id="rId1458" ref="I1459"/>
    <hyperlink r:id="rId1459" ref="I1460"/>
    <hyperlink r:id="rId1460" ref="I1461"/>
    <hyperlink r:id="rId1461" ref="I1462"/>
    <hyperlink r:id="rId1462" ref="I1463"/>
    <hyperlink r:id="rId1463" ref="I1464"/>
    <hyperlink r:id="rId1464" ref="I1465"/>
    <hyperlink r:id="rId1465" ref="I1466"/>
    <hyperlink r:id="rId1466" ref="I1467"/>
    <hyperlink r:id="rId1467" ref="I1468"/>
    <hyperlink r:id="rId1468" ref="I1469"/>
    <hyperlink r:id="rId1469" ref="I1470"/>
    <hyperlink r:id="rId1470" ref="I1471"/>
    <hyperlink r:id="rId1471" ref="I1472"/>
    <hyperlink r:id="rId1472" ref="I1473"/>
    <hyperlink r:id="rId1473" ref="I1474"/>
    <hyperlink r:id="rId1474" ref="I1475"/>
    <hyperlink r:id="rId1475" ref="I1476"/>
    <hyperlink r:id="rId1476" ref="I1477"/>
    <hyperlink r:id="rId1477" ref="I1478"/>
    <hyperlink r:id="rId1478" ref="I1479"/>
    <hyperlink r:id="rId1479" ref="I1480"/>
    <hyperlink r:id="rId1480" ref="I1481"/>
    <hyperlink r:id="rId1481" ref="I1482"/>
    <hyperlink r:id="rId1482" ref="I1483"/>
    <hyperlink r:id="rId1483" ref="I1484"/>
    <hyperlink r:id="rId1484" ref="I1485"/>
    <hyperlink r:id="rId1485" ref="I1486"/>
    <hyperlink r:id="rId1486" ref="I1487"/>
    <hyperlink r:id="rId1487" ref="I1488"/>
    <hyperlink r:id="rId1488" ref="I1489"/>
    <hyperlink r:id="rId1489" ref="I1490"/>
    <hyperlink r:id="rId1490" ref="I1491"/>
    <hyperlink r:id="rId1491" ref="I1492"/>
    <hyperlink r:id="rId1492" ref="I1493"/>
    <hyperlink r:id="rId1493" ref="I1494"/>
    <hyperlink r:id="rId1494" ref="I1495"/>
    <hyperlink r:id="rId1495" ref="I1496"/>
    <hyperlink r:id="rId1496" ref="I1497"/>
    <hyperlink r:id="rId1497" ref="I1498"/>
    <hyperlink r:id="rId1498" ref="I1499"/>
    <hyperlink r:id="rId1499" ref="I1500"/>
    <hyperlink r:id="rId1500" ref="I1501"/>
    <hyperlink r:id="rId1501" ref="I1502"/>
    <hyperlink r:id="rId1502" ref="I1503"/>
    <hyperlink r:id="rId1503" ref="I1504"/>
    <hyperlink r:id="rId1504" ref="I1505"/>
    <hyperlink r:id="rId1505" ref="I1506"/>
    <hyperlink r:id="rId1506" ref="I1507"/>
    <hyperlink r:id="rId1507" ref="I1508"/>
    <hyperlink r:id="rId1508" ref="I1509"/>
    <hyperlink r:id="rId1509" ref="I1510"/>
    <hyperlink r:id="rId1510" ref="I1511"/>
    <hyperlink r:id="rId1511" ref="I1512"/>
    <hyperlink r:id="rId1512" ref="I1513"/>
    <hyperlink r:id="rId1513" ref="I1514"/>
    <hyperlink r:id="rId1514" ref="I1515"/>
    <hyperlink r:id="rId1515" ref="I1516"/>
    <hyperlink r:id="rId1516" ref="I1517"/>
    <hyperlink r:id="rId1517" ref="I1518"/>
    <hyperlink r:id="rId1518" ref="I1519"/>
    <hyperlink r:id="rId1519" ref="I1520"/>
    <hyperlink r:id="rId1520" ref="I1521"/>
    <hyperlink r:id="rId1521" ref="I1522"/>
    <hyperlink r:id="rId1522" ref="I1523"/>
    <hyperlink r:id="rId1523" ref="I1524"/>
    <hyperlink r:id="rId1524" ref="I1525"/>
    <hyperlink r:id="rId1525" ref="I1526"/>
    <hyperlink r:id="rId1526" ref="I1527"/>
    <hyperlink r:id="rId1527" ref="I1528"/>
    <hyperlink r:id="rId1528" ref="I1529"/>
    <hyperlink r:id="rId1529" ref="I1530"/>
    <hyperlink r:id="rId1530" ref="I1531"/>
    <hyperlink r:id="rId1531" ref="I1532"/>
    <hyperlink r:id="rId1532" ref="I1533"/>
    <hyperlink r:id="rId1533" ref="I1534"/>
    <hyperlink r:id="rId1534" ref="I1535"/>
    <hyperlink r:id="rId1535" ref="I1536"/>
    <hyperlink r:id="rId1536" ref="I1537"/>
    <hyperlink r:id="rId1537" ref="I1538"/>
    <hyperlink r:id="rId1538" ref="I1539"/>
    <hyperlink r:id="rId1539" ref="I1540"/>
    <hyperlink r:id="rId1540" ref="I1541"/>
    <hyperlink r:id="rId1541" ref="I1542"/>
    <hyperlink r:id="rId1542" ref="I1543"/>
    <hyperlink r:id="rId1543" ref="I1544"/>
    <hyperlink r:id="rId1544" ref="I1545"/>
    <hyperlink r:id="rId1545" ref="I1546"/>
    <hyperlink r:id="rId1546" ref="I1547"/>
    <hyperlink r:id="rId1547" ref="I1548"/>
    <hyperlink r:id="rId1548" ref="I1549"/>
    <hyperlink r:id="rId1549" ref="I1550"/>
    <hyperlink r:id="rId1550" ref="I1551"/>
    <hyperlink r:id="rId1551" ref="I1552"/>
    <hyperlink r:id="rId1552" ref="I1553"/>
    <hyperlink r:id="rId1553" ref="I1554"/>
    <hyperlink r:id="rId1554" ref="I1555"/>
    <hyperlink r:id="rId1555" ref="I1556"/>
    <hyperlink r:id="rId1556" ref="I1557"/>
    <hyperlink r:id="rId1557" ref="I1558"/>
    <hyperlink r:id="rId1558" ref="I1559"/>
    <hyperlink r:id="rId1559" ref="I1560"/>
    <hyperlink r:id="rId1560" ref="I1561"/>
    <hyperlink r:id="rId1561" ref="I1562"/>
    <hyperlink r:id="rId1562" ref="I1563"/>
    <hyperlink r:id="rId1563" ref="I1564"/>
    <hyperlink r:id="rId1564" ref="I1565"/>
    <hyperlink r:id="rId1565" ref="I1566"/>
    <hyperlink r:id="rId1566" ref="I1567"/>
    <hyperlink r:id="rId1567" ref="I1568"/>
    <hyperlink r:id="rId1568" ref="I1569"/>
    <hyperlink r:id="rId1569" ref="I1570"/>
    <hyperlink r:id="rId1570" ref="I1571"/>
    <hyperlink r:id="rId1571" ref="I1572"/>
    <hyperlink r:id="rId1572" ref="I1573"/>
    <hyperlink r:id="rId1573" ref="I1574"/>
    <hyperlink r:id="rId1574" ref="I1575"/>
    <hyperlink r:id="rId1575" ref="I1576"/>
    <hyperlink r:id="rId1576" ref="I1577"/>
    <hyperlink r:id="rId1577" ref="I1578"/>
    <hyperlink r:id="rId1578" ref="I1579"/>
    <hyperlink r:id="rId1579" ref="I1580"/>
    <hyperlink r:id="rId1580" ref="I1581"/>
    <hyperlink r:id="rId1581" ref="I1582"/>
    <hyperlink r:id="rId1582" ref="I1583"/>
    <hyperlink r:id="rId1583" ref="I1584"/>
    <hyperlink r:id="rId1584" ref="I1585"/>
    <hyperlink r:id="rId1585" ref="I1586"/>
    <hyperlink r:id="rId1586" ref="I1587"/>
    <hyperlink r:id="rId1587" ref="I1588"/>
    <hyperlink r:id="rId1588" ref="I1589"/>
    <hyperlink r:id="rId1589" ref="I1590"/>
    <hyperlink r:id="rId1590" ref="I1591"/>
    <hyperlink r:id="rId1591" ref="I1592"/>
    <hyperlink r:id="rId1592" ref="I1593"/>
    <hyperlink r:id="rId1593" ref="I1594"/>
    <hyperlink r:id="rId1594" ref="I1595"/>
    <hyperlink r:id="rId1595" ref="I1596"/>
    <hyperlink r:id="rId1596" ref="I1597"/>
    <hyperlink r:id="rId1597" ref="I1598"/>
    <hyperlink r:id="rId1598" ref="I1599"/>
    <hyperlink r:id="rId1599" ref="I1600"/>
    <hyperlink r:id="rId1600" ref="I1601"/>
    <hyperlink r:id="rId1601" ref="I1602"/>
    <hyperlink r:id="rId1602" ref="I1603"/>
    <hyperlink r:id="rId1603" ref="I1604"/>
    <hyperlink r:id="rId1604" ref="I1605"/>
    <hyperlink r:id="rId1605" ref="I1606"/>
    <hyperlink r:id="rId1606" ref="I1607"/>
    <hyperlink r:id="rId1607" ref="I1608"/>
    <hyperlink r:id="rId1608" ref="I1609"/>
    <hyperlink r:id="rId1609" ref="I1610"/>
    <hyperlink r:id="rId1610" ref="I1611"/>
    <hyperlink r:id="rId1611" ref="I1612"/>
    <hyperlink r:id="rId1612" ref="I1613"/>
    <hyperlink r:id="rId1613" ref="I1614"/>
    <hyperlink r:id="rId1614" ref="I1615"/>
    <hyperlink r:id="rId1615" ref="I1616"/>
    <hyperlink r:id="rId1616" ref="I1617"/>
    <hyperlink r:id="rId1617" ref="I1618"/>
    <hyperlink r:id="rId1618" ref="I1619"/>
    <hyperlink r:id="rId1619" ref="I1620"/>
    <hyperlink r:id="rId1620" ref="I1621"/>
    <hyperlink r:id="rId1621" ref="I1622"/>
    <hyperlink r:id="rId1622" ref="I1623"/>
    <hyperlink r:id="rId1623" ref="I1624"/>
    <hyperlink r:id="rId1624" ref="I1625"/>
    <hyperlink r:id="rId1625" ref="I1626"/>
    <hyperlink r:id="rId1626" ref="I1627"/>
    <hyperlink r:id="rId1627" ref="I1628"/>
    <hyperlink r:id="rId1628" ref="I1629"/>
    <hyperlink r:id="rId1629" ref="I1630"/>
    <hyperlink r:id="rId1630" ref="I1631"/>
    <hyperlink r:id="rId1631" ref="I1632"/>
    <hyperlink r:id="rId1632" ref="I1633"/>
    <hyperlink r:id="rId1633" ref="I1634"/>
    <hyperlink r:id="rId1634" ref="I1635"/>
    <hyperlink r:id="rId1635" ref="I1636"/>
    <hyperlink r:id="rId1636" ref="I1637"/>
    <hyperlink r:id="rId1637" ref="I1638"/>
    <hyperlink r:id="rId1638" ref="I1639"/>
    <hyperlink r:id="rId1639" ref="I1640"/>
    <hyperlink r:id="rId1640" ref="I1641"/>
    <hyperlink r:id="rId1641" ref="I1642"/>
    <hyperlink r:id="rId1642" ref="I1643"/>
    <hyperlink r:id="rId1643" ref="I1644"/>
    <hyperlink r:id="rId1644" ref="I1645"/>
    <hyperlink r:id="rId1645" ref="I1646"/>
    <hyperlink r:id="rId1646" ref="I1647"/>
    <hyperlink r:id="rId1647" ref="I1648"/>
    <hyperlink r:id="rId1648" ref="I1649"/>
    <hyperlink r:id="rId1649" ref="I1650"/>
    <hyperlink r:id="rId1650" ref="I1651"/>
    <hyperlink r:id="rId1651" ref="I1652"/>
    <hyperlink r:id="rId1652" ref="I1653"/>
    <hyperlink r:id="rId1653" ref="I1654"/>
    <hyperlink r:id="rId1654" ref="I1655"/>
    <hyperlink r:id="rId1655" ref="I1656"/>
    <hyperlink r:id="rId1656" ref="I1657"/>
    <hyperlink r:id="rId1657" ref="I1658"/>
    <hyperlink r:id="rId1658" ref="I1659"/>
    <hyperlink r:id="rId1659" ref="I1660"/>
    <hyperlink r:id="rId1660" ref="I1661"/>
    <hyperlink r:id="rId1661" ref="I1662"/>
    <hyperlink r:id="rId1662" ref="I1663"/>
    <hyperlink r:id="rId1663" ref="I1664"/>
    <hyperlink r:id="rId1664" ref="I1665"/>
    <hyperlink r:id="rId1665" ref="I1666"/>
    <hyperlink r:id="rId1666" ref="I1667"/>
    <hyperlink r:id="rId1667" ref="I1668"/>
    <hyperlink r:id="rId1668" ref="I1669"/>
    <hyperlink r:id="rId1669" ref="I1670"/>
    <hyperlink r:id="rId1670" ref="I1671"/>
    <hyperlink r:id="rId1671" ref="I1672"/>
    <hyperlink r:id="rId1672" ref="I1673"/>
    <hyperlink r:id="rId1673" ref="I1674"/>
    <hyperlink r:id="rId1674" ref="I1675"/>
    <hyperlink r:id="rId1675" ref="I1676"/>
    <hyperlink r:id="rId1676" ref="I1677"/>
    <hyperlink r:id="rId1677" ref="I1678"/>
    <hyperlink r:id="rId1678" ref="I1679"/>
    <hyperlink r:id="rId1679" ref="I1680"/>
    <hyperlink r:id="rId1680" ref="I1681"/>
    <hyperlink r:id="rId1681" ref="I1682"/>
    <hyperlink r:id="rId1682" ref="I1683"/>
    <hyperlink r:id="rId1683" ref="I1684"/>
    <hyperlink r:id="rId1684" ref="I1685"/>
    <hyperlink r:id="rId1685" ref="I1686"/>
    <hyperlink r:id="rId1686" ref="I1687"/>
    <hyperlink r:id="rId1687" ref="I1688"/>
    <hyperlink r:id="rId1688" ref="I1689"/>
    <hyperlink r:id="rId1689" ref="I1690"/>
    <hyperlink r:id="rId1690" ref="I1691"/>
    <hyperlink r:id="rId1691" ref="I1692"/>
    <hyperlink r:id="rId1692" ref="I1693"/>
    <hyperlink r:id="rId1693" ref="I1694"/>
    <hyperlink r:id="rId1694" ref="I1695"/>
    <hyperlink r:id="rId1695" ref="I1696"/>
    <hyperlink r:id="rId1696" ref="I1697"/>
    <hyperlink r:id="rId1697" ref="I1698"/>
    <hyperlink r:id="rId1698" ref="I1699"/>
    <hyperlink r:id="rId1699" ref="I1700"/>
    <hyperlink r:id="rId1700" ref="I1701"/>
    <hyperlink r:id="rId1701" ref="I1702"/>
    <hyperlink r:id="rId1702" ref="I1703"/>
    <hyperlink r:id="rId1703" ref="I1704"/>
    <hyperlink r:id="rId1704" ref="I1705"/>
    <hyperlink r:id="rId1705" ref="I1706"/>
    <hyperlink r:id="rId1706" ref="I1707"/>
    <hyperlink r:id="rId1707" ref="I1708"/>
    <hyperlink r:id="rId1708" ref="I1709"/>
    <hyperlink r:id="rId1709" ref="I1710"/>
    <hyperlink r:id="rId1710" ref="I1711"/>
    <hyperlink r:id="rId1711" ref="I1712"/>
    <hyperlink r:id="rId1712" ref="I1713"/>
    <hyperlink r:id="rId1713" ref="I1714"/>
    <hyperlink r:id="rId1714" ref="I1715"/>
    <hyperlink r:id="rId1715" ref="I1716"/>
    <hyperlink r:id="rId1716" ref="I1717"/>
    <hyperlink r:id="rId1717" ref="I1718"/>
    <hyperlink r:id="rId1718" ref="I1719"/>
    <hyperlink r:id="rId1719" ref="I1720"/>
    <hyperlink r:id="rId1720" ref="I1721"/>
    <hyperlink r:id="rId1721" ref="I1722"/>
    <hyperlink r:id="rId1722" ref="I1723"/>
    <hyperlink r:id="rId1723" ref="I1724"/>
    <hyperlink r:id="rId1724" ref="I1725"/>
    <hyperlink r:id="rId1725" ref="I1726"/>
    <hyperlink r:id="rId1726" ref="I1727"/>
    <hyperlink r:id="rId1727" ref="I1728"/>
    <hyperlink r:id="rId1728" ref="I1729"/>
    <hyperlink r:id="rId1729" ref="I1730"/>
    <hyperlink r:id="rId1730" ref="I1731"/>
    <hyperlink r:id="rId1731" ref="I1732"/>
    <hyperlink r:id="rId1732" ref="I1733"/>
    <hyperlink r:id="rId1733" ref="I1734"/>
    <hyperlink r:id="rId1734" ref="I1735"/>
    <hyperlink r:id="rId1735" ref="I1736"/>
    <hyperlink r:id="rId1736" ref="I1737"/>
    <hyperlink r:id="rId1737" ref="I1738"/>
    <hyperlink r:id="rId1738" ref="I1739"/>
    <hyperlink r:id="rId1739" ref="I1740"/>
    <hyperlink r:id="rId1740" ref="I1741"/>
    <hyperlink r:id="rId1741" ref="I1742"/>
    <hyperlink r:id="rId1742" ref="I1743"/>
    <hyperlink r:id="rId1743" ref="I1744"/>
    <hyperlink r:id="rId1744" ref="I1745"/>
    <hyperlink r:id="rId1745" ref="I1746"/>
    <hyperlink r:id="rId1746" ref="I1747"/>
    <hyperlink r:id="rId1747" ref="I1748"/>
    <hyperlink r:id="rId1748" ref="I1749"/>
    <hyperlink r:id="rId1749" ref="I1750"/>
    <hyperlink r:id="rId1750" ref="I1751"/>
    <hyperlink r:id="rId1751" ref="I1752"/>
    <hyperlink r:id="rId1752" ref="I1753"/>
    <hyperlink r:id="rId1753" ref="I1754"/>
    <hyperlink r:id="rId1754" ref="I1755"/>
    <hyperlink r:id="rId1755" ref="I1756"/>
    <hyperlink r:id="rId1756" ref="I1757"/>
    <hyperlink r:id="rId1757" ref="I1758"/>
    <hyperlink r:id="rId1758" ref="I1759"/>
    <hyperlink r:id="rId1759" ref="I1760"/>
    <hyperlink r:id="rId1760" ref="I1761"/>
    <hyperlink r:id="rId1761" ref="I1762"/>
    <hyperlink r:id="rId1762" ref="I1763"/>
    <hyperlink r:id="rId1763" ref="I1764"/>
    <hyperlink r:id="rId1764" ref="I1765"/>
    <hyperlink r:id="rId1765" ref="I1766"/>
    <hyperlink r:id="rId1766" ref="I1767"/>
    <hyperlink r:id="rId1767" ref="I1768"/>
    <hyperlink r:id="rId1768" ref="I1769"/>
    <hyperlink r:id="rId1769" ref="I1770"/>
    <hyperlink r:id="rId1770" ref="I1771"/>
    <hyperlink r:id="rId1771" ref="I1772"/>
    <hyperlink r:id="rId1772" ref="I1773"/>
    <hyperlink r:id="rId1773" ref="I1774"/>
    <hyperlink r:id="rId1774" ref="I1775"/>
    <hyperlink r:id="rId1775" ref="I1776"/>
    <hyperlink r:id="rId1776" ref="I1777"/>
    <hyperlink r:id="rId1777" ref="I1778"/>
    <hyperlink r:id="rId1778" ref="I1779"/>
    <hyperlink r:id="rId1779" ref="I1780"/>
    <hyperlink r:id="rId1780" ref="I1781"/>
    <hyperlink r:id="rId1781" ref="I1782"/>
    <hyperlink r:id="rId1782" ref="I1783"/>
    <hyperlink r:id="rId1783" ref="I1784"/>
    <hyperlink r:id="rId1784" ref="I1785"/>
    <hyperlink r:id="rId1785" ref="I1786"/>
    <hyperlink r:id="rId1786" ref="I1787"/>
    <hyperlink r:id="rId1787" ref="I1788"/>
    <hyperlink r:id="rId1788" ref="I1789"/>
    <hyperlink r:id="rId1789" ref="I1790"/>
    <hyperlink r:id="rId1790" ref="I1791"/>
    <hyperlink r:id="rId1791" ref="I1792"/>
    <hyperlink r:id="rId1792" ref="I1793"/>
    <hyperlink r:id="rId1793" ref="I1794"/>
    <hyperlink r:id="rId1794" ref="I1795"/>
    <hyperlink r:id="rId1795" ref="I1796"/>
    <hyperlink r:id="rId1796" ref="I1797"/>
    <hyperlink r:id="rId1797" ref="I1798"/>
    <hyperlink r:id="rId1798" ref="I1799"/>
    <hyperlink r:id="rId1799" ref="I1800"/>
    <hyperlink r:id="rId1800" ref="I1801"/>
    <hyperlink r:id="rId1801" ref="I1802"/>
    <hyperlink r:id="rId1802" ref="I1803"/>
    <hyperlink r:id="rId1803" ref="I1804"/>
    <hyperlink r:id="rId1804" ref="I1805"/>
    <hyperlink r:id="rId1805" ref="I1806"/>
    <hyperlink r:id="rId1806" ref="I1807"/>
    <hyperlink r:id="rId1807" ref="I1808"/>
    <hyperlink r:id="rId1808" ref="I1809"/>
    <hyperlink r:id="rId1809" ref="I1810"/>
    <hyperlink r:id="rId1810" ref="I1811"/>
    <hyperlink r:id="rId1811" ref="I1812"/>
    <hyperlink r:id="rId1812" ref="I1813"/>
    <hyperlink r:id="rId1813" ref="I1814"/>
    <hyperlink r:id="rId1814" ref="I1815"/>
    <hyperlink r:id="rId1815" ref="I1816"/>
    <hyperlink r:id="rId1816" ref="I1817"/>
    <hyperlink r:id="rId1817" ref="I1818"/>
    <hyperlink r:id="rId1818" ref="I1819"/>
    <hyperlink r:id="rId1819" ref="I1820"/>
    <hyperlink r:id="rId1820" ref="I1821"/>
    <hyperlink r:id="rId1821" ref="I1822"/>
    <hyperlink r:id="rId1822" ref="I1823"/>
    <hyperlink r:id="rId1823" ref="I1824"/>
    <hyperlink r:id="rId1824" ref="I1825"/>
    <hyperlink r:id="rId1825" ref="I1826"/>
    <hyperlink r:id="rId1826" ref="I1827"/>
    <hyperlink r:id="rId1827" ref="I1828"/>
    <hyperlink r:id="rId1828" ref="I1829"/>
    <hyperlink r:id="rId1829" ref="I1830"/>
    <hyperlink r:id="rId1830" ref="I1831"/>
    <hyperlink r:id="rId1831" ref="I1832"/>
    <hyperlink r:id="rId1832" ref="I1833"/>
    <hyperlink r:id="rId1833" ref="I1834"/>
    <hyperlink r:id="rId1834" ref="I1835"/>
    <hyperlink r:id="rId1835" ref="I1836"/>
    <hyperlink r:id="rId1836" ref="I1837"/>
    <hyperlink r:id="rId1837" ref="I1838"/>
    <hyperlink r:id="rId1838" ref="I1839"/>
    <hyperlink r:id="rId1839" ref="I1840"/>
    <hyperlink r:id="rId1840" ref="I1841"/>
    <hyperlink r:id="rId1841" ref="I1842"/>
    <hyperlink r:id="rId1842" ref="I1843"/>
    <hyperlink r:id="rId1843" ref="I1844"/>
    <hyperlink r:id="rId1844" ref="I1845"/>
    <hyperlink r:id="rId1845" ref="I1846"/>
    <hyperlink r:id="rId1846" ref="I1847"/>
    <hyperlink r:id="rId1847" ref="I1848"/>
    <hyperlink r:id="rId1848" ref="I1849"/>
    <hyperlink r:id="rId1849" ref="I1850"/>
    <hyperlink r:id="rId1850" ref="I1851"/>
    <hyperlink r:id="rId1851" ref="I1852"/>
    <hyperlink r:id="rId1852" ref="I1853"/>
    <hyperlink r:id="rId1853" ref="I1854"/>
    <hyperlink r:id="rId1854" ref="I1855"/>
    <hyperlink r:id="rId1855" ref="I1856"/>
    <hyperlink r:id="rId1856" ref="I1857"/>
    <hyperlink r:id="rId1857" ref="I1858"/>
    <hyperlink r:id="rId1858" ref="I1859"/>
    <hyperlink r:id="rId1859" ref="I1860"/>
    <hyperlink r:id="rId1860" ref="I1861"/>
    <hyperlink r:id="rId1861" ref="I1862"/>
    <hyperlink r:id="rId1862" ref="I1863"/>
    <hyperlink r:id="rId1863" ref="I1864"/>
    <hyperlink r:id="rId1864" ref="I1865"/>
    <hyperlink r:id="rId1865" ref="I1866"/>
    <hyperlink r:id="rId1866" ref="I1867"/>
    <hyperlink r:id="rId1867" ref="I1868"/>
    <hyperlink r:id="rId1868" ref="I1869"/>
    <hyperlink r:id="rId1869" ref="I1870"/>
    <hyperlink r:id="rId1870" ref="I1871"/>
    <hyperlink r:id="rId1871" ref="I1872"/>
    <hyperlink r:id="rId1872" ref="I1873"/>
    <hyperlink r:id="rId1873" ref="I1874"/>
    <hyperlink r:id="rId1874" ref="I1875"/>
    <hyperlink r:id="rId1875" ref="I1876"/>
    <hyperlink r:id="rId1876" ref="I1877"/>
    <hyperlink r:id="rId1877" ref="I1878"/>
    <hyperlink r:id="rId1878" ref="I1879"/>
    <hyperlink r:id="rId1879" ref="I1880"/>
    <hyperlink r:id="rId1880" ref="I1881"/>
    <hyperlink r:id="rId1881" ref="I1882"/>
    <hyperlink r:id="rId1882" ref="I1883"/>
    <hyperlink r:id="rId1883" ref="I1884"/>
    <hyperlink r:id="rId1884" ref="I1885"/>
    <hyperlink r:id="rId1885" ref="I1886"/>
    <hyperlink r:id="rId1886" ref="I1887"/>
    <hyperlink r:id="rId1887" ref="I1888"/>
    <hyperlink r:id="rId1888" ref="I1889"/>
    <hyperlink r:id="rId1889" ref="I1890"/>
    <hyperlink r:id="rId1890" ref="I1891"/>
    <hyperlink r:id="rId1891" ref="I1892"/>
    <hyperlink r:id="rId1892" ref="I1893"/>
    <hyperlink r:id="rId1893" ref="I1894"/>
    <hyperlink r:id="rId1894" ref="I1895"/>
    <hyperlink r:id="rId1895" ref="I1896"/>
    <hyperlink r:id="rId1896" ref="I1897"/>
    <hyperlink r:id="rId1897" ref="I1898"/>
    <hyperlink r:id="rId1898" ref="I1899"/>
    <hyperlink r:id="rId1899" ref="I1900"/>
    <hyperlink r:id="rId1900" ref="I1901"/>
    <hyperlink r:id="rId1901" ref="I1902"/>
    <hyperlink r:id="rId1902" ref="I1903"/>
    <hyperlink r:id="rId1903" ref="I1904"/>
    <hyperlink r:id="rId1904" ref="I1905"/>
    <hyperlink r:id="rId1905" ref="I1906"/>
    <hyperlink r:id="rId1906" ref="I1907"/>
    <hyperlink r:id="rId1907" ref="I1908"/>
    <hyperlink r:id="rId1908" ref="I1909"/>
    <hyperlink r:id="rId1909" ref="I1910"/>
    <hyperlink r:id="rId1910" ref="I1911"/>
    <hyperlink r:id="rId1911" ref="I1912"/>
    <hyperlink r:id="rId1912" ref="I1913"/>
    <hyperlink r:id="rId1913" ref="I1914"/>
    <hyperlink r:id="rId1914" ref="I1915"/>
    <hyperlink r:id="rId1915" ref="I1916"/>
    <hyperlink r:id="rId1916" ref="I1917"/>
    <hyperlink r:id="rId1917" ref="I1918"/>
    <hyperlink r:id="rId1918" ref="I1919"/>
    <hyperlink r:id="rId1919" ref="I1920"/>
    <hyperlink r:id="rId1920" ref="I1921"/>
    <hyperlink r:id="rId1921" ref="I1922"/>
    <hyperlink r:id="rId1922" ref="I1923"/>
    <hyperlink r:id="rId1923" ref="I1924"/>
    <hyperlink r:id="rId1924" ref="I1925"/>
    <hyperlink r:id="rId1925" ref="I1926"/>
    <hyperlink r:id="rId1926" ref="I1927"/>
    <hyperlink r:id="rId1927" ref="I1928"/>
    <hyperlink r:id="rId1928" ref="I1929"/>
    <hyperlink r:id="rId1929" ref="I1930"/>
    <hyperlink r:id="rId1930" ref="I1931"/>
    <hyperlink r:id="rId1931" ref="I1932"/>
    <hyperlink r:id="rId1932" ref="I1933"/>
    <hyperlink r:id="rId1933" ref="I1934"/>
    <hyperlink r:id="rId1934" ref="I1935"/>
    <hyperlink r:id="rId1935" ref="I1936"/>
    <hyperlink r:id="rId1936" ref="I1937"/>
    <hyperlink r:id="rId1937" ref="I1938"/>
    <hyperlink r:id="rId1938" ref="I1939"/>
    <hyperlink r:id="rId1939" ref="I1940"/>
    <hyperlink r:id="rId1940" ref="I1941"/>
    <hyperlink r:id="rId1941" ref="I1942"/>
    <hyperlink r:id="rId1942" ref="I1943"/>
    <hyperlink r:id="rId1943" ref="I1944"/>
    <hyperlink r:id="rId1944" ref="I1945"/>
    <hyperlink r:id="rId1945" ref="I1946"/>
    <hyperlink r:id="rId1946" ref="I1947"/>
    <hyperlink r:id="rId1947" ref="I1948"/>
    <hyperlink r:id="rId1948" ref="I1949"/>
    <hyperlink r:id="rId1949" ref="I1950"/>
    <hyperlink r:id="rId1950" ref="I1951"/>
    <hyperlink r:id="rId1951" ref="I1952"/>
    <hyperlink r:id="rId1952" ref="I1953"/>
    <hyperlink r:id="rId1953" ref="I1954"/>
    <hyperlink r:id="rId1954" ref="I1955"/>
    <hyperlink r:id="rId1955" ref="I1956"/>
    <hyperlink r:id="rId1956" ref="I1957"/>
    <hyperlink r:id="rId1957" ref="I1958"/>
    <hyperlink r:id="rId1958" ref="I1959"/>
    <hyperlink r:id="rId1959" ref="I1960"/>
    <hyperlink r:id="rId1960" ref="I1961"/>
    <hyperlink r:id="rId1961" ref="I1962"/>
    <hyperlink r:id="rId1962" ref="I1963"/>
    <hyperlink r:id="rId1963" ref="I1964"/>
    <hyperlink r:id="rId1964" ref="I1965"/>
    <hyperlink r:id="rId1965" ref="I1966"/>
    <hyperlink r:id="rId1966" ref="I1967"/>
    <hyperlink r:id="rId1967" ref="I1968"/>
    <hyperlink r:id="rId1968" ref="I1969"/>
    <hyperlink r:id="rId1969" ref="I1970"/>
    <hyperlink r:id="rId1970" ref="I1971"/>
    <hyperlink r:id="rId1971" ref="I1972"/>
    <hyperlink r:id="rId1972" ref="I1973"/>
    <hyperlink r:id="rId1973" ref="I1974"/>
    <hyperlink r:id="rId1974" ref="I1975"/>
    <hyperlink r:id="rId1975" ref="I1976"/>
    <hyperlink r:id="rId1976" ref="I1977"/>
    <hyperlink r:id="rId1977" ref="I1978"/>
    <hyperlink r:id="rId1978" ref="I1979"/>
    <hyperlink r:id="rId1979" ref="I1980"/>
    <hyperlink r:id="rId1980" ref="I1981"/>
    <hyperlink r:id="rId1981" ref="I1982"/>
    <hyperlink r:id="rId1982" ref="I1983"/>
    <hyperlink r:id="rId1983" ref="I1984"/>
    <hyperlink r:id="rId1984" ref="I1985"/>
    <hyperlink r:id="rId1985" ref="I1986"/>
    <hyperlink r:id="rId1986" ref="I1987"/>
    <hyperlink r:id="rId1987" ref="I1988"/>
    <hyperlink r:id="rId1988" ref="I1989"/>
    <hyperlink r:id="rId1989" ref="I1990"/>
    <hyperlink r:id="rId1990" ref="I1991"/>
    <hyperlink r:id="rId1991" ref="I1992"/>
    <hyperlink r:id="rId1992" ref="I1993"/>
    <hyperlink r:id="rId1993" ref="I1994"/>
    <hyperlink r:id="rId1994" ref="I1995"/>
    <hyperlink r:id="rId1995" ref="I1996"/>
    <hyperlink r:id="rId1996" ref="I1997"/>
    <hyperlink r:id="rId1997" ref="I1998"/>
    <hyperlink r:id="rId1998" ref="I1999"/>
    <hyperlink r:id="rId1999" ref="I2000"/>
    <hyperlink r:id="rId2000" ref="I2001"/>
    <hyperlink r:id="rId2001" ref="I2002"/>
    <hyperlink r:id="rId2002" ref="I2003"/>
    <hyperlink r:id="rId2003" ref="I2004"/>
    <hyperlink r:id="rId2004" ref="I2005"/>
    <hyperlink r:id="rId2005" ref="I2006"/>
    <hyperlink r:id="rId2006" ref="I2007"/>
    <hyperlink r:id="rId2007" ref="I2008"/>
    <hyperlink r:id="rId2008" ref="I2009"/>
    <hyperlink r:id="rId2009" ref="I2010"/>
    <hyperlink r:id="rId2010" ref="I2011"/>
    <hyperlink r:id="rId2011" ref="I2012"/>
    <hyperlink r:id="rId2012" ref="I2013"/>
    <hyperlink r:id="rId2013" ref="I2014"/>
    <hyperlink r:id="rId2014" ref="I2015"/>
    <hyperlink r:id="rId2015" ref="I2016"/>
    <hyperlink r:id="rId2016" ref="I2017"/>
    <hyperlink r:id="rId2017" ref="I2018"/>
    <hyperlink r:id="rId2018" ref="I2019"/>
    <hyperlink r:id="rId2019" ref="I2020"/>
    <hyperlink r:id="rId2020" ref="I2021"/>
    <hyperlink r:id="rId2021" ref="I2022"/>
    <hyperlink r:id="rId2022" ref="I2023"/>
    <hyperlink r:id="rId2023" ref="I2024"/>
    <hyperlink r:id="rId2024" ref="I2025"/>
    <hyperlink r:id="rId2025" ref="I2026"/>
    <hyperlink r:id="rId2026" ref="I2027"/>
    <hyperlink r:id="rId2027" ref="I2028"/>
    <hyperlink r:id="rId2028" ref="I2029"/>
    <hyperlink r:id="rId2029" ref="I2030"/>
    <hyperlink r:id="rId2030" ref="I2031"/>
    <hyperlink r:id="rId2031" ref="I2032"/>
    <hyperlink r:id="rId2032" ref="I2033"/>
    <hyperlink r:id="rId2033" ref="I2034"/>
    <hyperlink r:id="rId2034" ref="I2035"/>
    <hyperlink r:id="rId2035" ref="I2036"/>
    <hyperlink r:id="rId2036" ref="I2037"/>
    <hyperlink r:id="rId2037" ref="I2038"/>
    <hyperlink r:id="rId2038" ref="I2039"/>
    <hyperlink r:id="rId2039" ref="I2040"/>
    <hyperlink r:id="rId2040" ref="I2041"/>
    <hyperlink r:id="rId2041" ref="I2042"/>
    <hyperlink r:id="rId2042" ref="I2043"/>
    <hyperlink r:id="rId2043" ref="I2044"/>
    <hyperlink r:id="rId2044" ref="I2045"/>
    <hyperlink r:id="rId2045" ref="I2046"/>
    <hyperlink r:id="rId2046" ref="I2047"/>
    <hyperlink r:id="rId2047" ref="I2048"/>
    <hyperlink r:id="rId2048" ref="I2049"/>
    <hyperlink r:id="rId2049" ref="I2050"/>
    <hyperlink r:id="rId2050" ref="I2051"/>
    <hyperlink r:id="rId2051" ref="I2052"/>
    <hyperlink r:id="rId2052" ref="I2053"/>
    <hyperlink r:id="rId2053" ref="I2054"/>
    <hyperlink r:id="rId2054" ref="I2055"/>
    <hyperlink r:id="rId2055" ref="I2056"/>
    <hyperlink r:id="rId2056" ref="I2057"/>
    <hyperlink r:id="rId2057" ref="I2058"/>
    <hyperlink r:id="rId2058" ref="I2059"/>
    <hyperlink r:id="rId2059" ref="I2060"/>
    <hyperlink r:id="rId2060" ref="I2061"/>
    <hyperlink r:id="rId2061" ref="I2062"/>
    <hyperlink r:id="rId2062" ref="I2063"/>
    <hyperlink r:id="rId2063" ref="I2064"/>
    <hyperlink r:id="rId2064" ref="I2065"/>
    <hyperlink r:id="rId2065" ref="I2066"/>
    <hyperlink r:id="rId2066" ref="I2067"/>
    <hyperlink r:id="rId2067" ref="I2068"/>
    <hyperlink r:id="rId2068" ref="I2069"/>
    <hyperlink r:id="rId2069" ref="I2070"/>
    <hyperlink r:id="rId2070" ref="I2071"/>
    <hyperlink r:id="rId2071" ref="I2072"/>
    <hyperlink r:id="rId2072" ref="I2073"/>
    <hyperlink r:id="rId2073" ref="I2074"/>
    <hyperlink r:id="rId2074" ref="I2075"/>
    <hyperlink r:id="rId2075" ref="I2076"/>
    <hyperlink r:id="rId2076" ref="I2077"/>
    <hyperlink r:id="rId2077" ref="I2078"/>
    <hyperlink r:id="rId2078" ref="I2079"/>
    <hyperlink r:id="rId2079" ref="I2080"/>
    <hyperlink r:id="rId2080" ref="I2081"/>
    <hyperlink r:id="rId2081" ref="I2082"/>
    <hyperlink r:id="rId2082" ref="I2083"/>
    <hyperlink r:id="rId2083" ref="I2084"/>
    <hyperlink r:id="rId2084" ref="I2085"/>
    <hyperlink r:id="rId2085" ref="I2086"/>
    <hyperlink r:id="rId2086" ref="I2087"/>
    <hyperlink r:id="rId2087" ref="I2088"/>
    <hyperlink r:id="rId2088" ref="I2089"/>
    <hyperlink r:id="rId2089" ref="I2090"/>
    <hyperlink r:id="rId2090" ref="I2091"/>
    <hyperlink r:id="rId2091" ref="I2092"/>
    <hyperlink r:id="rId2092" ref="I2093"/>
    <hyperlink r:id="rId2093" ref="I2094"/>
    <hyperlink r:id="rId2094" ref="I2095"/>
    <hyperlink r:id="rId2095" ref="I2096"/>
    <hyperlink r:id="rId2096" ref="I2097"/>
    <hyperlink r:id="rId2097" ref="I2098"/>
    <hyperlink r:id="rId2098" ref="I2099"/>
    <hyperlink r:id="rId2099" ref="I2100"/>
    <hyperlink r:id="rId2100" ref="I2101"/>
    <hyperlink r:id="rId2101" ref="I2102"/>
    <hyperlink r:id="rId2102" ref="I2103"/>
    <hyperlink r:id="rId2103" ref="I2104"/>
    <hyperlink r:id="rId2104" ref="I2105"/>
    <hyperlink r:id="rId2105" ref="I2106"/>
    <hyperlink r:id="rId2106" ref="I2107"/>
    <hyperlink r:id="rId2107" ref="I2108"/>
    <hyperlink r:id="rId2108" ref="I2109"/>
    <hyperlink r:id="rId2109" ref="I2110"/>
    <hyperlink r:id="rId2110" ref="I2111"/>
    <hyperlink r:id="rId2111" ref="I2112"/>
    <hyperlink r:id="rId2112" ref="I2113"/>
    <hyperlink r:id="rId2113" ref="I2114"/>
    <hyperlink r:id="rId2114" ref="I2115"/>
    <hyperlink r:id="rId2115" ref="I2116"/>
    <hyperlink r:id="rId2116" ref="I2117"/>
    <hyperlink r:id="rId2117" ref="I2118"/>
    <hyperlink r:id="rId2118" ref="I2119"/>
    <hyperlink r:id="rId2119" ref="I2120"/>
    <hyperlink r:id="rId2120" ref="I2121"/>
    <hyperlink r:id="rId2121" ref="I2122"/>
    <hyperlink r:id="rId2122" ref="I2123"/>
    <hyperlink r:id="rId2123" ref="I2124"/>
    <hyperlink r:id="rId2124" ref="I2125"/>
    <hyperlink r:id="rId2125" ref="I2126"/>
    <hyperlink r:id="rId2126" ref="I2127"/>
    <hyperlink r:id="rId2127" ref="I2128"/>
    <hyperlink r:id="rId2128" ref="I2129"/>
    <hyperlink r:id="rId2129" ref="I2130"/>
    <hyperlink r:id="rId2130" ref="I2131"/>
    <hyperlink r:id="rId2131" ref="I2132"/>
    <hyperlink r:id="rId2132" ref="I2133"/>
    <hyperlink r:id="rId2133" ref="I2134"/>
    <hyperlink r:id="rId2134" ref="I2135"/>
    <hyperlink r:id="rId2135" ref="I2136"/>
    <hyperlink r:id="rId2136" ref="I2137"/>
    <hyperlink r:id="rId2137" ref="I2138"/>
    <hyperlink r:id="rId2138" ref="I2139"/>
    <hyperlink r:id="rId2139" ref="I2140"/>
    <hyperlink r:id="rId2140" ref="I2141"/>
    <hyperlink r:id="rId2141" ref="I2142"/>
    <hyperlink r:id="rId2142" ref="I2143"/>
    <hyperlink r:id="rId2143" ref="I2144"/>
    <hyperlink r:id="rId2144" ref="I2145"/>
    <hyperlink r:id="rId2145" ref="I2146"/>
    <hyperlink r:id="rId2146" ref="I2147"/>
    <hyperlink r:id="rId2147" ref="I2148"/>
    <hyperlink r:id="rId2148" ref="I2149"/>
    <hyperlink r:id="rId2149" ref="I2150"/>
    <hyperlink r:id="rId2150" ref="I2151"/>
    <hyperlink r:id="rId2151" ref="I2152"/>
    <hyperlink r:id="rId2152" ref="I2153"/>
    <hyperlink r:id="rId2153" ref="I2154"/>
    <hyperlink r:id="rId2154" ref="I2155"/>
    <hyperlink r:id="rId2155" ref="I2156"/>
    <hyperlink r:id="rId2156" ref="I2157"/>
    <hyperlink r:id="rId2157" ref="I2158"/>
    <hyperlink r:id="rId2158" ref="I2159"/>
    <hyperlink r:id="rId2159" ref="I2160"/>
    <hyperlink r:id="rId2160" ref="I2161"/>
    <hyperlink r:id="rId2161" ref="I2162"/>
    <hyperlink r:id="rId2162" ref="I2163"/>
    <hyperlink r:id="rId2163" ref="I2164"/>
    <hyperlink r:id="rId2164" ref="I2165"/>
    <hyperlink r:id="rId2165" ref="I2166"/>
    <hyperlink r:id="rId2166" ref="I2167"/>
    <hyperlink r:id="rId2167" ref="I2168"/>
    <hyperlink r:id="rId2168" ref="I2169"/>
    <hyperlink r:id="rId2169" ref="I2170"/>
    <hyperlink r:id="rId2170" ref="I2171"/>
    <hyperlink r:id="rId2171" ref="I2172"/>
    <hyperlink r:id="rId2172" ref="I2173"/>
    <hyperlink r:id="rId2173" ref="I2174"/>
    <hyperlink r:id="rId2174" ref="I2175"/>
    <hyperlink r:id="rId2175" ref="I2176"/>
    <hyperlink r:id="rId2176" ref="I2177"/>
    <hyperlink r:id="rId2177" ref="I2178"/>
    <hyperlink r:id="rId2178" ref="I2179"/>
    <hyperlink r:id="rId2179" ref="I2180"/>
    <hyperlink r:id="rId2180" ref="I2181"/>
    <hyperlink r:id="rId2181" ref="I2182"/>
    <hyperlink r:id="rId2182" ref="I2183"/>
    <hyperlink r:id="rId2183" ref="I2184"/>
    <hyperlink r:id="rId2184" ref="I2185"/>
    <hyperlink r:id="rId2185" ref="I2186"/>
    <hyperlink r:id="rId2186" ref="I2187"/>
    <hyperlink r:id="rId2187" ref="I2188"/>
    <hyperlink r:id="rId2188" ref="I2189"/>
    <hyperlink r:id="rId2189" ref="I2190"/>
    <hyperlink r:id="rId2190" ref="I2191"/>
    <hyperlink r:id="rId2191" ref="I2192"/>
    <hyperlink r:id="rId2192" ref="I2193"/>
    <hyperlink r:id="rId2193" ref="I2194"/>
    <hyperlink r:id="rId2194" ref="I2195"/>
    <hyperlink r:id="rId2195" ref="I2196"/>
    <hyperlink r:id="rId2196" ref="I2197"/>
    <hyperlink r:id="rId2197" ref="I2198"/>
    <hyperlink r:id="rId2198" ref="I2199"/>
    <hyperlink r:id="rId2199" ref="I2200"/>
    <hyperlink r:id="rId2200" ref="I2201"/>
    <hyperlink r:id="rId2201" ref="I2202"/>
    <hyperlink r:id="rId2202" ref="I2203"/>
    <hyperlink r:id="rId2203" ref="I2204"/>
    <hyperlink r:id="rId2204" ref="I2205"/>
    <hyperlink r:id="rId2205" ref="I2206"/>
    <hyperlink r:id="rId2206" ref="I2207"/>
    <hyperlink r:id="rId2207" ref="I2208"/>
    <hyperlink r:id="rId2208" ref="I2209"/>
    <hyperlink r:id="rId2209" ref="I2210"/>
    <hyperlink r:id="rId2210" ref="I2211"/>
    <hyperlink r:id="rId2211" ref="I2212"/>
    <hyperlink r:id="rId2212" ref="I2213"/>
    <hyperlink r:id="rId2213" ref="I2214"/>
    <hyperlink r:id="rId2214" ref="I2215"/>
    <hyperlink r:id="rId2215" ref="I2216"/>
    <hyperlink r:id="rId2216" ref="I2217"/>
    <hyperlink r:id="rId2217" ref="I2218"/>
    <hyperlink r:id="rId2218" ref="I2219"/>
    <hyperlink r:id="rId2219" ref="I2220"/>
    <hyperlink r:id="rId2220" ref="I2221"/>
    <hyperlink r:id="rId2221" ref="I2222"/>
    <hyperlink r:id="rId2222" ref="I2223"/>
    <hyperlink r:id="rId2223" ref="I2224"/>
    <hyperlink r:id="rId2224" ref="I2225"/>
    <hyperlink r:id="rId2225" ref="I2226"/>
    <hyperlink r:id="rId2226" ref="I2227"/>
    <hyperlink r:id="rId2227" ref="I2228"/>
    <hyperlink r:id="rId2228" ref="I2229"/>
    <hyperlink r:id="rId2229" ref="I2230"/>
    <hyperlink r:id="rId2230" ref="I2231"/>
    <hyperlink r:id="rId2231" ref="I2232"/>
    <hyperlink r:id="rId2232" ref="I2233"/>
    <hyperlink r:id="rId2233" ref="I2234"/>
    <hyperlink r:id="rId2234" ref="I2235"/>
    <hyperlink r:id="rId2235" ref="I2236"/>
    <hyperlink r:id="rId2236" ref="I2237"/>
    <hyperlink r:id="rId2237" ref="I2238"/>
    <hyperlink r:id="rId2238" ref="I2239"/>
    <hyperlink r:id="rId2239" ref="I2240"/>
    <hyperlink r:id="rId2240" ref="I2241"/>
    <hyperlink r:id="rId2241" ref="I2242"/>
    <hyperlink r:id="rId2242" ref="I2243"/>
    <hyperlink r:id="rId2243" ref="I2244"/>
    <hyperlink r:id="rId2244" ref="I2245"/>
    <hyperlink r:id="rId2245" ref="I2246"/>
    <hyperlink r:id="rId2246" ref="I2247"/>
    <hyperlink r:id="rId2247" ref="I2248"/>
    <hyperlink r:id="rId2248" ref="I2249"/>
    <hyperlink r:id="rId2249" ref="I2250"/>
    <hyperlink r:id="rId2250" ref="I2251"/>
    <hyperlink r:id="rId2251" ref="I2252"/>
    <hyperlink r:id="rId2252" ref="I2253"/>
    <hyperlink r:id="rId2253" ref="I2254"/>
    <hyperlink r:id="rId2254" ref="I2255"/>
    <hyperlink r:id="rId2255" ref="I2256"/>
    <hyperlink r:id="rId2256" ref="I2257"/>
    <hyperlink r:id="rId2257" ref="I2258"/>
    <hyperlink r:id="rId2258" ref="I2259"/>
    <hyperlink r:id="rId2259" ref="I2260"/>
    <hyperlink r:id="rId2260" ref="I2261"/>
    <hyperlink r:id="rId2261" ref="I2262"/>
    <hyperlink r:id="rId2262" ref="I2263"/>
    <hyperlink r:id="rId2263" ref="I2264"/>
    <hyperlink r:id="rId2264" ref="I2265"/>
    <hyperlink r:id="rId2265" ref="I2266"/>
    <hyperlink r:id="rId2266" ref="I2267"/>
    <hyperlink r:id="rId2267" ref="I2268"/>
    <hyperlink r:id="rId2268" ref="I2269"/>
    <hyperlink r:id="rId2269" ref="I2270"/>
    <hyperlink r:id="rId2270" ref="I2271"/>
    <hyperlink r:id="rId2271" ref="I2272"/>
    <hyperlink r:id="rId2272" ref="I2273"/>
    <hyperlink r:id="rId2273" ref="I2274"/>
    <hyperlink r:id="rId2274" ref="I2275"/>
    <hyperlink r:id="rId2275" ref="I2276"/>
    <hyperlink r:id="rId2276" ref="I2277"/>
    <hyperlink r:id="rId2277" ref="I2278"/>
    <hyperlink r:id="rId2278" ref="I2279"/>
    <hyperlink r:id="rId2279" ref="I2280"/>
    <hyperlink r:id="rId2280" ref="I2281"/>
    <hyperlink r:id="rId2281" ref="I2282"/>
    <hyperlink r:id="rId2282" ref="I2283"/>
    <hyperlink r:id="rId2283" ref="I2284"/>
    <hyperlink r:id="rId2284" ref="I2285"/>
    <hyperlink r:id="rId2285" ref="I2286"/>
    <hyperlink r:id="rId2286" ref="I2287"/>
    <hyperlink r:id="rId2287" ref="I2288"/>
    <hyperlink r:id="rId2288" ref="I2289"/>
    <hyperlink r:id="rId2289" ref="I2290"/>
    <hyperlink r:id="rId2290" ref="I2291"/>
    <hyperlink r:id="rId2291" ref="I2292"/>
    <hyperlink r:id="rId2292" ref="I2293"/>
    <hyperlink r:id="rId2293" ref="I2294"/>
    <hyperlink r:id="rId2294" ref="I2295"/>
    <hyperlink r:id="rId2295" ref="I2296"/>
    <hyperlink r:id="rId2296" ref="I2297"/>
    <hyperlink r:id="rId2297" ref="I2298"/>
    <hyperlink r:id="rId2298" ref="I2299"/>
    <hyperlink r:id="rId2299" ref="I2300"/>
    <hyperlink r:id="rId2300" ref="I2301"/>
    <hyperlink r:id="rId2301" ref="I2302"/>
    <hyperlink r:id="rId2302" ref="I2303"/>
    <hyperlink r:id="rId2303" ref="I2304"/>
    <hyperlink r:id="rId2304" ref="I2305"/>
    <hyperlink r:id="rId2305" ref="I2306"/>
    <hyperlink r:id="rId2306" ref="I2307"/>
    <hyperlink r:id="rId2307" ref="I2308"/>
    <hyperlink r:id="rId2308" ref="I2309"/>
    <hyperlink r:id="rId2309" ref="I2310"/>
    <hyperlink r:id="rId2310" ref="I2311"/>
    <hyperlink r:id="rId2311" ref="I2312"/>
    <hyperlink r:id="rId2312" ref="I2313"/>
    <hyperlink r:id="rId2313" ref="I2314"/>
    <hyperlink r:id="rId2314" ref="I2315"/>
    <hyperlink r:id="rId2315" ref="I2316"/>
    <hyperlink r:id="rId2316" ref="I2317"/>
    <hyperlink r:id="rId2317" ref="I2318"/>
    <hyperlink r:id="rId2318" ref="I2319"/>
    <hyperlink r:id="rId2319" ref="I2320"/>
    <hyperlink r:id="rId2320" ref="I2321"/>
    <hyperlink r:id="rId2321" ref="I2322"/>
    <hyperlink r:id="rId2322" ref="I2323"/>
    <hyperlink r:id="rId2323" ref="I2324"/>
    <hyperlink r:id="rId2324" ref="I2325"/>
    <hyperlink r:id="rId2325" ref="I2326"/>
    <hyperlink r:id="rId2326" ref="I2327"/>
    <hyperlink r:id="rId2327" ref="I2328"/>
    <hyperlink r:id="rId2328" ref="I2329"/>
    <hyperlink r:id="rId2329" ref="I2330"/>
    <hyperlink r:id="rId2330" ref="I2331"/>
    <hyperlink r:id="rId2331" ref="I2332"/>
    <hyperlink r:id="rId2332" ref="I2333"/>
    <hyperlink r:id="rId2333" ref="I2334"/>
    <hyperlink r:id="rId2334" ref="I2335"/>
    <hyperlink r:id="rId2335" ref="I2336"/>
    <hyperlink r:id="rId2336" ref="I2337"/>
    <hyperlink r:id="rId2337" ref="I2338"/>
    <hyperlink r:id="rId2338" ref="I2339"/>
    <hyperlink r:id="rId2339" ref="I2340"/>
    <hyperlink r:id="rId2340" ref="I2341"/>
    <hyperlink r:id="rId2341" ref="I2342"/>
    <hyperlink r:id="rId2342" ref="I2343"/>
    <hyperlink r:id="rId2343" ref="I2344"/>
    <hyperlink r:id="rId2344" ref="I2345"/>
    <hyperlink r:id="rId2345" ref="I2346"/>
    <hyperlink r:id="rId2346" ref="I2347"/>
    <hyperlink r:id="rId2347" ref="I2348"/>
    <hyperlink r:id="rId2348" ref="I2349"/>
    <hyperlink r:id="rId2349" ref="I2350"/>
    <hyperlink r:id="rId2350" ref="I2351"/>
    <hyperlink r:id="rId2351" ref="I2352"/>
    <hyperlink r:id="rId2352" ref="I2353"/>
    <hyperlink r:id="rId2353" ref="I2354"/>
    <hyperlink r:id="rId2354" ref="I2355"/>
    <hyperlink r:id="rId2355" ref="I2356"/>
    <hyperlink r:id="rId2356" ref="I2357"/>
    <hyperlink r:id="rId2357" ref="I2358"/>
    <hyperlink r:id="rId2358" ref="I2359"/>
    <hyperlink r:id="rId2359" ref="I2360"/>
    <hyperlink r:id="rId2360" ref="I2361"/>
    <hyperlink r:id="rId2361" ref="I2362"/>
    <hyperlink r:id="rId2362" ref="I2363"/>
    <hyperlink r:id="rId2363" ref="I2364"/>
    <hyperlink r:id="rId2364" ref="I2365"/>
    <hyperlink r:id="rId2365" ref="I2366"/>
    <hyperlink r:id="rId2366" ref="I2367"/>
    <hyperlink r:id="rId2367" ref="I2368"/>
    <hyperlink r:id="rId2368" ref="I2369"/>
    <hyperlink r:id="rId2369" ref="I2370"/>
    <hyperlink r:id="rId2370" ref="I2371"/>
    <hyperlink r:id="rId2371" ref="I2372"/>
    <hyperlink r:id="rId2372" ref="I2373"/>
    <hyperlink r:id="rId2373" ref="I2374"/>
    <hyperlink r:id="rId2374" ref="I2375"/>
    <hyperlink r:id="rId2375" ref="I2376"/>
    <hyperlink r:id="rId2376" ref="I2377"/>
    <hyperlink r:id="rId2377" ref="I2378"/>
    <hyperlink r:id="rId2378" ref="I2379"/>
    <hyperlink r:id="rId2379" ref="I2380"/>
    <hyperlink r:id="rId2380" ref="I2381"/>
    <hyperlink r:id="rId2381" ref="I2382"/>
    <hyperlink r:id="rId2382" ref="I2383"/>
    <hyperlink r:id="rId2383" ref="I2384"/>
    <hyperlink r:id="rId2384" ref="I2385"/>
    <hyperlink r:id="rId2385" ref="I2386"/>
    <hyperlink r:id="rId2386" ref="I2387"/>
    <hyperlink r:id="rId2387" ref="I2388"/>
    <hyperlink r:id="rId2388" ref="I2389"/>
    <hyperlink r:id="rId2389" ref="I2390"/>
    <hyperlink r:id="rId2390" ref="I2391"/>
    <hyperlink r:id="rId2391" ref="I2392"/>
    <hyperlink r:id="rId2392" ref="I2393"/>
    <hyperlink r:id="rId2393" ref="I2394"/>
    <hyperlink r:id="rId2394" ref="I2395"/>
    <hyperlink r:id="rId2395" ref="I2396"/>
    <hyperlink r:id="rId2396" ref="I2397"/>
    <hyperlink r:id="rId2397" ref="I2398"/>
    <hyperlink r:id="rId2398" ref="I2399"/>
    <hyperlink r:id="rId2399" ref="I2400"/>
    <hyperlink r:id="rId2400" ref="I2401"/>
    <hyperlink r:id="rId2401" ref="I2402"/>
    <hyperlink r:id="rId2402" ref="I2403"/>
    <hyperlink r:id="rId2403" ref="I2404"/>
    <hyperlink r:id="rId2404" ref="I2405"/>
    <hyperlink r:id="rId2405" ref="I2406"/>
    <hyperlink r:id="rId2406" ref="I2407"/>
    <hyperlink r:id="rId2407" ref="I2408"/>
    <hyperlink r:id="rId2408" ref="I2409"/>
    <hyperlink r:id="rId2409" ref="I2410"/>
    <hyperlink r:id="rId2410" ref="I2411"/>
    <hyperlink r:id="rId2411" ref="I2412"/>
    <hyperlink r:id="rId2412" ref="I2413"/>
    <hyperlink r:id="rId2413" ref="I2414"/>
    <hyperlink r:id="rId2414" ref="I2415"/>
    <hyperlink r:id="rId2415" ref="I2416"/>
    <hyperlink r:id="rId2416" ref="I2417"/>
    <hyperlink r:id="rId2417" ref="I2418"/>
    <hyperlink r:id="rId2418" ref="I2419"/>
    <hyperlink r:id="rId2419" ref="I2420"/>
    <hyperlink r:id="rId2420" ref="I2421"/>
    <hyperlink r:id="rId2421" ref="I2422"/>
    <hyperlink r:id="rId2422" ref="I2423"/>
    <hyperlink r:id="rId2423" ref="I2424"/>
    <hyperlink r:id="rId2424" ref="I2425"/>
    <hyperlink r:id="rId2425" ref="I2426"/>
    <hyperlink r:id="rId2426" ref="I2427"/>
    <hyperlink r:id="rId2427" ref="I2428"/>
    <hyperlink r:id="rId2428" ref="I2429"/>
    <hyperlink r:id="rId2429" ref="I2430"/>
    <hyperlink r:id="rId2430" ref="I2431"/>
    <hyperlink r:id="rId2431" ref="I2432"/>
    <hyperlink r:id="rId2432" ref="I2433"/>
    <hyperlink r:id="rId2433" ref="I2434"/>
    <hyperlink r:id="rId2434" ref="I2435"/>
    <hyperlink r:id="rId2435" ref="I2436"/>
    <hyperlink r:id="rId2436" ref="I2437"/>
    <hyperlink r:id="rId2437" ref="I2438"/>
    <hyperlink r:id="rId2438" ref="I2439"/>
    <hyperlink r:id="rId2439" ref="I2440"/>
    <hyperlink r:id="rId2440" ref="I2441"/>
    <hyperlink r:id="rId2441" ref="I2442"/>
    <hyperlink r:id="rId2442" ref="I2443"/>
    <hyperlink r:id="rId2443" ref="I2444"/>
    <hyperlink r:id="rId2444" ref="I2445"/>
    <hyperlink r:id="rId2445" ref="I2446"/>
    <hyperlink r:id="rId2446" ref="I2447"/>
    <hyperlink r:id="rId2447" ref="I2448"/>
    <hyperlink r:id="rId2448" ref="I2449"/>
    <hyperlink r:id="rId2449" ref="I2450"/>
    <hyperlink r:id="rId2450" ref="I2451"/>
    <hyperlink r:id="rId2451" ref="I2452"/>
    <hyperlink r:id="rId2452" ref="I2453"/>
    <hyperlink r:id="rId2453" ref="I2454"/>
    <hyperlink r:id="rId2454" ref="I2455"/>
    <hyperlink r:id="rId2455" ref="I2456"/>
    <hyperlink r:id="rId2456" ref="I2457"/>
    <hyperlink r:id="rId2457" ref="I2458"/>
    <hyperlink r:id="rId2458" ref="I2459"/>
    <hyperlink r:id="rId2459" ref="I2460"/>
    <hyperlink r:id="rId2460" ref="I2461"/>
    <hyperlink r:id="rId2461" ref="I2462"/>
    <hyperlink r:id="rId2462" ref="I2463"/>
    <hyperlink r:id="rId2463" ref="I2464"/>
    <hyperlink r:id="rId2464" ref="I2465"/>
    <hyperlink r:id="rId2465" ref="I2466"/>
    <hyperlink r:id="rId2466" ref="I2467"/>
    <hyperlink r:id="rId2467" ref="I2468"/>
    <hyperlink r:id="rId2468" ref="I2469"/>
    <hyperlink r:id="rId2469" ref="I2470"/>
    <hyperlink r:id="rId2470" ref="I2471"/>
    <hyperlink r:id="rId2471" ref="I2472"/>
    <hyperlink r:id="rId2472" ref="I2473"/>
    <hyperlink r:id="rId2473" ref="I2474"/>
    <hyperlink r:id="rId2474" ref="I2475"/>
    <hyperlink r:id="rId2475" ref="I2476"/>
    <hyperlink r:id="rId2476" ref="I2477"/>
    <hyperlink r:id="rId2477" ref="I2478"/>
    <hyperlink r:id="rId2478" ref="I2479"/>
    <hyperlink r:id="rId2479" ref="I2480"/>
    <hyperlink r:id="rId2480" ref="I2481"/>
    <hyperlink r:id="rId2481" ref="I2482"/>
    <hyperlink r:id="rId2482" ref="I2483"/>
    <hyperlink r:id="rId2483" ref="I2484"/>
    <hyperlink r:id="rId2484" ref="I2485"/>
    <hyperlink r:id="rId2485" ref="I2486"/>
    <hyperlink r:id="rId2486" ref="I2487"/>
    <hyperlink r:id="rId2487" ref="I2488"/>
    <hyperlink r:id="rId2488" ref="I2489"/>
    <hyperlink r:id="rId2489" ref="I2490"/>
    <hyperlink r:id="rId2490" ref="I2491"/>
    <hyperlink r:id="rId2491" ref="I2492"/>
    <hyperlink r:id="rId2492" ref="I2493"/>
    <hyperlink r:id="rId2493" ref="I2494"/>
    <hyperlink r:id="rId2494" ref="I2495"/>
    <hyperlink r:id="rId2495" ref="I2496"/>
    <hyperlink r:id="rId2496" ref="I2497"/>
    <hyperlink r:id="rId2497" ref="I2498"/>
    <hyperlink r:id="rId2498" ref="I2499"/>
    <hyperlink r:id="rId2499" ref="I2500"/>
    <hyperlink r:id="rId2500" ref="I2501"/>
    <hyperlink r:id="rId2501" ref="I2502"/>
    <hyperlink r:id="rId2502" ref="I2503"/>
    <hyperlink r:id="rId2503" ref="I2504"/>
    <hyperlink r:id="rId2504" ref="I2505"/>
  </hyperlinks>
  <drawing r:id="rId2505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52.63"/>
    <col customWidth="1" min="2" max="2" width="17.63"/>
    <col customWidth="1" min="3" max="3" width="52.63"/>
  </cols>
  <sheetData>
    <row r="1">
      <c r="A1" s="1" t="s">
        <v>35</v>
      </c>
      <c r="B1" s="1" t="s">
        <v>37</v>
      </c>
      <c r="C1" s="7" t="s">
        <v>38</v>
      </c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</row>
    <row r="2">
      <c r="A2" s="10" t="str">
        <f>IFERROR(__xludf.DUMMYFUNCTION("QUERY('Tổng hợp 75 trang đích'!I2:I2505,""select I, count(I) where I &lt;&gt; '' group by I order by count(I) desc label count(I) ''"",0)"),"https://techcombank.com/thong-tin/blog/no-xau-mo-the-tin-dung-duoc-khong")</f>
        <v>https://techcombank.com/thong-tin/blog/no-xau-mo-the-tin-dung-duoc-khong</v>
      </c>
      <c r="B2" s="11">
        <f>IFERROR(__xludf.DUMMYFUNCTION("""COMPUTED_VALUE"""),12.0)</f>
        <v>12</v>
      </c>
      <c r="C2" s="8" t="str">
        <f>IFERROR(__xludf.DUMMYFUNCTION("IF(A2="""","""",TEXTJOIN(CHAR(10),TRUE,FILTER('Tổng hợp 75 trang đích'!$B$2:$B$2505,'Tổng hợp 75 trang đích'!$I$2:$I$2505=A2)))"),"https://techcombank.com/thong-tin/blog/cic-la-gi
https://techcombank.com/thong-tin/blog/lam-the-tin-dung
https://techcombank.com/khach-hang-ca-nhan/chi-tieu/the/the-tin-dung/techcombank-everyday
https://techcombank.com/thong-tin/blog/the-tin-dung-hoan-tie"&amp;"n
https://techcombank.com/thong-tin/blog/cach-huy-the-tin-dung
https://techcombank.com/thong-tin/blog/xep-hang-tin-dung
https://techcombank.com/thong-tin/blog/cach-thanh-toan-the-tin-dung
https://techcombank.com/thong-tin/blog/ho-so-thu-tuc-xoa-the-chap
h"&amp;"ttps://techcombank.com/thong-tin/blog/rut-tien-tiet-kiem-truoc-thoi-han
https://techcombank.com/thong-tin/blog/kiem-tra-no-xau
https://techcombank.com/thong-tin/blog/no-xau-la-gi
https://techcombank.com/thong-tin/blog/vay-tin-chap-khong-tra-duoc-co-sao-kh"&amp;"ong")</f>
        <v>https://techcombank.com/thong-tin/blog/cic-la-gi
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https://techcombank.com/thong-tin/blog/xep-hang-tin-dung
https://techcombank.com/thong-tin/blog/cach-thanh-toan-the-tin-dung
https://techcombank.com/thong-tin/blog/ho-so-thu-tuc-xoa-the-chap
https://techcombank.com/thong-tin/blog/rut-tien-tiet-kiem-truoc-thoi-han
https://techcombank.com/thong-tin/blog/kiem-tra-no-xau
https://techcombank.com/thong-tin/blog/no-xau-la-gi
https://techcombank.com/thong-tin/blog/vay-tin-chap-khong-tra-duoc-co-sao-khong</v>
      </c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</row>
    <row r="3">
      <c r="A3" s="10" t="str">
        <f>IFERROR(__xludf.DUMMYFUNCTION("""COMPUTED_VALUE"""),"https://techcombank.com/thong-tin/blog/no-xau-nhom-2")</f>
        <v>https://techcombank.com/thong-tin/blog/no-xau-nhom-2</v>
      </c>
      <c r="B3" s="11">
        <f>IFERROR(__xludf.DUMMYFUNCTION("""COMPUTED_VALUE"""),12.0)</f>
        <v>12</v>
      </c>
      <c r="C3" s="8" t="str">
        <f>IFERROR(__xludf.DUMMYFUNCTION("IF(A3="""","""",TEXTJOIN(CHAR(10),TRUE,FILTER('Tổng hợp 75 trang đích'!$B$2:$B$2505,'Tổng hợp 75 trang đích'!$I$2:$I$2505=A3)))"),"https://techcombank.com/thong-tin/blog/cic-la-gi
https://techcombank.com/thong-tin/blog/lam-the-tin-dung
https://techcombank.com/khach-hang-ca-nhan/chi-tieu/the/the-tin-dung/techcombank-everyday
https://techcombank.com/thong-tin/blog/the-tin-dung-hoan-tie"&amp;"n
https://techcombank.com/thong-tin/blog/cach-huy-the-tin-dung
https://techcombank.com/thong-tin/blog/xep-hang-tin-dung
https://techcombank.com/thong-tin/blog/cach-thanh-toan-the-tin-dung
https://techcombank.com/thong-tin/blog/cach-tinh-lai-vay-ngan-hang
"&amp;"https://techcombank.com/cong-cu-tien-ich/cong-cu-tinh-toan/bang-tinh-lai-suat-vay
https://techcombank.com/thong-tin/blog/kiem-tra-no-xau
https://techcombank.com/thong-tin/blog/no-xau-la-gi
https://techcombank.com/thong-tin/blog/vay-tin-chap-khong-tra-duoc"&amp;"-co-sao-khong")</f>
        <v>https://techcombank.com/thong-tin/blog/cic-la-gi
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https://techcombank.com/thong-tin/blog/xep-hang-tin-dung
https://techcombank.com/thong-tin/blog/cach-thanh-toan-the-tin-dung
https://techcombank.com/thong-tin/blog/cach-tinh-lai-vay-ngan-hang
https://techcombank.com/cong-cu-tien-ich/cong-cu-tinh-toan/bang-tinh-lai-suat-vay
https://techcombank.com/thong-tin/blog/kiem-tra-no-xau
https://techcombank.com/thong-tin/blog/no-xau-la-gi
https://techcombank.com/thong-tin/blog/vay-tin-chap-khong-tra-duoc-co-sao-khong</v>
      </c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</row>
    <row r="4">
      <c r="A4" s="10" t="str">
        <f>IFERROR(__xludf.DUMMYFUNCTION("""COMPUTED_VALUE"""),"https://techcombank.com/thong-tin/blog/qua-han-thanh-toan-the-tin-dung-1-ngay")</f>
        <v>https://techcombank.com/thong-tin/blog/qua-han-thanh-toan-the-tin-dung-1-ngay</v>
      </c>
      <c r="B4" s="11">
        <f>IFERROR(__xludf.DUMMYFUNCTION("""COMPUTED_VALUE"""),11.0)</f>
        <v>11</v>
      </c>
      <c r="C4" s="8" t="str">
        <f>IFERROR(__xludf.DUMMYFUNCTION("IF(A4="""","""",TEXTJOIN(CHAR(10),TRUE,FILTER('Tổng hợp 75 trang đích'!$B$2:$B$2505,'Tổng hợp 75 trang đích'!$I$2:$I$2505=A4)))"),"https://techcombank.com/thong-tin/blog/cic-la-gi
https://techcombank.com/thong-tin/blog/lam-the-tin-dung
https://techcombank.com/khach-hang-ca-nhan/chi-tieu/the/the-tin-dung/techcombank-everyday
https://techcombank.com/thong-tin/blog/the-tin-dung-hoan-tie"&amp;"n
https://techcombank.com/thong-tin/blog/cach-huy-the-tin-dung
https://techcombank.com/thong-tin/blog/xep-hang-tin-dung
https://techcombank.com/thong-tin/blog/cach-thanh-toan-the-tin-dung
https://techcombank.com/thong-tin/blog/cach-tinh-lai-suat-tien-gui-"&amp;"tiet-kiem
https://techcombank.com/cong-cu-tien-ich/cong-cu-tinh-toan/bang-tinh-lai-suat-tiet-kiem
https://techcombank.com/thong-tin/blog/no-xau-la-gi
https://techcombank.com/thong-tin/blog/vay-tin-chap-khong-tra-duoc-co-sao-khong")</f>
        <v>https://techcombank.com/thong-tin/blog/cic-la-gi
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https://techcombank.com/thong-tin/blog/xep-hang-tin-dung
https://techcombank.com/thong-tin/blog/cach-thanh-toan-the-tin-dung
https://techcombank.com/thong-tin/blog/cach-tinh-lai-suat-tien-gui-tiet-kiem
https://techcombank.com/cong-cu-tien-ich/cong-cu-tinh-toan/bang-tinh-lai-suat-tiet-kiem
https://techcombank.com/thong-tin/blog/no-xau-la-gi
https://techcombank.com/thong-tin/blog/vay-tin-chap-khong-tra-duoc-co-sao-khong</v>
      </c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</row>
    <row r="5">
      <c r="A5" s="10" t="str">
        <f>IFERROR(__xludf.DUMMYFUNCTION("""COMPUTED_VALUE"""),"https://techcombank.com/thong-tin/blog/cach-su-dung-the-tin-dung")</f>
        <v>https://techcombank.com/thong-tin/blog/cach-su-dung-the-tin-dung</v>
      </c>
      <c r="B5" s="11">
        <f>IFERROR(__xludf.DUMMYFUNCTION("""COMPUTED_VALUE"""),10.0)</f>
        <v>10</v>
      </c>
      <c r="C5" s="8" t="str">
        <f>IFERROR(__xludf.DUMMYFUNCTION("IF(A5="""","""",TEXTJOIN(CHAR(10),TRUE,FILTER('Tổng hợp 75 trang đích'!$B$2:$B$2505,'Tổng hợp 75 trang đích'!$I$2:$I$2505=A5)))"),"https://techcombank.com/thong-tin/blog/rut-tien-bang-ma-qr-la-gi-cach-thuc-hien-nhu-the-nao
https://techcombank.com/thong-tin/blog/rut-tien-mat-tu-the-tin-dung
https://techcombank.com/thong-tin/blog/lam-the-tin-dung
https://techcombank.com/khach-hang-ca-n"&amp;"han/chi-tieu/the/the-tin-dung/techcombank-everyday
https://techcombank.com/thong-tin/blog/the-tin-dung-hoan-tien
https://techcombank.com/thong-tin/blog/cach-huy-the-tin-dung
https://techcombank.com/thong-tin/blog/cach-thanh-toan-the-tin-dung
https://techc"&amp;"ombank.com/thong-tin/blog/vay-ngan-hang-1-ty-moi-thang-tra-bao-nhieu
https://techcombank.com/thong-tin/blog/cach-tinh-lai-vay-ngan-hang
https://techcombank.com/cong-cu-tien-ich/cong-cu-tinh-toan/bang-tinh-lai-suat-vay")</f>
        <v>https://techcombank.com/thong-tin/blog/rut-tien-bang-ma-qr-la-gi-cach-thuc-hien-nhu-the-nao
https://techcombank.com/thong-tin/blog/rut-tien-mat-tu-the-tin-dung
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https://techcombank.com/thong-tin/blog/cach-thanh-toan-the-tin-dung
https://techcombank.com/thong-tin/blog/vay-ngan-hang-1-ty-moi-thang-tra-bao-nhieu
https://techcombank.com/thong-tin/blog/cach-tinh-lai-vay-ngan-hang
https://techcombank.com/cong-cu-tien-ich/cong-cu-tinh-toan/bang-tinh-lai-suat-vay</v>
      </c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</row>
    <row r="6">
      <c r="A6" s="10" t="str">
        <f>IFERROR(__xludf.DUMMYFUNCTION("""COMPUTED_VALUE"""),"https://techcombank.com/thong-tin/blog/han-muc-mua-ngoai-te-khi-di-du-lich")</f>
        <v>https://techcombank.com/thong-tin/blog/han-muc-mua-ngoai-te-khi-di-du-lich</v>
      </c>
      <c r="B6" s="11">
        <f>IFERROR(__xludf.DUMMYFUNCTION("""COMPUTED_VALUE"""),10.0)</f>
        <v>10</v>
      </c>
      <c r="C6" s="8" t="str">
        <f>IFERROR(__xludf.DUMMYFUNCTION("IF(A6="""","""",TEXTJOIN(CHAR(10),TRUE,FILTER('Tổng hợp 75 trang đích'!$B$2:$B$2505,'Tổng hợp 75 trang đích'!$I$2:$I$2505=A6)))"),"https://techcombank.com/thong-tin/blog/1-te-bang-bao-nhieu-tien-viet-nam
https://techcombank.com/thong-tin/blog/1-dong-do-la-my-bang-bao-nhieu-tien-viet-nam
https://techcombank.com/thong-tin/blog/tien-nhat
https://techcombank.com/thong-tin/blog/1-yen-bang"&amp;"-bao-nhieu-tien-viet-nam
https://techcombank.com/thong-tin/blog/tien-dai-loan
https://techcombank.com/thong-tin/blog/1-man-bang-bao-nhieu-tien-viet
https://techcombank.com/thong-tin/blog/tien-thai-lan
https://techcombank.com/thong-tin/blog/cach-nhan-tien-"&amp;"tu-nuoc-ngoai-ve-viet-nam
https://techcombank.com/thong-tin/blog/doi-tien-do-o-dau
https://techcombank.com/thong-tin/blog/traveloka-voucher")</f>
        <v>https://techcombank.com/thong-tin/blog/1-te-bang-bao-nhieu-tien-viet-nam
https://techcombank.com/thong-tin/blog/1-dong-do-la-my-bang-bao-nhieu-tien-viet-nam
https://techcombank.com/thong-tin/blog/tien-nhat
https://techcombank.com/thong-tin/blog/1-yen-bang-bao-nhieu-tien-viet-nam
https://techcombank.com/thong-tin/blog/tien-dai-loan
https://techcombank.com/thong-tin/blog/1-man-bang-bao-nhieu-tien-viet
https://techcombank.com/thong-tin/blog/tien-thai-lan
https://techcombank.com/thong-tin/blog/cach-nhan-tien-tu-nuoc-ngoai-ve-viet-nam
https://techcombank.com/thong-tin/blog/doi-tien-do-o-dau
https://techcombank.com/thong-tin/blog/traveloka-voucher</v>
      </c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</row>
    <row r="7">
      <c r="A7" s="10" t="str">
        <f>IFERROR(__xludf.DUMMYFUNCTION("""COMPUTED_VALUE"""),"https://techcombank.com/thong-tin/blog/han-muc-tra-gop-the-tin-dung")</f>
        <v>https://techcombank.com/thong-tin/blog/han-muc-tra-gop-the-tin-dung</v>
      </c>
      <c r="B7" s="11">
        <f>IFERROR(__xludf.DUMMYFUNCTION("""COMPUTED_VALUE"""),10.0)</f>
        <v>10</v>
      </c>
      <c r="C7" s="8" t="str">
        <f>IFERROR(__xludf.DUMMYFUNCTION("IF(A7="""","""",TEXTJOIN(CHAR(10),TRUE,FILTER('Tổng hợp 75 trang đích'!$B$2:$B$2505,'Tổng hợp 75 trang đích'!$I$2:$I$2505=A7)))"),"https://techcombank.com/thong-tin/blog/cach-sao-ke-tai-khoan-ngan-hang
https://techcombank.com/thong-tin/blog/lam-the-tin-dung
https://techcombank.com/khach-hang-ca-nhan/chi-tieu/the/the-tin-dung/techcombank-everyday
https://techcombank.com/thong-tin/blog"&amp;"/the-tin-dung-hoan-tien
https://techcombank.com/thong-tin/blog/cach-huy-the-tin-dung
https://techcombank.com/thong-tin/blog/cach-thanh-toan-the-tin-dung
https://techcombank.com/thong-tin/blog/vay-ngan-hang-1-ty-moi-thang-tra-bao-nhieu
https://techcombank."&amp;"com/thong-tin/blog/cach-tinh-lai-vay-ngan-hang
https://techcombank.com/thong-tin/blog/cach-tiet-kiem-tien
https://techcombank.com/cong-cu-tien-ich/cong-cu-tinh-toan/bang-tinh-lai-suat-vay")</f>
        <v>https://techcombank.com/thong-tin/blog/cach-sao-ke-tai-khoan-ngan-hang
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https://techcombank.com/thong-tin/blog/cach-thanh-toan-the-tin-dung
https://techcombank.com/thong-tin/blog/vay-ngan-hang-1-ty-moi-thang-tra-bao-nhieu
https://techcombank.com/thong-tin/blog/cach-tinh-lai-vay-ngan-hang
https://techcombank.com/thong-tin/blog/cach-tiet-kiem-tien
https://techcombank.com/cong-cu-tien-ich/cong-cu-tinh-toan/bang-tinh-lai-suat-vay</v>
      </c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</row>
    <row r="8">
      <c r="A8" s="10" t="str">
        <f>IFERROR(__xludf.DUMMYFUNCTION("""COMPUTED_VALUE"""),"https://techcombank.com/thong-tin/blog/no-the-tin-dung-qua-han")</f>
        <v>https://techcombank.com/thong-tin/blog/no-the-tin-dung-qua-han</v>
      </c>
      <c r="B8" s="11">
        <f>IFERROR(__xludf.DUMMYFUNCTION("""COMPUTED_VALUE"""),10.0)</f>
        <v>10</v>
      </c>
      <c r="C8" s="8" t="str">
        <f>IFERROR(__xludf.DUMMYFUNCTION("IF(A8="""","""",TEXTJOIN(CHAR(10),TRUE,FILTER('Tổng hợp 75 trang đích'!$B$2:$B$2505,'Tổng hợp 75 trang đích'!$I$2:$I$2505=A8)))"),"https://techcombank.com/thong-tin/blog/cic-la-gi
https://techcombank.com/thong-tin/blog/lam-the-tin-dung
https://techcombank.com/khach-hang-ca-nhan/chi-tieu/the/the-tin-dung/techcombank-everyday
https://techcombank.com/thong-tin/blog/the-tin-dung-hoan-tie"&amp;"n
https://techcombank.com/thong-tin/blog/cach-huy-the-tin-dung
https://techcombank.com/thong-tin/blog/xep-hang-tin-dung
https://techcombank.com/thong-tin/blog/cach-thanh-toan-the-tin-dung
https://techcombank.com/thong-tin/blog/kiem-tra-no-xau
https://tech"&amp;"combank.com/thong-tin/blog/no-xau-la-gi
https://techcombank.com/thong-tin/blog/vay-tin-chap-khong-tra-duoc-co-sao-khong")</f>
        <v>https://techcombank.com/thong-tin/blog/cic-la-gi
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https://techcombank.com/thong-tin/blog/xep-hang-tin-dung
https://techcombank.com/thong-tin/blog/cach-thanh-toan-the-tin-dung
https://techcombank.com/thong-tin/blog/kiem-tra-no-xau
https://techcombank.com/thong-tin/blog/no-xau-la-gi
https://techcombank.com/thong-tin/blog/vay-tin-chap-khong-tra-duoc-co-sao-khong</v>
      </c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</row>
    <row r="9">
      <c r="A9" s="10" t="str">
        <f>IFERROR(__xludf.DUMMYFUNCTION("""COMPUTED_VALUE"""),"https://techcombank.com/thong-tin/blog/thanh-toan-toi-thieu-the-tin-dung")</f>
        <v>https://techcombank.com/thong-tin/blog/thanh-toan-toi-thieu-the-tin-dung</v>
      </c>
      <c r="B9" s="11">
        <f>IFERROR(__xludf.DUMMYFUNCTION("""COMPUTED_VALUE"""),10.0)</f>
        <v>10</v>
      </c>
      <c r="C9" s="8" t="str">
        <f>IFERROR(__xludf.DUMMYFUNCTION("IF(A9="""","""",TEXTJOIN(CHAR(10),TRUE,FILTER('Tổng hợp 75 trang đích'!$B$2:$B$2505,'Tổng hợp 75 trang đích'!$I$2:$I$2505=A9)))"),"https://techcombank.com/thong-tin/blog/cic-la-gi
https://techcombank.com/thong-tin/blog/lam-the-tin-dung
https://techcombank.com/khach-hang-ca-nhan/chi-tieu/the/the-tin-dung/techcombank-everyday
https://techcombank.com/thong-tin/blog/the-tin-dung-hoan-tie"&amp;"n
https://techcombank.com/thong-tin/blog/cach-huy-the-tin-dung
https://techcombank.com/thong-tin/blog/xep-hang-tin-dung
https://techcombank.com/thong-tin/blog/cach-thanh-toan-the-tin-dung
https://techcombank.com/thong-tin/blog/kiem-tra-no-xau
https://tech"&amp;"combank.com/thong-tin/blog/no-xau-la-gi
https://techcombank.com/thong-tin/blog/vay-tin-chap-khong-tra-duoc-co-sao-khong")</f>
        <v>https://techcombank.com/thong-tin/blog/cic-la-gi
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https://techcombank.com/thong-tin/blog/xep-hang-tin-dung
https://techcombank.com/thong-tin/blog/cach-thanh-toan-the-tin-dung
https://techcombank.com/thong-tin/blog/kiem-tra-no-xau
https://techcombank.com/thong-tin/blog/no-xau-la-gi
https://techcombank.com/thong-tin/blog/vay-tin-chap-khong-tra-duoc-co-sao-khong</v>
      </c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</row>
    <row r="10">
      <c r="A10" s="10" t="str">
        <f>IFERROR(__xludf.DUMMYFUNCTION("""COMPUTED_VALUE"""),"https://techcombank.com/thong-tin/blog/the-tin-dung-bi-khoa")</f>
        <v>https://techcombank.com/thong-tin/blog/the-tin-dung-bi-khoa</v>
      </c>
      <c r="B10" s="11">
        <f>IFERROR(__xludf.DUMMYFUNCTION("""COMPUTED_VALUE"""),10.0)</f>
        <v>10</v>
      </c>
      <c r="C10" s="8" t="str">
        <f>IFERROR(__xludf.DUMMYFUNCTION("IF(A10="""","""",TEXTJOIN(CHAR(10),TRUE,FILTER('Tổng hợp 75 trang đích'!$B$2:$B$2505,'Tổng hợp 75 trang đích'!$I$2:$I$2505=A10)))"),"https://techcombank.com/thong-tin/blog/cic-la-gi
https://techcombank.com/thong-tin/blog/lam-the-tin-dung
https://techcombank.com/khach-hang-ca-nhan/chi-tieu/the/the-tin-dung/techcombank-everyday
https://techcombank.com/thong-tin/blog/the-tin-dung-hoan-tie"&amp;"n
https://techcombank.com/thong-tin/blog/cach-huy-the-tin-dung
https://techcombank.com/thong-tin/blog/xep-hang-tin-dung
https://techcombank.com/thong-tin/blog/cach-thanh-toan-the-tin-dung
https://techcombank.com/thong-tin/blog/kiem-tra-no-xau
https://tech"&amp;"combank.com/thong-tin/blog/no-xau-la-gi
https://techcombank.com/thong-tin/blog/vay-tin-chap-khong-tra-duoc-co-sao-khong")</f>
        <v>https://techcombank.com/thong-tin/blog/cic-la-gi
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https://techcombank.com/thong-tin/blog/xep-hang-tin-dung
https://techcombank.com/thong-tin/blog/cach-thanh-toan-the-tin-dung
https://techcombank.com/thong-tin/blog/kiem-tra-no-xau
https://techcombank.com/thong-tin/blog/no-xau-la-gi
https://techcombank.com/thong-tin/blog/vay-tin-chap-khong-tra-duoc-co-sao-khong</v>
      </c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</row>
    <row r="11">
      <c r="A11" s="10" t="str">
        <f>IFERROR(__xludf.DUMMYFUNCTION("""COMPUTED_VALUE"""),"https://techcombank.com/thong-tin/blog/cach-lam-the-ngan-hang-chay-quang-cao-facebook")</f>
        <v>https://techcombank.com/thong-tin/blog/cach-lam-the-ngan-hang-chay-quang-cao-facebook</v>
      </c>
      <c r="B11" s="11">
        <f>IFERROR(__xludf.DUMMYFUNCTION("""COMPUTED_VALUE"""),9.0)</f>
        <v>9</v>
      </c>
      <c r="C11" s="8" t="str">
        <f>IFERROR(__xludf.DUMMYFUNCTION("IF(A11="""","""",TEXTJOIN(CHAR(10),TRUE,FILTER('Tổng hợp 75 trang đích'!$B$2:$B$2505,'Tổng hợp 75 trang đích'!$I$2:$I$2505=A11)))"),"https://techcombank.com/thong-tin/blog/eco-card
https://techcombank.com/thong-tin/blog/lam-the-tin-dung
https://techcombank.com/khach-hang-ca-nhan/chi-tieu/the/the-tin-dung/techcombank-everyday
https://techcombank.com/thong-tin/blog/the-tin-dung-hoan-tien"&amp;"
https://techcombank.com/thong-tin/blog/cach-huy-the-tin-dung
https://techcombank.com/thong-tin/blog/cach-thanh-toan-the-tin-dung
https://techcombank.com/thong-tin/blog/ho-kinh-doanh-dong-thue-nhu-nao
https://techcombank.com/thong-tin/blog/mo-tai-khoan-ho"&amp;"-kinh-doanh
https://techcombank.com/thong-tin/blog/cach-tinh-thue-ho-kinh-doanh-nho-le")</f>
        <v>https://techcombank.com/thong-tin/blog/eco-card
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https://techcombank.com/thong-tin/blog/cach-thanh-toan-the-tin-dung
https://techcombank.com/thong-tin/blog/ho-kinh-doanh-dong-thue-nhu-nao
https://techcombank.com/thong-tin/blog/mo-tai-khoan-ho-kinh-doanh
https://techcombank.com/thong-tin/blog/cach-tinh-thue-ho-kinh-doanh-nho-le</v>
      </c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</row>
    <row r="12">
      <c r="A12" s="10" t="str">
        <f>IFERROR(__xludf.DUMMYFUNCTION("""COMPUTED_VALUE"""),"https://techcombank.com/thong-tin/blog/lai-suat-vay-the-chap-so-do")</f>
        <v>https://techcombank.com/thong-tin/blog/lai-suat-vay-the-chap-so-do</v>
      </c>
      <c r="B12" s="11">
        <f>IFERROR(__xludf.DUMMYFUNCTION("""COMPUTED_VALUE"""),9.0)</f>
        <v>9</v>
      </c>
      <c r="C12" s="8" t="str">
        <f>IFERROR(__xludf.DUMMYFUNCTION("IF(A12="""","""",TEXTJOIN(CHAR(10),TRUE,FILTER('Tổng hợp 75 trang đích'!$B$2:$B$2505,'Tổng hợp 75 trang đích'!$I$2:$I$2505=A12)))"),"https://techcombank.com/thong-tin/blog/nop-thue-dat-qua-ngan-hang
https://techcombank.com/thong-tin/blog/xep-hang-tin-dung
https://techcombank.com/thong-tin/blog/vay-ngan-hang-1-ty-moi-thang-tra-bao-nhieu
https://techcombank.com/thong-tin/blog/cach-tinh-l"&amp;"ai-vay-ngan-hang
https://techcombank.com/thong-tin/blog/ho-so-thu-tuc-xoa-the-chap
https://techcombank.com/thong-tin/blog/cach-tinh-lai-suat-tien-gui-tiet-kiem
https://techcombank.com/cong-cu-tien-ich/cong-cu-tinh-toan/bang-tinh-lai-suat-vay
https://techc"&amp;"ombank.com/cong-cu-tien-ich/cong-cu-tinh-toan/bang-tinh-lai-suat-tiet-kiem
https://techcombank.com/thong-tin/blog/lai-suat-vay-ngan-hang")</f>
        <v>https://techcombank.com/thong-tin/blog/nop-thue-dat-qua-ngan-hang
https://techcombank.com/thong-tin/blog/xep-hang-tin-dung
https://techcombank.com/thong-tin/blog/vay-ngan-hang-1-ty-moi-thang-tra-bao-nhieu
https://techcombank.com/thong-tin/blog/cach-tinh-lai-vay-ngan-hang
https://techcombank.com/thong-tin/blog/ho-so-thu-tuc-xoa-the-chap
https://techcombank.com/thong-tin/blog/cach-tinh-lai-suat-tien-gui-tiet-kiem
https://techcombank.com/cong-cu-tien-ich/cong-cu-tinh-toan/bang-tinh-lai-suat-vay
https://techcombank.com/cong-cu-tien-ich/cong-cu-tinh-toan/bang-tinh-lai-suat-tiet-kiem
https://techcombank.com/thong-tin/blog/lai-suat-vay-ngan-hang</v>
      </c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</row>
    <row r="13">
      <c r="A13" s="10" t="str">
        <f>IFERROR(__xludf.DUMMYFUNCTION("""COMPUTED_VALUE"""),"https://techcombank.com/thong-tin/blog/lai-suat-vay-tin-chap")</f>
        <v>https://techcombank.com/thong-tin/blog/lai-suat-vay-tin-chap</v>
      </c>
      <c r="B13" s="11">
        <f>IFERROR(__xludf.DUMMYFUNCTION("""COMPUTED_VALUE"""),9.0)</f>
        <v>9</v>
      </c>
      <c r="C13" s="8" t="str">
        <f>IFERROR(__xludf.DUMMYFUNCTION("IF(A13="""","""",TEXTJOIN(CHAR(10),TRUE,FILTER('Tổng hợp 75 trang đích'!$B$2:$B$2505,'Tổng hợp 75 trang đích'!$I$2:$I$2505=A13)))"),"https://techcombank.com/thong-tin/blog/ngan-hang-uy-tin
https://techcombank.com/thong-tin/blog/cach-thanh-toan-the-tin-dung
https://techcombank.com/thong-tin/blog/cach-tinh-lai-vay-ngan-hang
https://techcombank.com/thong-tin/blog/cach-tinh-lai-suat-tien-g"&amp;"ui-tiet-kiem
https://techcombank.com/cong-cu-tien-ich/cong-cu-tinh-toan/bang-tinh-lai-suat-vay
https://techcombank.com/cong-cu-tien-ich/cong-cu-tinh-toan/bang-tinh-lai-suat-tiet-kiem
https://techcombank.com/thong-tin/blog/lai-suat-vay-ngan-hang
https://te"&amp;"chcombank.com/thong-tin/blog/nen-vay-tin-chap-o-dau
https://techcombank.com/thong-tin/blog/vay-tin-chap-khong-tra-duoc-co-sao-khong")</f>
        <v>https://techcombank.com/thong-tin/blog/ngan-hang-uy-tin
https://techcombank.com/thong-tin/blog/cach-thanh-toan-the-tin-dung
https://techcombank.com/thong-tin/blog/cach-tinh-lai-vay-ngan-hang
https://techcombank.com/thong-tin/blog/cach-tinh-lai-suat-tien-gui-tiet-kiem
https://techcombank.com/cong-cu-tien-ich/cong-cu-tinh-toan/bang-tinh-lai-suat-vay
https://techcombank.com/cong-cu-tien-ich/cong-cu-tinh-toan/bang-tinh-lai-suat-tiet-kiem
https://techcombank.com/thong-tin/blog/lai-suat-vay-ngan-hang
https://techcombank.com/thong-tin/blog/nen-vay-tin-chap-o-dau
https://techcombank.com/thong-tin/blog/vay-tin-chap-khong-tra-duoc-co-sao-khong</v>
      </c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</row>
    <row r="14">
      <c r="A14" s="10" t="str">
        <f>IFERROR(__xludf.DUMMYFUNCTION("""COMPUTED_VALUE"""),"https://techcombank.com/thong-tin/blog/thanh-toan-tra-gop-qua-the-tin-dung")</f>
        <v>https://techcombank.com/thong-tin/blog/thanh-toan-tra-gop-qua-the-tin-dung</v>
      </c>
      <c r="B14" s="11">
        <f>IFERROR(__xludf.DUMMYFUNCTION("""COMPUTED_VALUE"""),9.0)</f>
        <v>9</v>
      </c>
      <c r="C14" s="8" t="str">
        <f>IFERROR(__xludf.DUMMYFUNCTION("IF(A14="""","""",TEXTJOIN(CHAR(10),TRUE,FILTER('Tổng hợp 75 trang đích'!$B$2:$B$2505,'Tổng hợp 75 trang đích'!$I$2:$I$2505=A14)))"),"https://techcombank.com/thong-tin/blog/ten-dang-nhap-tai-khoan-ngan-hang-la-gi
https://techcombank.com/thong-tin/blog/lam-the-tin-dung
https://techcombank.com/khach-hang-ca-nhan/chi-tieu/the/the-tin-dung/techcombank-everyday
https://techcombank.com/thong-"&amp;"tin/blog/the-tin-dung-hoan-tien
https://techcombank.com/thong-tin/blog/cach-huy-the-tin-dung
https://techcombank.com/thong-tin/blog/cach-thanh-toan-the-tin-dung
https://techcombank.com/thong-tin/blog/vay-ngan-hang-1-ty-moi-thang-tra-bao-nhieu
https://tech"&amp;"combank.com/thong-tin/blog/cach-tinh-lai-vay-ngan-hang
https://techcombank.com/cong-cu-tien-ich/cong-cu-tinh-toan/bang-tinh-lai-suat-vay")</f>
        <v>https://techcombank.com/thong-tin/blog/ten-dang-nhap-tai-khoan-ngan-hang-la-gi
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https://techcombank.com/thong-tin/blog/cach-thanh-toan-the-tin-dung
https://techcombank.com/thong-tin/blog/vay-ngan-hang-1-ty-moi-thang-tra-bao-nhieu
https://techcombank.com/thong-tin/blog/cach-tinh-lai-vay-ngan-hang
https://techcombank.com/cong-cu-tien-ich/cong-cu-tinh-toan/bang-tinh-lai-suat-vay</v>
      </c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</row>
    <row r="15">
      <c r="A15" s="10" t="str">
        <f>IFERROR(__xludf.DUMMYFUNCTION("""COMPUTED_VALUE"""),"https://techcombank.com/thong-tin/blog/vay-20-trieu")</f>
        <v>https://techcombank.com/thong-tin/blog/vay-20-trieu</v>
      </c>
      <c r="B15" s="11">
        <f>IFERROR(__xludf.DUMMYFUNCTION("""COMPUTED_VALUE"""),9.0)</f>
        <v>9</v>
      </c>
      <c r="C15" s="8" t="str">
        <f>IFERROR(__xludf.DUMMYFUNCTION("IF(A15="""","""",TEXTJOIN(CHAR(10),TRUE,FILTER('Tổng hợp 75 trang đích'!$B$2:$B$2505,'Tổng hợp 75 trang đích'!$I$2:$I$2505=A15)))"),"https://techcombank.com/thong-tin/blog/xep-hang-tin-dung
https://techcombank.com/thong-tin/blog/vay-ngan-hang-1-ty-moi-thang-tra-bao-nhieu
https://techcombank.com/thong-tin/blog/cach-tinh-lai-vay-ngan-hang
https://techcombank.com/thong-tin/blog/cach-tinh-"&amp;"lai-suat-tien-gui-tiet-kiem
https://techcombank.com/thong-tin/blog/rut-tien-tiet-kiem-truoc-thoi-han
https://techcombank.com/cong-cu-tien-ich/cong-cu-tinh-toan/bang-tinh-lai-suat-vay
https://techcombank.com/cong-cu-tien-ich/cong-cu-tinh-toan/bang-tinh-lai"&amp;"-suat-tiet-kiem
https://techcombank.com/thong-tin/blog/nen-vay-tin-chap-o-dau
https://techcombank.com/thong-tin/blog/vay-tin-chap-khong-tra-duoc-co-sao-khong")</f>
        <v>https://techcombank.com/thong-tin/blog/xep-hang-tin-dung
https://techcombank.com/thong-tin/blog/vay-ngan-hang-1-ty-moi-thang-tra-bao-nhieu
https://techcombank.com/thong-tin/blog/cach-tinh-lai-vay-ngan-hang
https://techcombank.com/thong-tin/blog/cach-tinh-lai-suat-tien-gui-tiet-kiem
https://techcombank.com/thong-tin/blog/rut-tien-tiet-kiem-truoc-thoi-han
https://techcombank.com/cong-cu-tien-ich/cong-cu-tinh-toan/bang-tinh-lai-suat-vay
https://techcombank.com/cong-cu-tien-ich/cong-cu-tinh-toan/bang-tinh-lai-suat-tiet-kiem
https://techcombank.com/thong-tin/blog/nen-vay-tin-chap-o-dau
https://techcombank.com/thong-tin/blog/vay-tin-chap-khong-tra-duoc-co-sao-khong</v>
      </c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</row>
    <row r="16">
      <c r="A16" s="10" t="str">
        <f>IFERROR(__xludf.DUMMYFUNCTION("""COMPUTED_VALUE"""),"https://techcombank.com/thong-tin/blog/cac-hinh-thuc-vay-von-ngan-hang")</f>
        <v>https://techcombank.com/thong-tin/blog/cac-hinh-thuc-vay-von-ngan-hang</v>
      </c>
      <c r="B16" s="11">
        <f>IFERROR(__xludf.DUMMYFUNCTION("""COMPUTED_VALUE"""),8.0)</f>
        <v>8</v>
      </c>
      <c r="C16" s="8" t="str">
        <f>IFERROR(__xludf.DUMMYFUNCTION("IF(A16="""","""",TEXTJOIN(CHAR(10),TRUE,FILTER('Tổng hợp 75 trang đích'!$B$2:$B$2505,'Tổng hợp 75 trang đích'!$I$2:$I$2505=A16)))"),"https://techcombank.com/thong-tin/blog/vay-ngan-hang-1-ty-moi-thang-tra-bao-nhieu
https://techcombank.com/thong-tin/blog/cach-tinh-lai-vay-ngan-hang
https://techcombank.com/thong-tin/blog/lai-suat-vay-the-chap-so-do
https://techcombank.com/thong-tin/blog/"&amp;"ho-so-thu-tuc-xoa-the-chap
https://techcombank.com/cong-cu-tien-ich/cong-cu-tinh-toan/bang-tinh-lai-suat-vay
https://techcombank.com/thong-tin/blog/vay-thau-chi-la-gi
https://techcombank.com/thong-tin/blog/nen-vay-tin-chap-o-dau
https://techcombank.com/th"&amp;"ong-tin/blog/vay-tin-chap-khong-tra-duoc-co-sao-khong")</f>
        <v>https://techcombank.com/thong-tin/blog/vay-ngan-hang-1-ty-moi-thang-tra-bao-nhieu
https://techcombank.com/thong-tin/blog/cach-tinh-lai-vay-ngan-hang
https://techcombank.com/thong-tin/blog/lai-suat-vay-the-chap-so-do
https://techcombank.com/thong-tin/blog/ho-so-thu-tuc-xoa-the-chap
https://techcombank.com/cong-cu-tien-ich/cong-cu-tinh-toan/bang-tinh-lai-suat-vay
https://techcombank.com/thong-tin/blog/vay-thau-chi-la-gi
https://techcombank.com/thong-tin/blog/nen-vay-tin-chap-o-dau
https://techcombank.com/thong-tin/blog/vay-tin-chap-khong-tra-duoc-co-sao-khong</v>
      </c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</row>
    <row r="17">
      <c r="A17" s="10" t="str">
        <f>IFERROR(__xludf.DUMMYFUNCTION("""COMPUTED_VALUE"""),"https://techcombank.com/thong-tin/blog/cach-thanh-toan-the-tin-dung")</f>
        <v>https://techcombank.com/thong-tin/blog/cach-thanh-toan-the-tin-dung</v>
      </c>
      <c r="B17" s="11">
        <f>IFERROR(__xludf.DUMMYFUNCTION("""COMPUTED_VALUE"""),8.0)</f>
        <v>8</v>
      </c>
      <c r="C17" s="8" t="str">
        <f>IFERROR(__xludf.DUMMYFUNCTION("IF(A17="""","""",TEXTJOIN(CHAR(10),TRUE,FILTER('Tổng hợp 75 trang đích'!$B$2:$B$2505,'Tổng hợp 75 trang đích'!$I$2:$I$2505=A17)))"),"https://techcombank.com/thong-tin/blog/nap-tien-vao-tai-khoan-ngan-hang
https://techcombank.com/thong-tin/blog/ten-dang-nhap-tai-khoan-ngan-hang-la-gi
https://techcombank.com/thong-tin/blog/rut-tien-bang-ma-qr-la-gi-cach-thuc-hien-nhu-the-nao
https://tech"&amp;"combank.com/thong-tin/blog/lam-the-tin-dung
https://techcombank.com/khach-hang-ca-nhan/chi-tieu/the/the-tin-dung/techcombank-everyday
https://techcombank.com/thong-tin/blog/the-tin-dung-hoan-tien
https://techcombank.com/thong-tin/blog/cach-huy-the-tin-dun"&amp;"g
https://techcombank.com/thong-tin/blog/cach-tinh-lai-vay-ngan-hang")</f>
        <v>https://techcombank.com/thong-tin/blog/nap-tien-vao-tai-khoan-ngan-hang
https://techcombank.com/thong-tin/blog/ten-dang-nhap-tai-khoan-ngan-hang-la-gi
https://techcombank.com/thong-tin/blog/rut-tien-bang-ma-qr-la-gi-cach-thuc-hien-nhu-the-nao
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https://techcombank.com/thong-tin/blog/cach-tinh-lai-vay-ngan-hang</v>
      </c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</row>
    <row r="18">
      <c r="A18" s="10" t="str">
        <f>IFERROR(__xludf.DUMMYFUNCTION("""COMPUTED_VALUE"""),"https://techcombank.com/thong-tin/blog/cic-la-gi")</f>
        <v>https://techcombank.com/thong-tin/blog/cic-la-gi</v>
      </c>
      <c r="B18" s="11">
        <f>IFERROR(__xludf.DUMMYFUNCTION("""COMPUTED_VALUE"""),8.0)</f>
        <v>8</v>
      </c>
      <c r="C18" s="8" t="str">
        <f>IFERROR(__xludf.DUMMYFUNCTION("IF(A18="""","""",TEXTJOIN(CHAR(10),TRUE,FILTER('Tổng hợp 75 trang đích'!$B$2:$B$2505,'Tổng hợp 75 trang đích'!$I$2:$I$2505=A18)))"),"https://techcombank.com/thong-tin/blog/ten-dang-nhap-tai-khoan-ngan-hang-la-gi
https://techcombank.com/thong-tin/blog/lam-the-tin-dung
https://techcombank.com/khach-hang-ca-nhan/chi-tieu/the/the-tin-dung/techcombank-everyday
https://techcombank.com/thong-"&amp;"tin/blog/the-tin-dung-hoan-tien
https://techcombank.com/thong-tin/blog/cach-huy-the-tin-dung
https://techcombank.com/thong-tin/blog/xep-hang-tin-dung
https://techcombank.com/thong-tin/blog/cach-thanh-toan-the-tin-dung
https://techcombank.com/thong-tin/blo"&amp;"g/kiem-tra-no-xau")</f>
        <v>https://techcombank.com/thong-tin/blog/ten-dang-nhap-tai-khoan-ngan-hang-la-gi
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https://techcombank.com/thong-tin/blog/xep-hang-tin-dung
https://techcombank.com/thong-tin/blog/cach-thanh-toan-the-tin-dung
https://techcombank.com/thong-tin/blog/kiem-tra-no-xau</v>
      </c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</row>
    <row r="19">
      <c r="A19" s="10" t="str">
        <f>IFERROR(__xludf.DUMMYFUNCTION("""COMPUTED_VALUE"""),"https://techcombank.com/thong-tin/blog/gui-tiet-kiem-ngoai-te")</f>
        <v>https://techcombank.com/thong-tin/blog/gui-tiet-kiem-ngoai-te</v>
      </c>
      <c r="B19" s="11">
        <f>IFERROR(__xludf.DUMMYFUNCTION("""COMPUTED_VALUE"""),8.0)</f>
        <v>8</v>
      </c>
      <c r="C19" s="8" t="str">
        <f>IFERROR(__xludf.DUMMYFUNCTION("IF(A19="""","""",TEXTJOIN(CHAR(10),TRUE,FILTER('Tổng hợp 75 trang đích'!$B$2:$B$2505,'Tổng hợp 75 trang đích'!$I$2:$I$2505=A19)))"),"https://techcombank.com/thong-tin/blog/ngan-hang-uy-tin
https://techcombank.com/thong-tin/blog/chung-chi-tien-gui-la-gi
https://techcombank.com/thong-tin/blog/1-te-bang-bao-nhieu-tien-viet-nam
https://techcombank.com/thong-tin/blog/doi-tien-do-o-dau
https"&amp;"://techcombank.com/thong-tin/blog/lai-suat-tiet-kiem
https://techcombank.com/thong-tin/blog/cach-tinh-lai-suat-tien-gui-tiet-kiem
https://techcombank.com/thong-tin/blog/so-tiet-kiem-ngan-hang
https://techcombank.com/cong-cu-tien-ich/cong-cu-tinh-toan/bang"&amp;"-tinh-lai-suat-tiet-kiem")</f>
        <v>https://techcombank.com/thong-tin/blog/ngan-hang-uy-tin
https://techcombank.com/thong-tin/blog/chung-chi-tien-gui-la-gi
https://techcombank.com/thong-tin/blog/1-te-bang-bao-nhieu-tien-viet-nam
https://techcombank.com/thong-tin/blog/doi-tien-do-o-dau
https://techcombank.com/thong-tin/blog/lai-suat-tiet-kiem
https://techcombank.com/thong-tin/blog/cach-tinh-lai-suat-tien-gui-tiet-kiem
https://techcombank.com/thong-tin/blog/so-tiet-kiem-ngan-hang
https://techcombank.com/cong-cu-tien-ich/cong-cu-tinh-toan/bang-tinh-lai-suat-tiet-kiem</v>
      </c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</row>
    <row r="20">
      <c r="A20" s="10" t="str">
        <f>IFERROR(__xludf.DUMMYFUNCTION("""COMPUTED_VALUE"""),"https://techcombank.com/thong-tin/blog/gui-tiet-kiem-online-co-rut-truoc-han-duoc-khong")</f>
        <v>https://techcombank.com/thong-tin/blog/gui-tiet-kiem-online-co-rut-truoc-han-duoc-khong</v>
      </c>
      <c r="B20" s="11">
        <f>IFERROR(__xludf.DUMMYFUNCTION("""COMPUTED_VALUE"""),8.0)</f>
        <v>8</v>
      </c>
      <c r="C20" s="8" t="str">
        <f>IFERROR(__xludf.DUMMYFUNCTION("IF(A20="""","""",TEXTJOIN(CHAR(10),TRUE,FILTER('Tổng hợp 75 trang đích'!$B$2:$B$2505,'Tổng hợp 75 trang đích'!$I$2:$I$2505=A20)))"),"https://techcombank.com/thong-tin/blog/chung-chi-tien-gui-la-gi
https://techcombank.com/thong-tin/blog/ho-so-thu-tuc-xoa-the-chap
https://techcombank.com/thong-tin/blog/lai-suat-tiet-kiem
https://techcombank.com/thong-tin/blog/cach-tinh-lai-suat-tien-gui-"&amp;"tiet-kiem
https://techcombank.com/thong-tin/blog/rut-tien-tiet-kiem-truoc-thoi-han
https://techcombank.com/thong-tin/blog/so-tiet-kiem-ngan-hang
https://techcombank.com/thong-tin/blog/rui-ro-khi-gui-tiet-kiem-online
https://techcombank.com/cong-cu-tien-ic"&amp;"h/cong-cu-tinh-toan/bang-tinh-lai-suat-tiet-kiem")</f>
        <v>https://techcombank.com/thong-tin/blog/chung-chi-tien-gui-la-gi
https://techcombank.com/thong-tin/blog/ho-so-thu-tuc-xoa-the-chap
https://techcombank.com/thong-tin/blog/lai-suat-tiet-kiem
https://techcombank.com/thong-tin/blog/cach-tinh-lai-suat-tien-gui-tiet-kiem
https://techcombank.com/thong-tin/blog/rut-tien-tiet-kiem-truoc-thoi-han
https://techcombank.com/thong-tin/blog/so-tiet-kiem-ngan-hang
https://techcombank.com/thong-tin/blog/rui-ro-khi-gui-tiet-kiem-online
https://techcombank.com/cong-cu-tien-ich/cong-cu-tinh-toan/bang-tinh-lai-suat-tiet-kiem</v>
      </c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</row>
    <row r="21">
      <c r="A21" s="10" t="str">
        <f>IFERROR(__xludf.DUMMYFUNCTION("""COMPUTED_VALUE"""),"https://techcombank.com/thong-tin/blog/gui-tiet-kiem-usd")</f>
        <v>https://techcombank.com/thong-tin/blog/gui-tiet-kiem-usd</v>
      </c>
      <c r="B21" s="11">
        <f>IFERROR(__xludf.DUMMYFUNCTION("""COMPUTED_VALUE"""),8.0)</f>
        <v>8</v>
      </c>
      <c r="C21" s="8" t="str">
        <f>IFERROR(__xludf.DUMMYFUNCTION("IF(A21="""","""",TEXTJOIN(CHAR(10),TRUE,FILTER('Tổng hợp 75 trang đích'!$B$2:$B$2505,'Tổng hợp 75 trang đích'!$I$2:$I$2505=A21)))"),"https://techcombank.com/thong-tin/blog/chung-chi-tien-gui-la-gi
https://techcombank.com/thong-tin/blog/1-dong-do-la-my-bang-bao-nhieu-tien-viet-nam
https://techcombank.com/thong-tin/blog/1-trieu-do-bang-bao-nhieu-tien-viet
https://techcombank.com/thong-ti"&amp;"n/blog/doi-tien-do-o-dau
https://techcombank.com/thong-tin/blog/lai-suat-tiet-kiem
https://techcombank.com/thong-tin/blog/cach-tinh-lai-suat-tien-gui-tiet-kiem
https://techcombank.com/thong-tin/blog/so-tiet-kiem-ngan-hang
https://techcombank.com/cong-cu-t"&amp;"ien-ich/cong-cu-tinh-toan/bang-tinh-lai-suat-tiet-kiem")</f>
        <v>https://techcombank.com/thong-tin/blog/chung-chi-tien-gui-la-gi
https://techcombank.com/thong-tin/blog/1-dong-do-la-my-bang-bao-nhieu-tien-viet-nam
https://techcombank.com/thong-tin/blog/1-trieu-do-bang-bao-nhieu-tien-viet
https://techcombank.com/thong-tin/blog/doi-tien-do-o-dau
https://techcombank.com/thong-tin/blog/lai-suat-tiet-kiem
https://techcombank.com/thong-tin/blog/cach-tinh-lai-suat-tien-gui-tiet-kiem
https://techcombank.com/thong-tin/blog/so-tiet-kiem-ngan-hang
https://techcombank.com/cong-cu-tien-ich/cong-cu-tinh-toan/bang-tinh-lai-suat-tiet-kiem</v>
      </c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</row>
    <row r="22">
      <c r="A22" s="10" t="str">
        <f>IFERROR(__xludf.DUMMYFUNCTION("""COMPUTED_VALUE"""),"https://techcombank.com/thong-tin/blog/ke-khai-thue-doanh-nghiep")</f>
        <v>https://techcombank.com/thong-tin/blog/ke-khai-thue-doanh-nghiep</v>
      </c>
      <c r="B22" s="11">
        <f>IFERROR(__xludf.DUMMYFUNCTION("""COMPUTED_VALUE"""),8.0)</f>
        <v>8</v>
      </c>
      <c r="C22" s="8" t="str">
        <f>IFERROR(__xludf.DUMMYFUNCTION("IF(A22="""","""",TEXTJOIN(CHAR(10),TRUE,FILTER('Tổng hợp 75 trang đích'!$B$2:$B$2505,'Tổng hợp 75 trang đích'!$I$2:$I$2505=A22)))"),"https://techcombank.com/thong-tin/blog/nop-thue-dat-qua-ngan-hang
https://techcombank.com/thong-tin/blog/cach-nop-thue-dien-tu
https://techcombank.com/thong-tin/blog/thue-thu-nhap-doanh-nghiep
https://techcombank.com/thong-tin/blog/thue-vat-la-gi
https://"&amp;"techcombank.com/thong-tin/blog/tra-cuu-no-thue-doanh-nghiep
https://techcombank.com/thong-tin/blog/thue-doanh-nghiep
https://techcombank.com/thong-tin/blog/ho-kinh-doanh-dong-thue-nhu-nao
https://techcombank.com/thong-tin/blog/cach-tinh-thue-ho-kinh-doanh"&amp;"-nho-le")</f>
        <v>https://techcombank.com/thong-tin/blog/nop-thue-dat-qua-ngan-hang
https://techcombank.com/thong-tin/blog/cach-nop-thue-dien-tu
https://techcombank.com/thong-tin/blog/thue-thu-nhap-doanh-nghiep
https://techcombank.com/thong-tin/blog/thue-vat-la-gi
https://techcombank.com/thong-tin/blog/tra-cuu-no-thue-doanh-nghiep
https://techcombank.com/thong-tin/blog/thue-doanh-nghiep
https://techcombank.com/thong-tin/blog/ho-kinh-doanh-dong-thue-nhu-nao
https://techcombank.com/thong-tin/blog/cach-tinh-thue-ho-kinh-doanh-nho-le</v>
      </c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</row>
    <row r="23">
      <c r="A23" s="10" t="str">
        <f>IFERROR(__xludf.DUMMYFUNCTION("""COMPUTED_VALUE"""),"https://techcombank.com/thong-tin/blog/lai-suat-gui-tiet-kiem-usd")</f>
        <v>https://techcombank.com/thong-tin/blog/lai-suat-gui-tiet-kiem-usd</v>
      </c>
      <c r="B23" s="11">
        <f>IFERROR(__xludf.DUMMYFUNCTION("""COMPUTED_VALUE"""),8.0)</f>
        <v>8</v>
      </c>
      <c r="C23" s="8" t="str">
        <f>IFERROR(__xludf.DUMMYFUNCTION("IF(A23="""","""",TEXTJOIN(CHAR(10),TRUE,FILTER('Tổng hợp 75 trang đích'!$B$2:$B$2505,'Tổng hợp 75 trang đích'!$I$2:$I$2505=A23)))"),"https://techcombank.com/thong-tin/blog/chung-chi-tien-gui-la-gi
https://techcombank.com/thong-tin/blog/1-dong-do-la-my-bang-bao-nhieu-tien-viet-nam
https://techcombank.com/thong-tin/blog/1-trieu-do-bang-bao-nhieu-tien-viet
https://techcombank.com/thong-ti"&amp;"n/blog/doi-tien-do-o-dau
https://techcombank.com/thong-tin/blog/lai-suat-tiet-kiem
https://techcombank.com/thong-tin/blog/cach-tinh-lai-suat-tien-gui-tiet-kiem
https://techcombank.com/thong-tin/blog/so-tiet-kiem-ngan-hang
https://techcombank.com/cong-cu-t"&amp;"ien-ich/cong-cu-tinh-toan/bang-tinh-lai-suat-tiet-kiem")</f>
        <v>https://techcombank.com/thong-tin/blog/chung-chi-tien-gui-la-gi
https://techcombank.com/thong-tin/blog/1-dong-do-la-my-bang-bao-nhieu-tien-viet-nam
https://techcombank.com/thong-tin/blog/1-trieu-do-bang-bao-nhieu-tien-viet
https://techcombank.com/thong-tin/blog/doi-tien-do-o-dau
https://techcombank.com/thong-tin/blog/lai-suat-tiet-kiem
https://techcombank.com/thong-tin/blog/cach-tinh-lai-suat-tien-gui-tiet-kiem
https://techcombank.com/thong-tin/blog/so-tiet-kiem-ngan-hang
https://techcombank.com/cong-cu-tien-ich/cong-cu-tinh-toan/bang-tinh-lai-suat-tiet-kiem</v>
      </c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</row>
    <row r="24">
      <c r="A24" s="10" t="str">
        <f>IFERROR(__xludf.DUMMYFUNCTION("""COMPUTED_VALUE"""),"https://techcombank.com/thong-tin/blog/lai-suat-the-tin-dung")</f>
        <v>https://techcombank.com/thong-tin/blog/lai-suat-the-tin-dung</v>
      </c>
      <c r="B24" s="11">
        <f>IFERROR(__xludf.DUMMYFUNCTION("""COMPUTED_VALUE"""),8.0)</f>
        <v>8</v>
      </c>
      <c r="C24" s="8" t="str">
        <f>IFERROR(__xludf.DUMMYFUNCTION("IF(A24="""","""",TEXTJOIN(CHAR(10),TRUE,FILTER('Tổng hợp 75 trang đích'!$B$2:$B$2505,'Tổng hợp 75 trang đích'!$I$2:$I$2505=A24)))"),"https://techcombank.com/thong-tin/blog/rut-tien-mat-tu-the-tin-dung
https://techcombank.com/thong-tin/blog/lam-the-tin-dung
https://techcombank.com/khach-hang-ca-nhan/chi-tieu/the/the-tin-dung/techcombank-everyday
https://techcombank.com/thong-tin/blog/th"&amp;"e-tin-dung-hoan-tien
https://techcombank.com/thong-tin/blog/cach-huy-the-tin-dung
https://techcombank.com/thong-tin/blog/cach-thanh-toan-the-tin-dung
https://techcombank.com/thong-tin/blog/cach-tinh-lai-suat-tien-gui-tiet-kiem
https://techcombank.com/cong"&amp;"-cu-tien-ich/cong-cu-tinh-toan/bang-tinh-lai-suat-tiet-kiem")</f>
        <v>https://techcombank.com/thong-tin/blog/rut-tien-mat-tu-the-tin-dung
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https://techcombank.com/thong-tin/blog/cach-thanh-toan-the-tin-dung
https://techcombank.com/thong-tin/blog/cach-tinh-lai-suat-tien-gui-tiet-kiem
https://techcombank.com/cong-cu-tien-ich/cong-cu-tinh-toan/bang-tinh-lai-suat-tiet-kiem</v>
      </c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</row>
    <row r="25">
      <c r="A25" s="10" t="str">
        <f>IFERROR(__xludf.DUMMYFUNCTION("""COMPUTED_VALUE"""),"https://techcombank.com/thong-tin/blog/lai-suat-tiet-kiem")</f>
        <v>https://techcombank.com/thong-tin/blog/lai-suat-tiet-kiem</v>
      </c>
      <c r="B25" s="11">
        <f>IFERROR(__xludf.DUMMYFUNCTION("""COMPUTED_VALUE"""),8.0)</f>
        <v>8</v>
      </c>
      <c r="C25" s="8" t="str">
        <f>IFERROR(__xludf.DUMMYFUNCTION("IF(A25="""","""",TEXTJOIN(CHAR(10),TRUE,FILTER('Tổng hợp 75 trang đích'!$B$2:$B$2505,'Tổng hợp 75 trang đích'!$I$2:$I$2505=A25)))"),"https://techcombank.com/thong-tin/blog/thue-thu-nhap-doanh-nghiep
https://techcombank.com/thong-tin/blog/cach-tinh-thue-thu-nhap-doanh-nghiep
https://techcombank.com/thong-tin/blog/ngan-hang-uy-tin
https://techcombank.com/thong-tin/blog/chung-chi-tien-gui"&amp;"-la-gi
https://techcombank.com/thong-tin/blog/lai-suat-chung-chi-tien-gui-cac-ngan-hang
https://techcombank.com/thong-tin/blog/cach-tinh-lai-suat-tien-gui-tiet-kiem
https://techcombank.com/thong-tin/blog/so-tiet-kiem-ngan-hang
https://techcombank.com/cong"&amp;"-cu-tien-ich/cong-cu-tinh-toan/bang-tinh-lai-suat-tiet-kiem")</f>
        <v>https://techcombank.com/thong-tin/blog/thue-thu-nhap-doanh-nghiep
https://techcombank.com/thong-tin/blog/cach-tinh-thue-thu-nhap-doanh-nghiep
https://techcombank.com/thong-tin/blog/ngan-hang-uy-tin
https://techcombank.com/thong-tin/blog/chung-chi-tien-gui-la-gi
https://techcombank.com/thong-tin/blog/lai-suat-chung-chi-tien-gui-cac-ngan-hang
https://techcombank.com/thong-tin/blog/cach-tinh-lai-suat-tien-gui-tiet-kiem
https://techcombank.com/thong-tin/blog/so-tiet-kiem-ngan-hang
https://techcombank.com/cong-cu-tien-ich/cong-cu-tinh-toan/bang-tinh-lai-suat-tiet-kiem</v>
      </c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</row>
    <row r="26">
      <c r="A26" s="10" t="str">
        <f>IFERROR(__xludf.DUMMYFUNCTION("""COMPUTED_VALUE"""),"https://techcombank.com/thong-tin/blog/lai-suat-vay-kinh-doanh")</f>
        <v>https://techcombank.com/thong-tin/blog/lai-suat-vay-kinh-doanh</v>
      </c>
      <c r="B26" s="11">
        <f>IFERROR(__xludf.DUMMYFUNCTION("""COMPUTED_VALUE"""),8.0)</f>
        <v>8</v>
      </c>
      <c r="C26" s="8" t="str">
        <f>IFERROR(__xludf.DUMMYFUNCTION("IF(A26="""","""",TEXTJOIN(CHAR(10),TRUE,FILTER('Tổng hợp 75 trang đích'!$B$2:$B$2505,'Tổng hợp 75 trang đích'!$I$2:$I$2505=A26)))"),"https://techcombank.com/thong-tin/blog/ho-kinh-doanh-dong-thue-nhu-nao
https://techcombank.com/thong-tin/blog/mo-tai-khoan-ho-kinh-doanh
https://techcombank.com/thong-tin/blog/cach-tinh-thue-ho-kinh-doanh-nho-le
https://techcombank.com/thong-tin/blog/cach"&amp;"-tinh-lai-vay-ngan-hang
https://techcombank.com/thong-tin/blog/cach-tinh-lai-suat-tien-gui-tiet-kiem
https://techcombank.com/cong-cu-tien-ich/cong-cu-tinh-toan/bang-tinh-lai-suat-vay
https://techcombank.com/cong-cu-tien-ich/cong-cu-tinh-toan/bang-tinh-lai"&amp;"-suat-tiet-kiem
https://techcombank.com/thong-tin/blog/lai-suat-vay-ngan-hang")</f>
        <v>https://techcombank.com/thong-tin/blog/ho-kinh-doanh-dong-thue-nhu-nao
https://techcombank.com/thong-tin/blog/mo-tai-khoan-ho-kinh-doanh
https://techcombank.com/thong-tin/blog/cach-tinh-thue-ho-kinh-doanh-nho-le
https://techcombank.com/thong-tin/blog/cach-tinh-lai-vay-ngan-hang
https://techcombank.com/thong-tin/blog/cach-tinh-lai-suat-tien-gui-tiet-kiem
https://techcombank.com/cong-cu-tien-ich/cong-cu-tinh-toan/bang-tinh-lai-suat-vay
https://techcombank.com/cong-cu-tien-ich/cong-cu-tinh-toan/bang-tinh-lai-suat-tiet-kiem
https://techcombank.com/thong-tin/blog/lai-suat-vay-ngan-hang</v>
      </c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</row>
    <row r="27">
      <c r="A27" s="10" t="str">
        <f>IFERROR(__xludf.DUMMYFUNCTION("""COMPUTED_VALUE"""),"https://techcombank.com/thong-tin/blog/lam-ho-so-tra-gop-dien-thoai")</f>
        <v>https://techcombank.com/thong-tin/blog/lam-ho-so-tra-gop-dien-thoai</v>
      </c>
      <c r="B27" s="11">
        <f>IFERROR(__xludf.DUMMYFUNCTION("""COMPUTED_VALUE"""),8.0)</f>
        <v>8</v>
      </c>
      <c r="C27" s="8" t="str">
        <f>IFERROR(__xludf.DUMMYFUNCTION("IF(A27="""","""",TEXTJOIN(CHAR(10),TRUE,FILTER('Tổng hợp 75 trang đích'!$B$2:$B$2505,'Tổng hợp 75 trang đích'!$I$2:$I$2505=A27)))"),"https://techcombank.com/thong-tin/blog/lam-the-tin-dung
https://techcombank.com/khach-hang-ca-nhan/chi-tieu/the/the-tin-dung/techcombank-everyday
https://techcombank.com/thong-tin/blog/the-tin-dung-hoan-tien
https://techcombank.com/thong-tin/blog/cach-huy"&amp;"-the-tin-dung
https://techcombank.com/thong-tin/blog/cach-thanh-toan-the-tin-dung
https://techcombank.com/thong-tin/blog/vay-ngan-hang-1-ty-moi-thang-tra-bao-nhieu
https://techcombank.com/thong-tin/blog/cach-tinh-lai-vay-ngan-hang
https://techcombank.com/"&amp;"cong-cu-tien-ich/cong-cu-tinh-toan/bang-tinh-lai-suat-vay")</f>
        <v>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https://techcombank.com/thong-tin/blog/cach-thanh-toan-the-tin-dung
https://techcombank.com/thong-tin/blog/vay-ngan-hang-1-ty-moi-thang-tra-bao-nhieu
https://techcombank.com/thong-tin/blog/cach-tinh-lai-vay-ngan-hang
https://techcombank.com/cong-cu-tien-ich/cong-cu-tinh-toan/bang-tinh-lai-suat-vay</v>
      </c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</row>
    <row r="28">
      <c r="A28" s="10" t="str">
        <f>IFERROR(__xludf.DUMMYFUNCTION("""COMPUTED_VALUE"""),"https://techcombank.com/thong-tin/blog/luu-y-khi-su-dung-the-tin-dung")</f>
        <v>https://techcombank.com/thong-tin/blog/luu-y-khi-su-dung-the-tin-dung</v>
      </c>
      <c r="B28" s="11">
        <f>IFERROR(__xludf.DUMMYFUNCTION("""COMPUTED_VALUE"""),8.0)</f>
        <v>8</v>
      </c>
      <c r="C28" s="8" t="str">
        <f>IFERROR(__xludf.DUMMYFUNCTION("IF(A28="""","""",TEXTJOIN(CHAR(10),TRUE,FILTER('Tổng hợp 75 trang đích'!$B$2:$B$2505,'Tổng hợp 75 trang đích'!$I$2:$I$2505=A28)))"),"https://techcombank.com/thong-tin/blog/cic-la-gi
https://techcombank.com/thong-tin/blog/lam-the-tin-dung
https://techcombank.com/khach-hang-ca-nhan/chi-tieu/the/the-tin-dung/techcombank-everyday
https://techcombank.com/thong-tin/blog/the-tin-dung-hoan-tie"&amp;"n
https://techcombank.com/thong-tin/blog/cach-huy-the-tin-dung
https://techcombank.com/thong-tin/blog/xep-hang-tin-dung
https://techcombank.com/thong-tin/blog/cach-thanh-toan-the-tin-dung
https://techcombank.com/thong-tin/blog/rui-ro-khi-gui-tiet-kiem-onl"&amp;"ine")</f>
        <v>https://techcombank.com/thong-tin/blog/cic-la-gi
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https://techcombank.com/thong-tin/blog/xep-hang-tin-dung
https://techcombank.com/thong-tin/blog/cach-thanh-toan-the-tin-dung
https://techcombank.com/thong-tin/blog/rui-ro-khi-gui-tiet-kiem-online</v>
      </c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</row>
    <row r="29">
      <c r="A29" s="10" t="str">
        <f>IFERROR(__xludf.DUMMYFUNCTION("""COMPUTED_VALUE"""),"https://techcombank.com/thong-tin/blog/mo-the-tin-dung-khong-can-chung-minh-thu-nhap")</f>
        <v>https://techcombank.com/thong-tin/blog/mo-the-tin-dung-khong-can-chung-minh-thu-nhap</v>
      </c>
      <c r="B29" s="11">
        <f>IFERROR(__xludf.DUMMYFUNCTION("""COMPUTED_VALUE"""),8.0)</f>
        <v>8</v>
      </c>
      <c r="C29" s="8" t="str">
        <f>IFERROR(__xludf.DUMMYFUNCTION("IF(A29="""","""",TEXTJOIN(CHAR(10),TRUE,FILTER('Tổng hợp 75 trang đích'!$B$2:$B$2505,'Tổng hợp 75 trang đích'!$I$2:$I$2505=A29)))"),"https://techcombank.com/thong-tin/blog/cach-sao-ke-tai-khoan-ngan-hang
https://techcombank.com/thong-tin/blog/lam-the-tin-dung
https://techcombank.com/khach-hang-ca-nhan/chi-tieu/the/the-tin-dung/techcombank-everyday
https://techcombank.com/thong-tin/blog"&amp;"/the-tin-dung-hoan-tien
https://techcombank.com/thong-tin/blog/cach-huy-the-tin-dung
https://techcombank.com/thong-tin/blog/cach-thanh-toan-the-tin-dung
https://techcombank.com/thong-tin/blog/rut-tien-tiet-kiem-truoc-thoi-han
https://techcombank.com/thong"&amp;"-tin/blog/so-tiet-kiem-ngan-hang")</f>
        <v>https://techcombank.com/thong-tin/blog/cach-sao-ke-tai-khoan-ngan-hang
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https://techcombank.com/thong-tin/blog/cach-thanh-toan-the-tin-dung
https://techcombank.com/thong-tin/blog/rut-tien-tiet-kiem-truoc-thoi-han
https://techcombank.com/thong-tin/blog/so-tiet-kiem-ngan-hang</v>
      </c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</row>
    <row r="30">
      <c r="A30" s="10" t="str">
        <f>IFERROR(__xludf.DUMMYFUNCTION("""COMPUTED_VALUE"""),"https://techcombank.com/thong-tin/blog/mua-truoc-tra-sau")</f>
        <v>https://techcombank.com/thong-tin/blog/mua-truoc-tra-sau</v>
      </c>
      <c r="B30" s="11">
        <f>IFERROR(__xludf.DUMMYFUNCTION("""COMPUTED_VALUE"""),8.0)</f>
        <v>8</v>
      </c>
      <c r="C30" s="8" t="str">
        <f>IFERROR(__xludf.DUMMYFUNCTION("IF(A30="""","""",TEXTJOIN(CHAR(10),TRUE,FILTER('Tổng hợp 75 trang đích'!$B$2:$B$2505,'Tổng hợp 75 trang đích'!$I$2:$I$2505=A30)))"),"https://techcombank.com/thong-tin/blog/lam-the-tin-dung
https://techcombank.com/khach-hang-ca-nhan/chi-tieu/the/the-tin-dung/techcombank-everyday
https://techcombank.com/thong-tin/blog/the-tin-dung-hoan-tien
https://techcombank.com/thong-tin/blog/cach-huy"&amp;"-the-tin-dung
https://techcombank.com/thong-tin/blog/cach-thanh-toan-the-tin-dung
https://techcombank.com/thong-tin/blog/vay-ngan-hang-1-ty-moi-thang-tra-bao-nhieu
https://techcombank.com/thong-tin/blog/cach-tinh-lai-vay-ngan-hang
https://techcombank.com/"&amp;"cong-cu-tien-ich/cong-cu-tinh-toan/bang-tinh-lai-suat-vay")</f>
        <v>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https://techcombank.com/thong-tin/blog/cach-thanh-toan-the-tin-dung
https://techcombank.com/thong-tin/blog/vay-ngan-hang-1-ty-moi-thang-tra-bao-nhieu
https://techcombank.com/thong-tin/blog/cach-tinh-lai-vay-ngan-hang
https://techcombank.com/cong-cu-tien-ich/cong-cu-tinh-toan/bang-tinh-lai-suat-vay</v>
      </c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</row>
    <row r="31">
      <c r="A31" s="10" t="str">
        <f>IFERROR(__xludf.DUMMYFUNCTION("""COMPUTED_VALUE"""),"https://techcombank.com/thong-tin/blog/nang-han-muc-tin-dung")</f>
        <v>https://techcombank.com/thong-tin/blog/nang-han-muc-tin-dung</v>
      </c>
      <c r="B31" s="11">
        <f>IFERROR(__xludf.DUMMYFUNCTION("""COMPUTED_VALUE"""),8.0)</f>
        <v>8</v>
      </c>
      <c r="C31" s="8" t="str">
        <f>IFERROR(__xludf.DUMMYFUNCTION("IF(A31="""","""",TEXTJOIN(CHAR(10),TRUE,FILTER('Tổng hợp 75 trang đích'!$B$2:$B$2505,'Tổng hợp 75 trang đích'!$I$2:$I$2505=A31)))"),"https://techcombank.com/thong-tin/blog/cach-sao-ke-tai-khoan-ngan-hang
https://techcombank.com/thong-tin/blog/rut-tien-mat-tu-the-tin-dung
https://techcombank.com/thong-tin/blog/lam-the-tin-dung
https://techcombank.com/khach-hang-ca-nhan/chi-tieu/the/the-"&amp;"tin-dung/techcombank-everyday
https://techcombank.com/thong-tin/blog/the-tin-dung-hoan-tien
https://techcombank.com/thong-tin/blog/cach-huy-the-tin-dung
https://techcombank.com/thong-tin/blog/cach-thanh-toan-the-tin-dung
https://techcombank.com/thong-tin/"&amp;"blog/cach-tiet-kiem-tien")</f>
        <v>https://techcombank.com/thong-tin/blog/cach-sao-ke-tai-khoan-ngan-hang
https://techcombank.com/thong-tin/blog/rut-tien-mat-tu-the-tin-dung
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https://techcombank.com/thong-tin/blog/cach-thanh-toan-the-tin-dung
https://techcombank.com/thong-tin/blog/cach-tiet-kiem-tien</v>
      </c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</row>
    <row r="32">
      <c r="A32" s="10" t="str">
        <f>IFERROR(__xludf.DUMMYFUNCTION("""COMPUTED_VALUE"""),"https://techcombank.com/thong-tin/blog/no-xau-co-vay-the-chap-duoc-khong")</f>
        <v>https://techcombank.com/thong-tin/blog/no-xau-co-vay-the-chap-duoc-khong</v>
      </c>
      <c r="B32" s="11">
        <f>IFERROR(__xludf.DUMMYFUNCTION("""COMPUTED_VALUE"""),8.0)</f>
        <v>8</v>
      </c>
      <c r="C32" s="8" t="str">
        <f>IFERROR(__xludf.DUMMYFUNCTION("IF(A32="""","""",TEXTJOIN(CHAR(10),TRUE,FILTER('Tổng hợp 75 trang đích'!$B$2:$B$2505,'Tổng hợp 75 trang đích'!$I$2:$I$2505=A32)))"),"https://techcombank.com/thong-tin/blog/cic-la-gi
https://techcombank.com/thong-tin/blog/xep-hang-tin-dung
https://techcombank.com/thong-tin/blog/vay-ngan-hang-1-ty-moi-thang-tra-bao-nhieu
https://techcombank.com/thong-tin/blog/lai-suat-vay-the-chap-so-do
"&amp;"https://techcombank.com/thong-tin/blog/ho-so-thu-tuc-xoa-the-chap
https://techcombank.com/thong-tin/blog/kiem-tra-no-xau
https://techcombank.com/thong-tin/blog/no-xau-la-gi
https://techcombank.com/thong-tin/blog/vay-tin-chap-khong-tra-duoc-co-sao-khong")</f>
        <v>https://techcombank.com/thong-tin/blog/cic-la-gi
https://techcombank.com/thong-tin/blog/xep-hang-tin-dung
https://techcombank.com/thong-tin/blog/vay-ngan-hang-1-ty-moi-thang-tra-bao-nhieu
https://techcombank.com/thong-tin/blog/lai-suat-vay-the-chap-so-do
https://techcombank.com/thong-tin/blog/ho-so-thu-tuc-xoa-the-chap
https://techcombank.com/thong-tin/blog/kiem-tra-no-xau
https://techcombank.com/thong-tin/blog/no-xau-la-gi
https://techcombank.com/thong-tin/blog/vay-tin-chap-khong-tra-duoc-co-sao-khong</v>
      </c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</row>
    <row r="33">
      <c r="A33" s="10" t="str">
        <f>IFERROR(__xludf.DUMMYFUNCTION("""COMPUTED_VALUE"""),"https://techcombank.com/thong-tin/blog/rui-ro-khi-vay-the-chap-ngan-hang")</f>
        <v>https://techcombank.com/thong-tin/blog/rui-ro-khi-vay-the-chap-ngan-hang</v>
      </c>
      <c r="B33" s="11">
        <f>IFERROR(__xludf.DUMMYFUNCTION("""COMPUTED_VALUE"""),8.0)</f>
        <v>8</v>
      </c>
      <c r="C33" s="8" t="str">
        <f>IFERROR(__xludf.DUMMYFUNCTION("IF(A33="""","""",TEXTJOIN(CHAR(10),TRUE,FILTER('Tổng hợp 75 trang đích'!$B$2:$B$2505,'Tổng hợp 75 trang đích'!$I$2:$I$2505=A33)))"),"https://techcombank.com/thong-tin/blog/vay-ngan-hang-1-ty-moi-thang-tra-bao-nhieu
https://techcombank.com/thong-tin/blog/cach-tinh-lai-vay-ngan-hang
https://techcombank.com/thong-tin/blog/lai-suat-vay-the-chap-so-do
https://techcombank.com/thong-tin/blog/"&amp;"ho-so-thu-tuc-xoa-the-chap
https://techcombank.com/thong-tin/blog/cach-tinh-lai-suat-tien-gui-tiet-kiem
https://techcombank.com/thong-tin/blog/rui-ro-khi-gui-tiet-kiem-online
https://techcombank.com/cong-cu-tien-ich/cong-cu-tinh-toan/bang-tinh-lai-suat-va"&amp;"y
https://techcombank.com/cong-cu-tien-ich/cong-cu-tinh-toan/bang-tinh-lai-suat-tiet-kiem")</f>
        <v>https://techcombank.com/thong-tin/blog/vay-ngan-hang-1-ty-moi-thang-tra-bao-nhieu
https://techcombank.com/thong-tin/blog/cach-tinh-lai-vay-ngan-hang
https://techcombank.com/thong-tin/blog/lai-suat-vay-the-chap-so-do
https://techcombank.com/thong-tin/blog/ho-so-thu-tuc-xoa-the-chap
https://techcombank.com/thong-tin/blog/cach-tinh-lai-suat-tien-gui-tiet-kiem
https://techcombank.com/thong-tin/blog/rui-ro-khi-gui-tiet-kiem-online
https://techcombank.com/cong-cu-tien-ich/cong-cu-tinh-toan/bang-tinh-lai-suat-vay
https://techcombank.com/cong-cu-tien-ich/cong-cu-tinh-toan/bang-tinh-lai-suat-tiet-kiem</v>
      </c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</row>
    <row r="34">
      <c r="A34" s="10" t="str">
        <f>IFERROR(__xludf.DUMMYFUNCTION("""COMPUTED_VALUE"""),"https://techcombank.com/thong-tin/blog/sao-ke-the-tin-dung-la-gi")</f>
        <v>https://techcombank.com/thong-tin/blog/sao-ke-the-tin-dung-la-gi</v>
      </c>
      <c r="B34" s="11">
        <f>IFERROR(__xludf.DUMMYFUNCTION("""COMPUTED_VALUE"""),8.0)</f>
        <v>8</v>
      </c>
      <c r="C34" s="8" t="str">
        <f>IFERROR(__xludf.DUMMYFUNCTION("IF(A34="""","""",TEXTJOIN(CHAR(10),TRUE,FILTER('Tổng hợp 75 trang đích'!$B$2:$B$2505,'Tổng hợp 75 trang đích'!$I$2:$I$2505=A34)))"),"https://techcombank.com/thong-tin/blog/cach-sao-ke-tai-khoan-ngan-hang
https://techcombank.com/thong-tin/blog/lam-the-tin-dung
https://techcombank.com/khach-hang-ca-nhan/chi-tieu/the/the-tin-dung/techcombank-everyday
https://techcombank.com/thong-tin/blog"&amp;"/the-tin-dung-hoan-tien
https://techcombank.com/thong-tin/blog/cach-huy-the-tin-dung
https://techcombank.com/thong-tin/blog/cach-thanh-toan-the-tin-dung
https://techcombank.com/thong-tin/blog/cach-tinh-lai-vay-ngan-hang
https://techcombank.com/thong-tin/b"&amp;"log/cach-tiet-kiem-tien")</f>
        <v>https://techcombank.com/thong-tin/blog/cach-sao-ke-tai-khoan-ngan-hang
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https://techcombank.com/thong-tin/blog/cach-thanh-toan-the-tin-dung
https://techcombank.com/thong-tin/blog/cach-tinh-lai-vay-ngan-hang
https://techcombank.com/thong-tin/blog/cach-tiet-kiem-tien</v>
      </c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</row>
    <row r="35">
      <c r="A35" s="10" t="str">
        <f>IFERROR(__xludf.DUMMYFUNCTION("""COMPUTED_VALUE"""),"https://techcombank.com/thong-tin/blog/tai-khoan-ngan-hang-la-gi")</f>
        <v>https://techcombank.com/thong-tin/blog/tai-khoan-ngan-hang-la-gi</v>
      </c>
      <c r="B35" s="11">
        <f>IFERROR(__xludf.DUMMYFUNCTION("""COMPUTED_VALUE"""),8.0)</f>
        <v>8</v>
      </c>
      <c r="C35" s="8" t="str">
        <f>IFERROR(__xludf.DUMMYFUNCTION("IF(A35="""","""",TEXTJOIN(CHAR(10),TRUE,FILTER('Tổng hợp 75 trang đích'!$B$2:$B$2505,'Tổng hợp 75 trang đích'!$I$2:$I$2505=A35)))"),"https://techcombank.com/thong-tin/blog/cach-mo-tai-khoan
https://techcombank.com/thong-tin/blog/lam-the-tin-dung
https://techcombank.com/khach-hang-ca-nhan/chi-tieu/the/the-tin-dung/techcombank-everyday
https://techcombank.com/thong-tin/blog/the-tin-dung-"&amp;"hoan-tien
https://techcombank.com/thong-tin/blog/cach-huy-the-tin-dung
https://techcombank.com/thong-tin/blog/cach-thanh-toan-the-tin-dung
https://techcombank.com/thong-tin/blog/1-te-bang-bao-nhieu-tien-viet-nam
https://techcombank.com/thong-tin/blog/doi-"&amp;"tien-do-o-dau")</f>
        <v>https://techcombank.com/thong-tin/blog/cach-mo-tai-khoan
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https://techcombank.com/thong-tin/blog/cach-thanh-toan-the-tin-dung
https://techcombank.com/thong-tin/blog/1-te-bang-bao-nhieu-tien-viet-nam
https://techcombank.com/thong-tin/blog/doi-tien-do-o-dau</v>
      </c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</row>
    <row r="36">
      <c r="A36" s="10" t="str">
        <f>IFERROR(__xludf.DUMMYFUNCTION("""COMPUTED_VALUE"""),"https://techcombank.com/thong-tin/blog/the-tin-dung-co-chuyen-khoan-duoc-khong")</f>
        <v>https://techcombank.com/thong-tin/blog/the-tin-dung-co-chuyen-khoan-duoc-khong</v>
      </c>
      <c r="B36" s="11">
        <f>IFERROR(__xludf.DUMMYFUNCTION("""COMPUTED_VALUE"""),8.0)</f>
        <v>8</v>
      </c>
      <c r="C36" s="8" t="str">
        <f>IFERROR(__xludf.DUMMYFUNCTION("IF(A36="""","""",TEXTJOIN(CHAR(10),TRUE,FILTER('Tổng hợp 75 trang đích'!$B$2:$B$2505,'Tổng hợp 75 trang đích'!$I$2:$I$2505=A36)))"),"https://techcombank.com/thong-tin/blog/thue-vat-la-gi
https://techcombank.com/thong-tin/blog/chuyen-khoan-thanh-cong-nhung-khong-nhan-duoc-tien
https://techcombank.com/thong-tin/blog/rut-tien-mat-tu-the-tin-dung
https://techcombank.com/thong-tin/blog/lam-"&amp;"the-tin-dung
https://techcombank.com/khach-hang-ca-nhan/chi-tieu/the/the-tin-dung/techcombank-everyday
https://techcombank.com/thong-tin/blog/the-tin-dung-hoan-tien
https://techcombank.com/thong-tin/blog/cach-huy-the-tin-dung
https://techcombank.com/thong"&amp;"-tin/blog/cach-thanh-toan-the-tin-dung")</f>
        <v>https://techcombank.com/thong-tin/blog/thue-vat-la-gi
https://techcombank.com/thong-tin/blog/chuyen-khoan-thanh-cong-nhung-khong-nhan-duoc-tien
https://techcombank.com/thong-tin/blog/rut-tien-mat-tu-the-tin-dung
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https://techcombank.com/thong-tin/blog/cach-thanh-toan-the-tin-dung</v>
      </c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</row>
    <row r="37">
      <c r="A37" s="10" t="str">
        <f>IFERROR(__xludf.DUMMYFUNCTION("""COMPUTED_VALUE"""),"https://techcombank.com/thong-tin/blog/the-visa-de-lam-gi")</f>
        <v>https://techcombank.com/thong-tin/blog/the-visa-de-lam-gi</v>
      </c>
      <c r="B37" s="11">
        <f>IFERROR(__xludf.DUMMYFUNCTION("""COMPUTED_VALUE"""),8.0)</f>
        <v>8</v>
      </c>
      <c r="C37" s="8" t="str">
        <f>IFERROR(__xludf.DUMMYFUNCTION("IF(A37="""","""",TEXTJOIN(CHAR(10),TRUE,FILTER('Tổng hợp 75 trang đích'!$B$2:$B$2505,'Tổng hợp 75 trang đích'!$I$2:$I$2505=A37)))"),"https://techcombank.com/thong-tin/blog/bao-nhieu-tuoi-duoc-mo-tai-khoan-ngan-hang
https://techcombank.com/thong-tin/blog/nap-tien-vao-tai-khoan-ngan-hang
https://techcombank.com/thong-tin/blog/rut-tien-bang-ma-qr-la-gi-cach-thuc-hien-nhu-the-nao
https://t"&amp;"echcombank.com/thong-tin/blog/rut-tien-mat-tu-the-tin-dung
https://techcombank.com/thong-tin/blog/lam-the-tin-dung
https://techcombank.com/thong-tin/blog/vay-ngan-hang-1-ty-moi-thang-tra-bao-nhieu
https://techcombank.com/thong-tin/blog/cach-tinh-lai-vay-n"&amp;"gan-hang
https://techcombank.com/cong-cu-tien-ich/cong-cu-tinh-toan/bang-tinh-lai-suat-vay")</f>
        <v>https://techcombank.com/thong-tin/blog/bao-nhieu-tuoi-duoc-mo-tai-khoan-ngan-hang
https://techcombank.com/thong-tin/blog/nap-tien-vao-tai-khoan-ngan-hang
https://techcombank.com/thong-tin/blog/rut-tien-bang-ma-qr-la-gi-cach-thuc-hien-nhu-the-nao
https://techcombank.com/thong-tin/blog/rut-tien-mat-tu-the-tin-dung
https://techcombank.com/thong-tin/blog/lam-the-tin-dung
https://techcombank.com/thong-tin/blog/vay-ngan-hang-1-ty-moi-thang-tra-bao-nhieu
https://techcombank.com/thong-tin/blog/cach-tinh-lai-vay-ngan-hang
https://techcombank.com/cong-cu-tien-ich/cong-cu-tinh-toan/bang-tinh-lai-suat-vay</v>
      </c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</row>
    <row r="38">
      <c r="A38" s="10" t="str">
        <f>IFERROR(__xludf.DUMMYFUNCTION("""COMPUTED_VALUE"""),"https://techcombank.com/thong-tin/blog/thu-tuc-vay-von-kinh-doanh-nho")</f>
        <v>https://techcombank.com/thong-tin/blog/thu-tuc-vay-von-kinh-doanh-nho</v>
      </c>
      <c r="B38" s="11">
        <f>IFERROR(__xludf.DUMMYFUNCTION("""COMPUTED_VALUE"""),8.0)</f>
        <v>8</v>
      </c>
      <c r="C38" s="8" t="str">
        <f>IFERROR(__xludf.DUMMYFUNCTION("IF(A38="""","""",TEXTJOIN(CHAR(10),TRUE,FILTER('Tổng hợp 75 trang đích'!$B$2:$B$2505,'Tổng hợp 75 trang đích'!$I$2:$I$2505=A38)))"),"https://techcombank.com/thong-tin/blog/vay-ngan-hang-1-ty-moi-thang-tra-bao-nhieu
https://techcombank.com/thong-tin/blog/ho-kinh-doanh-dong-thue-nhu-nao
https://techcombank.com/thong-tin/blog/mo-tai-khoan-ho-kinh-doanh
https://techcombank.com/thong-tin/bl"&amp;"og/cach-tinh-thue-ho-kinh-doanh-nho-le
https://techcombank.com/thong-tin/blog/lai-suat-vay-the-chap-so-do
https://techcombank.com/thong-tin/blog/ho-so-thu-tuc-xoa-the-chap
https://techcombank.com/thong-tin/blog/nen-vay-tin-chap-o-dau
https://techcombank.c"&amp;"om/thong-tin/blog/vay-tin-chap-khong-tra-duoc-co-sao-khong")</f>
        <v>https://techcombank.com/thong-tin/blog/vay-ngan-hang-1-ty-moi-thang-tra-bao-nhieu
https://techcombank.com/thong-tin/blog/ho-kinh-doanh-dong-thue-nhu-nao
https://techcombank.com/thong-tin/blog/mo-tai-khoan-ho-kinh-doanh
https://techcombank.com/thong-tin/blog/cach-tinh-thue-ho-kinh-doanh-nho-le
https://techcombank.com/thong-tin/blog/lai-suat-vay-the-chap-so-do
https://techcombank.com/thong-tin/blog/ho-so-thu-tuc-xoa-the-chap
https://techcombank.com/thong-tin/blog/nen-vay-tin-chap-o-dau
https://techcombank.com/thong-tin/blog/vay-tin-chap-khong-tra-duoc-co-sao-khong</v>
      </c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</row>
    <row r="39">
      <c r="A39" s="10" t="str">
        <f>IFERROR(__xludf.DUMMYFUNCTION("""COMPUTED_VALUE"""),"https://techcombank.com/thong-tin/blog/tim-hieu-ve-chinh-sach-thue-moi")</f>
        <v>https://techcombank.com/thong-tin/blog/tim-hieu-ve-chinh-sach-thue-moi</v>
      </c>
      <c r="B39" s="11">
        <f>IFERROR(__xludf.DUMMYFUNCTION("""COMPUTED_VALUE"""),8.0)</f>
        <v>8</v>
      </c>
      <c r="C39" s="8" t="str">
        <f>IFERROR(__xludf.DUMMYFUNCTION("IF(A39="""","""",TEXTJOIN(CHAR(10),TRUE,FILTER('Tổng hợp 75 trang đích'!$B$2:$B$2505,'Tổng hợp 75 trang đích'!$I$2:$I$2505=A39)))"),"https://techcombank.com/thong-tin/blog/thue-thu-nhap-doanh-nghiep
https://techcombank.com/thong-tin/blog/thue-vat-la-gi
https://techcombank.com/thong-tin/blog/thue-doanh-nghiep
https://techcombank.com/thong-tin/blog/cach-tinh-thue-thu-nhap-doanh-nghiep
ht"&amp;"tps://techcombank.com/thong-tin/blog/cach-tinh-tien-dien-sinh-hoat
https://techcombank.com/thong-tin/blog/ho-kinh-doanh-dong-thue-nhu-nao
https://techcombank.com/thong-tin/blog/mo-tai-khoan-ho-kinh-doanh
https://techcombank.com/thong-tin/blog/cach-tinh-th"&amp;"ue-ho-kinh-doanh-nho-le")</f>
        <v>https://techcombank.com/thong-tin/blog/thue-thu-nhap-doanh-nghiep
https://techcombank.com/thong-tin/blog/thue-vat-la-gi
https://techcombank.com/thong-tin/blog/thue-doanh-nghiep
https://techcombank.com/thong-tin/blog/cach-tinh-thue-thu-nhap-doanh-nghiep
https://techcombank.com/thong-tin/blog/cach-tinh-tien-dien-sinh-hoat
https://techcombank.com/thong-tin/blog/ho-kinh-doanh-dong-thue-nhu-nao
https://techcombank.com/thong-tin/blog/mo-tai-khoan-ho-kinh-doanh
https://techcombank.com/thong-tin/blog/cach-tinh-thue-ho-kinh-doanh-nho-le</v>
      </c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</row>
    <row r="40">
      <c r="A40" s="10" t="str">
        <f>IFERROR(__xludf.DUMMYFUNCTION("""COMPUTED_VALUE"""),"https://techcombank.com/thong-tin/blog/tra-cuu-han-muc-the-tin-dung")</f>
        <v>https://techcombank.com/thong-tin/blog/tra-cuu-han-muc-the-tin-dung</v>
      </c>
      <c r="B40" s="11">
        <f>IFERROR(__xludf.DUMMYFUNCTION("""COMPUTED_VALUE"""),8.0)</f>
        <v>8</v>
      </c>
      <c r="C40" s="8" t="str">
        <f>IFERROR(__xludf.DUMMYFUNCTION("IF(A40="""","""",TEXTJOIN(CHAR(10),TRUE,FILTER('Tổng hợp 75 trang đích'!$B$2:$B$2505,'Tổng hợp 75 trang đích'!$I$2:$I$2505=A40)))"),"https://techcombank.com/thong-tin/blog/nap-tien-vao-tai-khoan-ngan-hang
https://techcombank.com/thong-tin/blog/rut-tien-bang-ma-qr-la-gi-cach-thuc-hien-nhu-the-nao
https://techcombank.com/thong-tin/blog/rut-tien-mat-tu-the-tin-dung
https://techcombank.com"&amp;"/thong-tin/blog/lam-the-tin-dung
https://techcombank.com/khach-hang-ca-nhan/chi-tieu/the/the-tin-dung/techcombank-everyday
https://techcombank.com/thong-tin/blog/the-tin-dung-hoan-tien
https://techcombank.com/thong-tin/blog/cach-huy-the-tin-dung
https://t"&amp;"echcombank.com/thong-tin/blog/cach-thanh-toan-the-tin-dung")</f>
        <v>https://techcombank.com/thong-tin/blog/nap-tien-vao-tai-khoan-ngan-hang
https://techcombank.com/thong-tin/blog/rut-tien-bang-ma-qr-la-gi-cach-thuc-hien-nhu-the-nao
https://techcombank.com/thong-tin/blog/rut-tien-mat-tu-the-tin-dung
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https://techcombank.com/thong-tin/blog/cach-thanh-toan-the-tin-dung</v>
      </c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</row>
    <row r="41">
      <c r="A41" s="10" t="str">
        <f>IFERROR(__xludf.DUMMYFUNCTION("""COMPUTED_VALUE"""),"https://techcombank.com/thong-tin/blog/tra-gop-lazada")</f>
        <v>https://techcombank.com/thong-tin/blog/tra-gop-lazada</v>
      </c>
      <c r="B41" s="11">
        <f>IFERROR(__xludf.DUMMYFUNCTION("""COMPUTED_VALUE"""),8.0)</f>
        <v>8</v>
      </c>
      <c r="C41" s="8" t="str">
        <f>IFERROR(__xludf.DUMMYFUNCTION("IF(A41="""","""",TEXTJOIN(CHAR(10),TRUE,FILTER('Tổng hợp 75 trang đích'!$B$2:$B$2505,'Tổng hợp 75 trang đích'!$I$2:$I$2505=A41)))"),"https://techcombank.com/thong-tin/blog/lam-the-tin-dung
https://techcombank.com/khach-hang-ca-nhan/chi-tieu/the/the-tin-dung/techcombank-everyday
https://techcombank.com/thong-tin/blog/the-tin-dung-hoan-tien
https://techcombank.com/thong-tin/blog/cach-huy"&amp;"-the-tin-dung
https://techcombank.com/thong-tin/blog/cach-thanh-toan-the-tin-dung
https://techcombank.com/thong-tin/blog/vay-ngan-hang-1-ty-moi-thang-tra-bao-nhieu
https://techcombank.com/thong-tin/blog/cach-tinh-lai-vay-ngan-hang
https://techcombank.com/"&amp;"cong-cu-tien-ich/cong-cu-tinh-toan/bang-tinh-lai-suat-vay")</f>
        <v>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https://techcombank.com/thong-tin/blog/cach-thanh-toan-the-tin-dung
https://techcombank.com/thong-tin/blog/vay-ngan-hang-1-ty-moi-thang-tra-bao-nhieu
https://techcombank.com/thong-tin/blog/cach-tinh-lai-vay-ngan-hang
https://techcombank.com/cong-cu-tien-ich/cong-cu-tinh-toan/bang-tinh-lai-suat-vay</v>
      </c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</row>
    <row r="42">
      <c r="A42" s="10" t="str">
        <f>IFERROR(__xludf.DUMMYFUNCTION("""COMPUTED_VALUE"""),"https://techcombank.com/thong-tin/blog/tra-gop-qua-the-tin-dung")</f>
        <v>https://techcombank.com/thong-tin/blog/tra-gop-qua-the-tin-dung</v>
      </c>
      <c r="B42" s="11">
        <f>IFERROR(__xludf.DUMMYFUNCTION("""COMPUTED_VALUE"""),8.0)</f>
        <v>8</v>
      </c>
      <c r="C42" s="8" t="str">
        <f>IFERROR(__xludf.DUMMYFUNCTION("IF(A42="""","""",TEXTJOIN(CHAR(10),TRUE,FILTER('Tổng hợp 75 trang đích'!$B$2:$B$2505,'Tổng hợp 75 trang đích'!$I$2:$I$2505=A42)))"),"https://techcombank.com/thong-tin/blog/lam-the-tin-dung
https://techcombank.com/khach-hang-ca-nhan/chi-tieu/the/the-tin-dung/techcombank-everyday
https://techcombank.com/thong-tin/blog/the-tin-dung-hoan-tien
https://techcombank.com/thong-tin/blog/cach-huy"&amp;"-the-tin-dung
https://techcombank.com/thong-tin/blog/cach-thanh-toan-the-tin-dung
https://techcombank.com/thong-tin/blog/vay-ngan-hang-1-ty-moi-thang-tra-bao-nhieu
https://techcombank.com/thong-tin/blog/cach-tinh-lai-vay-ngan-hang
https://techcombank.com/"&amp;"cong-cu-tien-ich/cong-cu-tinh-toan/bang-tinh-lai-suat-vay")</f>
        <v>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https://techcombank.com/thong-tin/blog/cach-thanh-toan-the-tin-dung
https://techcombank.com/thong-tin/blog/vay-ngan-hang-1-ty-moi-thang-tra-bao-nhieu
https://techcombank.com/thong-tin/blog/cach-tinh-lai-vay-ngan-hang
https://techcombank.com/cong-cu-tien-ich/cong-cu-tinh-toan/bang-tinh-lai-suat-vay</v>
      </c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</row>
    <row r="43">
      <c r="A43" s="10" t="str">
        <f>IFERROR(__xludf.DUMMYFUNCTION("""COMPUTED_VALUE"""),"https://techcombank.com/thong-tin/blog/tra-gop-shopee")</f>
        <v>https://techcombank.com/thong-tin/blog/tra-gop-shopee</v>
      </c>
      <c r="B43" s="11">
        <f>IFERROR(__xludf.DUMMYFUNCTION("""COMPUTED_VALUE"""),8.0)</f>
        <v>8</v>
      </c>
      <c r="C43" s="8" t="str">
        <f>IFERROR(__xludf.DUMMYFUNCTION("IF(A43="""","""",TEXTJOIN(CHAR(10),TRUE,FILTER('Tổng hợp 75 trang đích'!$B$2:$B$2505,'Tổng hợp 75 trang đích'!$I$2:$I$2505=A43)))"),"https://techcombank.com/thong-tin/blog/lam-the-tin-dung
https://techcombank.com/khach-hang-ca-nhan/chi-tieu/the/the-tin-dung/techcombank-everyday
https://techcombank.com/thong-tin/blog/the-tin-dung-hoan-tien
https://techcombank.com/thong-tin/blog/cach-huy"&amp;"-the-tin-dung
https://techcombank.com/thong-tin/blog/cach-thanh-toan-the-tin-dung
https://techcombank.com/thong-tin/blog/vay-ngan-hang-1-ty-moi-thang-tra-bao-nhieu
https://techcombank.com/thong-tin/blog/cach-tinh-lai-vay-ngan-hang
https://techcombank.com/"&amp;"cong-cu-tien-ich/cong-cu-tinh-toan/bang-tinh-lai-suat-vay")</f>
        <v>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https://techcombank.com/thong-tin/blog/cach-thanh-toan-the-tin-dung
https://techcombank.com/thong-tin/blog/vay-ngan-hang-1-ty-moi-thang-tra-bao-nhieu
https://techcombank.com/thong-tin/blog/cach-tinh-lai-vay-ngan-hang
https://techcombank.com/cong-cu-tien-ich/cong-cu-tinh-toan/bang-tinh-lai-suat-vay</v>
      </c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</row>
    <row r="44">
      <c r="A44" s="10" t="str">
        <f>IFERROR(__xludf.DUMMYFUNCTION("""COMPUTED_VALUE"""),"https://techcombank.com/thong-tin/blog/vay-the-chap-qua-luong")</f>
        <v>https://techcombank.com/thong-tin/blog/vay-the-chap-qua-luong</v>
      </c>
      <c r="B44" s="11">
        <f>IFERROR(__xludf.DUMMYFUNCTION("""COMPUTED_VALUE"""),8.0)</f>
        <v>8</v>
      </c>
      <c r="C44" s="8" t="str">
        <f>IFERROR(__xludf.DUMMYFUNCTION("IF(A44="""","""",TEXTJOIN(CHAR(10),TRUE,FILTER('Tổng hợp 75 trang đích'!$B$2:$B$2505,'Tổng hợp 75 trang đích'!$I$2:$I$2505=A44)))"),"https://techcombank.com/thong-tin/blog/cach-tinh-thue-thu-nhap-ca-nhan-2025
https://techcombank.com/thong-tin/blog/cach-sao-ke-tai-khoan-ngan-hang
https://techcombank.com/thong-tin/blog/thue-thu-nhap-ca-nhan
https://techcombank.com/thong-tin/blog/vay-ngan"&amp;"-hang-1-ty-moi-thang-tra-bao-nhieu
https://techcombank.com/thong-tin/blog/lai-suat-vay-the-chap-so-do
https://techcombank.com/thong-tin/blog/ho-so-thu-tuc-xoa-the-chap
https://techcombank.com/thong-tin/blog/app-vay-tien-nhanh
https://techcombank.com/thong"&amp;"-tin/blog/nen-vay-tin-chap-o-dau")</f>
        <v>https://techcombank.com/thong-tin/blog/cach-tinh-thue-thu-nhap-ca-nhan-2025
https://techcombank.com/thong-tin/blog/cach-sao-ke-tai-khoan-ngan-hang
https://techcombank.com/thong-tin/blog/thue-thu-nhap-ca-nhan
https://techcombank.com/thong-tin/blog/vay-ngan-hang-1-ty-moi-thang-tra-bao-nhieu
https://techcombank.com/thong-tin/blog/lai-suat-vay-the-chap-so-do
https://techcombank.com/thong-tin/blog/ho-so-thu-tuc-xoa-the-chap
https://techcombank.com/thong-tin/blog/app-vay-tien-nhanh
https://techcombank.com/thong-tin/blog/nen-vay-tin-chap-o-dau</v>
      </c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</row>
    <row r="45">
      <c r="A45" s="10" t="str">
        <f>IFERROR(__xludf.DUMMYFUNCTION("""COMPUTED_VALUE"""),"https://techcombank.com/thong-tin/blog/vay-tin-chap-va-vay-the-chap")</f>
        <v>https://techcombank.com/thong-tin/blog/vay-tin-chap-va-vay-the-chap</v>
      </c>
      <c r="B45" s="11">
        <f>IFERROR(__xludf.DUMMYFUNCTION("""COMPUTED_VALUE"""),8.0)</f>
        <v>8</v>
      </c>
      <c r="C45" s="8" t="str">
        <f>IFERROR(__xludf.DUMMYFUNCTION("IF(A45="""","""",TEXTJOIN(CHAR(10),TRUE,FILTER('Tổng hợp 75 trang đích'!$B$2:$B$2505,'Tổng hợp 75 trang đích'!$I$2:$I$2505=A45)))"),"https://techcombank.com/thong-tin/blog/vay-ngan-hang-1-ty-moi-thang-tra-bao-nhieu
https://techcombank.com/thong-tin/blog/cach-tinh-lai-vay-ngan-hang
https://techcombank.com/thong-tin/blog/lai-suat-vay-the-chap-so-do
https://techcombank.com/thong-tin/blog/"&amp;"ho-so-thu-tuc-xoa-the-chap
https://techcombank.com/cong-cu-tien-ich/cong-cu-tinh-toan/bang-tinh-lai-suat-vay
https://techcombank.com/thong-tin/blog/lai-suat-vay-ngan-hang
https://techcombank.com/thong-tin/blog/nen-vay-tin-chap-o-dau
https://techcombank.co"&amp;"m/thong-tin/blog/vay-tin-chap-khong-tra-duoc-co-sao-khong")</f>
        <v>https://techcombank.com/thong-tin/blog/vay-ngan-hang-1-ty-moi-thang-tra-bao-nhieu
https://techcombank.com/thong-tin/blog/cach-tinh-lai-vay-ngan-hang
https://techcombank.com/thong-tin/blog/lai-suat-vay-the-chap-so-do
https://techcombank.com/thong-tin/blog/ho-so-thu-tuc-xoa-the-chap
https://techcombank.com/cong-cu-tien-ich/cong-cu-tinh-toan/bang-tinh-lai-suat-vay
https://techcombank.com/thong-tin/blog/lai-suat-vay-ngan-hang
https://techcombank.com/thong-tin/blog/nen-vay-tin-chap-o-dau
https://techcombank.com/thong-tin/blog/vay-tin-chap-khong-tra-duoc-co-sao-khong</v>
      </c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</row>
    <row r="46">
      <c r="A46" s="10" t="str">
        <f>IFERROR(__xludf.DUMMYFUNCTION("""COMPUTED_VALUE"""),"https://techcombank.com/thong-tin/blog/vay-tra-gop")</f>
        <v>https://techcombank.com/thong-tin/blog/vay-tra-gop</v>
      </c>
      <c r="B46" s="11">
        <f>IFERROR(__xludf.DUMMYFUNCTION("""COMPUTED_VALUE"""),8.0)</f>
        <v>8</v>
      </c>
      <c r="C46" s="8" t="str">
        <f>IFERROR(__xludf.DUMMYFUNCTION("IF(A46="""","""",TEXTJOIN(CHAR(10),TRUE,FILTER('Tổng hợp 75 trang đích'!$B$2:$B$2505,'Tổng hợp 75 trang đích'!$I$2:$I$2505=A46)))"),"https://techcombank.com/thong-tin/blog/vay-ngan-hang-1-ty-moi-thang-tra-bao-nhieu
https://techcombank.com/thong-tin/blog/cach-tinh-lai-vay-ngan-hang
https://techcombank.com/thong-tin/blog/lai-suat-vay-the-chap-so-do
https://techcombank.com/thong-tin/blog/"&amp;"ho-so-thu-tuc-xoa-the-chap
https://techcombank.com/cong-cu-tien-ich/cong-cu-tinh-toan/bang-tinh-lai-suat-vay
https://techcombank.com/thong-tin/blog/app-vay-tien-nhanh
https://techcombank.com/thong-tin/blog/nen-vay-tin-chap-o-dau
https://techcombank.com/th"&amp;"ong-tin/blog/vay-tin-chap-khong-tra-duoc-co-sao-khong")</f>
        <v>https://techcombank.com/thong-tin/blog/vay-ngan-hang-1-ty-moi-thang-tra-bao-nhieu
https://techcombank.com/thong-tin/blog/cach-tinh-lai-vay-ngan-hang
https://techcombank.com/thong-tin/blog/lai-suat-vay-the-chap-so-do
https://techcombank.com/thong-tin/blog/ho-so-thu-tuc-xoa-the-chap
https://techcombank.com/cong-cu-tien-ich/cong-cu-tinh-toan/bang-tinh-lai-suat-vay
https://techcombank.com/thong-tin/blog/app-vay-tien-nhanh
https://techcombank.com/thong-tin/blog/nen-vay-tin-chap-o-dau
https://techcombank.com/thong-tin/blog/vay-tin-chap-khong-tra-duoc-co-sao-khong</v>
      </c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</row>
    <row r="47">
      <c r="A47" s="10" t="str">
        <f>IFERROR(__xludf.DUMMYFUNCTION("""COMPUTED_VALUE"""),"https://techcombank.com/thong-tin/blog/cach-gui-tiet-kiem-online")</f>
        <v>https://techcombank.com/thong-tin/blog/cach-gui-tiet-kiem-online</v>
      </c>
      <c r="B47" s="11">
        <f>IFERROR(__xludf.DUMMYFUNCTION("""COMPUTED_VALUE"""),7.0)</f>
        <v>7</v>
      </c>
      <c r="C47" s="8" t="str">
        <f>IFERROR(__xludf.DUMMYFUNCTION("IF(A47="""","""",TEXTJOIN(CHAR(10),TRUE,FILTER('Tổng hợp 75 trang đích'!$B$2:$B$2505,'Tổng hợp 75 trang đích'!$I$2:$I$2505=A47)))"),"https://techcombank.com/thong-tin/blog/ten-dang-nhap-tai-khoan-ngan-hang-la-gi
https://techcombank.com/thong-tin/blog/chung-chi-tien-gui-la-gi
https://techcombank.com/thong-tin/blog/lai-suat-tiet-kiem
https://techcombank.com/thong-tin/blog/cach-tinh-lai-s"&amp;"uat-tien-gui-tiet-kiem
https://techcombank.com/thong-tin/blog/so-tiet-kiem-ngan-hang
https://techcombank.com/thong-tin/blog/rui-ro-khi-gui-tiet-kiem-online
https://techcombank.com/cong-cu-tien-ich/cong-cu-tinh-toan/bang-tinh-lai-suat-tiet-kiem")</f>
        <v>https://techcombank.com/thong-tin/blog/ten-dang-nhap-tai-khoan-ngan-hang-la-gi
https://techcombank.com/thong-tin/blog/chung-chi-tien-gui-la-gi
https://techcombank.com/thong-tin/blog/lai-suat-tiet-kiem
https://techcombank.com/thong-tin/blog/cach-tinh-lai-suat-tien-gui-tiet-kiem
https://techcombank.com/thong-tin/blog/so-tiet-kiem-ngan-hang
https://techcombank.com/thong-tin/blog/rui-ro-khi-gui-tiet-kiem-online
https://techcombank.com/cong-cu-tien-ich/cong-cu-tinh-toan/bang-tinh-lai-suat-tiet-kiem</v>
      </c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</row>
    <row r="48">
      <c r="A48" s="10" t="str">
        <f>IFERROR(__xludf.DUMMYFUNCTION("""COMPUTED_VALUE"""),"https://techcombank.com/thong-tin/blog/chung-chi-tien-gui-khac-gi-so-tiet-kiem")</f>
        <v>https://techcombank.com/thong-tin/blog/chung-chi-tien-gui-khac-gi-so-tiet-kiem</v>
      </c>
      <c r="B48" s="11">
        <f>IFERROR(__xludf.DUMMYFUNCTION("""COMPUTED_VALUE"""),7.0)</f>
        <v>7</v>
      </c>
      <c r="C48" s="8" t="str">
        <f>IFERROR(__xludf.DUMMYFUNCTION("IF(A48="""","""",TEXTJOIN(CHAR(10),TRUE,FILTER('Tổng hợp 75 trang đích'!$B$2:$B$2505,'Tổng hợp 75 trang đích'!$I$2:$I$2505=A48)))"),"https://techcombank.com/thong-tin/blog/chung-chi-tien-gui-la-gi
https://techcombank.com/thong-tin/blog/lai-suat-chung-chi-tien-gui-cac-ngan-hang
https://techcombank.com/thong-tin/blog/lai-suat-tiet-kiem
https://techcombank.com/thong-tin/blog/cach-tinh-lai"&amp;"-suat-tien-gui-tiet-kiem
https://techcombank.com/thong-tin/blog/rut-tien-tiet-kiem-truoc-thoi-han
https://techcombank.com/thong-tin/blog/so-tiet-kiem-ngan-hang
https://techcombank.com/cong-cu-tien-ich/cong-cu-tinh-toan/bang-tinh-lai-suat-tiet-kiem")</f>
        <v>https://techcombank.com/thong-tin/blog/chung-chi-tien-gui-la-gi
https://techcombank.com/thong-tin/blog/lai-suat-chung-chi-tien-gui-cac-ngan-hang
https://techcombank.com/thong-tin/blog/lai-suat-tiet-kiem
https://techcombank.com/thong-tin/blog/cach-tinh-lai-suat-tien-gui-tiet-kiem
https://techcombank.com/thong-tin/blog/rut-tien-tiet-kiem-truoc-thoi-han
https://techcombank.com/thong-tin/blog/so-tiet-kiem-ngan-hang
https://techcombank.com/cong-cu-tien-ich/cong-cu-tinh-toan/bang-tinh-lai-suat-tiet-kiem</v>
      </c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</row>
    <row r="49">
      <c r="A49" s="10" t="str">
        <f>IFERROR(__xludf.DUMMYFUNCTION("""COMPUTED_VALUE"""),"https://techcombank.com/thong-tin/blog/co-50-trieu-nen-mua-vang-hay-gui-tiet-kiem")</f>
        <v>https://techcombank.com/thong-tin/blog/co-50-trieu-nen-mua-vang-hay-gui-tiet-kiem</v>
      </c>
      <c r="B49" s="11">
        <f>IFERROR(__xludf.DUMMYFUNCTION("""COMPUTED_VALUE"""),7.0)</f>
        <v>7</v>
      </c>
      <c r="C49" s="8" t="str">
        <f>IFERROR(__xludf.DUMMYFUNCTION("IF(A49="""","""",TEXTJOIN(CHAR(10),TRUE,FILTER('Tổng hợp 75 trang đích'!$B$2:$B$2505,'Tổng hợp 75 trang đích'!$I$2:$I$2505=A49)))"),"https://techcombank.com/thong-tin/blog/thue-thu-nhap-doanh-nghiep
https://techcombank.com/thong-tin/blog/cach-tinh-thue-thu-nhap-doanh-nghiep
https://techcombank.com/thong-tin/blog/chung-chi-tien-gui-la-gi
https://techcombank.com/thong-tin/blog/lai-suat-t"&amp;"iet-kiem
https://techcombank.com/thong-tin/blog/cach-tinh-lai-suat-tien-gui-tiet-kiem
https://techcombank.com/thong-tin/blog/so-tiet-kiem-ngan-hang
https://techcombank.com/cong-cu-tien-ich/cong-cu-tinh-toan/bang-tinh-lai-suat-tiet-kiem")</f>
        <v>https://techcombank.com/thong-tin/blog/thue-thu-nhap-doanh-nghiep
https://techcombank.com/thong-tin/blog/cach-tinh-thue-thu-nhap-doanh-nghiep
https://techcombank.com/thong-tin/blog/chung-chi-tien-gui-la-gi
https://techcombank.com/thong-tin/blog/lai-suat-tiet-kiem
https://techcombank.com/thong-tin/blog/cach-tinh-lai-suat-tien-gui-tiet-kiem
https://techcombank.com/thong-tin/blog/so-tiet-kiem-ngan-hang
https://techcombank.com/cong-cu-tien-ich/cong-cu-tinh-toan/bang-tinh-lai-suat-tiet-kiem</v>
      </c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</row>
    <row r="50">
      <c r="A50" s="10" t="str">
        <f>IFERROR(__xludf.DUMMYFUNCTION("""COMPUTED_VALUE"""),"https://techcombank.com/thong-tin/blog/dang-vay-tra-gop-co-vay-them-duoc-khong")</f>
        <v>https://techcombank.com/thong-tin/blog/dang-vay-tra-gop-co-vay-them-duoc-khong</v>
      </c>
      <c r="B50" s="11">
        <f>IFERROR(__xludf.DUMMYFUNCTION("""COMPUTED_VALUE"""),7.0)</f>
        <v>7</v>
      </c>
      <c r="C50" s="8" t="str">
        <f>IFERROR(__xludf.DUMMYFUNCTION("IF(A50="""","""",TEXTJOIN(CHAR(10),TRUE,FILTER('Tổng hợp 75 trang đích'!$B$2:$B$2505,'Tổng hợp 75 trang đích'!$I$2:$I$2505=A50)))"),"https://techcombank.com/thong-tin/blog/rut-tien-mat-tu-the-tin-dung
https://techcombank.com/thong-tin/blog/xep-hang-tin-dung
https://techcombank.com/thong-tin/blog/vay-ngan-hang-1-ty-moi-thang-tra-bao-nhieu
https://techcombank.com/thong-tin/blog/cach-tinh"&amp;"-lai-vay-ngan-hang
https://techcombank.com/cong-cu-tien-ich/cong-cu-tinh-toan/bang-tinh-lai-suat-vay
https://techcombank.com/thong-tin/blog/app-vay-tien-nhanh
https://techcombank.com/thong-tin/blog/nen-vay-tin-chap-o-dau")</f>
        <v>https://techcombank.com/thong-tin/blog/rut-tien-mat-tu-the-tin-dung
https://techcombank.com/thong-tin/blog/xep-hang-tin-dung
https://techcombank.com/thong-tin/blog/vay-ngan-hang-1-ty-moi-thang-tra-bao-nhieu
https://techcombank.com/thong-tin/blog/cach-tinh-lai-vay-ngan-hang
https://techcombank.com/cong-cu-tien-ich/cong-cu-tinh-toan/bang-tinh-lai-suat-vay
https://techcombank.com/thong-tin/blog/app-vay-tien-nhanh
https://techcombank.com/thong-tin/blog/nen-vay-tin-chap-o-dau</v>
      </c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</row>
    <row r="51">
      <c r="A51" s="10" t="str">
        <f>IFERROR(__xludf.DUMMYFUNCTION("""COMPUTED_VALUE"""),"https://techcombank.com/thong-tin/blog/ho-kinh-doanh-can-gi-o-tai-khoan-ngan-hang")</f>
        <v>https://techcombank.com/thong-tin/blog/ho-kinh-doanh-can-gi-o-tai-khoan-ngan-hang</v>
      </c>
      <c r="B51" s="11">
        <f>IFERROR(__xludf.DUMMYFUNCTION("""COMPUTED_VALUE"""),7.0)</f>
        <v>7</v>
      </c>
      <c r="C51" s="8" t="str">
        <f>IFERROR(__xludf.DUMMYFUNCTION("IF(A51="""","""",TEXTJOIN(CHAR(10),TRUE,FILTER('Tổng hợp 75 trang đích'!$B$2:$B$2505,'Tổng hợp 75 trang đích'!$I$2:$I$2505=A51)))"),"https://techcombank.com/thong-tin/blog/thue-thu-nhap-doanh-nghiep
https://techcombank.com/thong-tin/blog/cach-tinh-thue-thu-nhap-doanh-nghiep
https://techcombank.com/thong-tin/blog/cach-mo-tai-khoan
https://techcombank.com/thong-tin/blog/chung-chi-tien-gu"&amp;"i-la-gi
https://techcombank.com/thong-tin/blog/ho-kinh-doanh-dong-thue-nhu-nao
https://techcombank.com/thong-tin/blog/mo-tai-khoan-ho-kinh-doanh
https://techcombank.com/thong-tin/blog/cach-tinh-thue-ho-kinh-doanh-nho-le")</f>
        <v>https://techcombank.com/thong-tin/blog/thue-thu-nhap-doanh-nghiep
https://techcombank.com/thong-tin/blog/cach-tinh-thue-thu-nhap-doanh-nghiep
https://techcombank.com/thong-tin/blog/cach-mo-tai-khoan
https://techcombank.com/thong-tin/blog/chung-chi-tien-gui-la-gi
https://techcombank.com/thong-tin/blog/ho-kinh-doanh-dong-thue-nhu-nao
https://techcombank.com/thong-tin/blog/mo-tai-khoan-ho-kinh-doanh
https://techcombank.com/thong-tin/blog/cach-tinh-thue-ho-kinh-doanh-nho-le</v>
      </c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</row>
    <row r="52">
      <c r="A52" s="10" t="str">
        <f>IFERROR(__xludf.DUMMYFUNCTION("""COMPUTED_VALUE"""),"https://techcombank.com/thong-tin/blog/ho-kinh-doanh-dong-thue-nhu-nao")</f>
        <v>https://techcombank.com/thong-tin/blog/ho-kinh-doanh-dong-thue-nhu-nao</v>
      </c>
      <c r="B52" s="11">
        <f>IFERROR(__xludf.DUMMYFUNCTION("""COMPUTED_VALUE"""),7.0)</f>
        <v>7</v>
      </c>
      <c r="C52" s="8" t="str">
        <f>IFERROR(__xludf.DUMMYFUNCTION("IF(A52="""","""",TEXTJOIN(CHAR(10),TRUE,FILTER('Tổng hợp 75 trang đích'!$B$2:$B$2505,'Tổng hợp 75 trang đích'!$I$2:$I$2505=A52)))"),"https://techcombank.com/thong-tin/blog/cach-nop-thue-dien-tu
https://techcombank.com/thong-tin/blog/thue-vat-la-gi
https://techcombank.com/thong-tin/blog/cach-tinh-thue-thu-nhap-ca-nhan-2025
https://techcombank.com/thong-tin/blog/kiem-tra-thue-thu-nhap-ca"&amp;"-nhan
https://techcombank.com/thong-tin/blog/thue-thu-nhap-ca-nhan
https://techcombank.com/thong-tin/blog/mo-tai-khoan-ho-kinh-doanh
https://techcombank.com/thong-tin/blog/cach-tinh-thue-ho-kinh-doanh-nho-le")</f>
        <v>https://techcombank.com/thong-tin/blog/cach-nop-thue-dien-tu
https://techcombank.com/thong-tin/blog/thue-vat-la-gi
https://techcombank.com/thong-tin/blog/cach-tinh-thue-thu-nhap-ca-nhan-2025
https://techcombank.com/thong-tin/blog/kiem-tra-thue-thu-nhap-ca-nhan
https://techcombank.com/thong-tin/blog/thue-thu-nhap-ca-nhan
https://techcombank.com/thong-tin/blog/mo-tai-khoan-ho-kinh-doanh
https://techcombank.com/thong-tin/blog/cach-tinh-thue-ho-kinh-doanh-nho-le</v>
      </c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</row>
    <row r="53">
      <c r="A53" s="10" t="str">
        <f>IFERROR(__xludf.DUMMYFUNCTION("""COMPUTED_VALUE"""),"https://techcombank.com/thong-tin/blog/kiem-tra-no-xau")</f>
        <v>https://techcombank.com/thong-tin/blog/kiem-tra-no-xau</v>
      </c>
      <c r="B53" s="11">
        <f>IFERROR(__xludf.DUMMYFUNCTION("""COMPUTED_VALUE"""),7.0)</f>
        <v>7</v>
      </c>
      <c r="C53" s="8" t="str">
        <f>IFERROR(__xludf.DUMMYFUNCTION("IF(A53="""","""",TEXTJOIN(CHAR(10),TRUE,FILTER('Tổng hợp 75 trang đích'!$B$2:$B$2505,'Tổng hợp 75 trang đích'!$I$2:$I$2505=A53)))"),"https://techcombank.com/thong-tin/blog/cach-quet-nfc-cccd-tren-iphone
https://techcombank.com/thong-tin/blog/cic-la-gi
https://techcombank.com/thong-tin/blog/xep-hang-tin-dung
https://techcombank.com/thong-tin/blog/cach-tinh-lai-vay-ngan-hang
https://tech"&amp;"combank.com/cong-cu-tien-ich/cong-cu-tinh-toan/bang-tinh-lai-suat-vay
https://techcombank.com/thong-tin/blog/no-xau-la-gi
https://techcombank.com/thong-tin/blog/vay-tin-chap-khong-tra-duoc-co-sao-khong")</f>
        <v>https://techcombank.com/thong-tin/blog/cach-quet-nfc-cccd-tren-iphone
https://techcombank.com/thong-tin/blog/cic-la-gi
https://techcombank.com/thong-tin/blog/xep-hang-tin-dung
https://techcombank.com/thong-tin/blog/cach-tinh-lai-vay-ngan-hang
https://techcombank.com/cong-cu-tien-ich/cong-cu-tinh-toan/bang-tinh-lai-suat-vay
https://techcombank.com/thong-tin/blog/no-xau-la-gi
https://techcombank.com/thong-tin/blog/vay-tin-chap-khong-tra-duoc-co-sao-khong</v>
      </c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</row>
    <row r="54">
      <c r="A54" s="10" t="str">
        <f>IFERROR(__xludf.DUMMYFUNCTION("""COMPUTED_VALUE"""),"https://techcombank.com/thong-tin/blog/kiem-tra-thue-ho-kinh-doanh")</f>
        <v>https://techcombank.com/thong-tin/blog/kiem-tra-thue-ho-kinh-doanh</v>
      </c>
      <c r="B54" s="11">
        <f>IFERROR(__xludf.DUMMYFUNCTION("""COMPUTED_VALUE"""),7.0)</f>
        <v>7</v>
      </c>
      <c r="C54" s="8" t="str">
        <f>IFERROR(__xludf.DUMMYFUNCTION("IF(A54="""","""",TEXTJOIN(CHAR(10),TRUE,FILTER('Tổng hợp 75 trang đích'!$B$2:$B$2505,'Tổng hợp 75 trang đích'!$I$2:$I$2505=A54)))"),"https://techcombank.com/thong-tin/blog/nop-thue-dat-qua-ngan-hang
https://techcombank.com/thong-tin/blog/cach-nop-thue-dien-tu
https://techcombank.com/thong-tin/blog/kiem-tra-thue-thu-nhap-ca-nhan
https://techcombank.com/thong-tin/blog/ho-kinh-doanh-dong-"&amp;"thue-nhu-nao
https://techcombank.com/thong-tin/blog/mo-hinh-kinh-doanh-la-gi
https://techcombank.com/thong-tin/blog/mo-tai-khoan-ho-kinh-doanh
https://techcombank.com/thong-tin/blog/cach-tinh-thue-ho-kinh-doanh-nho-le")</f>
        <v>https://techcombank.com/thong-tin/blog/nop-thue-dat-qua-ngan-hang
https://techcombank.com/thong-tin/blog/cach-nop-thue-dien-tu
https://techcombank.com/thong-tin/blog/kiem-tra-thue-thu-nhap-ca-nhan
https://techcombank.com/thong-tin/blog/ho-kinh-doanh-dong-thue-nhu-nao
https://techcombank.com/thong-tin/blog/mo-hinh-kinh-doanh-la-gi
https://techcombank.com/thong-tin/blog/mo-tai-khoan-ho-kinh-doanh
https://techcombank.com/thong-tin/blog/cach-tinh-thue-ho-kinh-doanh-nho-le</v>
      </c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</row>
    <row r="55">
      <c r="A55" s="10" t="str">
        <f>IFERROR(__xludf.DUMMYFUNCTION("""COMPUTED_VALUE"""),"https://techcombank.com/thong-tin/blog/lai-suat-vay-mua-o-to")</f>
        <v>https://techcombank.com/thong-tin/blog/lai-suat-vay-mua-o-to</v>
      </c>
      <c r="B55" s="11">
        <f>IFERROR(__xludf.DUMMYFUNCTION("""COMPUTED_VALUE"""),7.0)</f>
        <v>7</v>
      </c>
      <c r="C55" s="8" t="str">
        <f>IFERROR(__xludf.DUMMYFUNCTION("IF(A55="""","""",TEXTJOIN(CHAR(10),TRUE,FILTER('Tổng hợp 75 trang đích'!$B$2:$B$2505,'Tổng hợp 75 trang đích'!$I$2:$I$2505=A55)))"),"https://techcombank.com/thong-tin/blog/ngan-hang-uy-tin
https://techcombank.com/thong-tin/blog/vay-ngan-hang-1-ty-moi-thang-tra-bao-nhieu
https://techcombank.com/thong-tin/blog/cach-tinh-lai-vay-ngan-hang
https://techcombank.com/thong-tin/blog/lai-suat-va"&amp;"y-the-chap-so-do
https://techcombank.com/thong-tin/blog/ho-so-thu-tuc-xoa-the-chap
https://techcombank.com/cong-cu-tien-ich/cong-cu-tinh-toan/bang-tinh-lai-suat-vay
https://techcombank.com/thong-tin/blog/lai-suat-vay-ngan-hang")</f>
        <v>https://techcombank.com/thong-tin/blog/ngan-hang-uy-tin
https://techcombank.com/thong-tin/blog/vay-ngan-hang-1-ty-moi-thang-tra-bao-nhieu
https://techcombank.com/thong-tin/blog/cach-tinh-lai-vay-ngan-hang
https://techcombank.com/thong-tin/blog/lai-suat-vay-the-chap-so-do
https://techcombank.com/thong-tin/blog/ho-so-thu-tuc-xoa-the-chap
https://techcombank.com/cong-cu-tien-ich/cong-cu-tinh-toan/bang-tinh-lai-suat-vay
https://techcombank.com/thong-tin/blog/lai-suat-vay-ngan-hang</v>
      </c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</row>
    <row r="56">
      <c r="A56" s="10" t="str">
        <f>IFERROR(__xludf.DUMMYFUNCTION("""COMPUTED_VALUE"""),"https://techcombank.com/thong-tin/blog/lai-suat-vay-ngan-hang")</f>
        <v>https://techcombank.com/thong-tin/blog/lai-suat-vay-ngan-hang</v>
      </c>
      <c r="B56" s="11">
        <f>IFERROR(__xludf.DUMMYFUNCTION("""COMPUTED_VALUE"""),7.0)</f>
        <v>7</v>
      </c>
      <c r="C56" s="8" t="str">
        <f>IFERROR(__xludf.DUMMYFUNCTION("IF(A56="""","""",TEXTJOIN(CHAR(10),TRUE,FILTER('Tổng hợp 75 trang đích'!$B$2:$B$2505,'Tổng hợp 75 trang đích'!$I$2:$I$2505=A56)))"),"https://techcombank.com/thong-tin/blog/ngan-hang-uy-tin
https://techcombank.com/thong-tin/blog/cach-tinh-lai-vay-ngan-hang
https://techcombank.com/thong-tin/blog/cach-tinh-lai-suat-tien-gui-tiet-kiem
https://techcombank.com/cong-cu-tien-ich/cong-cu-tinh-t"&amp;"oan/bang-tinh-lai-suat-vay
https://techcombank.com/cong-cu-tien-ich/cong-cu-tinh-toan/bang-tinh-lai-suat-tiet-kiem
https://techcombank.com/thong-tin/blog/app-vay-tien-nhanh
https://techcombank.com/thong-tin/blog/nen-vay-tin-chap-o-dau")</f>
        <v>https://techcombank.com/thong-tin/blog/ngan-hang-uy-tin
https://techcombank.com/thong-tin/blog/cach-tinh-lai-vay-ngan-hang
https://techcombank.com/thong-tin/blog/cach-tinh-lai-suat-tien-gui-tiet-kiem
https://techcombank.com/cong-cu-tien-ich/cong-cu-tinh-toan/bang-tinh-lai-suat-vay
https://techcombank.com/cong-cu-tien-ich/cong-cu-tinh-toan/bang-tinh-lai-suat-tiet-kiem
https://techcombank.com/thong-tin/blog/app-vay-tien-nhanh
https://techcombank.com/thong-tin/blog/nen-vay-tin-chap-o-dau</v>
      </c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</row>
    <row r="57">
      <c r="A57" s="10" t="str">
        <f>IFERROR(__xludf.DUMMYFUNCTION("""COMPUTED_VALUE"""),"https://techcombank.com/thong-tin/blog/lai-suat-vay-tieu-dung")</f>
        <v>https://techcombank.com/thong-tin/blog/lai-suat-vay-tieu-dung</v>
      </c>
      <c r="B57" s="11">
        <f>IFERROR(__xludf.DUMMYFUNCTION("""COMPUTED_VALUE"""),7.0)</f>
        <v>7</v>
      </c>
      <c r="C57" s="8" t="str">
        <f>IFERROR(__xludf.DUMMYFUNCTION("IF(A57="""","""",TEXTJOIN(CHAR(10),TRUE,FILTER('Tổng hợp 75 trang đích'!$B$2:$B$2505,'Tổng hợp 75 trang đích'!$I$2:$I$2505=A57)))"),"https://techcombank.com/thong-tin/blog/ngan-hang-uy-tin
https://techcombank.com/thong-tin/blog/cach-tinh-lai-vay-ngan-hang
https://techcombank.com/thong-tin/blog/cach-tinh-lai-suat-tien-gui-tiet-kiem
https://techcombank.com/cong-cu-tien-ich/cong-cu-tinh-t"&amp;"oan/bang-tinh-lai-suat-vay
https://techcombank.com/cong-cu-tien-ich/cong-cu-tinh-toan/bang-tinh-lai-suat-tiet-kiem
https://techcombank.com/thong-tin/blog/lai-suat-vay-ngan-hang
https://techcombank.com/thong-tin/blog/nen-vay-tin-chap-o-dau")</f>
        <v>https://techcombank.com/thong-tin/blog/ngan-hang-uy-tin
https://techcombank.com/thong-tin/blog/cach-tinh-lai-vay-ngan-hang
https://techcombank.com/thong-tin/blog/cach-tinh-lai-suat-tien-gui-tiet-kiem
https://techcombank.com/cong-cu-tien-ich/cong-cu-tinh-toan/bang-tinh-lai-suat-vay
https://techcombank.com/cong-cu-tien-ich/cong-cu-tinh-toan/bang-tinh-lai-suat-tiet-kiem
https://techcombank.com/thong-tin/blog/lai-suat-vay-ngan-hang
https://techcombank.com/thong-tin/blog/nen-vay-tin-chap-o-dau</v>
      </c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</row>
    <row r="58">
      <c r="A58" s="10" t="str">
        <f>IFERROR(__xludf.DUMMYFUNCTION("""COMPUTED_VALUE"""),"https://techcombank.com/thong-tin/blog/lien-ket-tai-khoan-ngan-hang-voi-etax-mobile")</f>
        <v>https://techcombank.com/thong-tin/blog/lien-ket-tai-khoan-ngan-hang-voi-etax-mobile</v>
      </c>
      <c r="B58" s="11">
        <f>IFERROR(__xludf.DUMMYFUNCTION("""COMPUTED_VALUE"""),7.0)</f>
        <v>7</v>
      </c>
      <c r="C58" s="8" t="str">
        <f>IFERROR(__xludf.DUMMYFUNCTION("IF(A58="""","""",TEXTJOIN(CHAR(10),TRUE,FILTER('Tổng hợp 75 trang đích'!$B$2:$B$2505,'Tổng hợp 75 trang đích'!$I$2:$I$2505=A58)))"),"https://techcombank.com/thong-tin/blog/nop-thue-dat-qua-ngan-hang
https://techcombank.com/thong-tin/blog/cach-nop-thue-dien-tu
https://techcombank.com/thong-tin/blog/cach-mo-tai-khoan
https://techcombank.com/thong-tin/blog/kiem-tra-thue-thu-nhap-ca-nhan
h"&amp;"ttps://techcombank.com/thong-tin/blog/ho-kinh-doanh-dong-thue-nhu-nao
https://techcombank.com/thong-tin/blog/mo-tai-khoan-ho-kinh-doanh
https://techcombank.com/thong-tin/blog/cach-tinh-thue-ho-kinh-doanh-nho-le")</f>
        <v>https://techcombank.com/thong-tin/blog/nop-thue-dat-qua-ngan-hang
https://techcombank.com/thong-tin/blog/cach-nop-thue-dien-tu
https://techcombank.com/thong-tin/blog/cach-mo-tai-khoan
https://techcombank.com/thong-tin/blog/kiem-tra-thue-thu-nhap-ca-nhan
https://techcombank.com/thong-tin/blog/ho-kinh-doanh-dong-thue-nhu-nao
https://techcombank.com/thong-tin/blog/mo-tai-khoan-ho-kinh-doanh
https://techcombank.com/thong-tin/blog/cach-tinh-thue-ho-kinh-doanh-nho-le</v>
      </c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</row>
    <row r="59">
      <c r="A59" s="10" t="str">
        <f>IFERROR(__xludf.DUMMYFUNCTION("""COMPUTED_VALUE"""),"https://techcombank.com/thong-tin/blog/mm-yy-la-gi")</f>
        <v>https://techcombank.com/thong-tin/blog/mm-yy-la-gi</v>
      </c>
      <c r="B59" s="11">
        <f>IFERROR(__xludf.DUMMYFUNCTION("""COMPUTED_VALUE"""),7.0)</f>
        <v>7</v>
      </c>
      <c r="C59" s="8" t="str">
        <f>IFERROR(__xludf.DUMMYFUNCTION("IF(A59="""","""",TEXTJOIN(CHAR(10),TRUE,FILTER('Tổng hợp 75 trang đích'!$B$2:$B$2505,'Tổng hợp 75 trang đích'!$I$2:$I$2505=A59)))"),"https://techcombank.com/thong-tin/blog/nap-tien-vao-tai-khoan-ngan-hang
https://techcombank.com/thong-tin/blog/rut-tien-bang-ma-qr-la-gi-cach-thuc-hien-nhu-the-nao
https://techcombank.com/thong-tin/blog/lam-the-tin-dung
https://techcombank.com/khach-hang-"&amp;"ca-nhan/chi-tieu/the/the-tin-dung/techcombank-everyday
https://techcombank.com/thong-tin/blog/the-tin-dung-hoan-tien
https://techcombank.com/thong-tin/blog/cach-huy-the-tin-dung
https://techcombank.com/thong-tin/blog/cach-thanh-toan-the-tin-dung")</f>
        <v>https://techcombank.com/thong-tin/blog/nap-tien-vao-tai-khoan-ngan-hang
https://techcombank.com/thong-tin/blog/rut-tien-bang-ma-qr-la-gi-cach-thuc-hien-nhu-the-nao
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https://techcombank.com/thong-tin/blog/cach-thanh-toan-the-tin-dung</v>
      </c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</row>
    <row r="60">
      <c r="A60" s="10" t="str">
        <f>IFERROR(__xludf.DUMMYFUNCTION("""COMPUTED_VALUE"""),"https://techcombank.com/thong-tin/blog/mo-the-tin-dung-chi-can-cccd")</f>
        <v>https://techcombank.com/thong-tin/blog/mo-the-tin-dung-chi-can-cccd</v>
      </c>
      <c r="B60" s="11">
        <f>IFERROR(__xludf.DUMMYFUNCTION("""COMPUTED_VALUE"""),7.0)</f>
        <v>7</v>
      </c>
      <c r="C60" s="8" t="str">
        <f>IFERROR(__xludf.DUMMYFUNCTION("IF(A60="""","""",TEXTJOIN(CHAR(10),TRUE,FILTER('Tổng hợp 75 trang đích'!$B$2:$B$2505,'Tổng hợp 75 trang đích'!$I$2:$I$2505=A60)))"),"https://techcombank.com/thong-tin/blog/cach-sao-ke-tai-khoan-ngan-hang
https://techcombank.com/thong-tin/blog/cach-quet-nfc-cccd-tren-iphone
https://techcombank.com/thong-tin/blog/lam-the-tin-dung
https://techcombank.com/khach-hang-ca-nhan/chi-tieu/the/th"&amp;"e-tin-dung/techcombank-everyday
https://techcombank.com/thong-tin/blog/the-tin-dung-hoan-tien
https://techcombank.com/thong-tin/blog/cach-huy-the-tin-dung
https://techcombank.com/thong-tin/blog/cach-thanh-toan-the-tin-dung")</f>
        <v>https://techcombank.com/thong-tin/blog/cach-sao-ke-tai-khoan-ngan-hang
https://techcombank.com/thong-tin/blog/cach-quet-nfc-cccd-tren-iphone
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https://techcombank.com/thong-tin/blog/cach-thanh-toan-the-tin-dung</v>
      </c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</row>
    <row r="61">
      <c r="A61" s="10" t="str">
        <f>IFERROR(__xludf.DUMMYFUNCTION("""COMPUTED_VALUE"""),"https://techcombank.com/thong-tin/blog/mo-the-tin-dung-han-muc-cao")</f>
        <v>https://techcombank.com/thong-tin/blog/mo-the-tin-dung-han-muc-cao</v>
      </c>
      <c r="B61" s="11">
        <f>IFERROR(__xludf.DUMMYFUNCTION("""COMPUTED_VALUE"""),7.0)</f>
        <v>7</v>
      </c>
      <c r="C61" s="8" t="str">
        <f>IFERROR(__xludf.DUMMYFUNCTION("IF(A61="""","""",TEXTJOIN(CHAR(10),TRUE,FILTER('Tổng hợp 75 trang đích'!$B$2:$B$2505,'Tổng hợp 75 trang đích'!$I$2:$I$2505=A61)))"),"https://techcombank.com/thong-tin/blog/cach-sao-ke-tai-khoan-ngan-hang
https://techcombank.com/thong-tin/blog/lam-the-tin-dung
https://techcombank.com/khach-hang-ca-nhan/chi-tieu/the/the-tin-dung/techcombank-everyday
https://techcombank.com/thong-tin/blog"&amp;"/the-tin-dung-hoan-tien
https://techcombank.com/thong-tin/blog/cach-huy-the-tin-dung
https://techcombank.com/thong-tin/blog/cach-thanh-toan-the-tin-dung
https://techcombank.com/thong-tin/blog/cach-tiet-kiem-tien")</f>
        <v>https://techcombank.com/thong-tin/blog/cach-sao-ke-tai-khoan-ngan-hang
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https://techcombank.com/thong-tin/blog/cach-thanh-toan-the-tin-dung
https://techcombank.com/thong-tin/blog/cach-tiet-kiem-tien</v>
      </c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</row>
    <row r="62">
      <c r="A62" s="10" t="str">
        <f>IFERROR(__xludf.DUMMYFUNCTION("""COMPUTED_VALUE"""),"https://techcombank.com/thong-tin/blog/nhung-ho-kinh-doanh-duoc-mien-thue")</f>
        <v>https://techcombank.com/thong-tin/blog/nhung-ho-kinh-doanh-duoc-mien-thue</v>
      </c>
      <c r="B62" s="11">
        <f>IFERROR(__xludf.DUMMYFUNCTION("""COMPUTED_VALUE"""),7.0)</f>
        <v>7</v>
      </c>
      <c r="C62" s="8" t="str">
        <f>IFERROR(__xludf.DUMMYFUNCTION("IF(A62="""","""",TEXTJOIN(CHAR(10),TRUE,FILTER('Tổng hợp 75 trang đích'!$B$2:$B$2505,'Tổng hợp 75 trang đích'!$I$2:$I$2505=A62)))"),"https://techcombank.com/thong-tin/blog/thue-vat-la-gi
https://techcombank.com/thong-tin/blog/cach-tinh-thue-thu-nhap-ca-nhan-2025
https://techcombank.com/thong-tin/blog/kiem-tra-thue-thu-nhap-ca-nhan
https://techcombank.com/thong-tin/blog/thue-thu-nhap-ca"&amp;"-nhan
https://techcombank.com/thong-tin/blog/ho-kinh-doanh-dong-thue-nhu-nao
https://techcombank.com/thong-tin/blog/mo-tai-khoan-ho-kinh-doanh
https://techcombank.com/thong-tin/blog/cach-tinh-thue-ho-kinh-doanh-nho-le")</f>
        <v>https://techcombank.com/thong-tin/blog/thue-vat-la-gi
https://techcombank.com/thong-tin/blog/cach-tinh-thue-thu-nhap-ca-nhan-2025
https://techcombank.com/thong-tin/blog/kiem-tra-thue-thu-nhap-ca-nhan
https://techcombank.com/thong-tin/blog/thue-thu-nhap-ca-nhan
https://techcombank.com/thong-tin/blog/ho-kinh-doanh-dong-thue-nhu-nao
https://techcombank.com/thong-tin/blog/mo-tai-khoan-ho-kinh-doanh
https://techcombank.com/thong-tin/blog/cach-tinh-thue-ho-kinh-doanh-nho-le</v>
      </c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</row>
    <row r="63">
      <c r="A63" s="10" t="str">
        <f>IFERROR(__xludf.DUMMYFUNCTION("""COMPUTED_VALUE"""),"https://techcombank.com/thong-tin/blog/no-xau-co-lam-the-visa-duoc-khong")</f>
        <v>https://techcombank.com/thong-tin/blog/no-xau-co-lam-the-visa-duoc-khong</v>
      </c>
      <c r="B63" s="11">
        <f>IFERROR(__xludf.DUMMYFUNCTION("""COMPUTED_VALUE"""),7.0)</f>
        <v>7</v>
      </c>
      <c r="C63" s="8" t="str">
        <f>IFERROR(__xludf.DUMMYFUNCTION("IF(A63="""","""",TEXTJOIN(CHAR(10),TRUE,FILTER('Tổng hợp 75 trang đích'!$B$2:$B$2505,'Tổng hợp 75 trang đích'!$I$2:$I$2505=A63)))"),"https://techcombank.com/thong-tin/blog/bao-nhieu-tuoi-duoc-mo-tai-khoan-ngan-hang
https://techcombank.com/thong-tin/blog/cic-la-gi
https://techcombank.com/thong-tin/blog/lam-the-tin-dung
https://techcombank.com/thong-tin/blog/xep-hang-tin-dung
https://tec"&amp;"hcombank.com/thong-tin/blog/kiem-tra-no-xau
https://techcombank.com/thong-tin/blog/no-xau-la-gi
https://techcombank.com/thong-tin/blog/vay-tin-chap-khong-tra-duoc-co-sao-khong")</f>
        <v>https://techcombank.com/thong-tin/blog/bao-nhieu-tuoi-duoc-mo-tai-khoan-ngan-hang
https://techcombank.com/thong-tin/blog/cic-la-gi
https://techcombank.com/thong-tin/blog/lam-the-tin-dung
https://techcombank.com/thong-tin/blog/xep-hang-tin-dung
https://techcombank.com/thong-tin/blog/kiem-tra-no-xau
https://techcombank.com/thong-tin/blog/no-xau-la-gi
https://techcombank.com/thong-tin/blog/vay-tin-chap-khong-tra-duoc-co-sao-khong</v>
      </c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</row>
    <row r="64">
      <c r="A64" s="10" t="str">
        <f>IFERROR(__xludf.DUMMYFUNCTION("""COMPUTED_VALUE"""),"https://techcombank.com/thong-tin/blog/phi-rut-tien-mat-the-tin-dung")</f>
        <v>https://techcombank.com/thong-tin/blog/phi-rut-tien-mat-the-tin-dung</v>
      </c>
      <c r="B64" s="11">
        <f>IFERROR(__xludf.DUMMYFUNCTION("""COMPUTED_VALUE"""),7.0)</f>
        <v>7</v>
      </c>
      <c r="C64" s="8" t="str">
        <f>IFERROR(__xludf.DUMMYFUNCTION("IF(A64="""","""",TEXTJOIN(CHAR(10),TRUE,FILTER('Tổng hợp 75 trang đích'!$B$2:$B$2505,'Tổng hợp 75 trang đích'!$I$2:$I$2505=A64)))"),"https://techcombank.com/thong-tin/blog/rut-tien-bang-ma-qr-la-gi-cach-thuc-hien-nhu-the-nao
https://techcombank.com/thong-tin/blog/rut-tien-mat-tu-the-tin-dung
https://techcombank.com/thong-tin/blog/lam-the-tin-dung
https://techcombank.com/khach-hang-ca-n"&amp;"han/chi-tieu/the/the-tin-dung/techcombank-everyday
https://techcombank.com/thong-tin/blog/the-tin-dung-hoan-tien
https://techcombank.com/thong-tin/blog/cach-huy-the-tin-dung
https://techcombank.com/thong-tin/blog/cach-thanh-toan-the-tin-dung")</f>
        <v>https://techcombank.com/thong-tin/blog/rut-tien-bang-ma-qr-la-gi-cach-thuc-hien-nhu-the-nao
https://techcombank.com/thong-tin/blog/rut-tien-mat-tu-the-tin-dung
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https://techcombank.com/thong-tin/blog/cach-thanh-toan-the-tin-dung</v>
      </c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</row>
    <row r="65">
      <c r="A65" s="10" t="str">
        <f>IFERROR(__xludf.DUMMYFUNCTION("""COMPUTED_VALUE"""),"https://techcombank.com/thong-tin/blog/rui-ro-khi-gui-tiet-kiem-ngan-hang")</f>
        <v>https://techcombank.com/thong-tin/blog/rui-ro-khi-gui-tiet-kiem-ngan-hang</v>
      </c>
      <c r="B65" s="11">
        <f>IFERROR(__xludf.DUMMYFUNCTION("""COMPUTED_VALUE"""),7.0)</f>
        <v>7</v>
      </c>
      <c r="C65" s="8" t="str">
        <f>IFERROR(__xludf.DUMMYFUNCTION("IF(A65="""","""",TEXTJOIN(CHAR(10),TRUE,FILTER('Tổng hợp 75 trang đích'!$B$2:$B$2505,'Tổng hợp 75 trang đích'!$I$2:$I$2505=A65)))"),"https://techcombank.com/thong-tin/blog/ten-dang-nhap-tai-khoan-ngan-hang-la-gi
https://techcombank.com/thong-tin/blog/chung-chi-tien-gui-la-gi
https://techcombank.com/thong-tin/blog/lai-suat-tiet-kiem
https://techcombank.com/thong-tin/blog/cach-tinh-lai-s"&amp;"uat-tien-gui-tiet-kiem
https://techcombank.com/thong-tin/blog/so-tiet-kiem-ngan-hang
https://techcombank.com/thong-tin/blog/rui-ro-khi-gui-tiet-kiem-online
https://techcombank.com/cong-cu-tien-ich/cong-cu-tinh-toan/bang-tinh-lai-suat-tiet-kiem")</f>
        <v>https://techcombank.com/thong-tin/blog/ten-dang-nhap-tai-khoan-ngan-hang-la-gi
https://techcombank.com/thong-tin/blog/chung-chi-tien-gui-la-gi
https://techcombank.com/thong-tin/blog/lai-suat-tiet-kiem
https://techcombank.com/thong-tin/blog/cach-tinh-lai-suat-tien-gui-tiet-kiem
https://techcombank.com/thong-tin/blog/so-tiet-kiem-ngan-hang
https://techcombank.com/thong-tin/blog/rui-ro-khi-gui-tiet-kiem-online
https://techcombank.com/cong-cu-tien-ich/cong-cu-tinh-toan/bang-tinh-lai-suat-tiet-kiem</v>
      </c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</row>
    <row r="66">
      <c r="A66" s="10" t="str">
        <f>IFERROR(__xludf.DUMMYFUNCTION("""COMPUTED_VALUE"""),"https://techcombank.com/thong-tin/blog/tai-khoan-doanh-nghiep-co-the-khong")</f>
        <v>https://techcombank.com/thong-tin/blog/tai-khoan-doanh-nghiep-co-the-khong</v>
      </c>
      <c r="B66" s="11">
        <f>IFERROR(__xludf.DUMMYFUNCTION("""COMPUTED_VALUE"""),7.0)</f>
        <v>7</v>
      </c>
      <c r="C66" s="8" t="str">
        <f>IFERROR(__xludf.DUMMYFUNCTION("IF(A66="""","""",TEXTJOIN(CHAR(10),TRUE,FILTER('Tổng hợp 75 trang đích'!$B$2:$B$2505,'Tổng hợp 75 trang đích'!$I$2:$I$2505=A66)))"),"https://techcombank.com/thong-tin/blog/cong-ty-su-dung-tai-khoan-ca-nhan
https://techcombank.com/thong-tin/blog/eco-card
https://techcombank.com/thong-tin/blog/lam-the-tin-dung
https://techcombank.com/khach-hang-ca-nhan/chi-tieu/the/the-tin-dung/techcomba"&amp;"nk-everyday
https://techcombank.com/thong-tin/blog/the-tin-dung-hoan-tien
https://techcombank.com/thong-tin/blog/cach-huy-the-tin-dung
https://techcombank.com/thong-tin/blog/cach-thanh-toan-the-tin-dung")</f>
        <v>https://techcombank.com/thong-tin/blog/cong-ty-su-dung-tai-khoan-ca-nhan
https://techcombank.com/thong-tin/blog/eco-card
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https://techcombank.com/thong-tin/blog/cach-thanh-toan-the-tin-dung</v>
      </c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</row>
    <row r="67">
      <c r="A67" s="10" t="str">
        <f>IFERROR(__xludf.DUMMYFUNCTION("""COMPUTED_VALUE"""),"https://techcombank.com/thong-tin/blog/thanh-toan-tien-dien-bang-the-tin-dung")</f>
        <v>https://techcombank.com/thong-tin/blog/thanh-toan-tien-dien-bang-the-tin-dung</v>
      </c>
      <c r="B67" s="11">
        <f>IFERROR(__xludf.DUMMYFUNCTION("""COMPUTED_VALUE"""),7.0)</f>
        <v>7</v>
      </c>
      <c r="C67" s="8" t="str">
        <f>IFERROR(__xludf.DUMMYFUNCTION("IF(A67="""","""",TEXTJOIN(CHAR(10),TRUE,FILTER('Tổng hợp 75 trang đích'!$B$2:$B$2505,'Tổng hợp 75 trang đích'!$I$2:$I$2505=A67)))"),"https://techcombank.com/thong-tin/blog/cach-tinh-tien-dien-sinh-hoat
https://techcombank.com/thong-tin/blog/ten-dang-nhap-tai-khoan-ngan-hang-la-gi
https://techcombank.com/thong-tin/blog/lam-the-tin-dung
https://techcombank.com/khach-hang-ca-nhan/chi-tieu"&amp;"/the/the-tin-dung/techcombank-everyday
https://techcombank.com/thong-tin/blog/the-tin-dung-hoan-tien
https://techcombank.com/thong-tin/blog/cach-huy-the-tin-dung
https://techcombank.com/thong-tin/blog/cach-thanh-toan-the-tin-dung")</f>
        <v>https://techcombank.com/thong-tin/blog/cach-tinh-tien-dien-sinh-hoat
https://techcombank.com/thong-tin/blog/ten-dang-nhap-tai-khoan-ngan-hang-la-gi
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https://techcombank.com/thong-tin/blog/cach-thanh-toan-the-tin-dung</v>
      </c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</row>
    <row r="68">
      <c r="A68" s="10" t="str">
        <f>IFERROR(__xludf.DUMMYFUNCTION("""COMPUTED_VALUE"""),"https://techcombank.com/thong-tin/blog/the-ghi-no-visa-la-gi")</f>
        <v>https://techcombank.com/thong-tin/blog/the-ghi-no-visa-la-gi</v>
      </c>
      <c r="B68" s="11">
        <f>IFERROR(__xludf.DUMMYFUNCTION("""COMPUTED_VALUE"""),7.0)</f>
        <v>7</v>
      </c>
      <c r="C68" s="8" t="str">
        <f>IFERROR(__xludf.DUMMYFUNCTION("IF(A68="""","""",TEXTJOIN(CHAR(10),TRUE,FILTER('Tổng hợp 75 trang đích'!$B$2:$B$2505,'Tổng hợp 75 trang đích'!$I$2:$I$2505=A68)))"),"https://techcombank.com/thong-tin/blog/eco-card
https://techcombank.com/thong-tin/blog/lam-the-tin-dung
https://techcombank.com/khach-hang-ca-nhan/chi-tieu/the/the-tin-dung/techcombank-everyday
https://techcombank.com/thong-tin/blog/the-tin-dung-hoan-tien"&amp;"
https://techcombank.com/thong-tin/blog/cach-huy-the-tin-dung
https://techcombank.com/thong-tin/blog/cach-thanh-toan-the-tin-dung
https://techcombank.com/thong-tin/blog/cach-nhan-tien-tu-nuoc-ngoai-ve-viet-nam")</f>
        <v>https://techcombank.com/thong-tin/blog/eco-card
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https://techcombank.com/thong-tin/blog/cach-thanh-toan-the-tin-dung
https://techcombank.com/thong-tin/blog/cach-nhan-tien-tu-nuoc-ngoai-ve-viet-nam</v>
      </c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</row>
    <row r="69">
      <c r="A69" s="10" t="str">
        <f>IFERROR(__xludf.DUMMYFUNCTION("""COMPUTED_VALUE"""),"https://techcombank.com/thong-tin/blog/the-tin-dung-la-gi")</f>
        <v>https://techcombank.com/thong-tin/blog/the-tin-dung-la-gi</v>
      </c>
      <c r="B69" s="11">
        <f>IFERROR(__xludf.DUMMYFUNCTION("""COMPUTED_VALUE"""),7.0)</f>
        <v>7</v>
      </c>
      <c r="C69" s="8" t="str">
        <f>IFERROR(__xludf.DUMMYFUNCTION("IF(A69="""","""",TEXTJOIN(CHAR(10),TRUE,FILTER('Tổng hợp 75 trang đích'!$B$2:$B$2505,'Tổng hợp 75 trang đích'!$I$2:$I$2505=A69)))"),"https://techcombank.com/thong-tin/blog/rut-tien-bang-ma-qr-la-gi-cach-thuc-hien-nhu-the-nao
https://techcombank.com/thong-tin/blog/rut-tien-mat-tu-the-tin-dung
https://techcombank.com/thong-tin/blog/lam-the-tin-dung
https://techcombank.com/khach-hang-ca-n"&amp;"han/chi-tieu/the/the-tin-dung/techcombank-everyday
https://techcombank.com/thong-tin/blog/the-tin-dung-hoan-tien
https://techcombank.com/thong-tin/blog/cach-huy-the-tin-dung
https://techcombank.com/thong-tin/blog/cach-thanh-toan-the-tin-dung")</f>
        <v>https://techcombank.com/thong-tin/blog/rut-tien-bang-ma-qr-la-gi-cach-thuc-hien-nhu-the-nao
https://techcombank.com/thong-tin/blog/rut-tien-mat-tu-the-tin-dung
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https://techcombank.com/thong-tin/blog/cach-thanh-toan-the-tin-dung</v>
      </c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</row>
    <row r="70">
      <c r="A70" s="10" t="str">
        <f>IFERROR(__xludf.DUMMYFUNCTION("""COMPUTED_VALUE"""),"https://techcombank.com/thong-tin/blog/the-tin-dung-phu-la-gi")</f>
        <v>https://techcombank.com/thong-tin/blog/the-tin-dung-phu-la-gi</v>
      </c>
      <c r="B70" s="11">
        <f>IFERROR(__xludf.DUMMYFUNCTION("""COMPUTED_VALUE"""),7.0)</f>
        <v>7</v>
      </c>
      <c r="C70" s="8" t="str">
        <f>IFERROR(__xludf.DUMMYFUNCTION("IF(A70="""","""",TEXTJOIN(CHAR(10),TRUE,FILTER('Tổng hợp 75 trang đích'!$B$2:$B$2505,'Tổng hợp 75 trang đích'!$I$2:$I$2505=A70)))"),"https://techcombank.com/thong-tin/blog/cach-sao-ke-tai-khoan-ngan-hang
https://techcombank.com/thong-tin/blog/lam-the-tin-dung
https://techcombank.com/khach-hang-ca-nhan/chi-tieu/the/the-tin-dung/techcombank-everyday
https://techcombank.com/thong-tin/blog"&amp;"/the-tin-dung-hoan-tien
https://techcombank.com/thong-tin/blog/cach-huy-the-tin-dung
https://techcombank.com/thong-tin/blog/cach-thanh-toan-the-tin-dung
https://techcombank.com/thong-tin/blog/cach-tiet-kiem-tien")</f>
        <v>https://techcombank.com/thong-tin/blog/cach-sao-ke-tai-khoan-ngan-hang
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https://techcombank.com/thong-tin/blog/cach-thanh-toan-the-tin-dung
https://techcombank.com/thong-tin/blog/cach-tiet-kiem-tien</v>
      </c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</row>
    <row r="71">
      <c r="A71" s="10" t="str">
        <f>IFERROR(__xludf.DUMMYFUNCTION("""COMPUTED_VALUE"""),"https://techcombank.com/thong-tin/blog/thoi-gian-hoan-tien-the-tin-dung")</f>
        <v>https://techcombank.com/thong-tin/blog/thoi-gian-hoan-tien-the-tin-dung</v>
      </c>
      <c r="B71" s="11">
        <f>IFERROR(__xludf.DUMMYFUNCTION("""COMPUTED_VALUE"""),7.0)</f>
        <v>7</v>
      </c>
      <c r="C71" s="8" t="str">
        <f>IFERROR(__xludf.DUMMYFUNCTION("IF(A71="""","""",TEXTJOIN(CHAR(10),TRUE,FILTER('Tổng hợp 75 trang đích'!$B$2:$B$2505,'Tổng hợp 75 trang đích'!$I$2:$I$2505=A71)))"),"https://techcombank.com/thong-tin/blog/cach-sao-ke-tai-khoan-ngan-hang
https://techcombank.com/thong-tin/blog/lam-the-tin-dung
https://techcombank.com/khach-hang-ca-nhan/chi-tieu/the/the-tin-dung/techcombank-everyday
https://techcombank.com/thong-tin/blog"&amp;"/the-tin-dung-hoan-tien
https://techcombank.com/thong-tin/blog/cach-huy-the-tin-dung
https://techcombank.com/thong-tin/blog/cach-thanh-toan-the-tin-dung
https://techcombank.com/thong-tin/blog/cach-tiet-kiem-tien")</f>
        <v>https://techcombank.com/thong-tin/blog/cach-sao-ke-tai-khoan-ngan-hang
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https://techcombank.com/thong-tin/blog/cach-thanh-toan-the-tin-dung
https://techcombank.com/thong-tin/blog/cach-tiet-kiem-tien</v>
      </c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</row>
    <row r="72">
      <c r="A72" s="10" t="str">
        <f>IFERROR(__xludf.DUMMYFUNCTION("""COMPUTED_VALUE"""),"https://techcombank.com/thong-tin/blog/tien-chuyen-vao-tai-khoan-co-bi-tinh-thue-khong")</f>
        <v>https://techcombank.com/thong-tin/blog/tien-chuyen-vao-tai-khoan-co-bi-tinh-thue-khong</v>
      </c>
      <c r="B72" s="11">
        <f>IFERROR(__xludf.DUMMYFUNCTION("""COMPUTED_VALUE"""),7.0)</f>
        <v>7</v>
      </c>
      <c r="C72" s="8" t="str">
        <f>IFERROR(__xludf.DUMMYFUNCTION("IF(A72="""","""",TEXTJOIN(CHAR(10),TRUE,FILTER('Tổng hợp 75 trang đích'!$B$2:$B$2505,'Tổng hợp 75 trang đích'!$I$2:$I$2505=A72)))"),"https://techcombank.com/thong-tin/blog/nop-thue-dat-qua-ngan-hang
https://techcombank.com/thong-tin/blog/cach-nop-thue-dien-tu
https://techcombank.com/thong-tin/blog/cong-ty-su-dung-tai-khoan-ca-nhan
https://techcombank.com/thong-tin/blog/cach-sao-ke-tai-"&amp;"khoan-ngan-hang
https://techcombank.com/thong-tin/blog/kiem-tra-thue-thu-nhap-ca-nhan
https://techcombank.com/thong-tin/blog/thue-thu-nhap-ca-nhan
https://techcombank.com/thong-tin/blog/ho-kinh-doanh-dong-thue-nhu-nao")</f>
        <v>https://techcombank.com/thong-tin/blog/nop-thue-dat-qua-ngan-hang
https://techcombank.com/thong-tin/blog/cach-nop-thue-dien-tu
https://techcombank.com/thong-tin/blog/cong-ty-su-dung-tai-khoan-ca-nhan
https://techcombank.com/thong-tin/blog/cach-sao-ke-tai-khoan-ngan-hang
https://techcombank.com/thong-tin/blog/kiem-tra-thue-thu-nhap-ca-nhan
https://techcombank.com/thong-tin/blog/thue-thu-nhap-ca-nhan
https://techcombank.com/thong-tin/blog/ho-kinh-doanh-dong-thue-nhu-nao</v>
      </c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</row>
    <row r="73">
      <c r="A73" s="10" t="str">
        <f>IFERROR(__xludf.DUMMYFUNCTION("""COMPUTED_VALUE"""),"https://techcombank.com/thong-tin/blog/tra-cuu-no-thue-ca-nhan")</f>
        <v>https://techcombank.com/thong-tin/blog/tra-cuu-no-thue-ca-nhan</v>
      </c>
      <c r="B73" s="11">
        <f>IFERROR(__xludf.DUMMYFUNCTION("""COMPUTED_VALUE"""),7.0)</f>
        <v>7</v>
      </c>
      <c r="C73" s="8" t="str">
        <f>IFERROR(__xludf.DUMMYFUNCTION("IF(A73="""","""",TEXTJOIN(CHAR(10),TRUE,FILTER('Tổng hợp 75 trang đích'!$B$2:$B$2505,'Tổng hợp 75 trang đích'!$I$2:$I$2505=A73)))"),"https://techcombank.com/thong-tin/blog/nop-thue-dat-qua-ngan-hang
https://techcombank.com/thong-tin/blog/cach-nop-thue-dien-tu
https://techcombank.com/thong-tin/blog/tra-cuu-no-thue-doanh-nghiep
https://techcombank.com/thong-tin/blog/cach-tinh-thue-thu-nh"&amp;"ap-ca-nhan-2025
https://techcombank.com/thong-tin/blog/kiem-tra-thue-thu-nhap-ca-nhan
https://techcombank.com/thong-tin/blog/thue-thu-nhap-ca-nhan
https://techcombank.com/thong-tin/blog/ho-kinh-doanh-dong-thue-nhu-nao")</f>
        <v>https://techcombank.com/thong-tin/blog/nop-thue-dat-qua-ngan-hang
https://techcombank.com/thong-tin/blog/cach-nop-thue-dien-tu
https://techcombank.com/thong-tin/blog/tra-cuu-no-thue-doanh-nghiep
https://techcombank.com/thong-tin/blog/cach-tinh-thue-thu-nhap-ca-nhan-2025
https://techcombank.com/thong-tin/blog/kiem-tra-thue-thu-nhap-ca-nhan
https://techcombank.com/thong-tin/blog/thue-thu-nhap-ca-nhan
https://techcombank.com/thong-tin/blog/ho-kinh-doanh-dong-thue-nhu-nao</v>
      </c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</row>
    <row r="74">
      <c r="A74" s="10" t="str">
        <f>IFERROR(__xludf.DUMMYFUNCTION("""COMPUTED_VALUE"""),"https://techcombank.com/thong-tin/blog/tra-cuu-no-thue-ho-kinh-doanh")</f>
        <v>https://techcombank.com/thong-tin/blog/tra-cuu-no-thue-ho-kinh-doanh</v>
      </c>
      <c r="B74" s="11">
        <f>IFERROR(__xludf.DUMMYFUNCTION("""COMPUTED_VALUE"""),7.0)</f>
        <v>7</v>
      </c>
      <c r="C74" s="8" t="str">
        <f>IFERROR(__xludf.DUMMYFUNCTION("IF(A74="""","""",TEXTJOIN(CHAR(10),TRUE,FILTER('Tổng hợp 75 trang đích'!$B$2:$B$2505,'Tổng hợp 75 trang đích'!$I$2:$I$2505=A74)))"),"https://techcombank.com/thong-tin/blog/nop-thue-dat-qua-ngan-hang
https://techcombank.com/thong-tin/blog/cach-nop-thue-dien-tu
https://techcombank.com/thong-tin/blog/tra-cuu-no-thue-doanh-nghiep
https://techcombank.com/thong-tin/blog/kiem-tra-thue-thu-nha"&amp;"p-ca-nhan
https://techcombank.com/thong-tin/blog/ho-kinh-doanh-dong-thue-nhu-nao
https://techcombank.com/thong-tin/blog/mo-tai-khoan-ho-kinh-doanh
https://techcombank.com/thong-tin/blog/cach-tinh-thue-ho-kinh-doanh-nho-le")</f>
        <v>https://techcombank.com/thong-tin/blog/nop-thue-dat-qua-ngan-hang
https://techcombank.com/thong-tin/blog/cach-nop-thue-dien-tu
https://techcombank.com/thong-tin/blog/tra-cuu-no-thue-doanh-nghiep
https://techcombank.com/thong-tin/blog/kiem-tra-thue-thu-nhap-ca-nhan
https://techcombank.com/thong-tin/blog/ho-kinh-doanh-dong-thue-nhu-nao
https://techcombank.com/thong-tin/blog/mo-tai-khoan-ho-kinh-doanh
https://techcombank.com/thong-tin/blog/cach-tinh-thue-ho-kinh-doanh-nho-le</v>
      </c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</row>
    <row r="75">
      <c r="A75" s="10" t="str">
        <f>IFERROR(__xludf.DUMMYFUNCTION("""COMPUTED_VALUE"""),"https://techcombank.com/thong-tin/blog/uu-dai-the-tin-dung")</f>
        <v>https://techcombank.com/thong-tin/blog/uu-dai-the-tin-dung</v>
      </c>
      <c r="B75" s="11">
        <f>IFERROR(__xludf.DUMMYFUNCTION("""COMPUTED_VALUE"""),7.0)</f>
        <v>7</v>
      </c>
      <c r="C75" s="8" t="str">
        <f>IFERROR(__xludf.DUMMYFUNCTION("IF(A75="""","""",TEXTJOIN(CHAR(10),TRUE,FILTER('Tổng hợp 75 trang đích'!$B$2:$B$2505,'Tổng hợp 75 trang đích'!$I$2:$I$2505=A75)))"),"https://techcombank.com/thong-tin/blog/cach-sao-ke-tai-khoan-ngan-hang
https://techcombank.com/thong-tin/blog/lam-the-tin-dung
https://techcombank.com/khach-hang-ca-nhan/chi-tieu/the/the-tin-dung/techcombank-everyday
https://techcombank.com/thong-tin/blog"&amp;"/the-tin-dung-hoan-tien
https://techcombank.com/thong-tin/blog/cach-huy-the-tin-dung
https://techcombank.com/thong-tin/blog/cach-thanh-toan-the-tin-dung
https://techcombank.com/thong-tin/blog/cach-tiet-kiem-tien")</f>
        <v>https://techcombank.com/thong-tin/blog/cach-sao-ke-tai-khoan-ngan-hang
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https://techcombank.com/thong-tin/blog/cach-thanh-toan-the-tin-dung
https://techcombank.com/thong-tin/blog/cach-tiet-kiem-tien</v>
      </c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</row>
    <row r="76">
      <c r="A76" s="10" t="str">
        <f>IFERROR(__xludf.DUMMYFUNCTION("""COMPUTED_VALUE"""),"https://techcombank.com/thong-tin/blog/uu-dai-the-tin-dung-techcombank-signature")</f>
        <v>https://techcombank.com/thong-tin/blog/uu-dai-the-tin-dung-techcombank-signature</v>
      </c>
      <c r="B76" s="11">
        <f>IFERROR(__xludf.DUMMYFUNCTION("""COMPUTED_VALUE"""),7.0)</f>
        <v>7</v>
      </c>
      <c r="C76" s="8" t="str">
        <f>IFERROR(__xludf.DUMMYFUNCTION("IF(A76="""","""",TEXTJOIN(CHAR(10),TRUE,FILTER('Tổng hợp 75 trang đích'!$B$2:$B$2505,'Tổng hợp 75 trang đích'!$I$2:$I$2505=A76)))"),"https://techcombank.com/thong-tin/blog/cach-sao-ke-tai-khoan-ngan-hang
https://techcombank.com/thong-tin/blog/lam-the-tin-dung
https://techcombank.com/khach-hang-ca-nhan/chi-tieu/the/the-tin-dung/techcombank-everyday
https://techcombank.com/thong-tin/blog"&amp;"/the-tin-dung-hoan-tien
https://techcombank.com/thong-tin/blog/cach-huy-the-tin-dung
https://techcombank.com/thong-tin/blog/cach-thanh-toan-the-tin-dung
https://techcombank.com/thong-tin/blog/cach-tiet-kiem-tien")</f>
        <v>https://techcombank.com/thong-tin/blog/cach-sao-ke-tai-khoan-ngan-hang
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https://techcombank.com/thong-tin/blog/cach-thanh-toan-the-tin-dung
https://techcombank.com/thong-tin/blog/cach-tiet-kiem-tien</v>
      </c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</row>
    <row r="77">
      <c r="A77" s="10" t="str">
        <f>IFERROR(__xludf.DUMMYFUNCTION("""COMPUTED_VALUE"""),"https://techcombank.com/thong-tin/blog/vay-ngan-hang-1-ty-moi-thang-tra-bao-nhieu")</f>
        <v>https://techcombank.com/thong-tin/blog/vay-ngan-hang-1-ty-moi-thang-tra-bao-nhieu</v>
      </c>
      <c r="B77" s="11">
        <f>IFERROR(__xludf.DUMMYFUNCTION("""COMPUTED_VALUE"""),7.0)</f>
        <v>7</v>
      </c>
      <c r="C77" s="8" t="str">
        <f>IFERROR(__xludf.DUMMYFUNCTION("IF(A77="""","""",TEXTJOIN(CHAR(10),TRUE,FILTER('Tổng hợp 75 trang đích'!$B$2:$B$2505,'Tổng hợp 75 trang đích'!$I$2:$I$2505=A77)))"),"https://techcombank.com/thong-tin/blog/cach-tinh-tien-dien-sinh-hoat
https://techcombank.com/thong-tin/blog/ten-dang-nhap-tai-khoan-ngan-hang-la-gi
https://techcombank.com/thong-tin/blog/lam-the-tin-dung
https://techcombank.com/khach-hang-ca-nhan/chi-tieu"&amp;"/the/the-tin-dung/techcombank-everyday
https://techcombank.com/thong-tin/blog/the-tin-dung-hoan-tien
https://techcombank.com/thong-tin/blog/cach-huy-the-tin-dung
https://techcombank.com/thong-tin/blog/cach-thanh-toan-the-tin-dung")</f>
        <v>https://techcombank.com/thong-tin/blog/cach-tinh-tien-dien-sinh-hoat
https://techcombank.com/thong-tin/blog/ten-dang-nhap-tai-khoan-ngan-hang-la-gi
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https://techcombank.com/thong-tin/blog/cach-thanh-toan-the-tin-dung</v>
      </c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</row>
    <row r="78">
      <c r="A78" s="10" t="str">
        <f>IFERROR(__xludf.DUMMYFUNCTION("""COMPUTED_VALUE"""),"https://techcombank.com/thong-tin/blog/vay-the-chap-khong-tra-duoc")</f>
        <v>https://techcombank.com/thong-tin/blog/vay-the-chap-khong-tra-duoc</v>
      </c>
      <c r="B78" s="11">
        <f>IFERROR(__xludf.DUMMYFUNCTION("""COMPUTED_VALUE"""),7.0)</f>
        <v>7</v>
      </c>
      <c r="C78" s="8" t="str">
        <f>IFERROR(__xludf.DUMMYFUNCTION("IF(A78="""","""",TEXTJOIN(CHAR(10),TRUE,FILTER('Tổng hợp 75 trang đích'!$B$2:$B$2505,'Tổng hợp 75 trang đích'!$I$2:$I$2505=A78)))"),"https://techcombank.com/thong-tin/blog/cic-la-gi
https://techcombank.com/thong-tin/blog/xep-hang-tin-dung
https://techcombank.com/thong-tin/blog/vay-ngan-hang-1-ty-moi-thang-tra-bao-nhieu
https://techcombank.com/thong-tin/blog/lai-suat-vay-the-chap-so-do
"&amp;"https://techcombank.com/thong-tin/blog/ho-so-thu-tuc-xoa-the-chap
https://techcombank.com/thong-tin/blog/rui-ro-khi-gui-tiet-kiem-online
https://techcombank.com/thong-tin/blog/vay-tin-chap-khong-tra-duoc-co-sao-khong")</f>
        <v>https://techcombank.com/thong-tin/blog/cic-la-gi
https://techcombank.com/thong-tin/blog/xep-hang-tin-dung
https://techcombank.com/thong-tin/blog/vay-ngan-hang-1-ty-moi-thang-tra-bao-nhieu
https://techcombank.com/thong-tin/blog/lai-suat-vay-the-chap-so-do
https://techcombank.com/thong-tin/blog/ho-so-thu-tuc-xoa-the-chap
https://techcombank.com/thong-tin/blog/rui-ro-khi-gui-tiet-kiem-online
https://techcombank.com/thong-tin/blog/vay-tin-chap-khong-tra-duoc-co-sao-khong</v>
      </c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</row>
    <row r="79">
      <c r="A79" s="10" t="str">
        <f>IFERROR(__xludf.DUMMYFUNCTION("""COMPUTED_VALUE"""),"https://techcombank.com/thong-tin/blog/vay-tin-chap-la-gi")</f>
        <v>https://techcombank.com/thong-tin/blog/vay-tin-chap-la-gi</v>
      </c>
      <c r="B79" s="11">
        <f>IFERROR(__xludf.DUMMYFUNCTION("""COMPUTED_VALUE"""),7.0)</f>
        <v>7</v>
      </c>
      <c r="C79" s="8" t="str">
        <f>IFERROR(__xludf.DUMMYFUNCTION("IF(A79="""","""",TEXTJOIN(CHAR(10),TRUE,FILTER('Tổng hợp 75 trang đích'!$B$2:$B$2505,'Tổng hợp 75 trang đích'!$I$2:$I$2505=A79)))"),"https://techcombank.com/thong-tin/blog/cach-tinh-lai-vay-ngan-hang
https://techcombank.com/thong-tin/blog/cach-tinh-lai-suat-tien-gui-tiet-kiem
https://techcombank.com/cong-cu-tien-ich/cong-cu-tinh-toan/bang-tinh-lai-suat-vay
https://techcombank.com/cong-"&amp;"cu-tien-ich/cong-cu-tinh-toan/bang-tinh-lai-suat-tiet-kiem
https://techcombank.com/thong-tin/blog/lai-suat-vay-ngan-hang
https://techcombank.com/thong-tin/blog/nen-vay-tin-chap-o-dau
https://techcombank.com/thong-tin/blog/vay-tin-chap-khong-tra-duoc-co-sa"&amp;"o-khong")</f>
        <v>https://techcombank.com/thong-tin/blog/cach-tinh-lai-vay-ngan-hang
https://techcombank.com/thong-tin/blog/cach-tinh-lai-suat-tien-gui-tiet-kiem
https://techcombank.com/cong-cu-tien-ich/cong-cu-tinh-toan/bang-tinh-lai-suat-vay
https://techcombank.com/cong-cu-tien-ich/cong-cu-tinh-toan/bang-tinh-lai-suat-tiet-kiem
https://techcombank.com/thong-tin/blog/lai-suat-vay-ngan-hang
https://techcombank.com/thong-tin/blog/nen-vay-tin-chap-o-dau
https://techcombank.com/thong-tin/blog/vay-tin-chap-khong-tra-duoc-co-sao-khong</v>
      </c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</row>
    <row r="80">
      <c r="A80" s="10" t="str">
        <f>IFERROR(__xludf.DUMMYFUNCTION("""COMPUTED_VALUE"""),"https://techcombank.com/thong-tin/blog/1000-yen-bang-bao-nhieu-tien-viet")</f>
        <v>https://techcombank.com/thong-tin/blog/1000-yen-bang-bao-nhieu-tien-viet</v>
      </c>
      <c r="B80" s="11">
        <f>IFERROR(__xludf.DUMMYFUNCTION("""COMPUTED_VALUE"""),6.0)</f>
        <v>6</v>
      </c>
      <c r="C80" s="8" t="str">
        <f>IFERROR(__xludf.DUMMYFUNCTION("IF(A80="""","""",TEXTJOIN(CHAR(10),TRUE,FILTER('Tổng hợp 75 trang đích'!$B$2:$B$2505,'Tổng hợp 75 trang đích'!$I$2:$I$2505=A80)))"),"https://techcombank.com/thong-tin/blog/chuyen-khoan-thanh-cong-nhung-khong-nhan-duoc-tien
https://techcombank.com/thong-tin/blog/tien-nhat
https://techcombank.com/thong-tin/blog/1-yen-bang-bao-nhieu-tien-viet-nam
https://techcombank.com/thong-tin/blog/1-m"&amp;"an-bang-bao-nhieu-tien-viet
https://techcombank.com/thong-tin/blog/cach-nhan-tien-tu-nuoc-ngoai-ve-viet-nam
https://techcombank.com/thong-tin/blog/doi-tien-do-o-dau")</f>
        <v>https://techcombank.com/thong-tin/blog/chuyen-khoan-thanh-cong-nhung-khong-nhan-duoc-tien
https://techcombank.com/thong-tin/blog/tien-nhat
https://techcombank.com/thong-tin/blog/1-yen-bang-bao-nhieu-tien-viet-nam
https://techcombank.com/thong-tin/blog/1-man-bang-bao-nhieu-tien-viet
https://techcombank.com/thong-tin/blog/cach-nhan-tien-tu-nuoc-ngoai-ve-viet-nam
https://techcombank.com/thong-tin/blog/doi-tien-do-o-dau</v>
      </c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</row>
    <row r="81">
      <c r="A81" s="10" t="str">
        <f>IFERROR(__xludf.DUMMYFUNCTION("""COMPUTED_VALUE"""),"https://techcombank.com/thong-tin/blog/cach-su-dung-the-visa-techcombank")</f>
        <v>https://techcombank.com/thong-tin/blog/cach-su-dung-the-visa-techcombank</v>
      </c>
      <c r="B81" s="11">
        <f>IFERROR(__xludf.DUMMYFUNCTION("""COMPUTED_VALUE"""),6.0)</f>
        <v>6</v>
      </c>
      <c r="C81" s="8" t="str">
        <f>IFERROR(__xludf.DUMMYFUNCTION("IF(A81="""","""",TEXTJOIN(CHAR(10),TRUE,FILTER('Tổng hợp 75 trang đích'!$B$2:$B$2505,'Tổng hợp 75 trang đích'!$I$2:$I$2505=A81)))"),"https://techcombank.com/thong-tin/blog/chuyen-khoan-thanh-cong-nhung-khong-nhan-duoc-tien
https://techcombank.com/thong-tin/blog/rut-tien-bang-ma-qr-la-gi-cach-thuc-hien-nhu-the-nao
https://techcombank.com/thong-tin/blog/rut-tien-mat-tu-the-tin-dung
https"&amp;"://techcombank.com/thong-tin/blog/vay-ngan-hang-1-ty-moi-thang-tra-bao-nhieu
https://techcombank.com/thong-tin/blog/cach-tinh-lai-vay-ngan-hang
https://techcombank.com/cong-cu-tien-ich/cong-cu-tinh-toan/bang-tinh-lai-suat-vay")</f>
        <v>https://techcombank.com/thong-tin/blog/chuyen-khoan-thanh-cong-nhung-khong-nhan-duoc-tien
https://techcombank.com/thong-tin/blog/rut-tien-bang-ma-qr-la-gi-cach-thuc-hien-nhu-the-nao
https://techcombank.com/thong-tin/blog/rut-tien-mat-tu-the-tin-dung
https://techcombank.com/thong-tin/blog/vay-ngan-hang-1-ty-moi-thang-tra-bao-nhieu
https://techcombank.com/thong-tin/blog/cach-tinh-lai-vay-ngan-hang
https://techcombank.com/cong-cu-tien-ich/cong-cu-tinh-toan/bang-tinh-lai-suat-vay</v>
      </c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</row>
    <row r="82">
      <c r="A82" s="10" t="str">
        <f>IFERROR(__xludf.DUMMYFUNCTION("""COMPUTED_VALUE"""),"https://techcombank.com/thong-tin/blog/cach-tiet-kiem-tien-sinh-loi")</f>
        <v>https://techcombank.com/thong-tin/blog/cach-tiet-kiem-tien-sinh-loi</v>
      </c>
      <c r="B82" s="11">
        <f>IFERROR(__xludf.DUMMYFUNCTION("""COMPUTED_VALUE"""),6.0)</f>
        <v>6</v>
      </c>
      <c r="C82" s="8" t="str">
        <f>IFERROR(__xludf.DUMMYFUNCTION("IF(A82="""","""",TEXTJOIN(CHAR(10),TRUE,FILTER('Tổng hợp 75 trang đích'!$B$2:$B$2505,'Tổng hợp 75 trang đích'!$I$2:$I$2505=A82)))"),"https://techcombank.com/thong-tin/blog/chung-chi-tien-gui-la-gi
https://techcombank.com/thong-tin/blog/lai-suat-tiet-kiem
https://techcombank.com/thong-tin/blog/cach-tinh-lai-suat-tien-gui-tiet-kiem
https://techcombank.com/thong-tin/blog/so-tiet-kiem-ngan"&amp;"-hang
https://techcombank.com/thong-tin/blog/cach-tiet-kiem-tien
https://techcombank.com/cong-cu-tien-ich/cong-cu-tinh-toan/bang-tinh-lai-suat-tiet-kiem")</f>
        <v>https://techcombank.com/thong-tin/blog/chung-chi-tien-gui-la-gi
https://techcombank.com/thong-tin/blog/lai-suat-tiet-kiem
https://techcombank.com/thong-tin/blog/cach-tinh-lai-suat-tien-gui-tiet-kiem
https://techcombank.com/thong-tin/blog/so-tiet-kiem-ngan-hang
https://techcombank.com/thong-tin/blog/cach-tiet-kiem-tien
https://techcombank.com/cong-cu-tien-ich/cong-cu-tinh-toan/bang-tinh-lai-suat-tiet-kiem</v>
      </c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</row>
    <row r="83">
      <c r="A83" s="10" t="str">
        <f>IFERROR(__xludf.DUMMYFUNCTION("""COMPUTED_VALUE"""),"https://techcombank.com/thong-tin/blog/cach-tinh-lai-suat-tien-gui-tiet-kiem")</f>
        <v>https://techcombank.com/thong-tin/blog/cach-tinh-lai-suat-tien-gui-tiet-kiem</v>
      </c>
      <c r="B83" s="11">
        <f>IFERROR(__xludf.DUMMYFUNCTION("""COMPUTED_VALUE"""),6.0)</f>
        <v>6</v>
      </c>
      <c r="C83" s="8" t="str">
        <f>IFERROR(__xludf.DUMMYFUNCTION("IF(A83="""","""",TEXTJOIN(CHAR(10),TRUE,FILTER('Tổng hợp 75 trang đích'!$B$2:$B$2505,'Tổng hợp 75 trang đích'!$I$2:$I$2505=A83)))"),"https://techcombank.com/thong-tin/blog/ngan-hang-uy-tin
https://techcombank.com/thong-tin/blog/chung-chi-tien-gui-la-gi
https://techcombank.com/thong-tin/blog/lai-suat-chung-chi-tien-gui-cac-ngan-hang
https://techcombank.com/thong-tin/blog/lai-suat-tiet-k"&amp;"iem
https://techcombank.com/thong-tin/blog/so-tiet-kiem-ngan-hang
https://techcombank.com/cong-cu-tien-ich/cong-cu-tinh-toan/bang-tinh-lai-suat-tiet-kiem")</f>
        <v>https://techcombank.com/thong-tin/blog/ngan-hang-uy-tin
https://techcombank.com/thong-tin/blog/chung-chi-tien-gui-la-gi
https://techcombank.com/thong-tin/blog/lai-suat-chung-chi-tien-gui-cac-ngan-hang
https://techcombank.com/thong-tin/blog/lai-suat-tiet-kiem
https://techcombank.com/thong-tin/blog/so-tiet-kiem-ngan-hang
https://techcombank.com/cong-cu-tien-ich/cong-cu-tinh-toan/bang-tinh-lai-suat-tiet-kiem</v>
      </c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</row>
    <row r="84">
      <c r="A84" s="10" t="str">
        <f>IFERROR(__xludf.DUMMYFUNCTION("""COMPUTED_VALUE"""),"https://techcombank.com/thong-tin/blog/cach-tinh-lai-vay-ngan-hang")</f>
        <v>https://techcombank.com/thong-tin/blog/cach-tinh-lai-vay-ngan-hang</v>
      </c>
      <c r="B84" s="11">
        <f>IFERROR(__xludf.DUMMYFUNCTION("""COMPUTED_VALUE"""),6.0)</f>
        <v>6</v>
      </c>
      <c r="C84" s="8" t="str">
        <f>IFERROR(__xludf.DUMMYFUNCTION("IF(A84="""","""",TEXTJOIN(CHAR(10),TRUE,FILTER('Tổng hợp 75 trang đích'!$B$2:$B$2505,'Tổng hợp 75 trang đích'!$I$2:$I$2505=A84)))"),"https://techcombank.com/thong-tin/blog/cach-thanh-toan-the-tin-dung
https://techcombank.com/thong-tin/blog/cach-tinh-lai-suat-tien-gui-tiet-kiem
https://techcombank.com/cong-cu-tien-ich/cong-cu-tinh-toan/bang-tinh-lai-suat-vay
https://techcombank.com/cong"&amp;"-cu-tien-ich/cong-cu-tinh-toan/bang-tinh-lai-suat-tiet-kiem
https://techcombank.com/thong-tin/blog/lai-suat-vay-ngan-hang
https://techcombank.com/thong-tin/blog/vay-thau-chi-la-gi")</f>
        <v>https://techcombank.com/thong-tin/blog/cach-thanh-toan-the-tin-dung
https://techcombank.com/thong-tin/blog/cach-tinh-lai-suat-tien-gui-tiet-kiem
https://techcombank.com/cong-cu-tien-ich/cong-cu-tinh-toan/bang-tinh-lai-suat-vay
https://techcombank.com/cong-cu-tien-ich/cong-cu-tinh-toan/bang-tinh-lai-suat-tiet-kiem
https://techcombank.com/thong-tin/blog/lai-suat-vay-ngan-hang
https://techcombank.com/thong-tin/blog/vay-thau-chi-la-gi</v>
      </c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</row>
    <row r="85">
      <c r="A85" s="10" t="str">
        <f>IFERROR(__xludf.DUMMYFUNCTION("""COMPUTED_VALUE"""),"https://techcombank.com/thong-tin/blog/cach-tinh-thue-ho-kinh-doanh-nho-le")</f>
        <v>https://techcombank.com/thong-tin/blog/cach-tinh-thue-ho-kinh-doanh-nho-le</v>
      </c>
      <c r="B85" s="11">
        <f>IFERROR(__xludf.DUMMYFUNCTION("""COMPUTED_VALUE"""),6.0)</f>
        <v>6</v>
      </c>
      <c r="C85" s="8" t="str">
        <f>IFERROR(__xludf.DUMMYFUNCTION("IF(A85="""","""",TEXTJOIN(CHAR(10),TRUE,FILTER('Tổng hợp 75 trang đích'!$B$2:$B$2505,'Tổng hợp 75 trang đích'!$I$2:$I$2505=A85)))"),"https://techcombank.com/thong-tin/blog/thue-vat-la-gi
https://techcombank.com/thong-tin/blog/cach-tinh-thue-thu-nhap-ca-nhan-2025
https://techcombank.com/thong-tin/blog/kiem-tra-thue-thu-nhap-ca-nhan
https://techcombank.com/thong-tin/blog/thue-thu-nhap-ca"&amp;"-nhan
https://techcombank.com/thong-tin/blog/ho-kinh-doanh-dong-thue-nhu-nao
https://techcombank.com/thong-tin/blog/mo-tai-khoan-ho-kinh-doanh")</f>
        <v>https://techcombank.com/thong-tin/blog/thue-vat-la-gi
https://techcombank.com/thong-tin/blog/cach-tinh-thue-thu-nhap-ca-nhan-2025
https://techcombank.com/thong-tin/blog/kiem-tra-thue-thu-nhap-ca-nhan
https://techcombank.com/thong-tin/blog/thue-thu-nhap-ca-nhan
https://techcombank.com/thong-tin/blog/ho-kinh-doanh-dong-thue-nhu-nao
https://techcombank.com/thong-tin/blog/mo-tai-khoan-ho-kinh-doanh</v>
      </c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</row>
    <row r="86">
      <c r="A86" s="10" t="str">
        <f>IFERROR(__xludf.DUMMYFUNCTION("""COMPUTED_VALUE"""),"https://techcombank.com/thong-tin/blog/chinh-sach-thue-moi")</f>
        <v>https://techcombank.com/thong-tin/blog/chinh-sach-thue-moi</v>
      </c>
      <c r="B86" s="11">
        <f>IFERROR(__xludf.DUMMYFUNCTION("""COMPUTED_VALUE"""),6.0)</f>
        <v>6</v>
      </c>
      <c r="C86" s="8" t="str">
        <f>IFERROR(__xludf.DUMMYFUNCTION("IF(A86="""","""",TEXTJOIN(CHAR(10),TRUE,FILTER('Tổng hợp 75 trang đích'!$B$2:$B$2505,'Tổng hợp 75 trang đích'!$I$2:$I$2505=A86)))"),"https://techcombank.com/thong-tin/blog/thue-doanh-nghiep
https://techcombank.com/thong-tin/blog/eco-card
https://techcombank.com/thong-tin/blog/ho-kinh-doanh-dong-thue-nhu-nao
https://techcombank.com/thong-tin/blog/mo-tai-khoan-ho-kinh-doanh
https://techc"&amp;"ombank.com/thong-tin/blog/cach-tinh-thue-ho-kinh-doanh-nho-le
https://techcombank.com/thong-tin/blog/cach-tiet-kiem-tien")</f>
        <v>https://techcombank.com/thong-tin/blog/thue-doanh-nghiep
https://techcombank.com/thong-tin/blog/eco-card
https://techcombank.com/thong-tin/blog/ho-kinh-doanh-dong-thue-nhu-nao
https://techcombank.com/thong-tin/blog/mo-tai-khoan-ho-kinh-doanh
https://techcombank.com/thong-tin/blog/cach-tinh-thue-ho-kinh-doanh-nho-le
https://techcombank.com/thong-tin/blog/cach-tiet-kiem-tien</v>
      </c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</row>
    <row r="87">
      <c r="A87" s="10" t="str">
        <f>IFERROR(__xludf.DUMMYFUNCTION("""COMPUTED_VALUE"""),"https://techcombank.com/thong-tin/blog/chon-kenh-dau-tu-an-toan-trong-boi-canh-thi-truong-bien-dong")</f>
        <v>https://techcombank.com/thong-tin/blog/chon-kenh-dau-tu-an-toan-trong-boi-canh-thi-truong-bien-dong</v>
      </c>
      <c r="B87" s="11">
        <f>IFERROR(__xludf.DUMMYFUNCTION("""COMPUTED_VALUE"""),6.0)</f>
        <v>6</v>
      </c>
      <c r="C87" s="8" t="str">
        <f>IFERROR(__xludf.DUMMYFUNCTION("IF(A87="""","""",TEXTJOIN(CHAR(10),TRUE,FILTER('Tổng hợp 75 trang đích'!$B$2:$B$2505,'Tổng hợp 75 trang đích'!$I$2:$I$2505=A87)))"),"https://techcombank.com/thong-tin/blog/chung-chi-tien-gui-la-gi
https://techcombank.com/thong-tin/blog/lai-suat-chung-chi-tien-gui-cac-ngan-hang
https://techcombank.com/thong-tin/blog/lai-suat-tiet-kiem
https://techcombank.com/thong-tin/blog/cach-tinh-lai"&amp;"-suat-tien-gui-tiet-kiem
https://techcombank.com/cong-cu-tien-ich/cong-cu-tinh-toan/bang-tinh-lai-suat-tiet-kiem
https://techcombank.com/thong-tin/blog/phuong-phap-dau-tu-chung-chi-quy")</f>
        <v>https://techcombank.com/thong-tin/blog/chung-chi-tien-gui-la-gi
https://techcombank.com/thong-tin/blog/lai-suat-chung-chi-tien-gui-cac-ngan-hang
https://techcombank.com/thong-tin/blog/lai-suat-tiet-kiem
https://techcombank.com/thong-tin/blog/cach-tinh-lai-suat-tien-gui-tiet-kiem
https://techcombank.com/cong-cu-tien-ich/cong-cu-tinh-toan/bang-tinh-lai-suat-tiet-kiem
https://techcombank.com/thong-tin/blog/phuong-phap-dau-tu-chung-chi-quy</v>
      </c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</row>
    <row r="88">
      <c r="A88" s="10" t="str">
        <f>IFERROR(__xludf.DUMMYFUNCTION("""COMPUTED_VALUE"""),"https://techcombank.com/thong-tin/blog/chuyen-tien-tu-nhat-ve-viet-nam")</f>
        <v>https://techcombank.com/thong-tin/blog/chuyen-tien-tu-nhat-ve-viet-nam</v>
      </c>
      <c r="B88" s="11">
        <f>IFERROR(__xludf.DUMMYFUNCTION("""COMPUTED_VALUE"""),6.0)</f>
        <v>6</v>
      </c>
      <c r="C88" s="8" t="str">
        <f>IFERROR(__xludf.DUMMYFUNCTION("IF(A88="""","""",TEXTJOIN(CHAR(10),TRUE,FILTER('Tổng hợp 75 trang đích'!$B$2:$B$2505,'Tổng hợp 75 trang đích'!$I$2:$I$2505=A88)))"),"https://techcombank.com/thong-tin/blog/chuyen-khoan-thanh-cong-nhung-khong-nhan-duoc-tien
https://techcombank.com/thong-tin/blog/1-te-bang-bao-nhieu-tien-viet-nam
https://techcombank.com/thong-tin/blog/tien-nhat
https://techcombank.com/thong-tin/blog/1-ye"&amp;"n-bang-bao-nhieu-tien-viet-nam
https://techcombank.com/thong-tin/blog/1-man-bang-bao-nhieu-tien-viet
https://techcombank.com/thong-tin/blog/doi-tien-do-o-dau")</f>
        <v>https://techcombank.com/thong-tin/blog/chuyen-khoan-thanh-cong-nhung-khong-nhan-duoc-tien
https://techcombank.com/thong-tin/blog/1-te-bang-bao-nhieu-tien-viet-nam
https://techcombank.com/thong-tin/blog/tien-nhat
https://techcombank.com/thong-tin/blog/1-yen-bang-bao-nhieu-tien-viet-nam
https://techcombank.com/thong-tin/blog/1-man-bang-bao-nhieu-tien-viet
https://techcombank.com/thong-tin/blog/doi-tien-do-o-dau</v>
      </c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</row>
    <row r="89">
      <c r="A89" s="10" t="str">
        <f>IFERROR(__xludf.DUMMYFUNCTION("""COMPUTED_VALUE"""),"https://techcombank.com/thong-tin/blog/co-nen-dung-the-tin-dung-khong")</f>
        <v>https://techcombank.com/thong-tin/blog/co-nen-dung-the-tin-dung-khong</v>
      </c>
      <c r="B89" s="11">
        <f>IFERROR(__xludf.DUMMYFUNCTION("""COMPUTED_VALUE"""),6.0)</f>
        <v>6</v>
      </c>
      <c r="C89" s="8" t="str">
        <f>IFERROR(__xludf.DUMMYFUNCTION("IF(A89="""","""",TEXTJOIN(CHAR(10),TRUE,FILTER('Tổng hợp 75 trang đích'!$B$2:$B$2505,'Tổng hợp 75 trang đích'!$I$2:$I$2505=A89)))"),"https://techcombank.com/thong-tin/blog/bao-nhieu-tuoi-duoc-mo-tai-khoan-ngan-hang
https://techcombank.com/thong-tin/blog/lam-the-tin-dung
https://techcombank.com/khach-hang-ca-nhan/chi-tieu/the/the-tin-dung/techcombank-everyday
https://techcombank.com/tho"&amp;"ng-tin/blog/the-tin-dung-hoan-tien
https://techcombank.com/thong-tin/blog/cach-huy-the-tin-dung
https://techcombank.com/thong-tin/blog/cach-thanh-toan-the-tin-dung")</f>
        <v>https://techcombank.com/thong-tin/blog/bao-nhieu-tuoi-duoc-mo-tai-khoan-ngan-hang
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https://techcombank.com/thong-tin/blog/cach-thanh-toan-the-tin-dung</v>
      </c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</row>
    <row r="90">
      <c r="A90" s="10" t="str">
        <f>IFERROR(__xludf.DUMMYFUNCTION("""COMPUTED_VALUE"""),"https://techcombank.com/thong-tin/blog/co-nen-gui-tiet-kiem-online")</f>
        <v>https://techcombank.com/thong-tin/blog/co-nen-gui-tiet-kiem-online</v>
      </c>
      <c r="B90" s="11">
        <f>IFERROR(__xludf.DUMMYFUNCTION("""COMPUTED_VALUE"""),6.0)</f>
        <v>6</v>
      </c>
      <c r="C90" s="8" t="str">
        <f>IFERROR(__xludf.DUMMYFUNCTION("IF(A90="""","""",TEXTJOIN(CHAR(10),TRUE,FILTER('Tổng hợp 75 trang đích'!$B$2:$B$2505,'Tổng hợp 75 trang đích'!$I$2:$I$2505=A90)))"),"https://techcombank.com/thong-tin/blog/chung-chi-tien-gui-la-gi
https://techcombank.com/thong-tin/blog/lai-suat-tiet-kiem
https://techcombank.com/thong-tin/blog/cach-tinh-lai-suat-tien-gui-tiet-kiem
https://techcombank.com/thong-tin/blog/so-tiet-kiem-ngan"&amp;"-hang
https://techcombank.com/thong-tin/blog/rui-ro-khi-gui-tiet-kiem-online
https://techcombank.com/cong-cu-tien-ich/cong-cu-tinh-toan/bang-tinh-lai-suat-tiet-kiem")</f>
        <v>https://techcombank.com/thong-tin/blog/chung-chi-tien-gui-la-gi
https://techcombank.com/thong-tin/blog/lai-suat-tiet-kiem
https://techcombank.com/thong-tin/blog/cach-tinh-lai-suat-tien-gui-tiet-kiem
https://techcombank.com/thong-tin/blog/so-tiet-kiem-ngan-hang
https://techcombank.com/thong-tin/blog/rui-ro-khi-gui-tiet-kiem-online
https://techcombank.com/cong-cu-tien-ich/cong-cu-tinh-toan/bang-tinh-lai-suat-tiet-kiem</v>
      </c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</row>
    <row r="91">
      <c r="A91" s="10" t="str">
        <f>IFERROR(__xludf.DUMMYFUNCTION("""COMPUTED_VALUE"""),"https://techcombank.com/thong-tin/blog/dau-tu-trai-phieu-doanh-nghiep-dung-ham-lai-suat-cao")</f>
        <v>https://techcombank.com/thong-tin/blog/dau-tu-trai-phieu-doanh-nghiep-dung-ham-lai-suat-cao</v>
      </c>
      <c r="B91" s="11">
        <f>IFERROR(__xludf.DUMMYFUNCTION("""COMPUTED_VALUE"""),6.0)</f>
        <v>6</v>
      </c>
      <c r="C91" s="8" t="str">
        <f>IFERROR(__xludf.DUMMYFUNCTION("IF(A91="""","""",TEXTJOIN(CHAR(10),TRUE,FILTER('Tổng hợp 75 trang đích'!$B$2:$B$2505,'Tổng hợp 75 trang đích'!$I$2:$I$2505=A91)))"),"https://techcombank.com/thong-tin/blog/chung-chi-tien-gui-la-gi
https://techcombank.com/thong-tin/blog/lai-suat-chung-chi-tien-gui-cac-ngan-hang
https://techcombank.com/thong-tin/blog/lai-suat-tiet-kiem
https://techcombank.com/thong-tin/blog/cach-tinh-lai"&amp;"-suat-tien-gui-tiet-kiem
https://techcombank.com/cong-cu-tien-ich/cong-cu-tinh-toan/bang-tinh-lai-suat-tiet-kiem
https://techcombank.com/thong-tin/blog/phuong-phap-dau-tu-chung-chi-quy")</f>
        <v>https://techcombank.com/thong-tin/blog/chung-chi-tien-gui-la-gi
https://techcombank.com/thong-tin/blog/lai-suat-chung-chi-tien-gui-cac-ngan-hang
https://techcombank.com/thong-tin/blog/lai-suat-tiet-kiem
https://techcombank.com/thong-tin/blog/cach-tinh-lai-suat-tien-gui-tiet-kiem
https://techcombank.com/cong-cu-tien-ich/cong-cu-tinh-toan/bang-tinh-lai-suat-tiet-kiem
https://techcombank.com/thong-tin/blog/phuong-phap-dau-tu-chung-chi-quy</v>
      </c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</row>
    <row r="92">
      <c r="A92" s="10" t="str">
        <f>IFERROR(__xludf.DUMMYFUNCTION("""COMPUTED_VALUE"""),"https://techcombank.com/thong-tin/blog/dieu-kien-vay-the-chap")</f>
        <v>https://techcombank.com/thong-tin/blog/dieu-kien-vay-the-chap</v>
      </c>
      <c r="B92" s="11">
        <f>IFERROR(__xludf.DUMMYFUNCTION("""COMPUTED_VALUE"""),6.0)</f>
        <v>6</v>
      </c>
      <c r="C92" s="8" t="str">
        <f>IFERROR(__xludf.DUMMYFUNCTION("IF(A92="""","""",TEXTJOIN(CHAR(10),TRUE,FILTER('Tổng hợp 75 trang đích'!$B$2:$B$2505,'Tổng hợp 75 trang đích'!$I$2:$I$2505=A92)))"),"https://techcombank.com/thong-tin/blog/bao-nhieu-tuoi-duoc-mo-tai-khoan-ngan-hang
https://techcombank.com/thong-tin/blog/cic-la-gi
https://techcombank.com/thong-tin/blog/xep-hang-tin-dung
https://techcombank.com/thong-tin/blog/vay-ngan-hang-1-ty-moi-thang"&amp;"-tra-bao-nhieu
https://techcombank.com/thong-tin/blog/lai-suat-vay-the-chap-so-do
https://techcombank.com/thong-tin/blog/ho-so-thu-tuc-xoa-the-chap")</f>
        <v>https://techcombank.com/thong-tin/blog/bao-nhieu-tuoi-duoc-mo-tai-khoan-ngan-hang
https://techcombank.com/thong-tin/blog/cic-la-gi
https://techcombank.com/thong-tin/blog/xep-hang-tin-dung
https://techcombank.com/thong-tin/blog/vay-ngan-hang-1-ty-moi-thang-tra-bao-nhieu
https://techcombank.com/thong-tin/blog/lai-suat-vay-the-chap-so-do
https://techcombank.com/thong-tin/blog/ho-so-thu-tuc-xoa-the-chap</v>
      </c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</row>
    <row r="93">
      <c r="A93" s="10" t="str">
        <f>IFERROR(__xludf.DUMMYFUNCTION("""COMPUTED_VALUE"""),"https://techcombank.com/thong-tin/blog/dieu-kien-vay-von-ngan-hang")</f>
        <v>https://techcombank.com/thong-tin/blog/dieu-kien-vay-von-ngan-hang</v>
      </c>
      <c r="B93" s="11">
        <f>IFERROR(__xludf.DUMMYFUNCTION("""COMPUTED_VALUE"""),6.0)</f>
        <v>6</v>
      </c>
      <c r="C93" s="8" t="str">
        <f>IFERROR(__xludf.DUMMYFUNCTION("IF(A93="""","""",TEXTJOIN(CHAR(10),TRUE,FILTER('Tổng hợp 75 trang đích'!$B$2:$B$2505,'Tổng hợp 75 trang đích'!$I$2:$I$2505=A93)))"),"https://techcombank.com/thong-tin/blog/ngan-hang-uy-tin
https://techcombank.com/thong-tin/blog/xep-hang-tin-dung
https://techcombank.com/thong-tin/blog/ho-kinh-doanh-dong-thue-nhu-nao
https://techcombank.com/thong-tin/blog/mo-tai-khoan-ho-kinh-doanh
https"&amp;"://techcombank.com/thong-tin/blog/cach-tinh-thue-ho-kinh-doanh-nho-le
https://techcombank.com/thong-tin/blog/lai-suat-vay-ngan-hang")</f>
        <v>https://techcombank.com/thong-tin/blog/ngan-hang-uy-tin
https://techcombank.com/thong-tin/blog/xep-hang-tin-dung
https://techcombank.com/thong-tin/blog/ho-kinh-doanh-dong-thue-nhu-nao
https://techcombank.com/thong-tin/blog/mo-tai-khoan-ho-kinh-doanh
https://techcombank.com/thong-tin/blog/cach-tinh-thue-ho-kinh-doanh-nho-le
https://techcombank.com/thong-tin/blog/lai-suat-vay-ngan-hang</v>
      </c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</row>
    <row r="94">
      <c r="A94" s="10" t="str">
        <f>IFERROR(__xludf.DUMMYFUNCTION("""COMPUTED_VALUE"""),"https://techcombank.com/thong-tin/blog/du-no-tin-dung-la-gi")</f>
        <v>https://techcombank.com/thong-tin/blog/du-no-tin-dung-la-gi</v>
      </c>
      <c r="B94" s="11">
        <f>IFERROR(__xludf.DUMMYFUNCTION("""COMPUTED_VALUE"""),6.0)</f>
        <v>6</v>
      </c>
      <c r="C94" s="8" t="str">
        <f>IFERROR(__xludf.DUMMYFUNCTION("IF(A94="""","""",TEXTJOIN(CHAR(10),TRUE,FILTER('Tổng hợp 75 trang đích'!$B$2:$B$2505,'Tổng hợp 75 trang đích'!$I$2:$I$2505=A94)))"),"https://techcombank.com/thong-tin/blog/xep-hang-tin-dung
https://techcombank.com/thong-tin/blog/cach-thanh-toan-the-tin-dung
https://techcombank.com/thong-tin/blog/cach-tinh-lai-vay-ngan-hang
https://techcombank.com/thong-tin/blog/cach-tiet-kiem-tien
http"&amp;"s://techcombank.com/cong-cu-tien-ich/cong-cu-tinh-toan/bang-tinh-lai-suat-vay
https://techcombank.com/thong-tin/blog/no-xau-la-gi")</f>
        <v>https://techcombank.com/thong-tin/blog/xep-hang-tin-dung
https://techcombank.com/thong-tin/blog/cach-thanh-toan-the-tin-dung
https://techcombank.com/thong-tin/blog/cach-tinh-lai-vay-ngan-hang
https://techcombank.com/thong-tin/blog/cach-tiet-kiem-tien
https://techcombank.com/cong-cu-tien-ich/cong-cu-tinh-toan/bang-tinh-lai-suat-vay
https://techcombank.com/thong-tin/blog/no-xau-la-gi</v>
      </c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</row>
    <row r="95">
      <c r="A95" s="10" t="str">
        <f>IFERROR(__xludf.DUMMYFUNCTION("""COMPUTED_VALUE"""),"https://techcombank.com/thong-tin/blog/gui-tien-ngan-hang-co-an-toan-khong")</f>
        <v>https://techcombank.com/thong-tin/blog/gui-tien-ngan-hang-co-an-toan-khong</v>
      </c>
      <c r="B95" s="11">
        <f>IFERROR(__xludf.DUMMYFUNCTION("""COMPUTED_VALUE"""),6.0)</f>
        <v>6</v>
      </c>
      <c r="C95" s="8" t="str">
        <f>IFERROR(__xludf.DUMMYFUNCTION("IF(A95="""","""",TEXTJOIN(CHAR(10),TRUE,FILTER('Tổng hợp 75 trang đích'!$B$2:$B$2505,'Tổng hợp 75 trang đích'!$I$2:$I$2505=A95)))"),"https://techcombank.com/thong-tin/blog/ngan-hang-uy-tin
https://techcombank.com/thong-tin/blog/chung-chi-tien-gui-la-gi
https://techcombank.com/thong-tin/blog/lai-suat-tiet-kiem
https://techcombank.com/thong-tin/blog/cach-tinh-lai-suat-tien-gui-tiet-kiem
"&amp;"https://techcombank.com/thong-tin/blog/so-tiet-kiem-ngan-hang
https://techcombank.com/cong-cu-tien-ich/cong-cu-tinh-toan/bang-tinh-lai-suat-tiet-kiem")</f>
        <v>https://techcombank.com/thong-tin/blog/ngan-hang-uy-tin
https://techcombank.com/thong-tin/blog/chung-chi-tien-gui-la-gi
https://techcombank.com/thong-tin/blog/lai-suat-tiet-kiem
https://techcombank.com/thong-tin/blog/cach-tinh-lai-suat-tien-gui-tiet-kiem
https://techcombank.com/thong-tin/blog/so-tiet-kiem-ngan-hang
https://techcombank.com/cong-cu-tien-ich/cong-cu-tinh-toan/bang-tinh-lai-suat-tiet-kiem</v>
      </c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</row>
    <row r="96">
      <c r="A96" s="10" t="str">
        <f>IFERROR(__xludf.DUMMYFUNCTION("""COMPUTED_VALUE"""),"https://techcombank.com/thong-tin/blog/gui-tiet-kiem-hang-thang")</f>
        <v>https://techcombank.com/thong-tin/blog/gui-tiet-kiem-hang-thang</v>
      </c>
      <c r="B96" s="11">
        <f>IFERROR(__xludf.DUMMYFUNCTION("""COMPUTED_VALUE"""),6.0)</f>
        <v>6</v>
      </c>
      <c r="C96" s="8" t="str">
        <f>IFERROR(__xludf.DUMMYFUNCTION("IF(A96="""","""",TEXTJOIN(CHAR(10),TRUE,FILTER('Tổng hợp 75 trang đích'!$B$2:$B$2505,'Tổng hợp 75 trang đích'!$I$2:$I$2505=A96)))"),"https://techcombank.com/thong-tin/blog/cach-mo-tai-khoan
https://techcombank.com/thong-tin/blog/chung-chi-tien-gui-la-gi
https://techcombank.com/thong-tin/blog/lai-suat-tiet-kiem
https://techcombank.com/thong-tin/blog/cach-tinh-lai-suat-tien-gui-tiet-kiem"&amp;"
https://techcombank.com/thong-tin/blog/so-tiet-kiem-ngan-hang
https://techcombank.com/cong-cu-tien-ich/cong-cu-tinh-toan/bang-tinh-lai-suat-tiet-kiem")</f>
        <v>https://techcombank.com/thong-tin/blog/cach-mo-tai-khoan
https://techcombank.com/thong-tin/blog/chung-chi-tien-gui-la-gi
https://techcombank.com/thong-tin/blog/lai-suat-tiet-kiem
https://techcombank.com/thong-tin/blog/cach-tinh-lai-suat-tien-gui-tiet-kiem
https://techcombank.com/thong-tin/blog/so-tiet-kiem-ngan-hang
https://techcombank.com/cong-cu-tien-ich/cong-cu-tinh-toan/bang-tinh-lai-suat-tiet-kiem</v>
      </c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</row>
    <row r="97">
      <c r="A97" s="10" t="str">
        <f>IFERROR(__xludf.DUMMYFUNCTION("""COMPUTED_VALUE"""),"https://techcombank.com/thong-tin/blog/gui-tiet-kiem-lay-lai-hang-thang")</f>
        <v>https://techcombank.com/thong-tin/blog/gui-tiet-kiem-lay-lai-hang-thang</v>
      </c>
      <c r="B97" s="11">
        <f>IFERROR(__xludf.DUMMYFUNCTION("""COMPUTED_VALUE"""),6.0)</f>
        <v>6</v>
      </c>
      <c r="C97" s="8" t="str">
        <f>IFERROR(__xludf.DUMMYFUNCTION("IF(A97="""","""",TEXTJOIN(CHAR(10),TRUE,FILTER('Tổng hợp 75 trang đích'!$B$2:$B$2505,'Tổng hợp 75 trang đích'!$I$2:$I$2505=A97)))"),"https://techcombank.com/thong-tin/blog/chung-chi-tien-gui-la-gi
https://techcombank.com/thong-tin/blog/lai-suat-tiet-kiem
https://techcombank.com/thong-tin/blog/cach-tinh-lai-suat-tien-gui-tiet-kiem
https://techcombank.com/thong-tin/blog/so-tiet-kiem-ngan"&amp;"-hang
https://techcombank.com/cong-cu-tien-ich/cong-cu-tinh-toan/bang-tinh-lai-suat-tiet-kiem
https://techcombank.com/thong-tin/blog/phuong-phap-dau-tu-chung-chi-quy")</f>
        <v>https://techcombank.com/thong-tin/blog/chung-chi-tien-gui-la-gi
https://techcombank.com/thong-tin/blog/lai-suat-tiet-kiem
https://techcombank.com/thong-tin/blog/cach-tinh-lai-suat-tien-gui-tiet-kiem
https://techcombank.com/thong-tin/blog/so-tiet-kiem-ngan-hang
https://techcombank.com/cong-cu-tien-ich/cong-cu-tinh-toan/bang-tinh-lai-suat-tiet-kiem
https://techcombank.com/thong-tin/blog/phuong-phap-dau-tu-chung-chi-quy</v>
      </c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</row>
    <row r="98">
      <c r="A98" s="10" t="str">
        <f>IFERROR(__xludf.DUMMYFUNCTION("""COMPUTED_VALUE"""),"https://techcombank.com/thong-tin/blog/gui-tiet-kiem-ngan-hang-van-la-lua-chon-an-toan-trong-thoi-ky-kinh-te-con-nhieu-bien-dong")</f>
        <v>https://techcombank.com/thong-tin/blog/gui-tiet-kiem-ngan-hang-van-la-lua-chon-an-toan-trong-thoi-ky-kinh-te-con-nhieu-bien-dong</v>
      </c>
      <c r="B98" s="11">
        <f>IFERROR(__xludf.DUMMYFUNCTION("""COMPUTED_VALUE"""),6.0)</f>
        <v>6</v>
      </c>
      <c r="C98" s="8" t="str">
        <f>IFERROR(__xludf.DUMMYFUNCTION("IF(A98="""","""",TEXTJOIN(CHAR(10),TRUE,FILTER('Tổng hợp 75 trang đích'!$B$2:$B$2505,'Tổng hợp 75 trang đích'!$I$2:$I$2505=A98)))"),"https://techcombank.com/thong-tin/blog/chung-chi-tien-gui-la-gi
https://techcombank.com/thong-tin/blog/lai-suat-tiet-kiem
https://techcombank.com/thong-tin/blog/cach-tinh-lai-suat-tien-gui-tiet-kiem
https://techcombank.com/thong-tin/blog/so-tiet-kiem-ngan"&amp;"-hang
https://techcombank.com/cong-cu-tien-ich/cong-cu-tinh-toan/bang-tinh-lai-suat-tiet-kiem
https://techcombank.com/thong-tin/blog/phuong-phap-dau-tu-chung-chi-quy")</f>
        <v>https://techcombank.com/thong-tin/blog/chung-chi-tien-gui-la-gi
https://techcombank.com/thong-tin/blog/lai-suat-tiet-kiem
https://techcombank.com/thong-tin/blog/cach-tinh-lai-suat-tien-gui-tiet-kiem
https://techcombank.com/thong-tin/blog/so-tiet-kiem-ngan-hang
https://techcombank.com/cong-cu-tien-ich/cong-cu-tinh-toan/bang-tinh-lai-suat-tiet-kiem
https://techcombank.com/thong-tin/blog/phuong-phap-dau-tu-chung-chi-quy</v>
      </c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</row>
    <row r="99">
      <c r="A99" s="10" t="str">
        <f>IFERROR(__xludf.DUMMYFUNCTION("""COMPUTED_VALUE"""),"https://techcombank.com/thong-tin/blog/gui-tiet-kiem-online-bi-mat-tien")</f>
        <v>https://techcombank.com/thong-tin/blog/gui-tiet-kiem-online-bi-mat-tien</v>
      </c>
      <c r="B99" s="11">
        <f>IFERROR(__xludf.DUMMYFUNCTION("""COMPUTED_VALUE"""),6.0)</f>
        <v>6</v>
      </c>
      <c r="C99" s="8" t="str">
        <f>IFERROR(__xludf.DUMMYFUNCTION("IF(A99="""","""",TEXTJOIN(CHAR(10),TRUE,FILTER('Tổng hợp 75 trang đích'!$B$2:$B$2505,'Tổng hợp 75 trang đích'!$I$2:$I$2505=A99)))"),"https://techcombank.com/thong-tin/blog/chung-chi-tien-gui-la-gi
https://techcombank.com/thong-tin/blog/lai-suat-tiet-kiem
https://techcombank.com/thong-tin/blog/cach-tinh-lai-suat-tien-gui-tiet-kiem
https://techcombank.com/thong-tin/blog/so-tiet-kiem-ngan"&amp;"-hang
https://techcombank.com/thong-tin/blog/rui-ro-khi-gui-tiet-kiem-online
https://techcombank.com/cong-cu-tien-ich/cong-cu-tinh-toan/bang-tinh-lai-suat-tiet-kiem")</f>
        <v>https://techcombank.com/thong-tin/blog/chung-chi-tien-gui-la-gi
https://techcombank.com/thong-tin/blog/lai-suat-tiet-kiem
https://techcombank.com/thong-tin/blog/cach-tinh-lai-suat-tien-gui-tiet-kiem
https://techcombank.com/thong-tin/blog/so-tiet-kiem-ngan-hang
https://techcombank.com/thong-tin/blog/rui-ro-khi-gui-tiet-kiem-online
https://techcombank.com/cong-cu-tien-ich/cong-cu-tinh-toan/bang-tinh-lai-suat-tiet-kiem</v>
      </c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</row>
    <row r="100">
      <c r="A100" s="10" t="str">
        <f>IFERROR(__xludf.DUMMYFUNCTION("""COMPUTED_VALUE"""),"https://techcombank.com/thong-tin/blog/gui-tiet-kiem-online-quay-vong-ca-goc-va-lai")</f>
        <v>https://techcombank.com/thong-tin/blog/gui-tiet-kiem-online-quay-vong-ca-goc-va-lai</v>
      </c>
      <c r="B100" s="11">
        <f>IFERROR(__xludf.DUMMYFUNCTION("""COMPUTED_VALUE"""),6.0)</f>
        <v>6</v>
      </c>
      <c r="C100" s="8" t="str">
        <f>IFERROR(__xludf.DUMMYFUNCTION("IF(A100="""","""",TEXTJOIN(CHAR(10),TRUE,FILTER('Tổng hợp 75 trang đích'!$B$2:$B$2505,'Tổng hợp 75 trang đích'!$I$2:$I$2505=A100)))"),"https://techcombank.com/thong-tin/blog/chung-chi-tien-gui-la-gi
https://techcombank.com/thong-tin/blog/lai-suat-tiet-kiem
https://techcombank.com/thong-tin/blog/cach-tinh-lai-suat-tien-gui-tiet-kiem
https://techcombank.com/thong-tin/blog/so-tiet-kiem-ngan"&amp;"-hang
https://techcombank.com/thong-tin/blog/rui-ro-khi-gui-tiet-kiem-online
https://techcombank.com/cong-cu-tien-ich/cong-cu-tinh-toan/bang-tinh-lai-suat-tiet-kiem")</f>
        <v>https://techcombank.com/thong-tin/blog/chung-chi-tien-gui-la-gi
https://techcombank.com/thong-tin/blog/lai-suat-tiet-kiem
https://techcombank.com/thong-tin/blog/cach-tinh-lai-suat-tien-gui-tiet-kiem
https://techcombank.com/thong-tin/blog/so-tiet-kiem-ngan-hang
https://techcombank.com/thong-tin/blog/rui-ro-khi-gui-tiet-kiem-online
https://techcombank.com/cong-cu-tien-ich/cong-cu-tinh-toan/bang-tinh-lai-suat-tiet-kiem</v>
      </c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</row>
    <row r="101">
      <c r="A101" s="10" t="str">
        <f>IFERROR(__xludf.DUMMYFUNCTION("""COMPUTED_VALUE"""),"https://techcombank.com/thong-tin/blog/gui-tiet-kiem-vang")</f>
        <v>https://techcombank.com/thong-tin/blog/gui-tiet-kiem-vang</v>
      </c>
      <c r="B101" s="11">
        <f>IFERROR(__xludf.DUMMYFUNCTION("""COMPUTED_VALUE"""),6.0)</f>
        <v>6</v>
      </c>
      <c r="C101" s="8" t="str">
        <f>IFERROR(__xludf.DUMMYFUNCTION("IF(A101="""","""",TEXTJOIN(CHAR(10),TRUE,FILTER('Tổng hợp 75 trang đích'!$B$2:$B$2505,'Tổng hợp 75 trang đích'!$I$2:$I$2505=A101)))"),"https://techcombank.com/thong-tin/blog/chung-chi-tien-gui-la-gi
https://techcombank.com/thong-tin/blog/lai-suat-tiet-kiem
https://techcombank.com/thong-tin/blog/cach-tinh-lai-suat-tien-gui-tiet-kiem
https://techcombank.com/thong-tin/blog/so-tiet-kiem-ngan"&amp;"-hang
https://techcombank.com/thong-tin/blog/rui-ro-khi-gui-tiet-kiem-online
https://techcombank.com/cong-cu-tien-ich/cong-cu-tinh-toan/bang-tinh-lai-suat-tiet-kiem")</f>
        <v>https://techcombank.com/thong-tin/blog/chung-chi-tien-gui-la-gi
https://techcombank.com/thong-tin/blog/lai-suat-tiet-kiem
https://techcombank.com/thong-tin/blog/cach-tinh-lai-suat-tien-gui-tiet-kiem
https://techcombank.com/thong-tin/blog/so-tiet-kiem-ngan-hang
https://techcombank.com/thong-tin/blog/rui-ro-khi-gui-tiet-kiem-online
https://techcombank.com/cong-cu-tien-ich/cong-cu-tinh-toan/bang-tinh-lai-suat-tiet-kiem</v>
      </c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</row>
    <row r="102">
      <c r="A102" s="10" t="str">
        <f>IFERROR(__xludf.DUMMYFUNCTION("""COMPUTED_VALUE"""),"https://techcombank.com/thong-tin/blog/han-muc-the-tin-dung")</f>
        <v>https://techcombank.com/thong-tin/blog/han-muc-the-tin-dung</v>
      </c>
      <c r="B102" s="11">
        <f>IFERROR(__xludf.DUMMYFUNCTION("""COMPUTED_VALUE"""),6.0)</f>
        <v>6</v>
      </c>
      <c r="C102" s="8" t="str">
        <f>IFERROR(__xludf.DUMMYFUNCTION("IF(A102="""","""",TEXTJOIN(CHAR(10),TRUE,FILTER('Tổng hợp 75 trang đích'!$B$2:$B$2505,'Tổng hợp 75 trang đích'!$I$2:$I$2505=A102)))"),"https://techcombank.com/thong-tin/blog/rut-tien-mat-tu-the-tin-dung
https://techcombank.com/thong-tin/blog/lam-the-tin-dung
https://techcombank.com/khach-hang-ca-nhan/chi-tieu/the/the-tin-dung/techcombank-everyday
https://techcombank.com/thong-tin/blog/th"&amp;"e-tin-dung-hoan-tien
https://techcombank.com/thong-tin/blog/cach-huy-the-tin-dung
https://techcombank.com/thong-tin/blog/cach-thanh-toan-the-tin-dung")</f>
        <v>https://techcombank.com/thong-tin/blog/rut-tien-mat-tu-the-tin-dung
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https://techcombank.com/thong-tin/blog/cach-thanh-toan-the-tin-dung</v>
      </c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</row>
    <row r="103">
      <c r="A103" s="10" t="str">
        <f>IFERROR(__xludf.DUMMYFUNCTION("""COMPUTED_VALUE"""),"https://techcombank.com/thong-tin/blog/han-muc-vay-the-chap-so-do")</f>
        <v>https://techcombank.com/thong-tin/blog/han-muc-vay-the-chap-so-do</v>
      </c>
      <c r="B103" s="11">
        <f>IFERROR(__xludf.DUMMYFUNCTION("""COMPUTED_VALUE"""),6.0)</f>
        <v>6</v>
      </c>
      <c r="C103" s="8" t="str">
        <f>IFERROR(__xludf.DUMMYFUNCTION("IF(A103="""","""",TEXTJOIN(CHAR(10),TRUE,FILTER('Tổng hợp 75 trang đích'!$B$2:$B$2505,'Tổng hợp 75 trang đích'!$I$2:$I$2505=A103)))"),"https://techcombank.com/thong-tin/blog/nop-thue-dat-qua-ngan-hang
https://techcombank.com/thong-tin/blog/cic-la-gi
https://techcombank.com/thong-tin/blog/xep-hang-tin-dung
https://techcombank.com/thong-tin/blog/vay-ngan-hang-1-ty-moi-thang-tra-bao-nhieu
h"&amp;"ttps://techcombank.com/thong-tin/blog/lai-suat-vay-the-chap-so-do
https://techcombank.com/thong-tin/blog/ho-so-thu-tuc-xoa-the-chap")</f>
        <v>https://techcombank.com/thong-tin/blog/nop-thue-dat-qua-ngan-hang
https://techcombank.com/thong-tin/blog/cic-la-gi
https://techcombank.com/thong-tin/blog/xep-hang-tin-dung
https://techcombank.com/thong-tin/blog/vay-ngan-hang-1-ty-moi-thang-tra-bao-nhieu
https://techcombank.com/thong-tin/blog/lai-suat-vay-the-chap-so-do
https://techcombank.com/thong-tin/blog/ho-so-thu-tuc-xoa-the-chap</v>
      </c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</row>
    <row r="104">
      <c r="A104" s="10" t="str">
        <f>IFERROR(__xludf.DUMMYFUNCTION("""COMPUTED_VALUE"""),"https://techcombank.com/thong-tin/blog/hoan-thue-doanh-nghiep")</f>
        <v>https://techcombank.com/thong-tin/blog/hoan-thue-doanh-nghiep</v>
      </c>
      <c r="B104" s="11">
        <f>IFERROR(__xludf.DUMMYFUNCTION("""COMPUTED_VALUE"""),6.0)</f>
        <v>6</v>
      </c>
      <c r="C104" s="8" t="str">
        <f>IFERROR(__xludf.DUMMYFUNCTION("IF(A104="""","""",TEXTJOIN(CHAR(10),TRUE,FILTER('Tổng hợp 75 trang đích'!$B$2:$B$2505,'Tổng hợp 75 trang đích'!$I$2:$I$2505=A104)))"),"https://techcombank.com/thong-tin/blog/cach-nop-thue-dien-tu
https://techcombank.com/thong-tin/blog/thue-thu-nhap-doanh-nghiep
https://techcombank.com/thong-tin/blog/thue-vat-la-gi
https://techcombank.com/thong-tin/blog/tra-cuu-no-thue-doanh-nghiep
https:"&amp;"//techcombank.com/thong-tin/blog/thue-doanh-nghiep
https://techcombank.com/thong-tin/blog/ho-kinh-doanh-dong-thue-nhu-nao")</f>
        <v>https://techcombank.com/thong-tin/blog/cach-nop-thue-dien-tu
https://techcombank.com/thong-tin/blog/thue-thu-nhap-doanh-nghiep
https://techcombank.com/thong-tin/blog/thue-vat-la-gi
https://techcombank.com/thong-tin/blog/tra-cuu-no-thue-doanh-nghiep
https://techcombank.com/thong-tin/blog/thue-doanh-nghiep
https://techcombank.com/thong-tin/blog/ho-kinh-doanh-dong-thue-nhu-nao</v>
      </c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</row>
    <row r="105">
      <c r="A105" s="10" t="str">
        <f>IFERROR(__xludf.DUMMYFUNCTION("""COMPUTED_VALUE"""),"https://techcombank.com/thong-tin/blog/hoan-thue-thu-nhap-ca-nhan")</f>
        <v>https://techcombank.com/thong-tin/blog/hoan-thue-thu-nhap-ca-nhan</v>
      </c>
      <c r="B105" s="11">
        <f>IFERROR(__xludf.DUMMYFUNCTION("""COMPUTED_VALUE"""),6.0)</f>
        <v>6</v>
      </c>
      <c r="C105" s="8" t="str">
        <f>IFERROR(__xludf.DUMMYFUNCTION("IF(A105="""","""",TEXTJOIN(CHAR(10),TRUE,FILTER('Tổng hợp 75 trang đích'!$B$2:$B$2505,'Tổng hợp 75 trang đích'!$I$2:$I$2505=A105)))"),"https://techcombank.com/thong-tin/blog/nop-thue-dat-qua-ngan-hang
https://techcombank.com/thong-tin/blog/cach-nop-thue-dien-tu
https://techcombank.com/thong-tin/blog/cach-tinh-thue-thu-nhap-ca-nhan-2025
https://techcombank.com/thong-tin/blog/kiem-tra-thue"&amp;"-thu-nhap-ca-nhan
https://techcombank.com/thong-tin/blog/thue-thu-nhap-ca-nhan
https://techcombank.com/thong-tin/blog/ho-kinh-doanh-dong-thue-nhu-nao")</f>
        <v>https://techcombank.com/thong-tin/blog/nop-thue-dat-qua-ngan-hang
https://techcombank.com/thong-tin/blog/cach-nop-thue-dien-tu
https://techcombank.com/thong-tin/blog/cach-tinh-thue-thu-nhap-ca-nhan-2025
https://techcombank.com/thong-tin/blog/kiem-tra-thue-thu-nhap-ca-nhan
https://techcombank.com/thong-tin/blog/thue-thu-nhap-ca-nhan
https://techcombank.com/thong-tin/blog/ho-kinh-doanh-dong-thue-nhu-nao</v>
      </c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</row>
    <row r="106">
      <c r="A106" s="10" t="str">
        <f>IFERROR(__xludf.DUMMYFUNCTION("""COMPUTED_VALUE"""),"https://techcombank.com/thong-tin/blog/ke-khai-thue-ho-kinh-doanh-ca-the-online")</f>
        <v>https://techcombank.com/thong-tin/blog/ke-khai-thue-ho-kinh-doanh-ca-the-online</v>
      </c>
      <c r="B106" s="11">
        <f>IFERROR(__xludf.DUMMYFUNCTION("""COMPUTED_VALUE"""),6.0)</f>
        <v>6</v>
      </c>
      <c r="C106" s="8" t="str">
        <f>IFERROR(__xludf.DUMMYFUNCTION("IF(A106="""","""",TEXTJOIN(CHAR(10),TRUE,FILTER('Tổng hợp 75 trang đích'!$B$2:$B$2505,'Tổng hợp 75 trang đích'!$I$2:$I$2505=A106)))"),"https://techcombank.com/thong-tin/blog/nop-thue-dat-qua-ngan-hang
https://techcombank.com/thong-tin/blog/cach-nop-thue-dien-tu
https://techcombank.com/thong-tin/blog/kiem-tra-thue-thu-nhap-ca-nhan
https://techcombank.com/thong-tin/blog/ho-kinh-doanh-dong-"&amp;"thue-nhu-nao
https://techcombank.com/thong-tin/blog/mo-tai-khoan-ho-kinh-doanh
https://techcombank.com/thong-tin/blog/cach-tinh-thue-ho-kinh-doanh-nho-le")</f>
        <v>https://techcombank.com/thong-tin/blog/nop-thue-dat-qua-ngan-hang
https://techcombank.com/thong-tin/blog/cach-nop-thue-dien-tu
https://techcombank.com/thong-tin/blog/kiem-tra-thue-thu-nhap-ca-nhan
https://techcombank.com/thong-tin/blog/ho-kinh-doanh-dong-thue-nhu-nao
https://techcombank.com/thong-tin/blog/mo-tai-khoan-ho-kinh-doanh
https://techcombank.com/thong-tin/blog/cach-tinh-thue-ho-kinh-doanh-nho-le</v>
      </c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</row>
    <row r="107">
      <c r="A107" s="10" t="str">
        <f>IFERROR(__xludf.DUMMYFUNCTION("""COMPUTED_VALUE"""),"https://techcombank.com/thong-tin/blog/kinh-nghiem-gui-tiet-kiem-online")</f>
        <v>https://techcombank.com/thong-tin/blog/kinh-nghiem-gui-tiet-kiem-online</v>
      </c>
      <c r="B107" s="11">
        <f>IFERROR(__xludf.DUMMYFUNCTION("""COMPUTED_VALUE"""),6.0)</f>
        <v>6</v>
      </c>
      <c r="C107" s="8" t="str">
        <f>IFERROR(__xludf.DUMMYFUNCTION("IF(A107="""","""",TEXTJOIN(CHAR(10),TRUE,FILTER('Tổng hợp 75 trang đích'!$B$2:$B$2505,'Tổng hợp 75 trang đích'!$I$2:$I$2505=A107)))"),"https://techcombank.com/thong-tin/blog/chung-chi-tien-gui-la-gi
https://techcombank.com/thong-tin/blog/lai-suat-tiet-kiem
https://techcombank.com/thong-tin/blog/cach-tinh-lai-suat-tien-gui-tiet-kiem
https://techcombank.com/thong-tin/blog/so-tiet-kiem-ngan"&amp;"-hang
https://techcombank.com/thong-tin/blog/rui-ro-khi-gui-tiet-kiem-online
https://techcombank.com/cong-cu-tien-ich/cong-cu-tinh-toan/bang-tinh-lai-suat-tiet-kiem")</f>
        <v>https://techcombank.com/thong-tin/blog/chung-chi-tien-gui-la-gi
https://techcombank.com/thong-tin/blog/lai-suat-tiet-kiem
https://techcombank.com/thong-tin/blog/cach-tinh-lai-suat-tien-gui-tiet-kiem
https://techcombank.com/thong-tin/blog/so-tiet-kiem-ngan-hang
https://techcombank.com/thong-tin/blog/rui-ro-khi-gui-tiet-kiem-online
https://techcombank.com/cong-cu-tien-ich/cong-cu-tinh-toan/bang-tinh-lai-suat-tiet-kiem</v>
      </c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</row>
    <row r="108">
      <c r="A108" s="10" t="str">
        <f>IFERROR(__xludf.DUMMYFUNCTION("""COMPUTED_VALUE"""),"https://techcombank.com/thong-tin/blog/lai-suat-vay-thau-chi")</f>
        <v>https://techcombank.com/thong-tin/blog/lai-suat-vay-thau-chi</v>
      </c>
      <c r="B108" s="11">
        <f>IFERROR(__xludf.DUMMYFUNCTION("""COMPUTED_VALUE"""),6.0)</f>
        <v>6</v>
      </c>
      <c r="C108" s="8" t="str">
        <f>IFERROR(__xludf.DUMMYFUNCTION("IF(A108="""","""",TEXTJOIN(CHAR(10),TRUE,FILTER('Tổng hợp 75 trang đích'!$B$2:$B$2505,'Tổng hợp 75 trang đích'!$I$2:$I$2505=A108)))"),"https://techcombank.com/thong-tin/blog/cach-tinh-lai-vay-ngan-hang
https://techcombank.com/thong-tin/blog/cach-tinh-lai-suat-tien-gui-tiet-kiem
https://techcombank.com/cong-cu-tien-ich/cong-cu-tinh-toan/bang-tinh-lai-suat-vay
https://techcombank.com/cong-"&amp;"cu-tien-ich/cong-cu-tinh-toan/bang-tinh-lai-suat-tiet-kiem
https://techcombank.com/thong-tin/blog/lai-suat-vay-ngan-hang
https://techcombank.com/thong-tin/blog/vay-thau-chi-la-gi")</f>
        <v>https://techcombank.com/thong-tin/blog/cach-tinh-lai-vay-ngan-hang
https://techcombank.com/thong-tin/blog/cach-tinh-lai-suat-tien-gui-tiet-kiem
https://techcombank.com/cong-cu-tien-ich/cong-cu-tinh-toan/bang-tinh-lai-suat-vay
https://techcombank.com/cong-cu-tien-ich/cong-cu-tinh-toan/bang-tinh-lai-suat-tiet-kiem
https://techcombank.com/thong-tin/blog/lai-suat-vay-ngan-hang
https://techcombank.com/thong-tin/blog/vay-thau-chi-la-gi</v>
      </c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</row>
    <row r="109">
      <c r="A109" s="10" t="str">
        <f>IFERROR(__xludf.DUMMYFUNCTION("""COMPUTED_VALUE"""),"https://techcombank.com/thong-tin/blog/lai-suat-vay-the-chap")</f>
        <v>https://techcombank.com/thong-tin/blog/lai-suat-vay-the-chap</v>
      </c>
      <c r="B109" s="11">
        <f>IFERROR(__xludf.DUMMYFUNCTION("""COMPUTED_VALUE"""),6.0)</f>
        <v>6</v>
      </c>
      <c r="C109" s="8" t="str">
        <f>IFERROR(__xludf.DUMMYFUNCTION("IF(A109="""","""",TEXTJOIN(CHAR(10),TRUE,FILTER('Tổng hợp 75 trang đích'!$B$2:$B$2505,'Tổng hợp 75 trang đích'!$I$2:$I$2505=A109)))"),"https://techcombank.com/thong-tin/blog/vay-ngan-hang-1-ty-moi-thang-tra-bao-nhieu
https://techcombank.com/thong-tin/blog/cach-tinh-lai-vay-ngan-hang
https://techcombank.com/thong-tin/blog/lai-suat-vay-the-chap-so-do
https://techcombank.com/thong-tin/blog/"&amp;"ho-so-thu-tuc-xoa-the-chap
https://techcombank.com/cong-cu-tien-ich/cong-cu-tinh-toan/bang-tinh-lai-suat-vay
https://techcombank.com/thong-tin/blog/lai-suat-vay-ngan-hang")</f>
        <v>https://techcombank.com/thong-tin/blog/vay-ngan-hang-1-ty-moi-thang-tra-bao-nhieu
https://techcombank.com/thong-tin/blog/cach-tinh-lai-vay-ngan-hang
https://techcombank.com/thong-tin/blog/lai-suat-vay-the-chap-so-do
https://techcombank.com/thong-tin/blog/ho-so-thu-tuc-xoa-the-chap
https://techcombank.com/cong-cu-tien-ich/cong-cu-tinh-toan/bang-tinh-lai-suat-vay
https://techcombank.com/thong-tin/blog/lai-suat-vay-ngan-hang</v>
      </c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</row>
    <row r="110">
      <c r="A110" s="10" t="str">
        <f>IFERROR(__xludf.DUMMYFUNCTION("""COMPUTED_VALUE"""),"https://techcombank.com/thong-tin/blog/lam-the-tin-dung-co-mat-phi-khong")</f>
        <v>https://techcombank.com/thong-tin/blog/lam-the-tin-dung-co-mat-phi-khong</v>
      </c>
      <c r="B110" s="11">
        <f>IFERROR(__xludf.DUMMYFUNCTION("""COMPUTED_VALUE"""),6.0)</f>
        <v>6</v>
      </c>
      <c r="C110" s="8" t="str">
        <f>IFERROR(__xludf.DUMMYFUNCTION("IF(A110="""","""",TEXTJOIN(CHAR(10),TRUE,FILTER('Tổng hợp 75 trang đích'!$B$2:$B$2505,'Tổng hợp 75 trang đích'!$I$2:$I$2505=A110)))"),"https://techcombank.com/thong-tin/blog/bao-nhieu-tuoi-duoc-mo-tai-khoan-ngan-hang
https://techcombank.com/thong-tin/blog/lam-the-tin-dung
https://techcombank.com/khach-hang-ca-nhan/chi-tieu/the/the-tin-dung/techcombank-everyday
https://techcombank.com/tho"&amp;"ng-tin/blog/the-tin-dung-hoan-tien
https://techcombank.com/thong-tin/blog/cach-huy-the-tin-dung
https://techcombank.com/thong-tin/blog/cach-thanh-toan-the-tin-dung")</f>
        <v>https://techcombank.com/thong-tin/blog/bao-nhieu-tuoi-duoc-mo-tai-khoan-ngan-hang
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https://techcombank.com/thong-tin/blog/cach-thanh-toan-the-tin-dung</v>
      </c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</row>
    <row r="111">
      <c r="A111" s="10" t="str">
        <f>IFERROR(__xludf.DUMMYFUNCTION("""COMPUTED_VALUE"""),"https://techcombank.com/thong-tin/blog/loi-nhuan")</f>
        <v>https://techcombank.com/thong-tin/blog/loi-nhuan</v>
      </c>
      <c r="B111" s="11">
        <f>IFERROR(__xludf.DUMMYFUNCTION("""COMPUTED_VALUE"""),6.0)</f>
        <v>6</v>
      </c>
      <c r="C111" s="8" t="str">
        <f>IFERROR(__xludf.DUMMYFUNCTION("IF(A111="""","""",TEXTJOIN(CHAR(10),TRUE,FILTER('Tổng hợp 75 trang đích'!$B$2:$B$2505,'Tổng hợp 75 trang đích'!$I$2:$I$2505=A111)))"),"https://techcombank.com/thong-tin/blog/thue-thu-nhap-doanh-nghiep
https://techcombank.com/thong-tin/blog/cach-tinh-thue-thu-nhap-doanh-nghiep
https://techcombank.com/thong-tin/blog/ho-kinh-doanh-dong-thue-nhu-nao
https://techcombank.com/thong-tin/blog/cac"&amp;"h-tinh-lai-vay-ngan-hang
https://techcombank.com/cong-cu-tien-ich/cong-cu-tinh-toan/bang-tinh-lai-suat-vay
https://techcombank.com/thong-tin/blog/lai-suat-vay-ngan-hang")</f>
        <v>https://techcombank.com/thong-tin/blog/thue-thu-nhap-doanh-nghiep
https://techcombank.com/thong-tin/blog/cach-tinh-thue-thu-nhap-doanh-nghiep
https://techcombank.com/thong-tin/blog/ho-kinh-doanh-dong-thue-nhu-nao
https://techcombank.com/thong-tin/blog/cach-tinh-lai-vay-ngan-hang
https://techcombank.com/cong-cu-tien-ich/cong-cu-tinh-toan/bang-tinh-lai-suat-vay
https://techcombank.com/thong-tin/blog/lai-suat-vay-ngan-hang</v>
      </c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</row>
    <row r="112">
      <c r="A112" s="10" t="str">
        <f>IFERROR(__xludf.DUMMYFUNCTION("""COMPUTED_VALUE"""),"https://techcombank.com/thong-tin/blog/ma-buu-chinh-the-tin-dung")</f>
        <v>https://techcombank.com/thong-tin/blog/ma-buu-chinh-the-tin-dung</v>
      </c>
      <c r="B112" s="11">
        <f>IFERROR(__xludf.DUMMYFUNCTION("""COMPUTED_VALUE"""),6.0)</f>
        <v>6</v>
      </c>
      <c r="C112" s="8" t="str">
        <f>IFERROR(__xludf.DUMMYFUNCTION("IF(A112="""","""",TEXTJOIN(CHAR(10),TRUE,FILTER('Tổng hợp 75 trang đích'!$B$2:$B$2505,'Tổng hợp 75 trang đích'!$I$2:$I$2505=A112)))"),"https://techcombank.com/thong-tin/blog/lam-the-tin-dung
https://techcombank.com/khach-hang-ca-nhan/chi-tieu/the/the-tin-dung/techcombank-everyday
https://techcombank.com/thong-tin/blog/the-tin-dung-hoan-tien
https://techcombank.com/thong-tin/blog/cach-huy"&amp;"-the-tin-dung
https://techcombank.com/thong-tin/blog/cach-thanh-toan-the-tin-dung
https://techcombank.com/thong-tin/blog/cach-nhan-tien-tu-nuoc-ngoai-ve-viet-nam")</f>
        <v>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https://techcombank.com/thong-tin/blog/cach-thanh-toan-the-tin-dung
https://techcombank.com/thong-tin/blog/cach-nhan-tien-tu-nuoc-ngoai-ve-viet-nam</v>
      </c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</row>
    <row r="113">
      <c r="A113" s="10" t="str">
        <f>IFERROR(__xludf.DUMMYFUNCTION("""COMPUTED_VALUE"""),"https://techcombank.com/thong-tin/blog/mat-the-tin-dung-co-bi-mat-tien-khong")</f>
        <v>https://techcombank.com/thong-tin/blog/mat-the-tin-dung-co-bi-mat-tien-khong</v>
      </c>
      <c r="B113" s="11">
        <f>IFERROR(__xludf.DUMMYFUNCTION("""COMPUTED_VALUE"""),6.0)</f>
        <v>6</v>
      </c>
      <c r="C113" s="8" t="str">
        <f>IFERROR(__xludf.DUMMYFUNCTION("IF(A113="""","""",TEXTJOIN(CHAR(10),TRUE,FILTER('Tổng hợp 75 trang đích'!$B$2:$B$2505,'Tổng hợp 75 trang đích'!$I$2:$I$2505=A113)))"),"https://techcombank.com/thong-tin/blog/lam-the-tin-dung
https://techcombank.com/khach-hang-ca-nhan/chi-tieu/the/the-tin-dung/techcombank-everyday
https://techcombank.com/thong-tin/blog/the-tin-dung-hoan-tien
https://techcombank.com/thong-tin/blog/cach-huy"&amp;"-the-tin-dung
https://techcombank.com/thong-tin/blog/cach-thanh-toan-the-tin-dung
https://techcombank.com/thong-tin/blog/rui-ro-khi-gui-tiet-kiem-online")</f>
        <v>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https://techcombank.com/thong-tin/blog/cach-thanh-toan-the-tin-dung
https://techcombank.com/thong-tin/blog/rui-ro-khi-gui-tiet-kiem-online</v>
      </c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</row>
    <row r="114">
      <c r="A114" s="10" t="str">
        <f>IFERROR(__xludf.DUMMYFUNCTION("""COMPUTED_VALUE"""),"https://techcombank.com/thong-tin/blog/mat-the-tin-dung-co-lam-lai-duoc-khong")</f>
        <v>https://techcombank.com/thong-tin/blog/mat-the-tin-dung-co-lam-lai-duoc-khong</v>
      </c>
      <c r="B114" s="11">
        <f>IFERROR(__xludf.DUMMYFUNCTION("""COMPUTED_VALUE"""),6.0)</f>
        <v>6</v>
      </c>
      <c r="C114" s="8" t="str">
        <f>IFERROR(__xludf.DUMMYFUNCTION("IF(A114="""","""",TEXTJOIN(CHAR(10),TRUE,FILTER('Tổng hợp 75 trang đích'!$B$2:$B$2505,'Tổng hợp 75 trang đích'!$I$2:$I$2505=A114)))"),"https://techcombank.com/thong-tin/blog/ngan-hang-uy-tin
https://techcombank.com/thong-tin/blog/lam-the-tin-dung
https://techcombank.com/khach-hang-ca-nhan/chi-tieu/the/the-tin-dung/techcombank-everyday
https://techcombank.com/thong-tin/blog/the-tin-dung-h"&amp;"oan-tien
https://techcombank.com/thong-tin/blog/cach-huy-the-tin-dung
https://techcombank.com/thong-tin/blog/cach-thanh-toan-the-tin-dung")</f>
        <v>https://techcombank.com/thong-tin/blog/ngan-hang-uy-tin
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https://techcombank.com/thong-tin/blog/cach-thanh-toan-the-tin-dung</v>
      </c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</row>
    <row r="115">
      <c r="A115" s="10" t="str">
        <f>IFERROR(__xludf.DUMMYFUNCTION("""COMPUTED_VALUE"""),"https://techcombank.com/thong-tin/blog/nen-gui-tiet-kiem-6-thang-hay-1-nam")</f>
        <v>https://techcombank.com/thong-tin/blog/nen-gui-tiet-kiem-6-thang-hay-1-nam</v>
      </c>
      <c r="B115" s="11">
        <f>IFERROR(__xludf.DUMMYFUNCTION("""COMPUTED_VALUE"""),6.0)</f>
        <v>6</v>
      </c>
      <c r="C115" s="8" t="str">
        <f>IFERROR(__xludf.DUMMYFUNCTION("IF(A115="""","""",TEXTJOIN(CHAR(10),TRUE,FILTER('Tổng hợp 75 trang đích'!$B$2:$B$2505,'Tổng hợp 75 trang đích'!$I$2:$I$2505=A115)))"),"https://techcombank.com/thong-tin/blog/chung-chi-tien-gui-la-gi
https://techcombank.com/thong-tin/blog/lai-suat-tiet-kiem
https://techcombank.com/thong-tin/blog/cach-tinh-lai-suat-tien-gui-tiet-kiem
https://techcombank.com/thong-tin/blog/so-tiet-kiem-ngan"&amp;"-hang
https://techcombank.com/thong-tin/blog/cach-tiet-kiem-tien
https://techcombank.com/cong-cu-tien-ich/cong-cu-tinh-toan/bang-tinh-lai-suat-tiet-kiem")</f>
        <v>https://techcombank.com/thong-tin/blog/chung-chi-tien-gui-la-gi
https://techcombank.com/thong-tin/blog/lai-suat-tiet-kiem
https://techcombank.com/thong-tin/blog/cach-tinh-lai-suat-tien-gui-tiet-kiem
https://techcombank.com/thong-tin/blog/so-tiet-kiem-ngan-hang
https://techcombank.com/thong-tin/blog/cach-tiet-kiem-tien
https://techcombank.com/cong-cu-tien-ich/cong-cu-tinh-toan/bang-tinh-lai-suat-tiet-kiem</v>
      </c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</row>
    <row r="116">
      <c r="A116" s="10" t="str">
        <f>IFERROR(__xludf.DUMMYFUNCTION("""COMPUTED_VALUE"""),"https://techcombank.com/thong-tin/blog/nen-mua-xe-tra-gop-hay-tra-thang")</f>
        <v>https://techcombank.com/thong-tin/blog/nen-mua-xe-tra-gop-hay-tra-thang</v>
      </c>
      <c r="B116" s="11">
        <f>IFERROR(__xludf.DUMMYFUNCTION("""COMPUTED_VALUE"""),6.0)</f>
        <v>6</v>
      </c>
      <c r="C116" s="8" t="str">
        <f>IFERROR(__xludf.DUMMYFUNCTION("IF(A116="""","""",TEXTJOIN(CHAR(10),TRUE,FILTER('Tổng hợp 75 trang đích'!$B$2:$B$2505,'Tổng hợp 75 trang đích'!$I$2:$I$2505=A116)))"),"https://techcombank.com/thong-tin/blog/lai-suat-vay-mua-o-to
https://techcombank.com/thong-tin/blog/vay-ngan-hang-1-ty-moi-thang-tra-bao-nhieu
https://techcombank.com/thong-tin/blog/cach-tinh-lai-vay-ngan-hang
https://techcombank.com/thong-tin/blog/lai-su"&amp;"at-vay-the-chap-so-do
https://techcombank.com/thong-tin/blog/ho-so-thu-tuc-xoa-the-chap
https://techcombank.com/cong-cu-tien-ich/cong-cu-tinh-toan/bang-tinh-lai-suat-vay")</f>
        <v>https://techcombank.com/thong-tin/blog/lai-suat-vay-mua-o-to
https://techcombank.com/thong-tin/blog/vay-ngan-hang-1-ty-moi-thang-tra-bao-nhieu
https://techcombank.com/thong-tin/blog/cach-tinh-lai-vay-ngan-hang
https://techcombank.com/thong-tin/blog/lai-suat-vay-the-chap-so-do
https://techcombank.com/thong-tin/blog/ho-so-thu-tuc-xoa-the-chap
https://techcombank.com/cong-cu-tien-ich/cong-cu-tinh-toan/bang-tinh-lai-suat-vay</v>
      </c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</row>
    <row r="117">
      <c r="A117" s="10" t="str">
        <f>IFERROR(__xludf.DUMMYFUNCTION("""COMPUTED_VALUE"""),"https://techcombank.com/thong-tin/blog/no-nhom-3")</f>
        <v>https://techcombank.com/thong-tin/blog/no-nhom-3</v>
      </c>
      <c r="B117" s="11">
        <f>IFERROR(__xludf.DUMMYFUNCTION("""COMPUTED_VALUE"""),6.0)</f>
        <v>6</v>
      </c>
      <c r="C117" s="8" t="str">
        <f>IFERROR(__xludf.DUMMYFUNCTION("IF(A117="""","""",TEXTJOIN(CHAR(10),TRUE,FILTER('Tổng hợp 75 trang đích'!$B$2:$B$2505,'Tổng hợp 75 trang đích'!$I$2:$I$2505=A117)))"),"https://techcombank.com/thong-tin/blog/cic-la-gi
https://techcombank.com/thong-tin/blog/xep-hang-tin-dung
https://techcombank.com/thong-tin/blog/cach-tiet-kiem-tien
https://techcombank.com/thong-tin/blog/kiem-tra-no-xau
https://techcombank.com/thong-tin/b"&amp;"log/no-xau-la-gi
https://techcombank.com/thong-tin/blog/vay-tin-chap-khong-tra-duoc-co-sao-khong")</f>
        <v>https://techcombank.com/thong-tin/blog/cic-la-gi
https://techcombank.com/thong-tin/blog/xep-hang-tin-dung
https://techcombank.com/thong-tin/blog/cach-tiet-kiem-tien
https://techcombank.com/thong-tin/blog/kiem-tra-no-xau
https://techcombank.com/thong-tin/blog/no-xau-la-gi
https://techcombank.com/thong-tin/blog/vay-tin-chap-khong-tra-duoc-co-sao-khong</v>
      </c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</row>
    <row r="118">
      <c r="A118" s="10" t="str">
        <f>IFERROR(__xludf.DUMMYFUNCTION("""COMPUTED_VALUE"""),"https://techcombank.com/thong-tin/blog/one-stop-shop")</f>
        <v>https://techcombank.com/thong-tin/blog/one-stop-shop</v>
      </c>
      <c r="B118" s="11">
        <f>IFERROR(__xludf.DUMMYFUNCTION("""COMPUTED_VALUE"""),6.0)</f>
        <v>6</v>
      </c>
      <c r="C118" s="8" t="str">
        <f>IFERROR(__xludf.DUMMYFUNCTION("IF(A118="""","""",TEXTJOIN(CHAR(10),TRUE,FILTER('Tổng hợp 75 trang đích'!$B$2:$B$2505,'Tổng hợp 75 trang đích'!$I$2:$I$2505=A118)))"),"https://techcombank.com/thong-tin/blog/thue-vat-la-gi
https://techcombank.com/thong-tin/blog/cach-tinh-tien-dien-sinh-hoat
https://techcombank.com/thong-tin/blog/ho-kinh-doanh-dong-thue-nhu-nao
https://techcombank.com/thong-tin/blog/mo-hinh-kinh-doanh-la-"&amp;"gi
https://techcombank.com/thong-tin/blog/mo-tai-khoan-ho-kinh-doanh
https://techcombank.com/thong-tin/blog/cach-tinh-thue-ho-kinh-doanh-nho-le")</f>
        <v>https://techcombank.com/thong-tin/blog/thue-vat-la-gi
https://techcombank.com/thong-tin/blog/cach-tinh-tien-dien-sinh-hoat
https://techcombank.com/thong-tin/blog/ho-kinh-doanh-dong-thue-nhu-nao
https://techcombank.com/thong-tin/blog/mo-hinh-kinh-doanh-la-gi
https://techcombank.com/thong-tin/blog/mo-tai-khoan-ho-kinh-doanh
https://techcombank.com/thong-tin/blog/cach-tinh-thue-ho-kinh-doanh-nho-le</v>
      </c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</row>
    <row r="119">
      <c r="A119" s="10" t="str">
        <f>IFERROR(__xludf.DUMMYFUNCTION("""COMPUTED_VALUE"""),"https://techcombank.com/thong-tin/blog/quy-trinh-gui-tien-tiet-kiem")</f>
        <v>https://techcombank.com/thong-tin/blog/quy-trinh-gui-tien-tiet-kiem</v>
      </c>
      <c r="B119" s="11">
        <f>IFERROR(__xludf.DUMMYFUNCTION("""COMPUTED_VALUE"""),6.0)</f>
        <v>6</v>
      </c>
      <c r="C119" s="8" t="str">
        <f>IFERROR(__xludf.DUMMYFUNCTION("IF(A119="""","""",TEXTJOIN(CHAR(10),TRUE,FILTER('Tổng hợp 75 trang đích'!$B$2:$B$2505,'Tổng hợp 75 trang đích'!$I$2:$I$2505=A119)))"),"https://techcombank.com/thong-tin/blog/chung-chi-tien-gui-la-gi
https://techcombank.com/thong-tin/blog/lai-suat-tiet-kiem
https://techcombank.com/thong-tin/blog/cach-tinh-lai-suat-tien-gui-tiet-kiem
https://techcombank.com/thong-tin/blog/so-tiet-kiem-ngan"&amp;"-hang
https://techcombank.com/thong-tin/blog/rui-ro-khi-gui-tiet-kiem-online
https://techcombank.com/cong-cu-tien-ich/cong-cu-tinh-toan/bang-tinh-lai-suat-tiet-kiem")</f>
        <v>https://techcombank.com/thong-tin/blog/chung-chi-tien-gui-la-gi
https://techcombank.com/thong-tin/blog/lai-suat-tiet-kiem
https://techcombank.com/thong-tin/blog/cach-tinh-lai-suat-tien-gui-tiet-kiem
https://techcombank.com/thong-tin/blog/so-tiet-kiem-ngan-hang
https://techcombank.com/thong-tin/blog/rui-ro-khi-gui-tiet-kiem-online
https://techcombank.com/cong-cu-tien-ich/cong-cu-tinh-toan/bang-tinh-lai-suat-tiet-kiem</v>
      </c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</row>
    <row r="120">
      <c r="A120" s="10" t="str">
        <f>IFERROR(__xludf.DUMMYFUNCTION("""COMPUTED_VALUE"""),"https://techcombank.com/thong-tin/blog/quy-trinh-tat-toan-khoan-vay-the-chap")</f>
        <v>https://techcombank.com/thong-tin/blog/quy-trinh-tat-toan-khoan-vay-the-chap</v>
      </c>
      <c r="B120" s="11">
        <f>IFERROR(__xludf.DUMMYFUNCTION("""COMPUTED_VALUE"""),6.0)</f>
        <v>6</v>
      </c>
      <c r="C120" s="8" t="str">
        <f>IFERROR(__xludf.DUMMYFUNCTION("IF(A120="""","""",TEXTJOIN(CHAR(10),TRUE,FILTER('Tổng hợp 75 trang đích'!$B$2:$B$2505,'Tổng hợp 75 trang đích'!$I$2:$I$2505=A120)))"),"https://techcombank.com/thong-tin/blog/vay-ngan-hang-1-ty-moi-thang-tra-bao-nhieu
https://techcombank.com/thong-tin/blog/cach-tinh-lai-vay-ngan-hang
https://techcombank.com/thong-tin/blog/lai-suat-vay-the-chap-so-do
https://techcombank.com/thong-tin/blog/"&amp;"ho-so-thu-tuc-xoa-the-chap
https://techcombank.com/thong-tin/blog/rut-tien-tiet-kiem-truoc-thoi-han
https://techcombank.com/cong-cu-tien-ich/cong-cu-tinh-toan/bang-tinh-lai-suat-vay")</f>
        <v>https://techcombank.com/thong-tin/blog/vay-ngan-hang-1-ty-moi-thang-tra-bao-nhieu
https://techcombank.com/thong-tin/blog/cach-tinh-lai-vay-ngan-hang
https://techcombank.com/thong-tin/blog/lai-suat-vay-the-chap-so-do
https://techcombank.com/thong-tin/blog/ho-so-thu-tuc-xoa-the-chap
https://techcombank.com/thong-tin/blog/rut-tien-tiet-kiem-truoc-thoi-han
https://techcombank.com/cong-cu-tien-ich/cong-cu-tinh-toan/bang-tinh-lai-suat-vay</v>
      </c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</row>
    <row r="121">
      <c r="A121" s="10" t="str">
        <f>IFERROR(__xludf.DUMMYFUNCTION("""COMPUTED_VALUE"""),"https://techcombank.com/thong-tin/blog/quyet-toan-thue-thu-nhap-ca-nhan")</f>
        <v>https://techcombank.com/thong-tin/blog/quyet-toan-thue-thu-nhap-ca-nhan</v>
      </c>
      <c r="B121" s="11">
        <f>IFERROR(__xludf.DUMMYFUNCTION("""COMPUTED_VALUE"""),6.0)</f>
        <v>6</v>
      </c>
      <c r="C121" s="8" t="str">
        <f>IFERROR(__xludf.DUMMYFUNCTION("IF(A121="""","""",TEXTJOIN(CHAR(10),TRUE,FILTER('Tổng hợp 75 trang đích'!$B$2:$B$2505,'Tổng hợp 75 trang đích'!$I$2:$I$2505=A121)))"),"https://techcombank.com/thong-tin/blog/nop-thue-dat-qua-ngan-hang
https://techcombank.com/thong-tin/blog/cach-nop-thue-dien-tu
https://techcombank.com/thong-tin/blog/cach-tinh-thue-thu-nhap-ca-nhan-2025
https://techcombank.com/thong-tin/blog/kiem-tra-thue"&amp;"-thu-nhap-ca-nhan
https://techcombank.com/thong-tin/blog/thue-thu-nhap-ca-nhan
https://techcombank.com/thong-tin/blog/ho-kinh-doanh-dong-thue-nhu-nao")</f>
        <v>https://techcombank.com/thong-tin/blog/nop-thue-dat-qua-ngan-hang
https://techcombank.com/thong-tin/blog/cach-nop-thue-dien-tu
https://techcombank.com/thong-tin/blog/cach-tinh-thue-thu-nhap-ca-nhan-2025
https://techcombank.com/thong-tin/blog/kiem-tra-thue-thu-nhap-ca-nhan
https://techcombank.com/thong-tin/blog/thue-thu-nhap-ca-nhan
https://techcombank.com/thong-tin/blog/ho-kinh-doanh-dong-thue-nhu-nao</v>
      </c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</row>
    <row r="122">
      <c r="A122" s="10" t="str">
        <f>IFERROR(__xludf.DUMMYFUNCTION("""COMPUTED_VALUE"""),"https://techcombank.com/thong-tin/blog/rut-tien-mat-tu-the-tin-dung")</f>
        <v>https://techcombank.com/thong-tin/blog/rut-tien-mat-tu-the-tin-dung</v>
      </c>
      <c r="B122" s="11">
        <f>IFERROR(__xludf.DUMMYFUNCTION("""COMPUTED_VALUE"""),6.0)</f>
        <v>6</v>
      </c>
      <c r="C122" s="8" t="str">
        <f>IFERROR(__xludf.DUMMYFUNCTION("IF(A122="""","""",TEXTJOIN(CHAR(10),TRUE,FILTER('Tổng hợp 75 trang đích'!$B$2:$B$2505,'Tổng hợp 75 trang đích'!$I$2:$I$2505=A122)))"),"https://techcombank.com/thong-tin/blog/rut-tien-bang-ma-qr-la-gi-cach-thuc-hien-nhu-the-nao
https://techcombank.com/thong-tin/blog/lam-the-tin-dung
https://techcombank.com/khach-hang-ca-nhan/chi-tieu/the/the-tin-dung/techcombank-everyday
https://techcomba"&amp;"nk.com/thong-tin/blog/the-tin-dung-hoan-tien
https://techcombank.com/thong-tin/blog/cach-huy-the-tin-dung
https://techcombank.com/thong-tin/blog/cach-thanh-toan-the-tin-dung")</f>
        <v>https://techcombank.com/thong-tin/blog/rut-tien-bang-ma-qr-la-gi-cach-thuc-hien-nhu-the-nao
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https://techcombank.com/thong-tin/blog/cach-thanh-toan-the-tin-dung</v>
      </c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</row>
    <row r="123">
      <c r="A123" s="10" t="str">
        <f>IFERROR(__xludf.DUMMYFUNCTION("""COMPUTED_VALUE"""),"https://techcombank.com/thong-tin/blog/so-sanh-gui-tiet-kiem-online-va-tai-quay")</f>
        <v>https://techcombank.com/thong-tin/blog/so-sanh-gui-tiet-kiem-online-va-tai-quay</v>
      </c>
      <c r="B123" s="11">
        <f>IFERROR(__xludf.DUMMYFUNCTION("""COMPUTED_VALUE"""),6.0)</f>
        <v>6</v>
      </c>
      <c r="C123" s="8" t="str">
        <f>IFERROR(__xludf.DUMMYFUNCTION("IF(A123="""","""",TEXTJOIN(CHAR(10),TRUE,FILTER('Tổng hợp 75 trang đích'!$B$2:$B$2505,'Tổng hợp 75 trang đích'!$I$2:$I$2505=A123)))"),"https://techcombank.com/thong-tin/blog/chung-chi-tien-gui-la-gi
https://techcombank.com/thong-tin/blog/lai-suat-tiet-kiem
https://techcombank.com/thong-tin/blog/cach-tinh-lai-suat-tien-gui-tiet-kiem
https://techcombank.com/thong-tin/blog/so-tiet-kiem-ngan"&amp;"-hang
https://techcombank.com/thong-tin/blog/rui-ro-khi-gui-tiet-kiem-online
https://techcombank.com/cong-cu-tien-ich/cong-cu-tinh-toan/bang-tinh-lai-suat-tiet-kiem")</f>
        <v>https://techcombank.com/thong-tin/blog/chung-chi-tien-gui-la-gi
https://techcombank.com/thong-tin/blog/lai-suat-tiet-kiem
https://techcombank.com/thong-tin/blog/cach-tinh-lai-suat-tien-gui-tiet-kiem
https://techcombank.com/thong-tin/blog/so-tiet-kiem-ngan-hang
https://techcombank.com/thong-tin/blog/rui-ro-khi-gui-tiet-kiem-online
https://techcombank.com/cong-cu-tien-ich/cong-cu-tinh-toan/bang-tinh-lai-suat-tiet-kiem</v>
      </c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</row>
    <row r="124">
      <c r="A124" s="10" t="str">
        <f>IFERROR(__xludf.DUMMYFUNCTION("""COMPUTED_VALUE"""),"https://techcombank.com/thong-tin/blog/tai-sao-gui-tiet-kiem-online-lai-suat-cao-hon")</f>
        <v>https://techcombank.com/thong-tin/blog/tai-sao-gui-tiet-kiem-online-lai-suat-cao-hon</v>
      </c>
      <c r="B124" s="11">
        <f>IFERROR(__xludf.DUMMYFUNCTION("""COMPUTED_VALUE"""),6.0)</f>
        <v>6</v>
      </c>
      <c r="C124" s="8" t="str">
        <f>IFERROR(__xludf.DUMMYFUNCTION("IF(A124="""","""",TEXTJOIN(CHAR(10),TRUE,FILTER('Tổng hợp 75 trang đích'!$B$2:$B$2505,'Tổng hợp 75 trang đích'!$I$2:$I$2505=A124)))"),"https://techcombank.com/thong-tin/blog/chung-chi-tien-gui-la-gi
https://techcombank.com/thong-tin/blog/lai-suat-tiet-kiem
https://techcombank.com/thong-tin/blog/cach-tinh-lai-suat-tien-gui-tiet-kiem
https://techcombank.com/thong-tin/blog/so-tiet-kiem-ngan"&amp;"-hang
https://techcombank.com/thong-tin/blog/rui-ro-khi-gui-tiet-kiem-online
https://techcombank.com/cong-cu-tien-ich/cong-cu-tinh-toan/bang-tinh-lai-suat-tiet-kiem")</f>
        <v>https://techcombank.com/thong-tin/blog/chung-chi-tien-gui-la-gi
https://techcombank.com/thong-tin/blog/lai-suat-tiet-kiem
https://techcombank.com/thong-tin/blog/cach-tinh-lai-suat-tien-gui-tiet-kiem
https://techcombank.com/thong-tin/blog/so-tiet-kiem-ngan-hang
https://techcombank.com/thong-tin/blog/rui-ro-khi-gui-tiet-kiem-online
https://techcombank.com/cong-cu-tien-ich/cong-cu-tinh-toan/bang-tinh-lai-suat-tiet-kiem</v>
      </c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</row>
    <row r="125">
      <c r="A125" s="10" t="str">
        <f>IFERROR(__xludf.DUMMYFUNCTION("""COMPUTED_VALUE"""),"https://techcombank.com/thong-tin/blog/tat-toan")</f>
        <v>https://techcombank.com/thong-tin/blog/tat-toan</v>
      </c>
      <c r="B125" s="11">
        <f>IFERROR(__xludf.DUMMYFUNCTION("""COMPUTED_VALUE"""),6.0)</f>
        <v>6</v>
      </c>
      <c r="C125" s="8" t="str">
        <f>IFERROR(__xludf.DUMMYFUNCTION("IF(A125="""","""",TEXTJOIN(CHAR(10),TRUE,FILTER('Tổng hợp 75 trang đích'!$B$2:$B$2505,'Tổng hợp 75 trang đích'!$I$2:$I$2505=A125)))"),"https://techcombank.com/thong-tin/blog/cach-tinh-lai-vay-ngan-hang
https://techcombank.com/thong-tin/blog/ho-so-thu-tuc-xoa-the-chap
https://techcombank.com/thong-tin/blog/rut-tien-tiet-kiem-truoc-thoi-han
https://techcombank.com/thong-tin/blog/so-tiet-ki"&amp;"em-ngan-hang
https://techcombank.com/cong-cu-tien-ich/cong-cu-tinh-toan/bang-tinh-lai-suat-vay
https://techcombank.com/thong-tin/blog/vay-tin-chap-khong-tra-duoc-co-sao-khong")</f>
        <v>https://techcombank.com/thong-tin/blog/cach-tinh-lai-vay-ngan-hang
https://techcombank.com/thong-tin/blog/ho-so-thu-tuc-xoa-the-chap
https://techcombank.com/thong-tin/blog/rut-tien-tiet-kiem-truoc-thoi-han
https://techcombank.com/thong-tin/blog/so-tiet-kiem-ngan-hang
https://techcombank.com/cong-cu-tien-ich/cong-cu-tinh-toan/bang-tinh-lai-suat-vay
https://techcombank.com/thong-tin/blog/vay-tin-chap-khong-tra-duoc-co-sao-khong</v>
      </c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</row>
    <row r="126">
      <c r="A126" s="10" t="str">
        <f>IFERROR(__xludf.DUMMYFUNCTION("""COMPUTED_VALUE"""),"https://techcombank.com/thong-tin/blog/the-ghi-no-va-the-tin-dung")</f>
        <v>https://techcombank.com/thong-tin/blog/the-ghi-no-va-the-tin-dung</v>
      </c>
      <c r="B126" s="11">
        <f>IFERROR(__xludf.DUMMYFUNCTION("""COMPUTED_VALUE"""),6.0)</f>
        <v>6</v>
      </c>
      <c r="C126" s="8" t="str">
        <f>IFERROR(__xludf.DUMMYFUNCTION("IF(A126="""","""",TEXTJOIN(CHAR(10),TRUE,FILTER('Tổng hợp 75 trang đích'!$B$2:$B$2505,'Tổng hợp 75 trang đích'!$I$2:$I$2505=A126)))"),"https://techcombank.com/thong-tin/blog/eco-card
https://techcombank.com/thong-tin/blog/lam-the-tin-dung
https://techcombank.com/khach-hang-ca-nhan/chi-tieu/the/the-tin-dung/techcombank-everyday
https://techcombank.com/thong-tin/blog/the-tin-dung-hoan-tien"&amp;"
https://techcombank.com/thong-tin/blog/cach-huy-the-tin-dung
https://techcombank.com/thong-tin/blog/cach-thanh-toan-the-tin-dung")</f>
        <v>https://techcombank.com/thong-tin/blog/eco-card
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https://techcombank.com/thong-tin/blog/cach-thanh-toan-the-tin-dung</v>
      </c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</row>
    <row r="127">
      <c r="A127" s="10" t="str">
        <f>IFERROR(__xludf.DUMMYFUNCTION("""COMPUTED_VALUE"""),"https://techcombank.com/thong-tin/blog/the-tin-dung-mien-lai-55-ngay")</f>
        <v>https://techcombank.com/thong-tin/blog/the-tin-dung-mien-lai-55-ngay</v>
      </c>
      <c r="B127" s="11">
        <f>IFERROR(__xludf.DUMMYFUNCTION("""COMPUTED_VALUE"""),6.0)</f>
        <v>6</v>
      </c>
      <c r="C127" s="8" t="str">
        <f>IFERROR(__xludf.DUMMYFUNCTION("IF(A127="""","""",TEXTJOIN(CHAR(10),TRUE,FILTER('Tổng hợp 75 trang đích'!$B$2:$B$2505,'Tổng hợp 75 trang đích'!$I$2:$I$2505=A127)))"),"https://techcombank.com/thong-tin/blog/ngan-hang-uy-tin
https://techcombank.com/thong-tin/blog/lam-the-tin-dung
https://techcombank.com/khach-hang-ca-nhan/chi-tieu/the/the-tin-dung/techcombank-everyday
https://techcombank.com/thong-tin/blog/the-tin-dung-h"&amp;"oan-tien
https://techcombank.com/thong-tin/blog/cach-huy-the-tin-dung
https://techcombank.com/thong-tin/blog/cach-thanh-toan-the-tin-dung")</f>
        <v>https://techcombank.com/thong-tin/blog/ngan-hang-uy-tin
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https://techcombank.com/thong-tin/blog/cach-thanh-toan-the-tin-dung</v>
      </c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</row>
    <row r="128">
      <c r="A128" s="10" t="str">
        <f>IFERROR(__xludf.DUMMYFUNCTION("""COMPUTED_VALUE"""),"https://techcombank.com/thong-tin/blog/the-tin-dung-noi-dia")</f>
        <v>https://techcombank.com/thong-tin/blog/the-tin-dung-noi-dia</v>
      </c>
      <c r="B128" s="11">
        <f>IFERROR(__xludf.DUMMYFUNCTION("""COMPUTED_VALUE"""),6.0)</f>
        <v>6</v>
      </c>
      <c r="C128" s="8" t="str">
        <f>IFERROR(__xludf.DUMMYFUNCTION("IF(A128="""","""",TEXTJOIN(CHAR(10),TRUE,FILTER('Tổng hợp 75 trang đích'!$B$2:$B$2505,'Tổng hợp 75 trang đích'!$I$2:$I$2505=A128)))"),"https://techcombank.com/thong-tin/blog/lam-the-tin-dung
https://techcombank.com/khach-hang-ca-nhan/chi-tieu/the/the-tin-dung/techcombank-everyday
https://techcombank.com/thong-tin/blog/the-tin-dung-hoan-tien
https://techcombank.com/thong-tin/blog/cach-huy"&amp;"-the-tin-dung
https://techcombank.com/thong-tin/blog/cach-thanh-toan-the-tin-dung
https://techcombank.com/thong-tin/blog/cach-nhan-tien-tu-nuoc-ngoai-ve-viet-nam")</f>
        <v>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https://techcombank.com/thong-tin/blog/cach-thanh-toan-the-tin-dung
https://techcombank.com/thong-tin/blog/cach-nhan-tien-tu-nuoc-ngoai-ve-viet-nam</v>
      </c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</row>
    <row r="129">
      <c r="A129" s="10" t="str">
        <f>IFERROR(__xludf.DUMMYFUNCTION("""COMPUTED_VALUE"""),"https://techcombank.com/thong-tin/blog/the-tin-dung-quoc-te")</f>
        <v>https://techcombank.com/thong-tin/blog/the-tin-dung-quoc-te</v>
      </c>
      <c r="B129" s="11">
        <f>IFERROR(__xludf.DUMMYFUNCTION("""COMPUTED_VALUE"""),6.0)</f>
        <v>6</v>
      </c>
      <c r="C129" s="8" t="str">
        <f>IFERROR(__xludf.DUMMYFUNCTION("IF(A129="""","""",TEXTJOIN(CHAR(10),TRUE,FILTER('Tổng hợp 75 trang đích'!$B$2:$B$2505,'Tổng hợp 75 trang đích'!$I$2:$I$2505=A129)))"),"https://techcombank.com/thong-tin/blog/lam-the-tin-dung
https://techcombank.com/khach-hang-ca-nhan/chi-tieu/the/the-tin-dung/techcombank-everyday
https://techcombank.com/thong-tin/blog/the-tin-dung-hoan-tien
https://techcombank.com/thong-tin/blog/cach-huy"&amp;"-the-tin-dung
https://techcombank.com/thong-tin/blog/cach-thanh-toan-the-tin-dung
https://techcombank.com/thong-tin/blog/cach-nhan-tien-tu-nuoc-ngoai-ve-viet-nam")</f>
        <v>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https://techcombank.com/thong-tin/blog/cach-thanh-toan-the-tin-dung
https://techcombank.com/thong-tin/blog/cach-nhan-tien-tu-nuoc-ngoai-ve-viet-nam</v>
      </c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</row>
    <row r="130">
      <c r="A130" s="10" t="str">
        <f>IFERROR(__xludf.DUMMYFUNCTION("""COMPUTED_VALUE"""),"https://techcombank.com/thong-tin/blog/the-tin-dung-techcombank-visa-eco")</f>
        <v>https://techcombank.com/thong-tin/blog/the-tin-dung-techcombank-visa-eco</v>
      </c>
      <c r="B130" s="11">
        <f>IFERROR(__xludf.DUMMYFUNCTION("""COMPUTED_VALUE"""),6.0)</f>
        <v>6</v>
      </c>
      <c r="C130" s="8" t="str">
        <f>IFERROR(__xludf.DUMMYFUNCTION("IF(A130="""","""",TEXTJOIN(CHAR(10),TRUE,FILTER('Tổng hợp 75 trang đích'!$B$2:$B$2505,'Tổng hợp 75 trang đích'!$I$2:$I$2505=A130)))"),"https://techcombank.com/thong-tin/blog/eco-card
https://techcombank.com/thong-tin/blog/lam-the-tin-dung
https://techcombank.com/khach-hang-ca-nhan/chi-tieu/the/the-tin-dung/techcombank-everyday
https://techcombank.com/thong-tin/blog/the-tin-dung-hoan-tien"&amp;"
https://techcombank.com/thong-tin/blog/cach-huy-the-tin-dung
https://techcombank.com/thong-tin/blog/cach-thanh-toan-the-tin-dung")</f>
        <v>https://techcombank.com/thong-tin/blog/eco-card
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https://techcombank.com/thong-tin/blog/cach-thanh-toan-the-tin-dung</v>
      </c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</row>
    <row r="131">
      <c r="A131" s="10" t="str">
        <f>IFERROR(__xludf.DUMMYFUNCTION("""COMPUTED_VALUE"""),"https://techcombank.com/thong-tin/blog/the-tin-dung-vip")</f>
        <v>https://techcombank.com/thong-tin/blog/the-tin-dung-vip</v>
      </c>
      <c r="B131" s="11">
        <f>IFERROR(__xludf.DUMMYFUNCTION("""COMPUTED_VALUE"""),6.0)</f>
        <v>6</v>
      </c>
      <c r="C131" s="8" t="str">
        <f>IFERROR(__xludf.DUMMYFUNCTION("IF(A131="""","""",TEXTJOIN(CHAR(10),TRUE,FILTER('Tổng hợp 75 trang đích'!$B$2:$B$2505,'Tổng hợp 75 trang đích'!$I$2:$I$2505=A131)))"),"https://techcombank.com/thong-tin/blog/lam-the-tin-dung
https://techcombank.com/khach-hang-ca-nhan/chi-tieu/the/the-tin-dung/techcombank-everyday
https://techcombank.com/thong-tin/blog/the-tin-dung-hoan-tien
https://techcombank.com/thong-tin/blog/cach-huy"&amp;"-the-tin-dung
https://techcombank.com/thong-tin/blog/cach-thanh-toan-the-tin-dung
https://techcombank.com/thong-tin/blog/traveloka-voucher")</f>
        <v>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https://techcombank.com/thong-tin/blog/cach-thanh-toan-the-tin-dung
https://techcombank.com/thong-tin/blog/traveloka-voucher</v>
      </c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</row>
    <row r="132">
      <c r="A132" s="10" t="str">
        <f>IFERROR(__xludf.DUMMYFUNCTION("""COMPUTED_VALUE"""),"https://techcombank.com/thong-tin/blog/the-visa-co-can-mat-khau-khong")</f>
        <v>https://techcombank.com/thong-tin/blog/the-visa-co-can-mat-khau-khong</v>
      </c>
      <c r="B132" s="11">
        <f>IFERROR(__xludf.DUMMYFUNCTION("""COMPUTED_VALUE"""),6.0)</f>
        <v>6</v>
      </c>
      <c r="C132" s="8" t="str">
        <f>IFERROR(__xludf.DUMMYFUNCTION("IF(A132="""","""",TEXTJOIN(CHAR(10),TRUE,FILTER('Tổng hợp 75 trang đích'!$B$2:$B$2505,'Tổng hợp 75 trang đích'!$I$2:$I$2505=A132)))"),"https://techcombank.com/thong-tin/blog/ten-dang-nhap-tai-khoan-ngan-hang-la-gi
https://techcombank.com/thong-tin/blog/lam-the-tin-dung
https://techcombank.com/khach-hang-ca-nhan/chi-tieu/the/the-tin-dung/techcombank-everyday
https://techcombank.com/thong-"&amp;"tin/blog/the-tin-dung-hoan-tien
https://techcombank.com/thong-tin/blog/cach-huy-the-tin-dung
https://techcombank.com/thong-tin/blog/cach-thanh-toan-the-tin-dung")</f>
        <v>https://techcombank.com/thong-tin/blog/ten-dang-nhap-tai-khoan-ngan-hang-la-gi
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https://techcombank.com/thong-tin/blog/cach-thanh-toan-the-tin-dung</v>
      </c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</row>
    <row r="133">
      <c r="A133" s="10" t="str">
        <f>IFERROR(__xludf.DUMMYFUNCTION("""COMPUTED_VALUE"""),"https://techcombank.com/thong-tin/blog/thue-thuong-mai-dien-tu")</f>
        <v>https://techcombank.com/thong-tin/blog/thue-thuong-mai-dien-tu</v>
      </c>
      <c r="B133" s="11">
        <f>IFERROR(__xludf.DUMMYFUNCTION("""COMPUTED_VALUE"""),6.0)</f>
        <v>6</v>
      </c>
      <c r="C133" s="8" t="str">
        <f>IFERROR(__xludf.DUMMYFUNCTION("IF(A133="""","""",TEXTJOIN(CHAR(10),TRUE,FILTER('Tổng hợp 75 trang đích'!$B$2:$B$2505,'Tổng hợp 75 trang đích'!$I$2:$I$2505=A133)))"),"https://techcombank.com/thong-tin/blog/nop-thue-dat-qua-ngan-hang
https://techcombank.com/thong-tin/blog/cach-nop-thue-dien-tu
https://techcombank.com/thong-tin/blog/thue-vat-la-gi
https://techcombank.com/thong-tin/blog/ho-kinh-doanh-dong-thue-nhu-nao
htt"&amp;"ps://techcombank.com/thong-tin/blog/mo-tai-khoan-ho-kinh-doanh
https://techcombank.com/thong-tin/blog/cach-tinh-thue-ho-kinh-doanh-nho-le")</f>
        <v>https://techcombank.com/thong-tin/blog/nop-thue-dat-qua-ngan-hang
https://techcombank.com/thong-tin/blog/cach-nop-thue-dien-tu
https://techcombank.com/thong-tin/blog/thue-vat-la-gi
https://techcombank.com/thong-tin/blog/ho-kinh-doanh-dong-thue-nhu-nao
https://techcombank.com/thong-tin/blog/mo-tai-khoan-ho-kinh-doanh
https://techcombank.com/thong-tin/blog/cach-tinh-thue-ho-kinh-doanh-nho-le</v>
      </c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</row>
    <row r="134">
      <c r="A134" s="10" t="str">
        <f>IFERROR(__xludf.DUMMYFUNCTION("""COMPUTED_VALUE"""),"https://techcombank.com/thong-tin/blog/tien-gui-co-ky-han")</f>
        <v>https://techcombank.com/thong-tin/blog/tien-gui-co-ky-han</v>
      </c>
      <c r="B134" s="11">
        <f>IFERROR(__xludf.DUMMYFUNCTION("""COMPUTED_VALUE"""),6.0)</f>
        <v>6</v>
      </c>
      <c r="C134" s="8" t="str">
        <f>IFERROR(__xludf.DUMMYFUNCTION("IF(A134="""","""",TEXTJOIN(CHAR(10),TRUE,FILTER('Tổng hợp 75 trang đích'!$B$2:$B$2505,'Tổng hợp 75 trang đích'!$I$2:$I$2505=A134)))"),"https://techcombank.com/thong-tin/blog/rut-tien-bang-ma-qr-la-gi-cach-thuc-hien-nhu-the-nao
https://techcombank.com/thong-tin/blog/rut-tien-mat-tu-the-tin-dung
https://techcombank.com/thong-tin/blog/lai-suat-tiet-kiem
https://techcombank.com/thong-tin/blo"&amp;"g/cach-tinh-lai-suat-tien-gui-tiet-kiem
https://techcombank.com/thong-tin/blog/rut-tien-tiet-kiem-truoc-thoi-han
https://techcombank.com/cong-cu-tien-ich/cong-cu-tinh-toan/bang-tinh-lai-suat-tiet-kiem")</f>
        <v>https://techcombank.com/thong-tin/blog/rut-tien-bang-ma-qr-la-gi-cach-thuc-hien-nhu-the-nao
https://techcombank.com/thong-tin/blog/rut-tien-mat-tu-the-tin-dung
https://techcombank.com/thong-tin/blog/lai-suat-tiet-kiem
https://techcombank.com/thong-tin/blog/cach-tinh-lai-suat-tien-gui-tiet-kiem
https://techcombank.com/thong-tin/blog/rut-tien-tiet-kiem-truoc-thoi-han
https://techcombank.com/cong-cu-tien-ich/cong-cu-tinh-toan/bang-tinh-lai-suat-tiet-kiem</v>
      </c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</row>
    <row r="135">
      <c r="A135" s="10" t="str">
        <f>IFERROR(__xludf.DUMMYFUNCTION("""COMPUTED_VALUE"""),"https://techcombank.com/thong-tin/blog/tra-cuu-no-thue-doanh-nghiep")</f>
        <v>https://techcombank.com/thong-tin/blog/tra-cuu-no-thue-doanh-nghiep</v>
      </c>
      <c r="B135" s="11">
        <f>IFERROR(__xludf.DUMMYFUNCTION("""COMPUTED_VALUE"""),6.0)</f>
        <v>6</v>
      </c>
      <c r="C135" s="8" t="str">
        <f>IFERROR(__xludf.DUMMYFUNCTION("IF(A135="""","""",TEXTJOIN(CHAR(10),TRUE,FILTER('Tổng hợp 75 trang đích'!$B$2:$B$2505,'Tổng hợp 75 trang đích'!$I$2:$I$2505=A135)))"),"https://techcombank.com/thong-tin/blog/nop-thue-dat-qua-ngan-hang
https://techcombank.com/thong-tin/blog/cach-nop-thue-dien-tu
https://techcombank.com/thong-tin/blog/thue-thu-nhap-doanh-nghiep
https://techcombank.com/thong-tin/blog/thue-doanh-nghiep
https"&amp;"://techcombank.com/thong-tin/blog/kiem-tra-thue-thu-nhap-ca-nhan
https://techcombank.com/thong-tin/blog/ho-kinh-doanh-dong-thue-nhu-nao")</f>
        <v>https://techcombank.com/thong-tin/blog/nop-thue-dat-qua-ngan-hang
https://techcombank.com/thong-tin/blog/cach-nop-thue-dien-tu
https://techcombank.com/thong-tin/blog/thue-thu-nhap-doanh-nghiep
https://techcombank.com/thong-tin/blog/thue-doanh-nghiep
https://techcombank.com/thong-tin/blog/kiem-tra-thue-thu-nhap-ca-nhan
https://techcombank.com/thong-tin/blog/ho-kinh-doanh-dong-thue-nhu-nao</v>
      </c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</row>
    <row r="136">
      <c r="A136" s="10" t="str">
        <f>IFERROR(__xludf.DUMMYFUNCTION("""COMPUTED_VALUE"""),"https://techcombank.com/thong-tin/blog/uu-dai-mo-the-tin-dung")</f>
        <v>https://techcombank.com/thong-tin/blog/uu-dai-mo-the-tin-dung</v>
      </c>
      <c r="B136" s="11">
        <f>IFERROR(__xludf.DUMMYFUNCTION("""COMPUTED_VALUE"""),6.0)</f>
        <v>6</v>
      </c>
      <c r="C136" s="8" t="str">
        <f>IFERROR(__xludf.DUMMYFUNCTION("IF(A136="""","""",TEXTJOIN(CHAR(10),TRUE,FILTER('Tổng hợp 75 trang đích'!$B$2:$B$2505,'Tổng hợp 75 trang đích'!$I$2:$I$2505=A136)))"),"https://techcombank.com/thong-tin/blog/ngan-hang-uy-tin
https://techcombank.com/thong-tin/blog/lam-the-tin-dung
https://techcombank.com/khach-hang-ca-nhan/chi-tieu/the/the-tin-dung/techcombank-everyday
https://techcombank.com/thong-tin/blog/the-tin-dung-h"&amp;"oan-tien
https://techcombank.com/thong-tin/blog/cach-huy-the-tin-dung
https://techcombank.com/thong-tin/blog/cach-thanh-toan-the-tin-dung")</f>
        <v>https://techcombank.com/thong-tin/blog/ngan-hang-uy-tin
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https://techcombank.com/thong-tin/blog/cach-thanh-toan-the-tin-dung</v>
      </c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</row>
    <row r="137">
      <c r="A137" s="10" t="str">
        <f>IFERROR(__xludf.DUMMYFUNCTION("""COMPUTED_VALUE"""),"https://techcombank.com/thong-tin/blog/uu-dai-mua-ve-may-bay-bang-the-tin-dung")</f>
        <v>https://techcombank.com/thong-tin/blog/uu-dai-mua-ve-may-bay-bang-the-tin-dung</v>
      </c>
      <c r="B137" s="11">
        <f>IFERROR(__xludf.DUMMYFUNCTION("""COMPUTED_VALUE"""),6.0)</f>
        <v>6</v>
      </c>
      <c r="C137" s="8" t="str">
        <f>IFERROR(__xludf.DUMMYFUNCTION("IF(A137="""","""",TEXTJOIN(CHAR(10),TRUE,FILTER('Tổng hợp 75 trang đích'!$B$2:$B$2505,'Tổng hợp 75 trang đích'!$I$2:$I$2505=A137)))"),"https://techcombank.com/thong-tin/blog/lam-the-tin-dung
https://techcombank.com/khach-hang-ca-nhan/chi-tieu/the/the-tin-dung/techcombank-everyday
https://techcombank.com/thong-tin/blog/the-tin-dung-hoan-tien
https://techcombank.com/thong-tin/blog/cach-huy"&amp;"-the-tin-dung
https://techcombank.com/thong-tin/blog/cach-thanh-toan-the-tin-dung
https://techcombank.com/thong-tin/blog/traveloka-voucher")</f>
        <v>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https://techcombank.com/thong-tin/blog/cach-thanh-toan-the-tin-dung
https://techcombank.com/thong-tin/blog/traveloka-voucher</v>
      </c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</row>
    <row r="138">
      <c r="A138" s="10" t="str">
        <f>IFERROR(__xludf.DUMMYFUNCTION("""COMPUTED_VALUE"""),"https://techcombank.com/thong-tin/blog/vay-200-trieu")</f>
        <v>https://techcombank.com/thong-tin/blog/vay-200-trieu</v>
      </c>
      <c r="B138" s="11">
        <f>IFERROR(__xludf.DUMMYFUNCTION("""COMPUTED_VALUE"""),6.0)</f>
        <v>6</v>
      </c>
      <c r="C138" s="8" t="str">
        <f>IFERROR(__xludf.DUMMYFUNCTION("IF(A138="""","""",TEXTJOIN(CHAR(10),TRUE,FILTER('Tổng hợp 75 trang đích'!$B$2:$B$2505,'Tổng hợp 75 trang đích'!$I$2:$I$2505=A138)))"),"https://techcombank.com/thong-tin/blog/cach-thanh-toan-the-tin-dung
https://techcombank.com/thong-tin/blog/vay-ngan-hang-1-ty-moi-thang-tra-bao-nhieu
https://techcombank.com/thong-tin/blog/cach-tinh-lai-vay-ngan-hang
https://techcombank.com/cong-cu-tien-i"&amp;"ch/cong-cu-tinh-toan/bang-tinh-lai-suat-vay
https://techcombank.com/thong-tin/blog/nen-vay-tin-chap-o-dau
https://techcombank.com/thong-tin/blog/vay-tin-chap-khong-tra-duoc-co-sao-khong")</f>
        <v>https://techcombank.com/thong-tin/blog/cach-thanh-toan-the-tin-dung
https://techcombank.com/thong-tin/blog/vay-ngan-hang-1-ty-moi-thang-tra-bao-nhieu
https://techcombank.com/thong-tin/blog/cach-tinh-lai-vay-ngan-hang
https://techcombank.com/cong-cu-tien-ich/cong-cu-tinh-toan/bang-tinh-lai-suat-vay
https://techcombank.com/thong-tin/blog/nen-vay-tin-chap-o-dau
https://techcombank.com/thong-tin/blog/vay-tin-chap-khong-tra-duoc-co-sao-khong</v>
      </c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</row>
    <row r="139">
      <c r="A139" s="10" t="str">
        <f>IFERROR(__xludf.DUMMYFUNCTION("""COMPUTED_VALUE"""),"https://techcombank.com/thong-tin/blog/vay-san-xuat-kinh-doanh")</f>
        <v>https://techcombank.com/thong-tin/blog/vay-san-xuat-kinh-doanh</v>
      </c>
      <c r="B139" s="11">
        <f>IFERROR(__xludf.DUMMYFUNCTION("""COMPUTED_VALUE"""),6.0)</f>
        <v>6</v>
      </c>
      <c r="C139" s="8" t="str">
        <f>IFERROR(__xludf.DUMMYFUNCTION("IF(A139="""","""",TEXTJOIN(CHAR(10),TRUE,FILTER('Tổng hợp 75 trang đích'!$B$2:$B$2505,'Tổng hợp 75 trang đích'!$I$2:$I$2505=A139)))"),"https://techcombank.com/thong-tin/blog/xep-hang-tin-dung
https://techcombank.com/thong-tin/blog/lai-suat-vay-the-chap-so-do
https://techcombank.com/thong-tin/blog/ho-so-thu-tuc-xoa-the-chap
https://techcombank.com/thong-tin/blog/vay-thau-chi-la-gi
https:/"&amp;"/techcombank.com/thong-tin/blog/nen-vay-tin-chap-o-dau
https://techcombank.com/thong-tin/blog/vay-tin-chap-khong-tra-duoc-co-sao-khong")</f>
        <v>https://techcombank.com/thong-tin/blog/xep-hang-tin-dung
https://techcombank.com/thong-tin/blog/lai-suat-vay-the-chap-so-do
https://techcombank.com/thong-tin/blog/ho-so-thu-tuc-xoa-the-chap
https://techcombank.com/thong-tin/blog/vay-thau-chi-la-gi
https://techcombank.com/thong-tin/blog/nen-vay-tin-chap-o-dau
https://techcombank.com/thong-tin/blog/vay-tin-chap-khong-tra-duoc-co-sao-khong</v>
      </c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</row>
    <row r="140">
      <c r="A140" s="10" t="str">
        <f>IFERROR(__xludf.DUMMYFUNCTION("""COMPUTED_VALUE"""),"https://techcombank.com/thong-tin/blog/vay-the-chap-hop-dong-mua-ban-can-ho")</f>
        <v>https://techcombank.com/thong-tin/blog/vay-the-chap-hop-dong-mua-ban-can-ho</v>
      </c>
      <c r="B140" s="11">
        <f>IFERROR(__xludf.DUMMYFUNCTION("""COMPUTED_VALUE"""),6.0)</f>
        <v>6</v>
      </c>
      <c r="C140" s="8" t="str">
        <f>IFERROR(__xludf.DUMMYFUNCTION("IF(A140="""","""",TEXTJOIN(CHAR(10),TRUE,FILTER('Tổng hợp 75 trang đích'!$B$2:$B$2505,'Tổng hợp 75 trang đích'!$I$2:$I$2505=A140)))"),"https://techcombank.com/thong-tin/blog/vay-ngan-hang-1-ty-moi-thang-tra-bao-nhieu
https://techcombank.com/thong-tin/blog/cach-tinh-lai-vay-ngan-hang
https://techcombank.com/thong-tin/blog/lai-suat-vay-the-chap-so-do
https://techcombank.com/thong-tin/blog/"&amp;"ho-so-thu-tuc-xoa-the-chap
https://techcombank.com/cong-cu-tien-ich/cong-cu-tinh-toan/bang-tinh-lai-suat-vay
https://techcombank.com/thong-tin/blog/app-vay-tien-nhanh")</f>
        <v>https://techcombank.com/thong-tin/blog/vay-ngan-hang-1-ty-moi-thang-tra-bao-nhieu
https://techcombank.com/thong-tin/blog/cach-tinh-lai-vay-ngan-hang
https://techcombank.com/thong-tin/blog/lai-suat-vay-the-chap-so-do
https://techcombank.com/thong-tin/blog/ho-so-thu-tuc-xoa-the-chap
https://techcombank.com/cong-cu-tien-ich/cong-cu-tinh-toan/bang-tinh-lai-suat-vay
https://techcombank.com/thong-tin/blog/app-vay-tien-nhanh</v>
      </c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</row>
    <row r="141">
      <c r="A141" s="10" t="str">
        <f>IFERROR(__xludf.DUMMYFUNCTION("""COMPUTED_VALUE"""),"https://techcombank.com/thong-tin/blog/vay-the-chap-kinh-doanh")</f>
        <v>https://techcombank.com/thong-tin/blog/vay-the-chap-kinh-doanh</v>
      </c>
      <c r="B141" s="11">
        <f>IFERROR(__xludf.DUMMYFUNCTION("""COMPUTED_VALUE"""),6.0)</f>
        <v>6</v>
      </c>
      <c r="C141" s="8" t="str">
        <f>IFERROR(__xludf.DUMMYFUNCTION("IF(A141="""","""",TEXTJOIN(CHAR(10),TRUE,FILTER('Tổng hợp 75 trang đích'!$B$2:$B$2505,'Tổng hợp 75 trang đích'!$I$2:$I$2505=A141)))"),"https://techcombank.com/thong-tin/blog/vay-ngan-hang-1-ty-moi-thang-tra-bao-nhieu
https://techcombank.com/thong-tin/blog/ho-kinh-doanh-dong-thue-nhu-nao
https://techcombank.com/thong-tin/blog/mo-tai-khoan-ho-kinh-doanh
https://techcombank.com/thong-tin/bl"&amp;"og/cach-tinh-thue-ho-kinh-doanh-nho-le
https://techcombank.com/thong-tin/blog/lai-suat-vay-the-chap-so-do
https://techcombank.com/thong-tin/blog/ho-so-thu-tuc-xoa-the-chap")</f>
        <v>https://techcombank.com/thong-tin/blog/vay-ngan-hang-1-ty-moi-thang-tra-bao-nhieu
https://techcombank.com/thong-tin/blog/ho-kinh-doanh-dong-thue-nhu-nao
https://techcombank.com/thong-tin/blog/mo-tai-khoan-ho-kinh-doanh
https://techcombank.com/thong-tin/blog/cach-tinh-thue-ho-kinh-doanh-nho-le
https://techcombank.com/thong-tin/blog/lai-suat-vay-the-chap-so-do
https://techcombank.com/thong-tin/blog/ho-so-thu-tuc-xoa-the-chap</v>
      </c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</row>
    <row r="142">
      <c r="A142" s="10" t="str">
        <f>IFERROR(__xludf.DUMMYFUNCTION("""COMPUTED_VALUE"""),"https://techcombank.com/thong-tin/blog/vay-tin-chap-no-xau")</f>
        <v>https://techcombank.com/thong-tin/blog/vay-tin-chap-no-xau</v>
      </c>
      <c r="B142" s="11">
        <f>IFERROR(__xludf.DUMMYFUNCTION("""COMPUTED_VALUE"""),6.0)</f>
        <v>6</v>
      </c>
      <c r="C142" s="8" t="str">
        <f>IFERROR(__xludf.DUMMYFUNCTION("IF(A142="""","""",TEXTJOIN(CHAR(10),TRUE,FILTER('Tổng hợp 75 trang đích'!$B$2:$B$2505,'Tổng hợp 75 trang đích'!$I$2:$I$2505=A142)))"),"https://techcombank.com/thong-tin/blog/cic-la-gi
https://techcombank.com/thong-tin/blog/xep-hang-tin-dung
https://techcombank.com/thong-tin/blog/kiem-tra-no-xau
https://techcombank.com/thong-tin/blog/nen-vay-tin-chap-o-dau
https://techcombank.com/thong-ti"&amp;"n/blog/no-xau-la-gi
https://techcombank.com/thong-tin/blog/vay-tin-chap-khong-tra-duoc-co-sao-khong")</f>
        <v>https://techcombank.com/thong-tin/blog/cic-la-gi
https://techcombank.com/thong-tin/blog/xep-hang-tin-dung
https://techcombank.com/thong-tin/blog/kiem-tra-no-xau
https://techcombank.com/thong-tin/blog/nen-vay-tin-chap-o-dau
https://techcombank.com/thong-tin/blog/no-xau-la-gi
https://techcombank.com/thong-tin/blog/vay-tin-chap-khong-tra-duoc-co-sao-khong</v>
      </c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</row>
    <row r="143">
      <c r="A143" s="10" t="str">
        <f>IFERROR(__xludf.DUMMYFUNCTION("""COMPUTED_VALUE"""),"https://techcombank.com/thong-tin/blog/3d-secure")</f>
        <v>https://techcombank.com/thong-tin/blog/3d-secure</v>
      </c>
      <c r="B143" s="11">
        <f>IFERROR(__xludf.DUMMYFUNCTION("""COMPUTED_VALUE"""),5.0)</f>
        <v>5</v>
      </c>
      <c r="C143" s="8" t="str">
        <f>IFERROR(__xludf.DUMMYFUNCTION("IF(A143="""","""",TEXTJOIN(CHAR(10),TRUE,FILTER('Tổng hợp 75 trang đích'!$B$2:$B$2505,'Tổng hợp 75 trang đích'!$I$2:$I$2505=A143)))"),"https://techcombank.com/thong-tin/blog/lam-the-tin-dung
https://techcombank.com/khach-hang-ca-nhan/chi-tieu/the/the-tin-dung/techcombank-everyday
https://techcombank.com/thong-tin/blog/the-tin-dung-hoan-tien
https://techcombank.com/thong-tin/blog/cach-huy"&amp;"-the-tin-dung
https://techcombank.com/thong-tin/blog/cach-thanh-toan-the-tin-dung")</f>
        <v>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https://techcombank.com/thong-tin/blog/cach-thanh-toan-the-tin-dung</v>
      </c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</row>
    <row r="144">
      <c r="A144" s="10" t="str">
        <f>IFERROR(__xludf.DUMMYFUNCTION("""COMPUTED_VALUE"""),"https://techcombank.com/thong-tin/blog/cac-loai-the-tin-dung")</f>
        <v>https://techcombank.com/thong-tin/blog/cac-loai-the-tin-dung</v>
      </c>
      <c r="B144" s="11">
        <f>IFERROR(__xludf.DUMMYFUNCTION("""COMPUTED_VALUE"""),5.0)</f>
        <v>5</v>
      </c>
      <c r="C144" s="8" t="str">
        <f>IFERROR(__xludf.DUMMYFUNCTION("IF(A144="""","""",TEXTJOIN(CHAR(10),TRUE,FILTER('Tổng hợp 75 trang đích'!$B$2:$B$2505,'Tổng hợp 75 trang đích'!$I$2:$I$2505=A144)))"),"https://techcombank.com/thong-tin/blog/lam-the-tin-dung
https://techcombank.com/khach-hang-ca-nhan/chi-tieu/the/the-tin-dung/techcombank-everyday
https://techcombank.com/thong-tin/blog/the-tin-dung-hoan-tien
https://techcombank.com/thong-tin/blog/cach-huy"&amp;"-the-tin-dung
https://techcombank.com/thong-tin/blog/cach-thanh-toan-the-tin-dung")</f>
        <v>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https://techcombank.com/thong-tin/blog/cach-thanh-toan-the-tin-dung</v>
      </c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</row>
    <row r="145">
      <c r="A145" s="10" t="str">
        <f>IFERROR(__xludf.DUMMYFUNCTION("""COMPUTED_VALUE"""),"https://techcombank.com/thong-tin/blog/cach-chuyen-tien")</f>
        <v>https://techcombank.com/thong-tin/blog/cach-chuyen-tien</v>
      </c>
      <c r="B145" s="11">
        <f>IFERROR(__xludf.DUMMYFUNCTION("""COMPUTED_VALUE"""),5.0)</f>
        <v>5</v>
      </c>
      <c r="C145" s="8" t="str">
        <f>IFERROR(__xludf.DUMMYFUNCTION("IF(A145="""","""",TEXTJOIN(CHAR(10),TRUE,FILTER('Tổng hợp 75 trang đích'!$B$2:$B$2505,'Tổng hợp 75 trang đích'!$I$2:$I$2505=A145)))"),"https://techcombank.com/thong-tin/blog/cach-kiem-tra-tai-khoan-ngan-hang
https://techcombank.com/thong-tin/blog/chuyen-khoan-thanh-cong-nhung-khong-nhan-duoc-tien
https://techcombank.com/thong-tin/blog/nap-tien-vao-tai-khoan-ngan-hang
https://techcombank."&amp;"com/thong-tin/blog/rut-tien-bang-ma-qr-la-gi-cach-thuc-hien-nhu-the-nao
https://techcombank.com/thong-tin/blog/gui-ma-qr-ngan-hang")</f>
        <v>https://techcombank.com/thong-tin/blog/cach-kiem-tra-tai-khoan-ngan-hang
https://techcombank.com/thong-tin/blog/chuyen-khoan-thanh-cong-nhung-khong-nhan-duoc-tien
https://techcombank.com/thong-tin/blog/nap-tien-vao-tai-khoan-ngan-hang
https://techcombank.com/thong-tin/blog/rut-tien-bang-ma-qr-la-gi-cach-thuc-hien-nhu-the-nao
https://techcombank.com/thong-tin/blog/gui-ma-qr-ngan-hang</v>
      </c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</row>
    <row r="146">
      <c r="A146" s="10" t="str">
        <f>IFERROR(__xludf.DUMMYFUNCTION("""COMPUTED_VALUE"""),"https://techcombank.com/thong-tin/blog/cach-lam-the-atm")</f>
        <v>https://techcombank.com/thong-tin/blog/cach-lam-the-atm</v>
      </c>
      <c r="B146" s="11">
        <f>IFERROR(__xludf.DUMMYFUNCTION("""COMPUTED_VALUE"""),5.0)</f>
        <v>5</v>
      </c>
      <c r="C146" s="8" t="str">
        <f>IFERROR(__xludf.DUMMYFUNCTION("IF(A146="""","""",TEXTJOIN(CHAR(10),TRUE,FILTER('Tổng hợp 75 trang đích'!$B$2:$B$2505,'Tổng hợp 75 trang đích'!$I$2:$I$2505=A146)))"),"https://techcombank.com/thong-tin/blog/bao-nhieu-tuoi-duoc-mo-tai-khoan-ngan-hang
https://techcombank.com/thong-tin/blog/nap-tien-vao-tai-khoan-ngan-hang
https://techcombank.com/thong-tin/blog/ten-dang-nhap-tai-khoan-ngan-hang-la-gi
https://techcombank.co"&amp;"m/thong-tin/blog/rut-tien-bang-ma-qr-la-gi-cach-thuc-hien-nhu-the-nao
https://techcombank.com/thong-tin/blog/lam-the-tin-dung")</f>
        <v>https://techcombank.com/thong-tin/blog/bao-nhieu-tuoi-duoc-mo-tai-khoan-ngan-hang
https://techcombank.com/thong-tin/blog/nap-tien-vao-tai-khoan-ngan-hang
https://techcombank.com/thong-tin/blog/ten-dang-nhap-tai-khoan-ngan-hang-la-gi
https://techcombank.com/thong-tin/blog/rut-tien-bang-ma-qr-la-gi-cach-thuc-hien-nhu-the-nao
https://techcombank.com/thong-tin/blog/lam-the-tin-dung</v>
      </c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</row>
    <row r="147">
      <c r="A147" s="10" t="str">
        <f>IFERROR(__xludf.DUMMYFUNCTION("""COMPUTED_VALUE"""),"https://techcombank.com/thong-tin/blog/cach-su-dung-tai-khoan-cong-ty")</f>
        <v>https://techcombank.com/thong-tin/blog/cach-su-dung-tai-khoan-cong-ty</v>
      </c>
      <c r="B147" s="11">
        <f>IFERROR(__xludf.DUMMYFUNCTION("""COMPUTED_VALUE"""),5.0)</f>
        <v>5</v>
      </c>
      <c r="C147" s="8" t="str">
        <f>IFERROR(__xludf.DUMMYFUNCTION("IF(A147="""","""",TEXTJOIN(CHAR(10),TRUE,FILTER('Tổng hợp 75 trang đích'!$B$2:$B$2505,'Tổng hợp 75 trang đích'!$I$2:$I$2505=A147)))"),"https://techcombank.com/thong-tin/blog/cong-ty-su-dung-tai-khoan-ca-nhan
https://techcombank.com/thong-tin/blog/chuyen-khoan-thanh-cong-nhung-khong-nhan-duoc-tien
https://techcombank.com/thong-tin/blog/nap-tien-vao-tai-khoan-ngan-hang
https://techcombank."&amp;"com/thong-tin/blog/rut-tien-bang-ma-qr-la-gi-cach-thuc-hien-nhu-the-nao
https://techcombank.com/thong-tin/blog/rut-tien-mat-tu-the-tin-dung")</f>
        <v>https://techcombank.com/thong-tin/blog/cong-ty-su-dung-tai-khoan-ca-nhan
https://techcombank.com/thong-tin/blog/chuyen-khoan-thanh-cong-nhung-khong-nhan-duoc-tien
https://techcombank.com/thong-tin/blog/nap-tien-vao-tai-khoan-ngan-hang
https://techcombank.com/thong-tin/blog/rut-tien-bang-ma-qr-la-gi-cach-thuc-hien-nhu-the-nao
https://techcombank.com/thong-tin/blog/rut-tien-mat-tu-the-tin-dung</v>
      </c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</row>
    <row r="148">
      <c r="A148" s="10" t="str">
        <f>IFERROR(__xludf.DUMMYFUNCTION("""COMPUTED_VALUE"""),"https://techcombank.com/thong-tin/blog/cach-tao-ma-qr")</f>
        <v>https://techcombank.com/thong-tin/blog/cach-tao-ma-qr</v>
      </c>
      <c r="B148" s="11">
        <f>IFERROR(__xludf.DUMMYFUNCTION("""COMPUTED_VALUE"""),5.0)</f>
        <v>5</v>
      </c>
      <c r="C148" s="8" t="str">
        <f>IFERROR(__xludf.DUMMYFUNCTION("IF(A148="""","""",TEXTJOIN(CHAR(10),TRUE,FILTER('Tổng hợp 75 trang đích'!$B$2:$B$2505,'Tổng hợp 75 trang đích'!$I$2:$I$2505=A148)))"),"https://techcombank.com/thong-tin/blog/rut-tien-bang-ma-qr-la-gi-cach-thuc-hien-nhu-the-nao
https://techcombank.com/thong-tin/blog/ho-kinh-doanh-dong-thue-nhu-nao
https://techcombank.com/thong-tin/blog/gui-ma-qr-ngan-hang
https://techcombank.com/thong-tin"&amp;"/blog/mo-tai-khoan-ho-kinh-doanh
https://techcombank.com/thong-tin/blog/cach-tinh-thue-ho-kinh-doanh-nho-le")</f>
        <v>https://techcombank.com/thong-tin/blog/rut-tien-bang-ma-qr-la-gi-cach-thuc-hien-nhu-the-nao
https://techcombank.com/thong-tin/blog/ho-kinh-doanh-dong-thue-nhu-nao
https://techcombank.com/thong-tin/blog/gui-ma-qr-ngan-hang
https://techcombank.com/thong-tin/blog/mo-tai-khoan-ho-kinh-doanh
https://techcombank.com/thong-tin/blog/cach-tinh-thue-ho-kinh-doanh-nho-le</v>
      </c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</row>
    <row r="149">
      <c r="A149" s="10" t="str">
        <f>IFERROR(__xludf.DUMMYFUNCTION("""COMPUTED_VALUE"""),"https://techcombank.com/thong-tin/blog/cach-tinh-thue-thu-nhap-ca-nhan-2025")</f>
        <v>https://techcombank.com/thong-tin/blog/cach-tinh-thue-thu-nhap-ca-nhan-2025</v>
      </c>
      <c r="B149" s="11">
        <f>IFERROR(__xludf.DUMMYFUNCTION("""COMPUTED_VALUE"""),5.0)</f>
        <v>5</v>
      </c>
      <c r="C149" s="8" t="str">
        <f>IFERROR(__xludf.DUMMYFUNCTION("IF(A149="""","""",TEXTJOIN(CHAR(10),TRUE,FILTER('Tổng hợp 75 trang đích'!$B$2:$B$2505,'Tổng hợp 75 trang đích'!$I$2:$I$2505=A149)))"),"https://techcombank.com/thong-tin/blog/nop-thue-dat-qua-ngan-hang
https://techcombank.com/thong-tin/blog/cach-nop-thue-dien-tu
https://techcombank.com/thong-tin/blog/kiem-tra-thue-thu-nhap-ca-nhan
https://techcombank.com/thong-tin/blog/thue-thu-nhap-ca-nh"&amp;"an
https://techcombank.com/thong-tin/blog/ho-kinh-doanh-dong-thue-nhu-nao")</f>
        <v>https://techcombank.com/thong-tin/blog/nop-thue-dat-qua-ngan-hang
https://techcombank.com/thong-tin/blog/cach-nop-thue-dien-tu
https://techcombank.com/thong-tin/blog/kiem-tra-thue-thu-nhap-ca-nhan
https://techcombank.com/thong-tin/blog/thue-thu-nhap-ca-nhan
https://techcombank.com/thong-tin/blog/ho-kinh-doanh-dong-thue-nhu-nao</v>
      </c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</row>
    <row r="150">
      <c r="A150" s="10" t="str">
        <f>IFERROR(__xludf.DUMMYFUNCTION("""COMPUTED_VALUE"""),"https://techcombank.com/thong-tin/blog/cashback-the-thanh-toan")</f>
        <v>https://techcombank.com/thong-tin/blog/cashback-the-thanh-toan</v>
      </c>
      <c r="B150" s="11">
        <f>IFERROR(__xludf.DUMMYFUNCTION("""COMPUTED_VALUE"""),5.0)</f>
        <v>5</v>
      </c>
      <c r="C150" s="8" t="str">
        <f>IFERROR(__xludf.DUMMYFUNCTION("IF(A150="""","""",TEXTJOIN(CHAR(10),TRUE,FILTER('Tổng hợp 75 trang đích'!$B$2:$B$2505,'Tổng hợp 75 trang đích'!$I$2:$I$2505=A150)))"),"https://techcombank.com/thong-tin/blog/cach-sao-ke-tai-khoan-ngan-hang
https://techcombank.com/khach-hang-ca-nhan/chi-tieu/the/the-tin-dung/techcombank-everyday
https://techcombank.com/thong-tin/blog/the-tin-dung-hoan-tien
https://techcombank.com/thong-ti"&amp;"n/blog/cach-nhan-tien-tu-nuoc-ngoai-ve-viet-nam
https://techcombank.com/thong-tin/blog/cach-tiet-kiem-tien")</f>
        <v>https://techcombank.com/thong-tin/blog/cach-sao-ke-tai-khoan-ngan-hang
https://techcombank.com/khach-hang-ca-nhan/chi-tieu/the/the-tin-dung/techcombank-everyday
https://techcombank.com/thong-tin/blog/the-tin-dung-hoan-tien
https://techcombank.com/thong-tin/blog/cach-nhan-tien-tu-nuoc-ngoai-ve-viet-nam
https://techcombank.com/thong-tin/blog/cach-tiet-kiem-tien</v>
      </c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</row>
    <row r="151">
      <c r="A151" s="10" t="str">
        <f>IFERROR(__xludf.DUMMYFUNCTION("""COMPUTED_VALUE"""),"https://techcombank.com/thong-tin/blog/cdm")</f>
        <v>https://techcombank.com/thong-tin/blog/cdm</v>
      </c>
      <c r="B151" s="11">
        <f>IFERROR(__xludf.DUMMYFUNCTION("""COMPUTED_VALUE"""),5.0)</f>
        <v>5</v>
      </c>
      <c r="C151" s="8" t="str">
        <f>IFERROR(__xludf.DUMMYFUNCTION("IF(A151="""","""",TEXTJOIN(CHAR(10),TRUE,FILTER('Tổng hợp 75 trang đích'!$B$2:$B$2505,'Tổng hợp 75 trang đích'!$I$2:$I$2505=A151)))"),"https://techcombank.com/thong-tin/blog/cach-kiem-tra-tai-khoan-ngan-hang
https://techcombank.com/thong-tin/blog/chuyen-khoan-thanh-cong-nhung-khong-nhan-duoc-tien
https://techcombank.com/thong-tin/blog/nap-tien-vao-tai-khoan-ngan-hang
https://techcombank."&amp;"com/thong-tin/blog/rut-tien-bang-ma-qr-la-gi-cach-thuc-hien-nhu-the-nao
https://techcombank.com/thong-tin/blog/rut-tien-mat-tu-the-tin-dung")</f>
        <v>https://techcombank.com/thong-tin/blog/cach-kiem-tra-tai-khoan-ngan-hang
https://techcombank.com/thong-tin/blog/chuyen-khoan-thanh-cong-nhung-khong-nhan-duoc-tien
https://techcombank.com/thong-tin/blog/nap-tien-vao-tai-khoan-ngan-hang
https://techcombank.com/thong-tin/blog/rut-tien-bang-ma-qr-la-gi-cach-thuc-hien-nhu-the-nao
https://techcombank.com/thong-tin/blog/rut-tien-mat-tu-the-tin-dung</v>
      </c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</row>
    <row r="152">
      <c r="A152" s="10" t="str">
        <f>IFERROR(__xludf.DUMMYFUNCTION("""COMPUTED_VALUE"""),"https://techcombank.com/thong-tin/blog/chung-chi-tien-gui-co-duoc-rut-truoc-han")</f>
        <v>https://techcombank.com/thong-tin/blog/chung-chi-tien-gui-co-duoc-rut-truoc-han</v>
      </c>
      <c r="B152" s="11">
        <f>IFERROR(__xludf.DUMMYFUNCTION("""COMPUTED_VALUE"""),5.0)</f>
        <v>5</v>
      </c>
      <c r="C152" s="8" t="str">
        <f>IFERROR(__xludf.DUMMYFUNCTION("IF(A152="""","""",TEXTJOIN(CHAR(10),TRUE,FILTER('Tổng hợp 75 trang đích'!$B$2:$B$2505,'Tổng hợp 75 trang đích'!$I$2:$I$2505=A152)))"),"https://techcombank.com/thong-tin/blog/chung-chi-tien-gui-la-gi
https://techcombank.com/thong-tin/blog/lai-suat-chung-chi-tien-gui-cac-ngan-hang
https://techcombank.com/thong-tin/blog/ho-so-thu-tuc-xoa-the-chap
https://techcombank.com/thong-tin/blog/lai-s"&amp;"uat-tiet-kiem
https://techcombank.com/thong-tin/blog/rut-tien-tiet-kiem-truoc-thoi-han")</f>
        <v>https://techcombank.com/thong-tin/blog/chung-chi-tien-gui-la-gi
https://techcombank.com/thong-tin/blog/lai-suat-chung-chi-tien-gui-cac-ngan-hang
https://techcombank.com/thong-tin/blog/ho-so-thu-tuc-xoa-the-chap
https://techcombank.com/thong-tin/blog/lai-suat-tiet-kiem
https://techcombank.com/thong-tin/blog/rut-tien-tiet-kiem-truoc-thoi-han</v>
      </c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</row>
    <row r="153">
      <c r="A153" s="10" t="str">
        <f>IFERROR(__xludf.DUMMYFUNCTION("""COMPUTED_VALUE"""),"https://techcombank.com/thong-tin/blog/chuyen-doi-hoa-don-dien-tu")</f>
        <v>https://techcombank.com/thong-tin/blog/chuyen-doi-hoa-don-dien-tu</v>
      </c>
      <c r="B153" s="11">
        <f>IFERROR(__xludf.DUMMYFUNCTION("""COMPUTED_VALUE"""),5.0)</f>
        <v>5</v>
      </c>
      <c r="C153" s="8" t="str">
        <f>IFERROR(__xludf.DUMMYFUNCTION("IF(A153="""","""",TEXTJOIN(CHAR(10),TRUE,FILTER('Tổng hợp 75 trang đích'!$B$2:$B$2505,'Tổng hợp 75 trang đích'!$I$2:$I$2505=A153)))"),"https://techcombank.com/thong-tin/blog/thue-vat-la-gi
https://techcombank.com/thong-tin/blog/cach-tinh-tien-dien-sinh-hoat
https://techcombank.com/thong-tin/blog/ho-kinh-doanh-dong-thue-nhu-nao
https://techcombank.com/thong-tin/blog/mo-tai-khoan-ho-kinh-d"&amp;"oanh
https://techcombank.com/thong-tin/blog/cach-tinh-thue-ho-kinh-doanh-nho-le")</f>
        <v>https://techcombank.com/thong-tin/blog/thue-vat-la-gi
https://techcombank.com/thong-tin/blog/cach-tinh-tien-dien-sinh-hoat
https://techcombank.com/thong-tin/blog/ho-kinh-doanh-dong-thue-nhu-nao
https://techcombank.com/thong-tin/blog/mo-tai-khoan-ho-kinh-doanh
https://techcombank.com/thong-tin/blog/cach-tinh-thue-ho-kinh-doanh-nho-le</v>
      </c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</row>
    <row r="154">
      <c r="A154" s="10" t="str">
        <f>IFERROR(__xludf.DUMMYFUNCTION("""COMPUTED_VALUE"""),"https://techcombank.com/thong-tin/blog/chuyen-tien-di-uc")</f>
        <v>https://techcombank.com/thong-tin/blog/chuyen-tien-di-uc</v>
      </c>
      <c r="B154" s="11">
        <f>IFERROR(__xludf.DUMMYFUNCTION("""COMPUTED_VALUE"""),5.0)</f>
        <v>5</v>
      </c>
      <c r="C154" s="8" t="str">
        <f>IFERROR(__xludf.DUMMYFUNCTION("IF(A154="""","""",TEXTJOIN(CHAR(10),TRUE,FILTER('Tổng hợp 75 trang đích'!$B$2:$B$2505,'Tổng hợp 75 trang đích'!$I$2:$I$2505=A154)))"),"https://techcombank.com/thong-tin/blog/chuyen-khoan-thanh-cong-nhung-khong-nhan-duoc-tien
https://techcombank.com/thong-tin/blog/1-dong-do-la-my-bang-bao-nhieu-tien-viet-nam
https://techcombank.com/thong-tin/blog/1-trieu-do-bang-bao-nhieu-tien-viet
https:"&amp;"//techcombank.com/thong-tin/blog/cach-nhan-tien-tu-nuoc-ngoai-ve-viet-nam
https://techcombank.com/thong-tin/blog/doi-tien-do-o-dau")</f>
        <v>https://techcombank.com/thong-tin/blog/chuyen-khoan-thanh-cong-nhung-khong-nhan-duoc-tien
https://techcombank.com/thong-tin/blog/1-dong-do-la-my-bang-bao-nhieu-tien-viet-nam
https://techcombank.com/thong-tin/blog/1-trieu-do-bang-bao-nhieu-tien-viet
https://techcombank.com/thong-tin/blog/cach-nhan-tien-tu-nuoc-ngoai-ve-viet-nam
https://techcombank.com/thong-tin/blog/doi-tien-do-o-dau</v>
      </c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</row>
    <row r="155">
      <c r="A155" s="10" t="str">
        <f>IFERROR(__xludf.DUMMYFUNCTION("""COMPUTED_VALUE"""),"https://techcombank.com/thong-tin/blog/chuyen-tien-tu-my-ve-viet-nam")</f>
        <v>https://techcombank.com/thong-tin/blog/chuyen-tien-tu-my-ve-viet-nam</v>
      </c>
      <c r="B155" s="11">
        <f>IFERROR(__xludf.DUMMYFUNCTION("""COMPUTED_VALUE"""),5.0)</f>
        <v>5</v>
      </c>
      <c r="C155" s="8" t="str">
        <f>IFERROR(__xludf.DUMMYFUNCTION("IF(A155="""","""",TEXTJOIN(CHAR(10),TRUE,FILTER('Tổng hợp 75 trang đích'!$B$2:$B$2505,'Tổng hợp 75 trang đích'!$I$2:$I$2505=A155)))"),"https://techcombank.com/thong-tin/blog/chuyen-khoan-thanh-cong-nhung-khong-nhan-duoc-tien
https://techcombank.com/thong-tin/blog/1-dong-do-la-my-bang-bao-nhieu-tien-viet-nam
https://techcombank.com/thong-tin/blog/1-trieu-do-bang-bao-nhieu-tien-viet
https:"&amp;"//techcombank.com/thong-tin/blog/cach-nhan-tien-tu-nuoc-ngoai-ve-viet-nam
https://techcombank.com/thong-tin/blog/doi-tien-do-o-dau")</f>
        <v>https://techcombank.com/thong-tin/blog/chuyen-khoan-thanh-cong-nhung-khong-nhan-duoc-tien
https://techcombank.com/thong-tin/blog/1-dong-do-la-my-bang-bao-nhieu-tien-viet-nam
https://techcombank.com/thong-tin/blog/1-trieu-do-bang-bao-nhieu-tien-viet
https://techcombank.com/thong-tin/blog/cach-nhan-tien-tu-nuoc-ngoai-ve-viet-nam
https://techcombank.com/thong-tin/blog/doi-tien-do-o-dau</v>
      </c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</row>
    <row r="156">
      <c r="A156" s="10" t="str">
        <f>IFERROR(__xludf.DUMMYFUNCTION("""COMPUTED_VALUE"""),"https://techcombank.com/thong-tin/blog/co-nen-gui-tiet-kiem-ngan-hang")</f>
        <v>https://techcombank.com/thong-tin/blog/co-nen-gui-tiet-kiem-ngan-hang</v>
      </c>
      <c r="B156" s="11">
        <f>IFERROR(__xludf.DUMMYFUNCTION("""COMPUTED_VALUE"""),5.0)</f>
        <v>5</v>
      </c>
      <c r="C156" s="8" t="str">
        <f>IFERROR(__xludf.DUMMYFUNCTION("IF(A156="""","""",TEXTJOIN(CHAR(10),TRUE,FILTER('Tổng hợp 75 trang đích'!$B$2:$B$2505,'Tổng hợp 75 trang đích'!$I$2:$I$2505=A156)))"),"https://techcombank.com/thong-tin/blog/chung-chi-tien-gui-la-gi
https://techcombank.com/thong-tin/blog/lai-suat-tiet-kiem
https://techcombank.com/thong-tin/blog/cach-tinh-lai-suat-tien-gui-tiet-kiem
https://techcombank.com/thong-tin/blog/so-tiet-kiem-ngan"&amp;"-hang
https://techcombank.com/cong-cu-tien-ich/cong-cu-tinh-toan/bang-tinh-lai-suat-tiet-kiem")</f>
        <v>https://techcombank.com/thong-tin/blog/chung-chi-tien-gui-la-gi
https://techcombank.com/thong-tin/blog/lai-suat-tiet-kiem
https://techcombank.com/thong-tin/blog/cach-tinh-lai-suat-tien-gui-tiet-kiem
https://techcombank.com/thong-tin/blog/so-tiet-kiem-ngan-hang
https://techcombank.com/cong-cu-tien-ich/cong-cu-tinh-toan/bang-tinh-lai-suat-tiet-kiem</v>
      </c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</row>
    <row r="157">
      <c r="A157" s="10" t="str">
        <f>IFERROR(__xludf.DUMMYFUNCTION("""COMPUTED_VALUE"""),"https://techcombank.com/thong-tin/blog/dang-ky-ma-so-thue-ca-nhan")</f>
        <v>https://techcombank.com/thong-tin/blog/dang-ky-ma-so-thue-ca-nhan</v>
      </c>
      <c r="B157" s="11">
        <f>IFERROR(__xludf.DUMMYFUNCTION("""COMPUTED_VALUE"""),5.0)</f>
        <v>5</v>
      </c>
      <c r="C157" s="8" t="str">
        <f>IFERROR(__xludf.DUMMYFUNCTION("IF(A157="""","""",TEXTJOIN(CHAR(10),TRUE,FILTER('Tổng hợp 75 trang đích'!$B$2:$B$2505,'Tổng hợp 75 trang đích'!$I$2:$I$2505=A157)))"),"https://techcombank.com/thong-tin/blog/cach-tinh-thue-thu-nhap-ca-nhan-2025
https://techcombank.com/thong-tin/blog/kiem-tra-thue-thu-nhap-ca-nhan
https://techcombank.com/thong-tin/blog/thue-thu-nhap-ca-nhan
https://techcombank.com/thong-tin/blog/cach-quet"&amp;"-nfc-cccd-tren-iphone
https://techcombank.com/thong-tin/blog/ho-kinh-doanh-dong-thue-nhu-nao")</f>
        <v>https://techcombank.com/thong-tin/blog/cach-tinh-thue-thu-nhap-ca-nhan-2025
https://techcombank.com/thong-tin/blog/kiem-tra-thue-thu-nhap-ca-nhan
https://techcombank.com/thong-tin/blog/thue-thu-nhap-ca-nhan
https://techcombank.com/thong-tin/blog/cach-quet-nfc-cccd-tren-iphone
https://techcombank.com/thong-tin/blog/ho-kinh-doanh-dong-thue-nhu-nao</v>
      </c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</row>
    <row r="158">
      <c r="A158" s="10" t="str">
        <f>IFERROR(__xludf.DUMMYFUNCTION("""COMPUTED_VALUE"""),"https://techcombank.com/thong-tin/blog/danh-muc-dau-tu")</f>
        <v>https://techcombank.com/thong-tin/blog/danh-muc-dau-tu</v>
      </c>
      <c r="B158" s="11">
        <f>IFERROR(__xludf.DUMMYFUNCTION("""COMPUTED_VALUE"""),5.0)</f>
        <v>5</v>
      </c>
      <c r="C158" s="8" t="str">
        <f>IFERROR(__xludf.DUMMYFUNCTION("IF(A158="""","""",TEXTJOIN(CHAR(10),TRUE,FILTER('Tổng hợp 75 trang đích'!$B$2:$B$2505,'Tổng hợp 75 trang đích'!$I$2:$I$2505=A158)))"),"https://techcombank.com/thong-tin/blog/thue-thu-nhap-doanh-nghiep
https://techcombank.com/thong-tin/blog/cach-tinh-thue-thu-nhap-doanh-nghiep
https://techcombank.com/thong-tin/blog/cach-tiet-kiem-tien
https://techcombank.com/thong-tin/blog/rui-ro-khi-gui-"&amp;"tiet-kiem-online
https://techcombank.com/thong-tin/blog/phuong-phap-dau-tu-chung-chi-quy")</f>
        <v>https://techcombank.com/thong-tin/blog/thue-thu-nhap-doanh-nghiep
https://techcombank.com/thong-tin/blog/cach-tinh-thue-thu-nhap-doanh-nghiep
https://techcombank.com/thong-tin/blog/cach-tiet-kiem-tien
https://techcombank.com/thong-tin/blog/rui-ro-khi-gui-tiet-kiem-online
https://techcombank.com/thong-tin/blog/phuong-phap-dau-tu-chung-chi-quy</v>
      </c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</row>
    <row r="159">
      <c r="A159" s="10" t="str">
        <f>IFERROR(__xludf.DUMMYFUNCTION("""COMPUTED_VALUE"""),"https://techcombank.com/thong-tin/blog/dao-han-la-gi")</f>
        <v>https://techcombank.com/thong-tin/blog/dao-han-la-gi</v>
      </c>
      <c r="B159" s="11">
        <f>IFERROR(__xludf.DUMMYFUNCTION("""COMPUTED_VALUE"""),5.0)</f>
        <v>5</v>
      </c>
      <c r="C159" s="8" t="str">
        <f>IFERROR(__xludf.DUMMYFUNCTION("IF(A159="""","""",TEXTJOIN(CHAR(10),TRUE,FILTER('Tổng hợp 75 trang đích'!$B$2:$B$2505,'Tổng hợp 75 trang đích'!$I$2:$I$2505=A159)))"),"https://techcombank.com/thong-tin/blog/cach-tinh-lai-vay-ngan-hang
https://techcombank.com/thong-tin/blog/cach-tinh-lai-suat-tien-gui-tiet-kiem
https://techcombank.com/thong-tin/blog/rut-tien-tiet-kiem-truoc-thoi-han
https://techcombank.com/thong-tin/blog"&amp;"/so-tiet-kiem-ngan-hang
https://techcombank.com/cong-cu-tien-ich/cong-cu-tinh-toan/bang-tinh-lai-suat-vay")</f>
        <v>https://techcombank.com/thong-tin/blog/cach-tinh-lai-vay-ngan-hang
https://techcombank.com/thong-tin/blog/cach-tinh-lai-suat-tien-gui-tiet-kiem
https://techcombank.com/thong-tin/blog/rut-tien-tiet-kiem-truoc-thoi-han
https://techcombank.com/thong-tin/blog/so-tiet-kiem-ngan-hang
https://techcombank.com/cong-cu-tien-ich/cong-cu-tinh-toan/bang-tinh-lai-suat-vay</v>
      </c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</row>
    <row r="160">
      <c r="A160" s="10" t="str">
        <f>IFERROR(__xludf.DUMMYFUNCTION("""COMPUTED_VALUE"""),"https://techcombank.com/thong-tin/blog/dao-han-the-tin-dung")</f>
        <v>https://techcombank.com/thong-tin/blog/dao-han-the-tin-dung</v>
      </c>
      <c r="B160" s="11">
        <f>IFERROR(__xludf.DUMMYFUNCTION("""COMPUTED_VALUE"""),5.0)</f>
        <v>5</v>
      </c>
      <c r="C160" s="8" t="str">
        <f>IFERROR(__xludf.DUMMYFUNCTION("IF(A160="""","""",TEXTJOIN(CHAR(10),TRUE,FILTER('Tổng hợp 75 trang đích'!$B$2:$B$2505,'Tổng hợp 75 trang đích'!$I$2:$I$2505=A160)))"),"https://techcombank.com/thong-tin/blog/lam-the-tin-dung
https://techcombank.com/khach-hang-ca-nhan/chi-tieu/the/the-tin-dung/techcombank-everyday
https://techcombank.com/thong-tin/blog/the-tin-dung-hoan-tien
https://techcombank.com/thong-tin/blog/cach-huy"&amp;"-the-tin-dung
https://techcombank.com/thong-tin/blog/cach-thanh-toan-the-tin-dung")</f>
        <v>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https://techcombank.com/thong-tin/blog/cach-thanh-toan-the-tin-dung</v>
      </c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</row>
    <row r="161">
      <c r="A161" s="10" t="str">
        <f>IFERROR(__xludf.DUMMYFUNCTION("""COMPUTED_VALUE"""),"https://techcombank.com/thong-tin/blog/di-du-lich-nuoc-ngoai-can-chuan-bi-gi")</f>
        <v>https://techcombank.com/thong-tin/blog/di-du-lich-nuoc-ngoai-can-chuan-bi-gi</v>
      </c>
      <c r="B161" s="11">
        <f>IFERROR(__xludf.DUMMYFUNCTION("""COMPUTED_VALUE"""),5.0)</f>
        <v>5</v>
      </c>
      <c r="C161" s="8" t="str">
        <f>IFERROR(__xludf.DUMMYFUNCTION("IF(A161="""","""",TEXTJOIN(CHAR(10),TRUE,FILTER('Tổng hợp 75 trang đích'!$B$2:$B$2505,'Tổng hợp 75 trang đích'!$I$2:$I$2505=A161)))"),"https://techcombank.com/thong-tin/blog/1-te-bang-bao-nhieu-tien-viet-nam
https://techcombank.com/thong-tin/blog/tien-thai-lan
https://techcombank.com/thong-tin/blog/cach-nhan-tien-tu-nuoc-ngoai-ve-viet-nam
https://techcombank.com/thong-tin/blog/doi-tien-d"&amp;"o-o-dau
https://techcombank.com/thong-tin/blog/traveloka-voucher")</f>
        <v>https://techcombank.com/thong-tin/blog/1-te-bang-bao-nhieu-tien-viet-nam
https://techcombank.com/thong-tin/blog/tien-thai-lan
https://techcombank.com/thong-tin/blog/cach-nhan-tien-tu-nuoc-ngoai-ve-viet-nam
https://techcombank.com/thong-tin/blog/doi-tien-do-o-dau
https://techcombank.com/thong-tin/blog/traveloka-voucher</v>
      </c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</row>
    <row r="162">
      <c r="A162" s="10" t="str">
        <f>IFERROR(__xludf.DUMMYFUNCTION("""COMPUTED_VALUE"""),"https://techcombank.com/thong-tin/blog/gui-tiet-kiem-theo-ngay")</f>
        <v>https://techcombank.com/thong-tin/blog/gui-tiet-kiem-theo-ngay</v>
      </c>
      <c r="B162" s="11">
        <f>IFERROR(__xludf.DUMMYFUNCTION("""COMPUTED_VALUE"""),5.0)</f>
        <v>5</v>
      </c>
      <c r="C162" s="8" t="str">
        <f>IFERROR(__xludf.DUMMYFUNCTION("IF(A162="""","""",TEXTJOIN(CHAR(10),TRUE,FILTER('Tổng hợp 75 trang đích'!$B$2:$B$2505,'Tổng hợp 75 trang đích'!$I$2:$I$2505=A162)))"),"https://techcombank.com/thong-tin/blog/chung-chi-tien-gui-la-gi
https://techcombank.com/thong-tin/blog/lai-suat-tiet-kiem
https://techcombank.com/thong-tin/blog/cach-tinh-lai-suat-tien-gui-tiet-kiem
https://techcombank.com/thong-tin/blog/so-tiet-kiem-ngan"&amp;"-hang
https://techcombank.com/cong-cu-tien-ich/cong-cu-tinh-toan/bang-tinh-lai-suat-tiet-kiem")</f>
        <v>https://techcombank.com/thong-tin/blog/chung-chi-tien-gui-la-gi
https://techcombank.com/thong-tin/blog/lai-suat-tiet-kiem
https://techcombank.com/thong-tin/blog/cach-tinh-lai-suat-tien-gui-tiet-kiem
https://techcombank.com/thong-tin/blog/so-tiet-kiem-ngan-hang
https://techcombank.com/cong-cu-tien-ich/cong-cu-tinh-toan/bang-tinh-lai-suat-tiet-kiem</v>
      </c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</row>
    <row r="163">
      <c r="A163" s="10" t="str">
        <f>IFERROR(__xludf.DUMMYFUNCTION("""COMPUTED_VALUE"""),"https://techcombank.com/thong-tin/blog/gui-tiet-kiem-tich-luy-la-gi")</f>
        <v>https://techcombank.com/thong-tin/blog/gui-tiet-kiem-tich-luy-la-gi</v>
      </c>
      <c r="B163" s="11">
        <f>IFERROR(__xludf.DUMMYFUNCTION("""COMPUTED_VALUE"""),5.0)</f>
        <v>5</v>
      </c>
      <c r="C163" s="8" t="str">
        <f>IFERROR(__xludf.DUMMYFUNCTION("IF(A163="""","""",TEXTJOIN(CHAR(10),TRUE,FILTER('Tổng hợp 75 trang đích'!$B$2:$B$2505,'Tổng hợp 75 trang đích'!$I$2:$I$2505=A163)))"),"https://techcombank.com/thong-tin/blog/chung-chi-tien-gui-la-gi
https://techcombank.com/thong-tin/blog/lai-suat-tiet-kiem
https://techcombank.com/thong-tin/blog/cach-tinh-lai-suat-tien-gui-tiet-kiem
https://techcombank.com/thong-tin/blog/so-tiet-kiem-ngan"&amp;"-hang
https://techcombank.com/cong-cu-tien-ich/cong-cu-tinh-toan/bang-tinh-lai-suat-tiet-kiem")</f>
        <v>https://techcombank.com/thong-tin/blog/chung-chi-tien-gui-la-gi
https://techcombank.com/thong-tin/blog/lai-suat-tiet-kiem
https://techcombank.com/thong-tin/blog/cach-tinh-lai-suat-tien-gui-tiet-kiem
https://techcombank.com/thong-tin/blog/so-tiet-kiem-ngan-hang
https://techcombank.com/cong-cu-tien-ich/cong-cu-tinh-toan/bang-tinh-lai-suat-tiet-kiem</v>
      </c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</row>
    <row r="164">
      <c r="A164" s="10" t="str">
        <f>IFERROR(__xludf.DUMMYFUNCTION("""COMPUTED_VALUE"""),"https://techcombank.com/thong-tin/blog/hoa-don-dien-tu")</f>
        <v>https://techcombank.com/thong-tin/blog/hoa-don-dien-tu</v>
      </c>
      <c r="B164" s="11">
        <f>IFERROR(__xludf.DUMMYFUNCTION("""COMPUTED_VALUE"""),5.0)</f>
        <v>5</v>
      </c>
      <c r="C164" s="8" t="str">
        <f>IFERROR(__xludf.DUMMYFUNCTION("IF(A164="""","""",TEXTJOIN(CHAR(10),TRUE,FILTER('Tổng hợp 75 trang đích'!$B$2:$B$2505,'Tổng hợp 75 trang đích'!$I$2:$I$2505=A164)))"),"https://techcombank.com/thong-tin/blog/thue-vat-la-gi
https://techcombank.com/thong-tin/blog/cach-tinh-tien-dien-sinh-hoat
https://techcombank.com/thong-tin/blog/ho-kinh-doanh-dong-thue-nhu-nao
https://techcombank.com/thong-tin/blog/mo-tai-khoan-ho-kinh-d"&amp;"oanh
https://techcombank.com/thong-tin/blog/cach-tinh-thue-ho-kinh-doanh-nho-le")</f>
        <v>https://techcombank.com/thong-tin/blog/thue-vat-la-gi
https://techcombank.com/thong-tin/blog/cach-tinh-tien-dien-sinh-hoat
https://techcombank.com/thong-tin/blog/ho-kinh-doanh-dong-thue-nhu-nao
https://techcombank.com/thong-tin/blog/mo-tai-khoan-ho-kinh-doanh
https://techcombank.com/thong-tin/blog/cach-tinh-thue-ho-kinh-doanh-nho-le</v>
      </c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</row>
    <row r="165">
      <c r="A165" s="10" t="str">
        <f>IFERROR(__xludf.DUMMYFUNCTION("""COMPUTED_VALUE"""),"https://techcombank.com/thong-tin/blog/hoa-don-dien-tu-ho-kinh-doanh")</f>
        <v>https://techcombank.com/thong-tin/blog/hoa-don-dien-tu-ho-kinh-doanh</v>
      </c>
      <c r="B165" s="11">
        <f>IFERROR(__xludf.DUMMYFUNCTION("""COMPUTED_VALUE"""),5.0)</f>
        <v>5</v>
      </c>
      <c r="C165" s="8" t="str">
        <f>IFERROR(__xludf.DUMMYFUNCTION("IF(A165="""","""",TEXTJOIN(CHAR(10),TRUE,FILTER('Tổng hợp 75 trang đích'!$B$2:$B$2505,'Tổng hợp 75 trang đích'!$I$2:$I$2505=A165)))"),"https://techcombank.com/thong-tin/blog/thue-vat-la-gi
https://techcombank.com/thong-tin/blog/cach-tinh-tien-dien-sinh-hoat
https://techcombank.com/thong-tin/blog/ho-kinh-doanh-dong-thue-nhu-nao
https://techcombank.com/thong-tin/blog/mo-tai-khoan-ho-kinh-d"&amp;"oanh
https://techcombank.com/thong-tin/blog/cach-tinh-thue-ho-kinh-doanh-nho-le")</f>
        <v>https://techcombank.com/thong-tin/blog/thue-vat-la-gi
https://techcombank.com/thong-tin/blog/cach-tinh-tien-dien-sinh-hoat
https://techcombank.com/thong-tin/blog/ho-kinh-doanh-dong-thue-nhu-nao
https://techcombank.com/thong-tin/blog/mo-tai-khoan-ho-kinh-doanh
https://techcombank.com/thong-tin/blog/cach-tinh-thue-ho-kinh-doanh-nho-le</v>
      </c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</row>
    <row r="166">
      <c r="A166" s="10" t="str">
        <f>IFERROR(__xludf.DUMMYFUNCTION("""COMPUTED_VALUE"""),"https://techcombank.com/thong-tin/blog/hoc-cach-tiet-kiem-tien-luong")</f>
        <v>https://techcombank.com/thong-tin/blog/hoc-cach-tiet-kiem-tien-luong</v>
      </c>
      <c r="B166" s="11">
        <f>IFERROR(__xludf.DUMMYFUNCTION("""COMPUTED_VALUE"""),5.0)</f>
        <v>5</v>
      </c>
      <c r="C166" s="8" t="str">
        <f>IFERROR(__xludf.DUMMYFUNCTION("IF(A166="""","""",TEXTJOIN(CHAR(10),TRUE,FILTER('Tổng hợp 75 trang đích'!$B$2:$B$2505,'Tổng hợp 75 trang đích'!$I$2:$I$2505=A166)))"),"https://techcombank.com/thong-tin/blog/cach-tinh-thue-thu-nhap-ca-nhan-2025
https://techcombank.com/thong-tin/blog/cach-sao-ke-tai-khoan-ngan-hang
https://techcombank.com/thong-tin/blog/thue-thu-nhap-ca-nhan
https://techcombank.com/thong-tin/blog/eco-card"&amp;"
https://techcombank.com/thong-tin/blog/cach-tiet-kiem-tien")</f>
        <v>https://techcombank.com/thong-tin/blog/cach-tinh-thue-thu-nhap-ca-nhan-2025
https://techcombank.com/thong-tin/blog/cach-sao-ke-tai-khoan-ngan-hang
https://techcombank.com/thong-tin/blog/thue-thu-nhap-ca-nhan
https://techcombank.com/thong-tin/blog/eco-card
https://techcombank.com/thong-tin/blog/cach-tiet-kiem-tien</v>
      </c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</row>
    <row r="167">
      <c r="A167" s="10" t="str">
        <f>IFERROR(__xludf.DUMMYFUNCTION("""COMPUTED_VALUE"""),"https://techcombank.com/thong-tin/blog/khong-su-dung-the-tin-dung-co-mat-phi-khong")</f>
        <v>https://techcombank.com/thong-tin/blog/khong-su-dung-the-tin-dung-co-mat-phi-khong</v>
      </c>
      <c r="B167" s="11">
        <f>IFERROR(__xludf.DUMMYFUNCTION("""COMPUTED_VALUE"""),5.0)</f>
        <v>5</v>
      </c>
      <c r="C167" s="8" t="str">
        <f>IFERROR(__xludf.DUMMYFUNCTION("IF(A167="""","""",TEXTJOIN(CHAR(10),TRUE,FILTER('Tổng hợp 75 trang đích'!$B$2:$B$2505,'Tổng hợp 75 trang đích'!$I$2:$I$2505=A167)))"),"https://techcombank.com/thong-tin/blog/lam-the-tin-dung
https://techcombank.com/khach-hang-ca-nhan/chi-tieu/the/the-tin-dung/techcombank-everyday
https://techcombank.com/thong-tin/blog/the-tin-dung-hoan-tien
https://techcombank.com/thong-tin/blog/cach-huy"&amp;"-the-tin-dung
https://techcombank.com/thong-tin/blog/cach-thanh-toan-the-tin-dung")</f>
        <v>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https://techcombank.com/thong-tin/blog/cach-thanh-toan-the-tin-dung</v>
      </c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</row>
    <row r="168">
      <c r="A168" s="10" t="str">
        <f>IFERROR(__xludf.DUMMYFUNCTION("""COMPUTED_VALUE"""),"https://techcombank.com/thong-tin/blog/kich-hoat-the-tin-dung-techcombank")</f>
        <v>https://techcombank.com/thong-tin/blog/kich-hoat-the-tin-dung-techcombank</v>
      </c>
      <c r="B168" s="11">
        <f>IFERROR(__xludf.DUMMYFUNCTION("""COMPUTED_VALUE"""),5.0)</f>
        <v>5</v>
      </c>
      <c r="C168" s="8" t="str">
        <f>IFERROR(__xludf.DUMMYFUNCTION("IF(A168="""","""",TEXTJOIN(CHAR(10),TRUE,FILTER('Tổng hợp 75 trang đích'!$B$2:$B$2505,'Tổng hợp 75 trang đích'!$I$2:$I$2505=A168)))"),"https://techcombank.com/thong-tin/blog/lam-the-tin-dung
https://techcombank.com/khach-hang-ca-nhan/chi-tieu/the/the-tin-dung/techcombank-everyday
https://techcombank.com/thong-tin/blog/the-tin-dung-hoan-tien
https://techcombank.com/thong-tin/blog/cach-huy"&amp;"-the-tin-dung
https://techcombank.com/thong-tin/blog/cach-thanh-toan-the-tin-dung")</f>
        <v>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https://techcombank.com/thong-tin/blog/cach-thanh-toan-the-tin-dung</v>
      </c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</row>
    <row r="169">
      <c r="A169" s="10" t="str">
        <f>IFERROR(__xludf.DUMMYFUNCTION("""COMPUTED_VALUE"""),"https://techcombank.com/thong-tin/blog/kiem-tra-thue-thu-nhap-ca-nhan")</f>
        <v>https://techcombank.com/thong-tin/blog/kiem-tra-thue-thu-nhap-ca-nhan</v>
      </c>
      <c r="B169" s="11">
        <f>IFERROR(__xludf.DUMMYFUNCTION("""COMPUTED_VALUE"""),5.0)</f>
        <v>5</v>
      </c>
      <c r="C169" s="8" t="str">
        <f>IFERROR(__xludf.DUMMYFUNCTION("IF(A169="""","""",TEXTJOIN(CHAR(10),TRUE,FILTER('Tổng hợp 75 trang đích'!$B$2:$B$2505,'Tổng hợp 75 trang đích'!$I$2:$I$2505=A169)))"),"https://techcombank.com/thong-tin/blog/nop-thue-dat-qua-ngan-hang
https://techcombank.com/thong-tin/blog/cach-nop-thue-dien-tu
https://techcombank.com/thong-tin/blog/cach-tinh-thue-thu-nhap-ca-nhan-2025
https://techcombank.com/thong-tin/blog/thue-thu-nhap"&amp;"-ca-nhan
https://techcombank.com/thong-tin/blog/ho-kinh-doanh-dong-thue-nhu-nao")</f>
        <v>https://techcombank.com/thong-tin/blog/nop-thue-dat-qua-ngan-hang
https://techcombank.com/thong-tin/blog/cach-nop-thue-dien-tu
https://techcombank.com/thong-tin/blog/cach-tinh-thue-thu-nhap-ca-nhan-2025
https://techcombank.com/thong-tin/blog/thue-thu-nhap-ca-nhan
https://techcombank.com/thong-tin/blog/ho-kinh-doanh-dong-thue-nhu-nao</v>
      </c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</row>
    <row r="170">
      <c r="A170" s="10" t="str">
        <f>IFERROR(__xludf.DUMMYFUNCTION("""COMPUTED_VALUE"""),"https://techcombank.com/thong-tin/blog/kinh-nghiem-vay-tien-mua-nha")</f>
        <v>https://techcombank.com/thong-tin/blog/kinh-nghiem-vay-tien-mua-nha</v>
      </c>
      <c r="B170" s="11">
        <f>IFERROR(__xludf.DUMMYFUNCTION("""COMPUTED_VALUE"""),5.0)</f>
        <v>5</v>
      </c>
      <c r="C170" s="8" t="str">
        <f>IFERROR(__xludf.DUMMYFUNCTION("IF(A170="""","""",TEXTJOIN(CHAR(10),TRUE,FILTER('Tổng hợp 75 trang đích'!$B$2:$B$2505,'Tổng hợp 75 trang đích'!$I$2:$I$2505=A170)))"),"https://techcombank.com/thong-tin/blog/vay-ngan-hang-1-ty-moi-thang-tra-bao-nhieu
https://techcombank.com/thong-tin/blog/cach-tinh-lai-vay-ngan-hang
https://techcombank.com/cong-cu-tien-ich/cong-cu-tinh-toan/bang-tinh-lai-suat-vay
https://techcombank.com/"&amp;"thong-tin/blog/app-vay-tien-nhanh
https://techcombank.com/thong-tin/blog/nen-vay-tin-chap-o-dau")</f>
        <v>https://techcombank.com/thong-tin/blog/vay-ngan-hang-1-ty-moi-thang-tra-bao-nhieu
https://techcombank.com/thong-tin/blog/cach-tinh-lai-vay-ngan-hang
https://techcombank.com/cong-cu-tien-ich/cong-cu-tinh-toan/bang-tinh-lai-suat-vay
https://techcombank.com/thong-tin/blog/app-vay-tien-nhanh
https://techcombank.com/thong-tin/blog/nen-vay-tin-chap-o-dau</v>
      </c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</row>
    <row r="171">
      <c r="A171" s="10" t="str">
        <f>IFERROR(__xludf.DUMMYFUNCTION("""COMPUTED_VALUE"""),"https://techcombank.com/thong-tin/blog/kinh-nghiem-vay-tien-ngan-hang-xay-nha")</f>
        <v>https://techcombank.com/thong-tin/blog/kinh-nghiem-vay-tien-ngan-hang-xay-nha</v>
      </c>
      <c r="B171" s="11">
        <f>IFERROR(__xludf.DUMMYFUNCTION("""COMPUTED_VALUE"""),5.0)</f>
        <v>5</v>
      </c>
      <c r="C171" s="8" t="str">
        <f>IFERROR(__xludf.DUMMYFUNCTION("IF(A171="""","""",TEXTJOIN(CHAR(10),TRUE,FILTER('Tổng hợp 75 trang đích'!$B$2:$B$2505,'Tổng hợp 75 trang đích'!$I$2:$I$2505=A171)))"),"https://techcombank.com/thong-tin/blog/vay-ngan-hang-1-ty-moi-thang-tra-bao-nhieu
https://techcombank.com/thong-tin/blog/cach-tinh-lai-vay-ngan-hang
https://techcombank.com/cong-cu-tien-ich/cong-cu-tinh-toan/bang-tinh-lai-suat-vay
https://techcombank.com/"&amp;"thong-tin/blog/app-vay-tien-nhanh
https://techcombank.com/thong-tin/blog/nen-vay-tin-chap-o-dau")</f>
        <v>https://techcombank.com/thong-tin/blog/vay-ngan-hang-1-ty-moi-thang-tra-bao-nhieu
https://techcombank.com/thong-tin/blog/cach-tinh-lai-vay-ngan-hang
https://techcombank.com/cong-cu-tien-ich/cong-cu-tinh-toan/bang-tinh-lai-suat-vay
https://techcombank.com/thong-tin/blog/app-vay-tien-nhanh
https://techcombank.com/thong-tin/blog/nen-vay-tin-chap-o-dau</v>
      </c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</row>
    <row r="172">
      <c r="A172" s="10" t="str">
        <f>IFERROR(__xludf.DUMMYFUNCTION("""COMPUTED_VALUE"""),"https://techcombank.com/thong-tin/blog/lai-suat-ngan-hang-cho-vay-xay-nha")</f>
        <v>https://techcombank.com/thong-tin/blog/lai-suat-ngan-hang-cho-vay-xay-nha</v>
      </c>
      <c r="B172" s="11">
        <f>IFERROR(__xludf.DUMMYFUNCTION("""COMPUTED_VALUE"""),5.0)</f>
        <v>5</v>
      </c>
      <c r="C172" s="8" t="str">
        <f>IFERROR(__xludf.DUMMYFUNCTION("IF(A172="""","""",TEXTJOIN(CHAR(10),TRUE,FILTER('Tổng hợp 75 trang đích'!$B$2:$B$2505,'Tổng hợp 75 trang đích'!$I$2:$I$2505=A172)))"),"https://techcombank.com/thong-tin/blog/cach-thanh-toan-the-tin-dung
https://techcombank.com/thong-tin/blog/cach-tinh-lai-vay-ngan-hang
https://techcombank.com/thong-tin/blog/cach-tinh-lai-suat-tien-gui-tiet-kiem
https://techcombank.com/cong-cu-tien-ich/co"&amp;"ng-cu-tinh-toan/bang-tinh-lai-suat-tiet-kiem
https://techcombank.com/thong-tin/blog/lai-suat-vay-ngan-hang")</f>
        <v>https://techcombank.com/thong-tin/blog/cach-thanh-toan-the-tin-dung
https://techcombank.com/thong-tin/blog/cach-tinh-lai-vay-ngan-hang
https://techcombank.com/thong-tin/blog/cach-tinh-lai-suat-tien-gui-tiet-kiem
https://techcombank.com/cong-cu-tien-ich/cong-cu-tinh-toan/bang-tinh-lai-suat-tiet-kiem
https://techcombank.com/thong-tin/blog/lai-suat-vay-ngan-hang</v>
      </c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</row>
    <row r="173">
      <c r="A173" s="10" t="str">
        <f>IFERROR(__xludf.DUMMYFUNCTION("""COMPUTED_VALUE"""),"https://techcombank.com/thong-tin/blog/lam-the-tin-dung")</f>
        <v>https://techcombank.com/thong-tin/blog/lam-the-tin-dung</v>
      </c>
      <c r="B173" s="11">
        <f>IFERROR(__xludf.DUMMYFUNCTION("""COMPUTED_VALUE"""),5.0)</f>
        <v>5</v>
      </c>
      <c r="C173" s="8" t="str">
        <f>IFERROR(__xludf.DUMMYFUNCTION("IF(A173="""","""",TEXTJOIN(CHAR(10),TRUE,FILTER('Tổng hợp 75 trang đích'!$B$2:$B$2505,'Tổng hợp 75 trang đích'!$I$2:$I$2505=A173)))"),"https://techcombank.com/thong-tin/blog/bao-nhieu-tuoi-duoc-mo-tai-khoan-ngan-hang
https://techcombank.com/khach-hang-ca-nhan/chi-tieu/the/the-tin-dung/techcombank-everyday
https://techcombank.com/thong-tin/blog/the-tin-dung-hoan-tien
https://techcombank.c"&amp;"om/thong-tin/blog/cach-huy-the-tin-dung
https://techcombank.com/thong-tin/blog/cach-thanh-toan-the-tin-dung")</f>
        <v>https://techcombank.com/thong-tin/blog/bao-nhieu-tuoi-duoc-mo-tai-khoan-ngan-hang
https://techcombank.com/khach-hang-ca-nhan/chi-tieu/the/the-tin-dung/techcombank-everyday
https://techcombank.com/thong-tin/blog/the-tin-dung-hoan-tien
https://techcombank.com/thong-tin/blog/cach-huy-the-tin-dung
https://techcombank.com/thong-tin/blog/cach-thanh-toan-the-tin-dung</v>
      </c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</row>
    <row r="174">
      <c r="A174" s="10" t="str">
        <f>IFERROR(__xludf.DUMMYFUNCTION("""COMPUTED_VALUE"""),"https://techcombank.com/thong-tin/blog/may-tinh-tien")</f>
        <v>https://techcombank.com/thong-tin/blog/may-tinh-tien</v>
      </c>
      <c r="B174" s="11">
        <f>IFERROR(__xludf.DUMMYFUNCTION("""COMPUTED_VALUE"""),5.0)</f>
        <v>5</v>
      </c>
      <c r="C174" s="8" t="str">
        <f>IFERROR(__xludf.DUMMYFUNCTION("IF(A174="""","""",TEXTJOIN(CHAR(10),TRUE,FILTER('Tổng hợp 75 trang đích'!$B$2:$B$2505,'Tổng hợp 75 trang đích'!$I$2:$I$2505=A174)))"),"https://techcombank.com/thong-tin/blog/thue-vat-la-gi
https://techcombank.com/thong-tin/blog/cach-tinh-tien-dien-sinh-hoat
https://techcombank.com/thong-tin/blog/ho-kinh-doanh-dong-thue-nhu-nao
https://techcombank.com/thong-tin/blog/mo-tai-khoan-ho-kinh-d"&amp;"oanh
https://techcombank.com/thong-tin/blog/cach-tinh-thue-ho-kinh-doanh-nho-le")</f>
        <v>https://techcombank.com/thong-tin/blog/thue-vat-la-gi
https://techcombank.com/thong-tin/blog/cach-tinh-tien-dien-sinh-hoat
https://techcombank.com/thong-tin/blog/ho-kinh-doanh-dong-thue-nhu-nao
https://techcombank.com/thong-tin/blog/mo-tai-khoan-ho-kinh-doanh
https://techcombank.com/thong-tin/blog/cach-tinh-thue-ho-kinh-doanh-nho-le</v>
      </c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</row>
    <row r="175">
      <c r="A175" s="10" t="str">
        <f>IFERROR(__xludf.DUMMYFUNCTION("""COMPUTED_VALUE"""),"https://techcombank.com/thong-tin/blog/mo-tai-khoan-tiet-kiem-cho-con")</f>
        <v>https://techcombank.com/thong-tin/blog/mo-tai-khoan-tiet-kiem-cho-con</v>
      </c>
      <c r="B175" s="11">
        <f>IFERROR(__xludf.DUMMYFUNCTION("""COMPUTED_VALUE"""),5.0)</f>
        <v>5</v>
      </c>
      <c r="C175" s="8" t="str">
        <f>IFERROR(__xludf.DUMMYFUNCTION("IF(A175="""","""",TEXTJOIN(CHAR(10),TRUE,FILTER('Tổng hợp 75 trang đích'!$B$2:$B$2505,'Tổng hợp 75 trang đích'!$I$2:$I$2505=A175)))"),"https://techcombank.com/thong-tin/blog/cach-mo-tai-khoan
https://techcombank.com/thong-tin/blog/bao-nhieu-tuoi-duoc-mo-tai-khoan-ngan-hang
https://techcombank.com/thong-tin/blog/mo-tai-khoan-ngan-hang-duoi-18-tuoi
https://techcombank.com/thong-tin/blog/so"&amp;"-tiet-kiem-ngan-hang
https://techcombank.com/cong-cu-tien-ich/cong-cu-tinh-toan/bang-tinh-lai-suat-tiet-kiem")</f>
        <v>https://techcombank.com/thong-tin/blog/cach-mo-tai-khoan
https://techcombank.com/thong-tin/blog/bao-nhieu-tuoi-duoc-mo-tai-khoan-ngan-hang
https://techcombank.com/thong-tin/blog/mo-tai-khoan-ngan-hang-duoi-18-tuoi
https://techcombank.com/thong-tin/blog/so-tiet-kiem-ngan-hang
https://techcombank.com/cong-cu-tien-ich/cong-cu-tinh-toan/bang-tinh-lai-suat-tiet-kiem</v>
      </c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</row>
    <row r="176">
      <c r="A176" s="10" t="str">
        <f>IFERROR(__xludf.DUMMYFUNCTION("""COMPUTED_VALUE"""),"https://techcombank.com/thong-tin/blog/mo-the-tin-dung-co-loi-ich-gi")</f>
        <v>https://techcombank.com/thong-tin/blog/mo-the-tin-dung-co-loi-ich-gi</v>
      </c>
      <c r="B176" s="11">
        <f>IFERROR(__xludf.DUMMYFUNCTION("""COMPUTED_VALUE"""),5.0)</f>
        <v>5</v>
      </c>
      <c r="C176" s="8" t="str">
        <f>IFERROR(__xludf.DUMMYFUNCTION("IF(A176="""","""",TEXTJOIN(CHAR(10),TRUE,FILTER('Tổng hợp 75 trang đích'!$B$2:$B$2505,'Tổng hợp 75 trang đích'!$I$2:$I$2505=A176)))"),"https://techcombank.com/thong-tin/blog/lam-the-tin-dung
https://techcombank.com/khach-hang-ca-nhan/chi-tieu/the/the-tin-dung/techcombank-everyday
https://techcombank.com/thong-tin/blog/the-tin-dung-hoan-tien
https://techcombank.com/thong-tin/blog/cach-huy"&amp;"-the-tin-dung
https://techcombank.com/thong-tin/blog/cach-thanh-toan-the-tin-dung")</f>
        <v>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https://techcombank.com/thong-tin/blog/cach-thanh-toan-the-tin-dung</v>
      </c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</row>
    <row r="177">
      <c r="A177" s="10" t="str">
        <f>IFERROR(__xludf.DUMMYFUNCTION("""COMPUTED_VALUE"""),"https://techcombank.com/thong-tin/blog/mua-iphone-17")</f>
        <v>https://techcombank.com/thong-tin/blog/mua-iphone-17</v>
      </c>
      <c r="B177" s="11">
        <f>IFERROR(__xludf.DUMMYFUNCTION("""COMPUTED_VALUE"""),5.0)</f>
        <v>5</v>
      </c>
      <c r="C177" s="8" t="str">
        <f>IFERROR(__xludf.DUMMYFUNCTION("IF(A177="""","""",TEXTJOIN(CHAR(10),TRUE,FILTER('Tổng hợp 75 trang đích'!$B$2:$B$2505,'Tổng hợp 75 trang đích'!$I$2:$I$2505=A177)))"),"https://techcombank.com/thong-tin/blog/lam-the-tin-dung
https://techcombank.com/khach-hang-ca-nhan/chi-tieu/the/the-tin-dung/techcombank-everyday
https://techcombank.com/thong-tin/blog/the-tin-dung-hoan-tien
https://techcombank.com/thong-tin/blog/cach-huy"&amp;"-the-tin-dung
https://techcombank.com/thong-tin/blog/cach-thanh-toan-the-tin-dung")</f>
        <v>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https://techcombank.com/thong-tin/blog/cach-thanh-toan-the-tin-dung</v>
      </c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</row>
    <row r="178">
      <c r="A178" s="10" t="str">
        <f>IFERROR(__xludf.DUMMYFUNCTION("""COMPUTED_VALUE"""),"https://techcombank.com/thong-tin/blog/nen-de-tien-trong-the-hay-gui-tiet-kiem")</f>
        <v>https://techcombank.com/thong-tin/blog/nen-de-tien-trong-the-hay-gui-tiet-kiem</v>
      </c>
      <c r="B178" s="11">
        <f>IFERROR(__xludf.DUMMYFUNCTION("""COMPUTED_VALUE"""),5.0)</f>
        <v>5</v>
      </c>
      <c r="C178" s="8" t="str">
        <f>IFERROR(__xludf.DUMMYFUNCTION("IF(A178="""","""",TEXTJOIN(CHAR(10),TRUE,FILTER('Tổng hợp 75 trang đích'!$B$2:$B$2505,'Tổng hợp 75 trang đích'!$I$2:$I$2505=A178)))"),"https://techcombank.com/thong-tin/blog/chung-chi-tien-gui-la-gi
https://techcombank.com/thong-tin/blog/lai-suat-tiet-kiem
https://techcombank.com/thong-tin/blog/cach-tinh-lai-suat-tien-gui-tiet-kiem
https://techcombank.com/thong-tin/blog/so-tiet-kiem-ngan"&amp;"-hang
https://techcombank.com/cong-cu-tien-ich/cong-cu-tinh-toan/bang-tinh-lai-suat-tiet-kiem")</f>
        <v>https://techcombank.com/thong-tin/blog/chung-chi-tien-gui-la-gi
https://techcombank.com/thong-tin/blog/lai-suat-tiet-kiem
https://techcombank.com/thong-tin/blog/cach-tinh-lai-suat-tien-gui-tiet-kiem
https://techcombank.com/thong-tin/blog/so-tiet-kiem-ngan-hang
https://techcombank.com/cong-cu-tien-ich/cong-cu-tinh-toan/bang-tinh-lai-suat-tiet-kiem</v>
      </c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</row>
    <row r="179">
      <c r="A179" s="10" t="str">
        <f>IFERROR(__xludf.DUMMYFUNCTION("""COMPUTED_VALUE"""),"https://techcombank.com/thong-tin/blog/nen-gui-tiet-kiem-thong-thuong-hay-tich-luy")</f>
        <v>https://techcombank.com/thong-tin/blog/nen-gui-tiet-kiem-thong-thuong-hay-tich-luy</v>
      </c>
      <c r="B179" s="11">
        <f>IFERROR(__xludf.DUMMYFUNCTION("""COMPUTED_VALUE"""),5.0)</f>
        <v>5</v>
      </c>
      <c r="C179" s="8" t="str">
        <f>IFERROR(__xludf.DUMMYFUNCTION("IF(A179="""","""",TEXTJOIN(CHAR(10),TRUE,FILTER('Tổng hợp 75 trang đích'!$B$2:$B$2505,'Tổng hợp 75 trang đích'!$I$2:$I$2505=A179)))"),"https://techcombank.com/thong-tin/blog/chung-chi-tien-gui-la-gi
https://techcombank.com/thong-tin/blog/lai-suat-tiet-kiem
https://techcombank.com/thong-tin/blog/cach-tinh-lai-suat-tien-gui-tiet-kiem
https://techcombank.com/thong-tin/blog/so-tiet-kiem-ngan"&amp;"-hang
https://techcombank.com/cong-cu-tien-ich/cong-cu-tinh-toan/bang-tinh-lai-suat-tiet-kiem")</f>
        <v>https://techcombank.com/thong-tin/blog/chung-chi-tien-gui-la-gi
https://techcombank.com/thong-tin/blog/lai-suat-tiet-kiem
https://techcombank.com/thong-tin/blog/cach-tinh-lai-suat-tien-gui-tiet-kiem
https://techcombank.com/thong-tin/blog/so-tiet-kiem-ngan-hang
https://techcombank.com/cong-cu-tien-ich/cong-cu-tinh-toan/bang-tinh-lai-suat-tiet-kiem</v>
      </c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</row>
    <row r="180">
      <c r="A180" s="10" t="str">
        <f>IFERROR(__xludf.DUMMYFUNCTION("""COMPUTED_VALUE"""),"https://techcombank.com/thong-tin/blog/ngoai-hoi-la-gi")</f>
        <v>https://techcombank.com/thong-tin/blog/ngoai-hoi-la-gi</v>
      </c>
      <c r="B180" s="11">
        <f>IFERROR(__xludf.DUMMYFUNCTION("""COMPUTED_VALUE"""),5.0)</f>
        <v>5</v>
      </c>
      <c r="C180" s="8" t="str">
        <f>IFERROR(__xludf.DUMMYFUNCTION("IF(A180="""","""",TEXTJOIN(CHAR(10),TRUE,FILTER('Tổng hợp 75 trang đích'!$B$2:$B$2505,'Tổng hợp 75 trang đích'!$I$2:$I$2505=A180)))"),"https://techcombank.com/thong-tin/blog/thue-thu-nhap-doanh-nghiep
https://techcombank.com/thong-tin/blog/cach-tinh-thue-thu-nhap-doanh-nghiep
https://techcombank.com/thong-tin/blog/1-te-bang-bao-nhieu-tien-viet-nam
https://techcombank.com/thong-tin/blog/d"&amp;"oi-tien-do-o-dau
https://techcombank.com/thong-tin/blog/rui-ro-khi-gui-tiet-kiem-online")</f>
        <v>https://techcombank.com/thong-tin/blog/thue-thu-nhap-doanh-nghiep
https://techcombank.com/thong-tin/blog/cach-tinh-thue-thu-nhap-doanh-nghiep
https://techcombank.com/thong-tin/blog/1-te-bang-bao-nhieu-tien-viet-nam
https://techcombank.com/thong-tin/blog/doi-tien-do-o-dau
https://techcombank.com/thong-tin/blog/rui-ro-khi-gui-tiet-kiem-online</v>
      </c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</row>
    <row r="181">
      <c r="A181" s="10" t="str">
        <f>IFERROR(__xludf.DUMMYFUNCTION("""COMPUTED_VALUE"""),"https://techcombank.com/thong-tin/blog/no-chu-y-la-gi")</f>
        <v>https://techcombank.com/thong-tin/blog/no-chu-y-la-gi</v>
      </c>
      <c r="B181" s="11">
        <f>IFERROR(__xludf.DUMMYFUNCTION("""COMPUTED_VALUE"""),5.0)</f>
        <v>5</v>
      </c>
      <c r="C181" s="8" t="str">
        <f>IFERROR(__xludf.DUMMYFUNCTION("IF(A181="""","""",TEXTJOIN(CHAR(10),TRUE,FILTER('Tổng hợp 75 trang đích'!$B$2:$B$2505,'Tổng hợp 75 trang đích'!$I$2:$I$2505=A181)))"),"https://techcombank.com/thong-tin/blog/cic-la-gi
https://techcombank.com/thong-tin/blog/xep-hang-tin-dung
https://techcombank.com/thong-tin/blog/kiem-tra-no-xau
https://techcombank.com/thong-tin/blog/no-xau-la-gi
https://techcombank.com/thong-tin/blog/vay"&amp;"-tin-chap-khong-tra-duoc-co-sao-khong")</f>
        <v>https://techcombank.com/thong-tin/blog/cic-la-gi
https://techcombank.com/thong-tin/blog/xep-hang-tin-dung
https://techcombank.com/thong-tin/blog/kiem-tra-no-xau
https://techcombank.com/thong-tin/blog/no-xau-la-gi
https://techcombank.com/thong-tin/blog/vay-tin-chap-khong-tra-duoc-co-sao-khong</v>
      </c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</row>
    <row r="182">
      <c r="A182" s="10" t="str">
        <f>IFERROR(__xludf.DUMMYFUNCTION("""COMPUTED_VALUE"""),"https://techcombank.com/thong-tin/blog/no-xau")</f>
        <v>https://techcombank.com/thong-tin/blog/no-xau</v>
      </c>
      <c r="B182" s="11">
        <f>IFERROR(__xludf.DUMMYFUNCTION("""COMPUTED_VALUE"""),5.0)</f>
        <v>5</v>
      </c>
      <c r="C182" s="8" t="str">
        <f>IFERROR(__xludf.DUMMYFUNCTION("IF(A182="""","""",TEXTJOIN(CHAR(10),TRUE,FILTER('Tổng hợp 75 trang đích'!$B$2:$B$2505,'Tổng hợp 75 trang đích'!$I$2:$I$2505=A182)))"),"https://techcombank.com/thong-tin/blog/cic-la-gi
https://techcombank.com/thong-tin/blog/xep-hang-tin-dung
https://techcombank.com/thong-tin/blog/kiem-tra-no-xau
https://techcombank.com/thong-tin/blog/no-xau-la-gi
https://techcombank.com/thong-tin/blog/vay"&amp;"-tin-chap-khong-tra-duoc-co-sao-khong")</f>
        <v>https://techcombank.com/thong-tin/blog/cic-la-gi
https://techcombank.com/thong-tin/blog/xep-hang-tin-dung
https://techcombank.com/thong-tin/blog/kiem-tra-no-xau
https://techcombank.com/thong-tin/blog/no-xau-la-gi
https://techcombank.com/thong-tin/blog/vay-tin-chap-khong-tra-duoc-co-sao-khong</v>
      </c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</row>
    <row r="183">
      <c r="A183" s="10" t="str">
        <f>IFERROR(__xludf.DUMMYFUNCTION("""COMPUTED_VALUE"""),"https://techcombank.com/thong-tin/blog/no-xau-la-gi")</f>
        <v>https://techcombank.com/thong-tin/blog/no-xau-la-gi</v>
      </c>
      <c r="B183" s="11">
        <f>IFERROR(__xludf.DUMMYFUNCTION("""COMPUTED_VALUE"""),5.0)</f>
        <v>5</v>
      </c>
      <c r="C183" s="8" t="str">
        <f>IFERROR(__xludf.DUMMYFUNCTION("IF(A183="""","""",TEXTJOIN(CHAR(10),TRUE,FILTER('Tổng hợp 75 trang đích'!$B$2:$B$2505,'Tổng hợp 75 trang đích'!$I$2:$I$2505=A183)))"),"https://techcombank.com/thong-tin/blog/cach-quet-nfc-cccd-tren-iphone
https://techcombank.com/thong-tin/blog/cic-la-gi
https://techcombank.com/thong-tin/blog/xep-hang-tin-dung
https://techcombank.com/thong-tin/blog/kiem-tra-no-xau
https://techcombank.com/"&amp;"thong-tin/blog/vay-tin-chap-khong-tra-duoc-co-sao-khong")</f>
        <v>https://techcombank.com/thong-tin/blog/cach-quet-nfc-cccd-tren-iphone
https://techcombank.com/thong-tin/blog/cic-la-gi
https://techcombank.com/thong-tin/blog/xep-hang-tin-dung
https://techcombank.com/thong-tin/blog/kiem-tra-no-xau
https://techcombank.com/thong-tin/blog/vay-tin-chap-khong-tra-duoc-co-sao-khong</v>
      </c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</row>
    <row r="184">
      <c r="A184" s="10" t="str">
        <f>IFERROR(__xludf.DUMMYFUNCTION("""COMPUTED_VALUE"""),"https://techcombank.com/thong-tin/blog/phan-mem-xuat-hoa-don-dien-tu")</f>
        <v>https://techcombank.com/thong-tin/blog/phan-mem-xuat-hoa-don-dien-tu</v>
      </c>
      <c r="B184" s="11">
        <f>IFERROR(__xludf.DUMMYFUNCTION("""COMPUTED_VALUE"""),5.0)</f>
        <v>5</v>
      </c>
      <c r="C184" s="8" t="str">
        <f>IFERROR(__xludf.DUMMYFUNCTION("IF(A184="""","""",TEXTJOIN(CHAR(10),TRUE,FILTER('Tổng hợp 75 trang đích'!$B$2:$B$2505,'Tổng hợp 75 trang đích'!$I$2:$I$2505=A184)))"),"https://techcombank.com/thong-tin/blog/thue-vat-la-gi
https://techcombank.com/thong-tin/blog/cach-tinh-tien-dien-sinh-hoat
https://techcombank.com/thong-tin/blog/ho-kinh-doanh-dong-thue-nhu-nao
https://techcombank.com/thong-tin/blog/mo-tai-khoan-ho-kinh-d"&amp;"oanh
https://techcombank.com/thong-tin/blog/cach-tinh-thue-ho-kinh-doanh-nho-le")</f>
        <v>https://techcombank.com/thong-tin/blog/thue-vat-la-gi
https://techcombank.com/thong-tin/blog/cach-tinh-tien-dien-sinh-hoat
https://techcombank.com/thong-tin/blog/ho-kinh-doanh-dong-thue-nhu-nao
https://techcombank.com/thong-tin/blog/mo-tai-khoan-ho-kinh-doanh
https://techcombank.com/thong-tin/blog/cach-tinh-thue-ho-kinh-doanh-nho-le</v>
      </c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</row>
    <row r="185">
      <c r="A185" s="10" t="str">
        <f>IFERROR(__xludf.DUMMYFUNCTION("""COMPUTED_VALUE"""),"https://techcombank.com/thong-tin/blog/quyet-toan-thue-doanh-nghiep")</f>
        <v>https://techcombank.com/thong-tin/blog/quyet-toan-thue-doanh-nghiep</v>
      </c>
      <c r="B185" s="11">
        <f>IFERROR(__xludf.DUMMYFUNCTION("""COMPUTED_VALUE"""),5.0)</f>
        <v>5</v>
      </c>
      <c r="C185" s="8" t="str">
        <f>IFERROR(__xludf.DUMMYFUNCTION("IF(A185="""","""",TEXTJOIN(CHAR(10),TRUE,FILTER('Tổng hợp 75 trang đích'!$B$2:$B$2505,'Tổng hợp 75 trang đích'!$I$2:$I$2505=A185)))"),"https://techcombank.com/thong-tin/blog/cach-nop-thue-dien-tu
https://techcombank.com/thong-tin/blog/thue-thu-nhap-doanh-nghiep
https://techcombank.com/thong-tin/blog/tra-cuu-no-thue-doanh-nghiep
https://techcombank.com/thong-tin/blog/thue-doanh-nghiep
htt"&amp;"ps://techcombank.com/thong-tin/blog/ho-kinh-doanh-dong-thue-nhu-nao")</f>
        <v>https://techcombank.com/thong-tin/blog/cach-nop-thue-dien-tu
https://techcombank.com/thong-tin/blog/thue-thu-nhap-doanh-nghiep
https://techcombank.com/thong-tin/blog/tra-cuu-no-thue-doanh-nghiep
https://techcombank.com/thong-tin/blog/thue-doanh-nghiep
https://techcombank.com/thong-tin/blog/ho-kinh-doanh-dong-thue-nhu-nao</v>
      </c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</row>
    <row r="186">
      <c r="A186" s="10" t="str">
        <f>IFERROR(__xludf.DUMMYFUNCTION("""COMPUTED_VALUE"""),"https://techcombank.com/thong-tin/blog/rui-ro-khi-gui-tiet-kiem-online")</f>
        <v>https://techcombank.com/thong-tin/blog/rui-ro-khi-gui-tiet-kiem-online</v>
      </c>
      <c r="B186" s="11">
        <f>IFERROR(__xludf.DUMMYFUNCTION("""COMPUTED_VALUE"""),5.0)</f>
        <v>5</v>
      </c>
      <c r="C186" s="8" t="str">
        <f>IFERROR(__xludf.DUMMYFUNCTION("IF(A186="""","""",TEXTJOIN(CHAR(10),TRUE,FILTER('Tổng hợp 75 trang đích'!$B$2:$B$2505,'Tổng hợp 75 trang đích'!$I$2:$I$2505=A186)))"),"https://techcombank.com/thong-tin/blog/chung-chi-tien-gui-la-gi
https://techcombank.com/thong-tin/blog/lai-suat-tiet-kiem
https://techcombank.com/thong-tin/blog/cach-tinh-lai-suat-tien-gui-tiet-kiem
https://techcombank.com/thong-tin/blog/so-tiet-kiem-ngan"&amp;"-hang
https://techcombank.com/cong-cu-tien-ich/cong-cu-tinh-toan/bang-tinh-lai-suat-tiet-kiem")</f>
        <v>https://techcombank.com/thong-tin/blog/chung-chi-tien-gui-la-gi
https://techcombank.com/thong-tin/blog/lai-suat-tiet-kiem
https://techcombank.com/thong-tin/blog/cach-tinh-lai-suat-tien-gui-tiet-kiem
https://techcombank.com/thong-tin/blog/so-tiet-kiem-ngan-hang
https://techcombank.com/cong-cu-tien-ich/cong-cu-tinh-toan/bang-tinh-lai-suat-tiet-kiem</v>
      </c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</row>
    <row r="187">
      <c r="A187" s="10" t="str">
        <f>IFERROR(__xludf.DUMMYFUNCTION("""COMPUTED_VALUE"""),"https://techcombank.com/thong-tin/blog/rut-tien-bao-hiem-nhan-tho-khi-het-han")</f>
        <v>https://techcombank.com/thong-tin/blog/rut-tien-bao-hiem-nhan-tho-khi-het-han</v>
      </c>
      <c r="B187" s="11">
        <f>IFERROR(__xludf.DUMMYFUNCTION("""COMPUTED_VALUE"""),5.0)</f>
        <v>5</v>
      </c>
      <c r="C187" s="8" t="str">
        <f>IFERROR(__xludf.DUMMYFUNCTION("IF(A187="""","""",TEXTJOIN(CHAR(10),TRUE,FILTER('Tổng hợp 75 trang đích'!$B$2:$B$2505,'Tổng hợp 75 trang đích'!$I$2:$I$2505=A187)))"),"https://techcombank.com/thong-tin/blog/rut-tien-bang-ma-qr-la-gi-cach-thuc-hien-nhu-the-nao
https://techcombank.com/thong-tin/blog/rut-tien-mat-tu-the-tin-dung
https://techcombank.com/thong-tin/blog/rut-tien-tiet-kiem-truoc-thoi-han
https://techcombank.co"&amp;"m/cong-cu-tien-ich/cong-cu-tinh-toan/bang-tinh-lai-suat-tiet-kiem
https://techcombank.com/thong-tin/blog/phuong-phap-dau-tu-chung-chi-quy")</f>
        <v>https://techcombank.com/thong-tin/blog/rut-tien-bang-ma-qr-la-gi-cach-thuc-hien-nhu-the-nao
https://techcombank.com/thong-tin/blog/rut-tien-mat-tu-the-tin-dung
https://techcombank.com/thong-tin/blog/rut-tien-tiet-kiem-truoc-thoi-han
https://techcombank.com/cong-cu-tien-ich/cong-cu-tinh-toan/bang-tinh-lai-suat-tiet-kiem
https://techcombank.com/thong-tin/blog/phuong-phap-dau-tu-chung-chi-quy</v>
      </c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</row>
    <row r="188">
      <c r="A188" s="10" t="str">
        <f>IFERROR(__xludf.DUMMYFUNCTION("""COMPUTED_VALUE"""),"https://techcombank.com/thong-tin/blog/sang-ngang-the-tin-dung")</f>
        <v>https://techcombank.com/thong-tin/blog/sang-ngang-the-tin-dung</v>
      </c>
      <c r="B188" s="11">
        <f>IFERROR(__xludf.DUMMYFUNCTION("""COMPUTED_VALUE"""),5.0)</f>
        <v>5</v>
      </c>
      <c r="C188" s="8" t="str">
        <f>IFERROR(__xludf.DUMMYFUNCTION("IF(A188="""","""",TEXTJOIN(CHAR(10),TRUE,FILTER('Tổng hợp 75 trang đích'!$B$2:$B$2505,'Tổng hợp 75 trang đích'!$I$2:$I$2505=A188)))"),"https://techcombank.com/thong-tin/blog/lam-the-tin-dung
https://techcombank.com/khach-hang-ca-nhan/chi-tieu/the/the-tin-dung/techcombank-everyday
https://techcombank.com/thong-tin/blog/the-tin-dung-hoan-tien
https://techcombank.com/thong-tin/blog/cach-huy"&amp;"-the-tin-dung
https://techcombank.com/thong-tin/blog/cach-thanh-toan-the-tin-dung")</f>
        <v>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https://techcombank.com/thong-tin/blog/cach-thanh-toan-the-tin-dung</v>
      </c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</row>
    <row r="189">
      <c r="A189" s="10" t="str">
        <f>IFERROR(__xludf.DUMMYFUNCTION("""COMPUTED_VALUE"""),"https://techcombank.com/thong-tin/blog/so-cvv-la-gi")</f>
        <v>https://techcombank.com/thong-tin/blog/so-cvv-la-gi</v>
      </c>
      <c r="B189" s="11">
        <f>IFERROR(__xludf.DUMMYFUNCTION("""COMPUTED_VALUE"""),5.0)</f>
        <v>5</v>
      </c>
      <c r="C189" s="8" t="str">
        <f>IFERROR(__xludf.DUMMYFUNCTION("IF(A189="""","""",TEXTJOIN(CHAR(10),TRUE,FILTER('Tổng hợp 75 trang đích'!$B$2:$B$2505,'Tổng hợp 75 trang đích'!$I$2:$I$2505=A189)))"),"https://techcombank.com/thong-tin/blog/lam-the-tin-dung
https://techcombank.com/khach-hang-ca-nhan/chi-tieu/the/the-tin-dung/techcombank-everyday
https://techcombank.com/thong-tin/blog/the-tin-dung-hoan-tien
https://techcombank.com/thong-tin/blog/cach-huy"&amp;"-the-tin-dung
https://techcombank.com/thong-tin/blog/cach-thanh-toan-the-tin-dung")</f>
        <v>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https://techcombank.com/thong-tin/blog/cach-thanh-toan-the-tin-dung</v>
      </c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</row>
    <row r="190">
      <c r="A190" s="10" t="str">
        <f>IFERROR(__xludf.DUMMYFUNCTION("""COMPUTED_VALUE"""),"https://techcombank.com/thong-tin/blog/so-luong-the-tin-dung-noi-dia-dang-luu-hanh-da-tang-42-so-voi-cung-ky-nam-2022")</f>
        <v>https://techcombank.com/thong-tin/blog/so-luong-the-tin-dung-noi-dia-dang-luu-hanh-da-tang-42-so-voi-cung-ky-nam-2022</v>
      </c>
      <c r="B190" s="11">
        <f>IFERROR(__xludf.DUMMYFUNCTION("""COMPUTED_VALUE"""),5.0)</f>
        <v>5</v>
      </c>
      <c r="C190" s="8" t="str">
        <f>IFERROR(__xludf.DUMMYFUNCTION("IF(A190="""","""",TEXTJOIN(CHAR(10),TRUE,FILTER('Tổng hợp 75 trang đích'!$B$2:$B$2505,'Tổng hợp 75 trang đích'!$I$2:$I$2505=A190)))"),"https://techcombank.com/thong-tin/blog/lam-the-tin-dung
https://techcombank.com/khach-hang-ca-nhan/chi-tieu/the/the-tin-dung/techcombank-everyday
https://techcombank.com/thong-tin/blog/the-tin-dung-hoan-tien
https://techcombank.com/thong-tin/blog/cach-huy"&amp;"-the-tin-dung
https://techcombank.com/thong-tin/blog/cach-thanh-toan-the-tin-dung")</f>
        <v>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https://techcombank.com/thong-tin/blog/cach-thanh-toan-the-tin-dung</v>
      </c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</row>
    <row r="191">
      <c r="A191" s="10" t="str">
        <f>IFERROR(__xludf.DUMMYFUNCTION("""COMPUTED_VALUE"""),"https://techcombank.com/thong-tin/blog/so-the-tin-dung")</f>
        <v>https://techcombank.com/thong-tin/blog/so-the-tin-dung</v>
      </c>
      <c r="B191" s="11">
        <f>IFERROR(__xludf.DUMMYFUNCTION("""COMPUTED_VALUE"""),5.0)</f>
        <v>5</v>
      </c>
      <c r="C191" s="8" t="str">
        <f>IFERROR(__xludf.DUMMYFUNCTION("IF(A191="""","""",TEXTJOIN(CHAR(10),TRUE,FILTER('Tổng hợp 75 trang đích'!$B$2:$B$2505,'Tổng hợp 75 trang đích'!$I$2:$I$2505=A191)))"),"https://techcombank.com/thong-tin/blog/lam-the-tin-dung
https://techcombank.com/khach-hang-ca-nhan/chi-tieu/the/the-tin-dung/techcombank-everyday
https://techcombank.com/thong-tin/blog/the-tin-dung-hoan-tien
https://techcombank.com/thong-tin/blog/cach-huy"&amp;"-the-tin-dung
https://techcombank.com/thong-tin/blog/cach-thanh-toan-the-tin-dung")</f>
        <v>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https://techcombank.com/thong-tin/blog/cach-thanh-toan-the-tin-dung</v>
      </c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</row>
    <row r="192">
      <c r="A192" s="10" t="str">
        <f>IFERROR(__xludf.DUMMYFUNCTION("""COMPUTED_VALUE"""),"https://techcombank.com/thong-tin/blog/tat-toan-chung-chi-tien-gui")</f>
        <v>https://techcombank.com/thong-tin/blog/tat-toan-chung-chi-tien-gui</v>
      </c>
      <c r="B192" s="11">
        <f>IFERROR(__xludf.DUMMYFUNCTION("""COMPUTED_VALUE"""),5.0)</f>
        <v>5</v>
      </c>
      <c r="C192" s="8" t="str">
        <f>IFERROR(__xludf.DUMMYFUNCTION("IF(A192="""","""",TEXTJOIN(CHAR(10),TRUE,FILTER('Tổng hợp 75 trang đích'!$B$2:$B$2505,'Tổng hợp 75 trang đích'!$I$2:$I$2505=A192)))"),"https://techcombank.com/thong-tin/blog/chung-chi-tien-gui-la-gi
https://techcombank.com/thong-tin/blog/lai-suat-chung-chi-tien-gui-cac-ngan-hang
https://techcombank.com/thong-tin/blog/ho-so-thu-tuc-xoa-the-chap
https://techcombank.com/thong-tin/blog/rut-t"&amp;"ien-tiet-kiem-truoc-thoi-han
https://techcombank.com/thong-tin/blog/phuong-phap-dau-tu-chung-chi-quy")</f>
        <v>https://techcombank.com/thong-tin/blog/chung-chi-tien-gui-la-gi
https://techcombank.com/thong-tin/blog/lai-suat-chung-chi-tien-gui-cac-ngan-hang
https://techcombank.com/thong-tin/blog/ho-so-thu-tuc-xoa-the-chap
https://techcombank.com/thong-tin/blog/rut-tien-tiet-kiem-truoc-thoi-han
https://techcombank.com/thong-tin/blog/phuong-phap-dau-tu-chung-chi-quy</v>
      </c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</row>
    <row r="193">
      <c r="A193" s="10" t="str">
        <f>IFERROR(__xludf.DUMMYFUNCTION("""COMPUTED_VALUE"""),"https://techcombank.com/thong-tin/blog/thanh-toan-bang-the-quoc-te")</f>
        <v>https://techcombank.com/thong-tin/blog/thanh-toan-bang-the-quoc-te</v>
      </c>
      <c r="B193" s="11">
        <f>IFERROR(__xludf.DUMMYFUNCTION("""COMPUTED_VALUE"""),5.0)</f>
        <v>5</v>
      </c>
      <c r="C193" s="8" t="str">
        <f>IFERROR(__xludf.DUMMYFUNCTION("IF(A193="""","""",TEXTJOIN(CHAR(10),TRUE,FILTER('Tổng hợp 75 trang đích'!$B$2:$B$2505,'Tổng hợp 75 trang đích'!$I$2:$I$2505=A193)))"),"https://techcombank.com/thong-tin/blog/cach-sao-ke-tai-khoan-ngan-hang
https://techcombank.com/thong-tin/blog/tien-thai-lan
https://techcombank.com/thong-tin/blog/cach-nhan-tien-tu-nuoc-ngoai-ve-viet-nam
https://techcombank.com/thong-tin/blog/traveloka-vo"&amp;"ucher
https://techcombank.com/thong-tin/blog/cach-tiet-kiem-tien")</f>
        <v>https://techcombank.com/thong-tin/blog/cach-sao-ke-tai-khoan-ngan-hang
https://techcombank.com/thong-tin/blog/tien-thai-lan
https://techcombank.com/thong-tin/blog/cach-nhan-tien-tu-nuoc-ngoai-ve-viet-nam
https://techcombank.com/thong-tin/blog/traveloka-voucher
https://techcombank.com/thong-tin/blog/cach-tiet-kiem-tien</v>
      </c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</row>
    <row r="194">
      <c r="A194" s="10" t="str">
        <f>IFERROR(__xludf.DUMMYFUNCTION("""COMPUTED_VALUE"""),"https://techcombank.com/thong-tin/blog/thanh-toan-khi-du-lich-han-quoc")</f>
        <v>https://techcombank.com/thong-tin/blog/thanh-toan-khi-du-lich-han-quoc</v>
      </c>
      <c r="B194" s="11">
        <f>IFERROR(__xludf.DUMMYFUNCTION("""COMPUTED_VALUE"""),5.0)</f>
        <v>5</v>
      </c>
      <c r="C194" s="8" t="str">
        <f>IFERROR(__xludf.DUMMYFUNCTION("IF(A194="""","""",TEXTJOIN(CHAR(10),TRUE,FILTER('Tổng hợp 75 trang đích'!$B$2:$B$2505,'Tổng hợp 75 trang đích'!$I$2:$I$2505=A194)))"),"https://techcombank.com/thong-tin/blog/cach-sao-ke-tai-khoan-ngan-hang
https://techcombank.com/thong-tin/blog/1-won-bang-bao-nhieu-tien-viet
https://techcombank.com/thong-tin/blog/1000-won-bang-bao-nhieu-tien-viet
https://techcombank.com/thong-tin/blog/tr"&amp;"aveloka-voucher
https://techcombank.com/thong-tin/blog/cach-tiet-kiem-tien")</f>
        <v>https://techcombank.com/thong-tin/blog/cach-sao-ke-tai-khoan-ngan-hang
https://techcombank.com/thong-tin/blog/1-won-bang-bao-nhieu-tien-viet
https://techcombank.com/thong-tin/blog/1000-won-bang-bao-nhieu-tien-viet
https://techcombank.com/thong-tin/blog/traveloka-voucher
https://techcombank.com/thong-tin/blog/cach-tiet-kiem-tien</v>
      </c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</row>
    <row r="195">
      <c r="A195" s="10" t="str">
        <f>IFERROR(__xludf.DUMMYFUNCTION("""COMPUTED_VALUE"""),"https://techcombank.com/thong-tin/blog/thanh-toan-online-bang-the-tin-dung")</f>
        <v>https://techcombank.com/thong-tin/blog/thanh-toan-online-bang-the-tin-dung</v>
      </c>
      <c r="B195" s="11">
        <f>IFERROR(__xludf.DUMMYFUNCTION("""COMPUTED_VALUE"""),5.0)</f>
        <v>5</v>
      </c>
      <c r="C195" s="8" t="str">
        <f>IFERROR(__xludf.DUMMYFUNCTION("IF(A195="""","""",TEXTJOIN(CHAR(10),TRUE,FILTER('Tổng hợp 75 trang đích'!$B$2:$B$2505,'Tổng hợp 75 trang đích'!$I$2:$I$2505=A195)))"),"https://techcombank.com/thong-tin/blog/lam-the-tin-dung
https://techcombank.com/khach-hang-ca-nhan/chi-tieu/the/the-tin-dung/techcombank-everyday
https://techcombank.com/thong-tin/blog/the-tin-dung-hoan-tien
https://techcombank.com/thong-tin/blog/cach-huy"&amp;"-the-tin-dung
https://techcombank.com/thong-tin/blog/cach-thanh-toan-the-tin-dung")</f>
        <v>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https://techcombank.com/thong-tin/blog/cach-thanh-toan-the-tin-dung</v>
      </c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</row>
    <row r="196">
      <c r="A196" s="10" t="str">
        <f>IFERROR(__xludf.DUMMYFUNCTION("""COMPUTED_VALUE"""),"https://techcombank.com/thong-tin/blog/the-debit-cho-con")</f>
        <v>https://techcombank.com/thong-tin/blog/the-debit-cho-con</v>
      </c>
      <c r="B196" s="11">
        <f>IFERROR(__xludf.DUMMYFUNCTION("""COMPUTED_VALUE"""),5.0)</f>
        <v>5</v>
      </c>
      <c r="C196" s="8" t="str">
        <f>IFERROR(__xludf.DUMMYFUNCTION("IF(A196="""","""",TEXTJOIN(CHAR(10),TRUE,FILTER('Tổng hợp 75 trang đích'!$B$2:$B$2505,'Tổng hợp 75 trang đích'!$I$2:$I$2505=A196)))"),"https://techcombank.com/thong-tin/blog/bao-nhieu-tuoi-duoc-mo-tai-khoan-ngan-hang
https://techcombank.com/thong-tin/blog/mo-tai-khoan-ngan-hang-duoi-18-tuoi
https://techcombank.com/thong-tin/blog/cach-sao-ke-tai-khoan-ngan-hang
https://techcombank.com/tho"&amp;"ng-tin/blog/lam-the-tin-dung
https://techcombank.com/thong-tin/blog/cach-tiet-kiem-tien")</f>
        <v>https://techcombank.com/thong-tin/blog/bao-nhieu-tuoi-duoc-mo-tai-khoan-ngan-hang
https://techcombank.com/thong-tin/blog/mo-tai-khoan-ngan-hang-duoi-18-tuoi
https://techcombank.com/thong-tin/blog/cach-sao-ke-tai-khoan-ngan-hang
https://techcombank.com/thong-tin/blog/lam-the-tin-dung
https://techcombank.com/thong-tin/blog/cach-tiet-kiem-tien</v>
      </c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</row>
    <row r="197">
      <c r="A197" s="10" t="str">
        <f>IFERROR(__xludf.DUMMYFUNCTION("""COMPUTED_VALUE"""),"https://techcombank.com/thong-tin/blog/the-tin-dung-ao")</f>
        <v>https://techcombank.com/thong-tin/blog/the-tin-dung-ao</v>
      </c>
      <c r="B197" s="11">
        <f>IFERROR(__xludf.DUMMYFUNCTION("""COMPUTED_VALUE"""),5.0)</f>
        <v>5</v>
      </c>
      <c r="C197" s="8" t="str">
        <f>IFERROR(__xludf.DUMMYFUNCTION("IF(A197="""","""",TEXTJOIN(CHAR(10),TRUE,FILTER('Tổng hợp 75 trang đích'!$B$2:$B$2505,'Tổng hợp 75 trang đích'!$I$2:$I$2505=A197)))"),"https://techcombank.com/thong-tin/blog/lam-the-tin-dung
https://techcombank.com/khach-hang-ca-nhan/chi-tieu/the/the-tin-dung/techcombank-everyday
https://techcombank.com/thong-tin/blog/the-tin-dung-hoan-tien
https://techcombank.com/thong-tin/blog/cach-huy"&amp;"-the-tin-dung
https://techcombank.com/thong-tin/blog/cach-thanh-toan-the-tin-dung")</f>
        <v>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https://techcombank.com/thong-tin/blog/cach-thanh-toan-the-tin-dung</v>
      </c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</row>
    <row r="198">
      <c r="A198" s="10" t="str">
        <f>IFERROR(__xludf.DUMMYFUNCTION("""COMPUTED_VALUE"""),"https://techcombank.com/thong-tin/blog/the-tin-dung-co-ma-pin-khong")</f>
        <v>https://techcombank.com/thong-tin/blog/the-tin-dung-co-ma-pin-khong</v>
      </c>
      <c r="B198" s="11">
        <f>IFERROR(__xludf.DUMMYFUNCTION("""COMPUTED_VALUE"""),5.0)</f>
        <v>5</v>
      </c>
      <c r="C198" s="8" t="str">
        <f>IFERROR(__xludf.DUMMYFUNCTION("IF(A198="""","""",TEXTJOIN(CHAR(10),TRUE,FILTER('Tổng hợp 75 trang đích'!$B$2:$B$2505,'Tổng hợp 75 trang đích'!$I$2:$I$2505=A198)))"),"https://techcombank.com/thong-tin/blog/lam-the-tin-dung
https://techcombank.com/khach-hang-ca-nhan/chi-tieu/the/the-tin-dung/techcombank-everyday
https://techcombank.com/thong-tin/blog/the-tin-dung-hoan-tien
https://techcombank.com/thong-tin/blog/cach-huy"&amp;"-the-tin-dung
https://techcombank.com/thong-tin/blog/cach-thanh-toan-the-tin-dung")</f>
        <v>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https://techcombank.com/thong-tin/blog/cach-thanh-toan-the-tin-dung</v>
      </c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</row>
    <row r="199">
      <c r="A199" s="10" t="str">
        <f>IFERROR(__xludf.DUMMYFUNCTION("""COMPUTED_VALUE"""),"https://techcombank.com/thong-tin/blog/the-tin-dung-den")</f>
        <v>https://techcombank.com/thong-tin/blog/the-tin-dung-den</v>
      </c>
      <c r="B199" s="11">
        <f>IFERROR(__xludf.DUMMYFUNCTION("""COMPUTED_VALUE"""),5.0)</f>
        <v>5</v>
      </c>
      <c r="C199" s="8" t="str">
        <f>IFERROR(__xludf.DUMMYFUNCTION("IF(A199="""","""",TEXTJOIN(CHAR(10),TRUE,FILTER('Tổng hợp 75 trang đích'!$B$2:$B$2505,'Tổng hợp 75 trang đích'!$I$2:$I$2505=A199)))"),"https://techcombank.com/thong-tin/blog/lam-the-tin-dung
https://techcombank.com/khach-hang-ca-nhan/chi-tieu/the/the-tin-dung/techcombank-everyday
https://techcombank.com/thong-tin/blog/the-tin-dung-hoan-tien
https://techcombank.com/thong-tin/blog/cach-huy"&amp;"-the-tin-dung
https://techcombank.com/thong-tin/blog/cach-thanh-toan-the-tin-dung")</f>
        <v>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https://techcombank.com/thong-tin/blog/cach-thanh-toan-the-tin-dung</v>
      </c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</row>
    <row r="200">
      <c r="A200" s="10" t="str">
        <f>IFERROR(__xludf.DUMMYFUNCTION("""COMPUTED_VALUE"""),"https://techcombank.com/thong-tin/blog/the-tin-dung-het-han")</f>
        <v>https://techcombank.com/thong-tin/blog/the-tin-dung-het-han</v>
      </c>
      <c r="B200" s="11">
        <f>IFERROR(__xludf.DUMMYFUNCTION("""COMPUTED_VALUE"""),5.0)</f>
        <v>5</v>
      </c>
      <c r="C200" s="8" t="str">
        <f>IFERROR(__xludf.DUMMYFUNCTION("IF(A200="""","""",TEXTJOIN(CHAR(10),TRUE,FILTER('Tổng hợp 75 trang đích'!$B$2:$B$2505,'Tổng hợp 75 trang đích'!$I$2:$I$2505=A200)))"),"https://techcombank.com/thong-tin/blog/lam-the-tin-dung
https://techcombank.com/khach-hang-ca-nhan/chi-tieu/the/the-tin-dung/techcombank-everyday
https://techcombank.com/thong-tin/blog/the-tin-dung-hoan-tien
https://techcombank.com/thong-tin/blog/cach-huy"&amp;"-the-tin-dung
https://techcombank.com/thong-tin/blog/cach-thanh-toan-the-tin-dung")</f>
        <v>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https://techcombank.com/thong-tin/blog/cach-thanh-toan-the-tin-dung</v>
      </c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</row>
    <row r="201">
      <c r="A201" s="10" t="str">
        <f>IFERROR(__xludf.DUMMYFUNCTION("""COMPUTED_VALUE"""),"https://techcombank.com/thong-tin/blog/the-tin-dung-mien-phi-thuong-nien")</f>
        <v>https://techcombank.com/thong-tin/blog/the-tin-dung-mien-phi-thuong-nien</v>
      </c>
      <c r="B201" s="11">
        <f>IFERROR(__xludf.DUMMYFUNCTION("""COMPUTED_VALUE"""),5.0)</f>
        <v>5</v>
      </c>
      <c r="C201" s="8" t="str">
        <f>IFERROR(__xludf.DUMMYFUNCTION("IF(A201="""","""",TEXTJOIN(CHAR(10),TRUE,FILTER('Tổng hợp 75 trang đích'!$B$2:$B$2505,'Tổng hợp 75 trang đích'!$I$2:$I$2505=A201)))"),"https://techcombank.com/thong-tin/blog/lam-the-tin-dung
https://techcombank.com/khach-hang-ca-nhan/chi-tieu/the/the-tin-dung/techcombank-everyday
https://techcombank.com/thong-tin/blog/the-tin-dung-hoan-tien
https://techcombank.com/thong-tin/blog/cach-huy"&amp;"-the-tin-dung
https://techcombank.com/thong-tin/blog/cach-thanh-toan-the-tin-dung")</f>
        <v>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https://techcombank.com/thong-tin/blog/cach-thanh-toan-the-tin-dung</v>
      </c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</row>
    <row r="202">
      <c r="A202" s="10" t="str">
        <f>IFERROR(__xludf.DUMMYFUNCTION("""COMPUTED_VALUE"""),"https://techcombank.com/thong-tin/blog/the-tin-dung-nao-nhieu-uu-dai-nhat")</f>
        <v>https://techcombank.com/thong-tin/blog/the-tin-dung-nao-nhieu-uu-dai-nhat</v>
      </c>
      <c r="B202" s="11">
        <f>IFERROR(__xludf.DUMMYFUNCTION("""COMPUTED_VALUE"""),5.0)</f>
        <v>5</v>
      </c>
      <c r="C202" s="8" t="str">
        <f>IFERROR(__xludf.DUMMYFUNCTION("IF(A202="""","""",TEXTJOIN(CHAR(10),TRUE,FILTER('Tổng hợp 75 trang đích'!$B$2:$B$2505,'Tổng hợp 75 trang đích'!$I$2:$I$2505=A202)))"),"https://techcombank.com/thong-tin/blog/lam-the-tin-dung
https://techcombank.com/khach-hang-ca-nhan/chi-tieu/the/the-tin-dung/techcombank-everyday
https://techcombank.com/thong-tin/blog/the-tin-dung-hoan-tien
https://techcombank.com/thong-tin/blog/cach-huy"&amp;"-the-tin-dung
https://techcombank.com/thong-tin/blog/cach-thanh-toan-the-tin-dung")</f>
        <v>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https://techcombank.com/thong-tin/blog/cach-thanh-toan-the-tin-dung</v>
      </c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</row>
    <row r="203">
      <c r="A203" s="10" t="str">
        <f>IFERROR(__xludf.DUMMYFUNCTION("""COMPUTED_VALUE"""),"https://techcombank.com/thong-tin/blog/thue-doanh-nghiep")</f>
        <v>https://techcombank.com/thong-tin/blog/thue-doanh-nghiep</v>
      </c>
      <c r="B203" s="11">
        <f>IFERROR(__xludf.DUMMYFUNCTION("""COMPUTED_VALUE"""),5.0)</f>
        <v>5</v>
      </c>
      <c r="C203" s="8" t="str">
        <f>IFERROR(__xludf.DUMMYFUNCTION("IF(A203="""","""",TEXTJOIN(CHAR(10),TRUE,FILTER('Tổng hợp 75 trang đích'!$B$2:$B$2505,'Tổng hợp 75 trang đích'!$I$2:$I$2505=A203)))"),"https://techcombank.com/thong-tin/blog/thue-thu-nhap-doanh-nghiep
https://techcombank.com/thong-tin/blog/thue-vat-la-gi
https://techcombank.com/thong-tin/blog/tra-cuu-no-thue-doanh-nghiep
https://techcombank.com/thong-tin/blog/cach-tinh-thue-thu-nhap-doan"&amp;"h-nghiep
https://techcombank.com/thong-tin/blog/ho-kinh-doanh-dong-thue-nhu-nao")</f>
        <v>https://techcombank.com/thong-tin/blog/thue-thu-nhap-doanh-nghiep
https://techcombank.com/thong-tin/blog/thue-vat-la-gi
https://techcombank.com/thong-tin/blog/tra-cuu-no-thue-doanh-nghiep
https://techcombank.com/thong-tin/blog/cach-tinh-thue-thu-nhap-doanh-nghiep
https://techcombank.com/thong-tin/blog/ho-kinh-doanh-dong-thue-nhu-nao</v>
      </c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</row>
    <row r="204">
      <c r="A204" s="10" t="str">
        <f>IFERROR(__xludf.DUMMYFUNCTION("""COMPUTED_VALUE"""),"https://techcombank.com/thong-tin/blog/thue-phi-co-dinh-khi-chuyen-doi-tu-ho-kinh-doanh-len-doanh-nghiep")</f>
        <v>https://techcombank.com/thong-tin/blog/thue-phi-co-dinh-khi-chuyen-doi-tu-ho-kinh-doanh-len-doanh-nghiep</v>
      </c>
      <c r="B204" s="11">
        <f>IFERROR(__xludf.DUMMYFUNCTION("""COMPUTED_VALUE"""),5.0)</f>
        <v>5</v>
      </c>
      <c r="C204" s="8" t="str">
        <f>IFERROR(__xludf.DUMMYFUNCTION("IF(A204="""","""",TEXTJOIN(CHAR(10),TRUE,FILTER('Tổng hợp 75 trang đích'!$B$2:$B$2505,'Tổng hợp 75 trang đích'!$I$2:$I$2505=A204)))"),"https://techcombank.com/thong-tin/blog/thue-doanh-nghiep
https://techcombank.com/thong-tin/blog/ho-kinh-doanh-dong-thue-nhu-nao
https://techcombank.com/thong-tin/blog/mo-tai-khoan-ho-kinh-doanh
https://techcombank.com/thong-tin/blog/cach-tinh-thue-ho-kinh"&amp;"-doanh-nho-le
https://techcombank.com/thong-tin/blog/cach-tiet-kiem-tien")</f>
        <v>https://techcombank.com/thong-tin/blog/thue-doanh-nghiep
https://techcombank.com/thong-tin/blog/ho-kinh-doanh-dong-thue-nhu-nao
https://techcombank.com/thong-tin/blog/mo-tai-khoan-ho-kinh-doanh
https://techcombank.com/thong-tin/blog/cach-tinh-thue-ho-kinh-doanh-nho-le
https://techcombank.com/thong-tin/blog/cach-tiet-kiem-tien</v>
      </c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</row>
    <row r="205">
      <c r="A205" s="10" t="str">
        <f>IFERROR(__xludf.DUMMYFUNCTION("""COMPUTED_VALUE"""),"https://techcombank.com/thong-tin/blog/tiet-kiem-khi-di-du-lich")</f>
        <v>https://techcombank.com/thong-tin/blog/tiet-kiem-khi-di-du-lich</v>
      </c>
      <c r="B205" s="11">
        <f>IFERROR(__xludf.DUMMYFUNCTION("""COMPUTED_VALUE"""),5.0)</f>
        <v>5</v>
      </c>
      <c r="C205" s="8" t="str">
        <f>IFERROR(__xludf.DUMMYFUNCTION("IF(A205="""","""",TEXTJOIN(CHAR(10),TRUE,FILTER('Tổng hợp 75 trang đích'!$B$2:$B$2505,'Tổng hợp 75 trang đích'!$I$2:$I$2505=A205)))"),"https://techcombank.com/thong-tin/blog/cach-sao-ke-tai-khoan-ngan-hang
https://techcombank.com/khach-hang-ca-nhan/chi-tieu/the/the-tin-dung/techcombank-everyday
https://techcombank.com/thong-tin/blog/the-tin-dung-hoan-tien
https://techcombank.com/thong-ti"&amp;"n/blog/traveloka-voucher
https://techcombank.com/thong-tin/blog/cach-tiet-kiem-tien")</f>
        <v>https://techcombank.com/thong-tin/blog/cach-sao-ke-tai-khoan-ngan-hang
https://techcombank.com/khach-hang-ca-nhan/chi-tieu/the/the-tin-dung/techcombank-everyday
https://techcombank.com/thong-tin/blog/the-tin-dung-hoan-tien
https://techcombank.com/thong-tin/blog/traveloka-voucher
https://techcombank.com/thong-tin/blog/cach-tiet-kiem-tien</v>
      </c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</row>
    <row r="206">
      <c r="A206" s="10" t="str">
        <f>IFERROR(__xludf.DUMMYFUNCTION("""COMPUTED_VALUE"""),"https://techcombank.com/thong-tin/blog/tra-cuu-ma-so-thue-ho-kinh-doanh")</f>
        <v>https://techcombank.com/thong-tin/blog/tra-cuu-ma-so-thue-ho-kinh-doanh</v>
      </c>
      <c r="B206" s="11">
        <f>IFERROR(__xludf.DUMMYFUNCTION("""COMPUTED_VALUE"""),5.0)</f>
        <v>5</v>
      </c>
      <c r="C206" s="8" t="str">
        <f>IFERROR(__xludf.DUMMYFUNCTION("IF(A206="""","""",TEXTJOIN(CHAR(10),TRUE,FILTER('Tổng hợp 75 trang đích'!$B$2:$B$2505,'Tổng hợp 75 trang đích'!$I$2:$I$2505=A206)))"),"https://techcombank.com/thong-tin/blog/cach-quet-nfc-cccd-tren-iphone
https://techcombank.com/thong-tin/blog/ho-kinh-doanh-dong-thue-nhu-nao
https://techcombank.com/thong-tin/blog/mo-hinh-kinh-doanh-la-gi
https://techcombank.com/thong-tin/blog/mo-tai-khoa"&amp;"n-ho-kinh-doanh
https://techcombank.com/thong-tin/blog/cach-tinh-thue-ho-kinh-doanh-nho-le")</f>
        <v>https://techcombank.com/thong-tin/blog/cach-quet-nfc-cccd-tren-iphone
https://techcombank.com/thong-tin/blog/ho-kinh-doanh-dong-thue-nhu-nao
https://techcombank.com/thong-tin/blog/mo-hinh-kinh-doanh-la-gi
https://techcombank.com/thong-tin/blog/mo-tai-khoan-ho-kinh-doanh
https://techcombank.com/thong-tin/blog/cach-tinh-thue-ho-kinh-doanh-nho-le</v>
      </c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</row>
    <row r="207">
      <c r="A207" s="10" t="str">
        <f>IFERROR(__xludf.DUMMYFUNCTION("""COMPUTED_VALUE"""),"https://techcombank.com/thong-tin/blog/tra-cuu-no-thue-hai-quan")</f>
        <v>https://techcombank.com/thong-tin/blog/tra-cuu-no-thue-hai-quan</v>
      </c>
      <c r="B207" s="11">
        <f>IFERROR(__xludf.DUMMYFUNCTION("""COMPUTED_VALUE"""),5.0)</f>
        <v>5</v>
      </c>
      <c r="C207" s="8" t="str">
        <f>IFERROR(__xludf.DUMMYFUNCTION("IF(A207="""","""",TEXTJOIN(CHAR(10),TRUE,FILTER('Tổng hợp 75 trang đích'!$B$2:$B$2505,'Tổng hợp 75 trang đích'!$I$2:$I$2505=A207)))"),"https://techcombank.com/thong-tin/blog/nop-thue-dat-qua-ngan-hang
https://techcombank.com/thong-tin/blog/cach-nop-thue-dien-tu
https://techcombank.com/thong-tin/blog/tra-cuu-no-thue-doanh-nghiep
https://techcombank.com/thong-tin/blog/kiem-tra-thue-thu-nha"&amp;"p-ca-nhan
https://techcombank.com/thong-tin/blog/ho-kinh-doanh-dong-thue-nhu-nao")</f>
        <v>https://techcombank.com/thong-tin/blog/nop-thue-dat-qua-ngan-hang
https://techcombank.com/thong-tin/blog/cach-nop-thue-dien-tu
https://techcombank.com/thong-tin/blog/tra-cuu-no-thue-doanh-nghiep
https://techcombank.com/thong-tin/blog/kiem-tra-thue-thu-nhap-ca-nhan
https://techcombank.com/thong-tin/blog/ho-kinh-doanh-dong-thue-nhu-nao</v>
      </c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</row>
    <row r="208">
      <c r="A208" s="10" t="str">
        <f>IFERROR(__xludf.DUMMYFUNCTION("""COMPUTED_VALUE"""),"https://techcombank.com/thong-tin/blog/truy-thu-thue-ho-kinh-doanh")</f>
        <v>https://techcombank.com/thong-tin/blog/truy-thu-thue-ho-kinh-doanh</v>
      </c>
      <c r="B208" s="11">
        <f>IFERROR(__xludf.DUMMYFUNCTION("""COMPUTED_VALUE"""),5.0)</f>
        <v>5</v>
      </c>
      <c r="C208" s="8" t="str">
        <f>IFERROR(__xludf.DUMMYFUNCTION("IF(A208="""","""",TEXTJOIN(CHAR(10),TRUE,FILTER('Tổng hợp 75 trang đích'!$B$2:$B$2505,'Tổng hợp 75 trang đích'!$I$2:$I$2505=A208)))"),"https://techcombank.com/thong-tin/blog/nop-thue-dat-qua-ngan-hang
https://techcombank.com/thong-tin/blog/cach-nop-thue-dien-tu
https://techcombank.com/thong-tin/blog/ho-kinh-doanh-dong-thue-nhu-nao
https://techcombank.com/thong-tin/blog/mo-tai-khoan-ho-ki"&amp;"nh-doanh
https://techcombank.com/thong-tin/blog/cach-tinh-thue-ho-kinh-doanh-nho-le")</f>
        <v>https://techcombank.com/thong-tin/blog/nop-thue-dat-qua-ngan-hang
https://techcombank.com/thong-tin/blog/cach-nop-thue-dien-tu
https://techcombank.com/thong-tin/blog/ho-kinh-doanh-dong-thue-nhu-nao
https://techcombank.com/thong-tin/blog/mo-tai-khoan-ho-kinh-doanh
https://techcombank.com/thong-tin/blog/cach-tinh-thue-ho-kinh-doanh-nho-le</v>
      </c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</row>
    <row r="209">
      <c r="A209" s="10" t="str">
        <f>IFERROR(__xludf.DUMMYFUNCTION("""COMPUTED_VALUE"""),"https://techcombank.com/thong-tin/blog/ty-gia-cac-ngan-hang")</f>
        <v>https://techcombank.com/thong-tin/blog/ty-gia-cac-ngan-hang</v>
      </c>
      <c r="B209" s="11">
        <f>IFERROR(__xludf.DUMMYFUNCTION("""COMPUTED_VALUE"""),5.0)</f>
        <v>5</v>
      </c>
      <c r="C209" s="8" t="str">
        <f>IFERROR(__xludf.DUMMYFUNCTION("IF(A209="""","""",TEXTJOIN(CHAR(10),TRUE,FILTER('Tổng hợp 75 trang đích'!$B$2:$B$2505,'Tổng hợp 75 trang đích'!$I$2:$I$2505=A209)))"),"https://techcombank.com/thong-tin/blog/ngan-hang-uy-tin
https://techcombank.com/thong-tin/blog/1-te-bang-bao-nhieu-tien-viet-nam
https://techcombank.com/thong-tin/blog/1-won-bang-bao-nhieu-tien-viet
https://techcombank.com/thong-tin/blog/tien-dai-loan
htt"&amp;"ps://techcombank.com/thong-tin/blog/doi-tien-do-o-dau")</f>
        <v>https://techcombank.com/thong-tin/blog/ngan-hang-uy-tin
https://techcombank.com/thong-tin/blog/1-te-bang-bao-nhieu-tien-viet-nam
https://techcombank.com/thong-tin/blog/1-won-bang-bao-nhieu-tien-viet
https://techcombank.com/thong-tin/blog/tien-dai-loan
https://techcombank.com/thong-tin/blog/doi-tien-do-o-dau</v>
      </c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</row>
    <row r="210">
      <c r="A210" s="10" t="str">
        <f>IFERROR(__xludf.DUMMYFUNCTION("""COMPUTED_VALUE"""),"https://techcombank.com/thong-tin/blog/uu-dai-mua-iphone-18")</f>
        <v>https://techcombank.com/thong-tin/blog/uu-dai-mua-iphone-18</v>
      </c>
      <c r="B210" s="11">
        <f>IFERROR(__xludf.DUMMYFUNCTION("""COMPUTED_VALUE"""),5.0)</f>
        <v>5</v>
      </c>
      <c r="C210" s="8" t="str">
        <f>IFERROR(__xludf.DUMMYFUNCTION("IF(A210="""","""",TEXTJOIN(CHAR(10),TRUE,FILTER('Tổng hợp 75 trang đích'!$B$2:$B$2505,'Tổng hợp 75 trang đích'!$I$2:$I$2505=A210)))"),"https://techcombank.com/thong-tin/blog/lam-the-tin-dung
https://techcombank.com/khach-hang-ca-nhan/chi-tieu/the/the-tin-dung/techcombank-everyday
https://techcombank.com/thong-tin/blog/the-tin-dung-hoan-tien
https://techcombank.com/thong-tin/blog/cach-huy"&amp;"-the-tin-dung
https://techcombank.com/thong-tin/blog/cach-thanh-toan-the-tin-dung")</f>
        <v>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https://techcombank.com/thong-tin/blog/cach-thanh-toan-the-tin-dung</v>
      </c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</row>
    <row r="211">
      <c r="A211" s="10" t="str">
        <f>IFERROR(__xludf.DUMMYFUNCTION("""COMPUTED_VALUE"""),"https://techcombank.com/thong-tin/blog/vay-mua-xe-tra-gop-ngan-hang-nao-tot-nhat")</f>
        <v>https://techcombank.com/thong-tin/blog/vay-mua-xe-tra-gop-ngan-hang-nao-tot-nhat</v>
      </c>
      <c r="B211" s="11">
        <f>IFERROR(__xludf.DUMMYFUNCTION("""COMPUTED_VALUE"""),5.0)</f>
        <v>5</v>
      </c>
      <c r="C211" s="8" t="str">
        <f>IFERROR(__xludf.DUMMYFUNCTION("IF(A211="""","""",TEXTJOIN(CHAR(10),TRUE,FILTER('Tổng hợp 75 trang đích'!$B$2:$B$2505,'Tổng hợp 75 trang đích'!$I$2:$I$2505=A211)))"),"https://techcombank.com/thong-tin/blog/lai-suat-vay-mua-o-to
https://techcombank.com/thong-tin/blog/ngan-hang-uy-tin
https://techcombank.com/thong-tin/blog/vay-ngan-hang-1-ty-moi-thang-tra-bao-nhieu
https://techcombank.com/thong-tin/blog/cach-tinh-lai-vay"&amp;"-ngan-hang
https://techcombank.com/cong-cu-tien-ich/cong-cu-tinh-toan/bang-tinh-lai-suat-vay")</f>
        <v>https://techcombank.com/thong-tin/blog/lai-suat-vay-mua-o-to
https://techcombank.com/thong-tin/blog/ngan-hang-uy-tin
https://techcombank.com/thong-tin/blog/vay-ngan-hang-1-ty-moi-thang-tra-bao-nhieu
https://techcombank.com/thong-tin/blog/cach-tinh-lai-vay-ngan-hang
https://techcombank.com/cong-cu-tien-ich/cong-cu-tinh-toan/bang-tinh-lai-suat-vay</v>
      </c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</row>
    <row r="212">
      <c r="A212" s="10" t="str">
        <f>IFERROR(__xludf.DUMMYFUNCTION("""COMPUTED_VALUE"""),"https://techcombank.com/thong-tin/blog/vay-ngan-hang-chi-can-cccd")</f>
        <v>https://techcombank.com/thong-tin/blog/vay-ngan-hang-chi-can-cccd</v>
      </c>
      <c r="B212" s="11">
        <f>IFERROR(__xludf.DUMMYFUNCTION("""COMPUTED_VALUE"""),5.0)</f>
        <v>5</v>
      </c>
      <c r="C212" s="8" t="str">
        <f>IFERROR(__xludf.DUMMYFUNCTION("IF(A212="""","""",TEXTJOIN(CHAR(10),TRUE,FILTER('Tổng hợp 75 trang đích'!$B$2:$B$2505,'Tổng hợp 75 trang đích'!$I$2:$I$2505=A212)))"),"https://techcombank.com/thong-tin/blog/cach-quet-nfc-cccd-tren-iphone
https://techcombank.com/thong-tin/blog/cach-tinh-lai-vay-ngan-hang
https://techcombank.com/cong-cu-tien-ich/cong-cu-tinh-toan/bang-tinh-lai-suat-vay
https://techcombank.com/thong-tin/bl"&amp;"og/app-vay-tien-nhanh
https://techcombank.com/thong-tin/blog/nen-vay-tin-chap-o-dau")</f>
        <v>https://techcombank.com/thong-tin/blog/cach-quet-nfc-cccd-tren-iphone
https://techcombank.com/thong-tin/blog/cach-tinh-lai-vay-ngan-hang
https://techcombank.com/cong-cu-tien-ich/cong-cu-tinh-toan/bang-tinh-lai-suat-vay
https://techcombank.com/thong-tin/blog/app-vay-tien-nhanh
https://techcombank.com/thong-tin/blog/nen-vay-tin-chap-o-dau</v>
      </c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</row>
    <row r="213">
      <c r="A213" s="10" t="str">
        <f>IFERROR(__xludf.DUMMYFUNCTION("""COMPUTED_VALUE"""),"https://techcombank.com/thong-tin/blog/vay-thau-chi-bang-so-tiet-kiem")</f>
        <v>https://techcombank.com/thong-tin/blog/vay-thau-chi-bang-so-tiet-kiem</v>
      </c>
      <c r="B213" s="11">
        <f>IFERROR(__xludf.DUMMYFUNCTION("""COMPUTED_VALUE"""),5.0)</f>
        <v>5</v>
      </c>
      <c r="C213" s="8" t="str">
        <f>IFERROR(__xludf.DUMMYFUNCTION("IF(A213="""","""",TEXTJOIN(CHAR(10),TRUE,FILTER('Tổng hợp 75 trang đích'!$B$2:$B$2505,'Tổng hợp 75 trang đích'!$I$2:$I$2505=A213)))"),"https://techcombank.com/thong-tin/blog/cach-tinh-lai-suat-tien-gui-tiet-kiem
https://techcombank.com/thong-tin/blog/rut-tien-tiet-kiem-truoc-thoi-han
https://techcombank.com/thong-tin/blog/so-tiet-kiem-ngan-hang
https://techcombank.com/cong-cu-tien-ich/co"&amp;"ng-cu-tinh-toan/bang-tinh-lai-suat-tiet-kiem
https://techcombank.com/thong-tin/blog/vay-thau-chi-la-gi")</f>
        <v>https://techcombank.com/thong-tin/blog/cach-tinh-lai-suat-tien-gui-tiet-kiem
https://techcombank.com/thong-tin/blog/rut-tien-tiet-kiem-truoc-thoi-han
https://techcombank.com/thong-tin/blog/so-tiet-kiem-ngan-hang
https://techcombank.com/cong-cu-tien-ich/cong-cu-tinh-toan/bang-tinh-lai-suat-tiet-kiem
https://techcombank.com/thong-tin/blog/vay-thau-chi-la-gi</v>
      </c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</row>
    <row r="214">
      <c r="A214" s="10" t="str">
        <f>IFERROR(__xludf.DUMMYFUNCTION("""COMPUTED_VALUE"""),"https://techcombank.com/thong-tin/blog/vay-tin-chap-ho-kinh-doanh")</f>
        <v>https://techcombank.com/thong-tin/blog/vay-tin-chap-ho-kinh-doanh</v>
      </c>
      <c r="B214" s="11">
        <f>IFERROR(__xludf.DUMMYFUNCTION("""COMPUTED_VALUE"""),5.0)</f>
        <v>5</v>
      </c>
      <c r="C214" s="8" t="str">
        <f>IFERROR(__xludf.DUMMYFUNCTION("IF(A214="""","""",TEXTJOIN(CHAR(10),TRUE,FILTER('Tổng hợp 75 trang đích'!$B$2:$B$2505,'Tổng hợp 75 trang đích'!$I$2:$I$2505=A214)))"),"https://techcombank.com/thong-tin/blog/ho-kinh-doanh-dong-thue-nhu-nao
https://techcombank.com/thong-tin/blog/mo-tai-khoan-ho-kinh-doanh
https://techcombank.com/thong-tin/blog/cach-tinh-thue-ho-kinh-doanh-nho-le
https://techcombank.com/thong-tin/blog/nen-"&amp;"vay-tin-chap-o-dau
https://techcombank.com/thong-tin/blog/vay-tin-chap-khong-tra-duoc-co-sao-khong")</f>
        <v>https://techcombank.com/thong-tin/blog/ho-kinh-doanh-dong-thue-nhu-nao
https://techcombank.com/thong-tin/blog/mo-tai-khoan-ho-kinh-doanh
https://techcombank.com/thong-tin/blog/cach-tinh-thue-ho-kinh-doanh-nho-le
https://techcombank.com/thong-tin/blog/nen-vay-tin-chap-o-dau
https://techcombank.com/thong-tin/blog/vay-tin-chap-khong-tra-duoc-co-sao-khong</v>
      </c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</row>
    <row r="215">
      <c r="A215" s="10" t="str">
        <f>IFERROR(__xludf.DUMMYFUNCTION("""COMPUTED_VALUE"""),"https://techcombank.com/thong-tin/blog/1-cmnd-dang-ky-duoc-may-tai-khoan-ngan-hang")</f>
        <v>https://techcombank.com/thong-tin/blog/1-cmnd-dang-ky-duoc-may-tai-khoan-ngan-hang</v>
      </c>
      <c r="B215" s="11">
        <f>IFERROR(__xludf.DUMMYFUNCTION("""COMPUTED_VALUE"""),4.0)</f>
        <v>4</v>
      </c>
      <c r="C215" s="8" t="str">
        <f>IFERROR(__xludf.DUMMYFUNCTION("IF(A215="""","""",TEXTJOIN(CHAR(10),TRUE,FILTER('Tổng hợp 75 trang đích'!$B$2:$B$2505,'Tổng hợp 75 trang đích'!$I$2:$I$2505=A215)))"),"https://techcombank.com/thong-tin/blog/cach-mo-tai-khoan
https://techcombank.com/thong-tin/blog/nap-tien-vao-tai-khoan-ngan-hang
https://techcombank.com/thong-tin/blog/rut-tien-bang-ma-qr-la-gi-cach-thuc-hien-nhu-the-nao
https://techcombank.com/thong-tin/"&amp;"blog/cach-quet-nfc-cccd-tren-iphone")</f>
        <v>https://techcombank.com/thong-tin/blog/cach-mo-tai-khoan
https://techcombank.com/thong-tin/blog/nap-tien-vao-tai-khoan-ngan-hang
https://techcombank.com/thong-tin/blog/rut-tien-bang-ma-qr-la-gi-cach-thuc-hien-nhu-the-nao
https://techcombank.com/thong-tin/blog/cach-quet-nfc-cccd-tren-iphone</v>
      </c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</row>
    <row r="216">
      <c r="A216" s="10" t="str">
        <f>IFERROR(__xludf.DUMMYFUNCTION("""COMPUTED_VALUE"""),"https://techcombank.com/thong-tin/blog/1000-won-bang-bao-nhieu-tien-viet")</f>
        <v>https://techcombank.com/thong-tin/blog/1000-won-bang-bao-nhieu-tien-viet</v>
      </c>
      <c r="B216" s="11">
        <f>IFERROR(__xludf.DUMMYFUNCTION("""COMPUTED_VALUE"""),4.0)</f>
        <v>4</v>
      </c>
      <c r="C216" s="8" t="str">
        <f>IFERROR(__xludf.DUMMYFUNCTION("IF(A216="""","""",TEXTJOIN(CHAR(10),TRUE,FILTER('Tổng hợp 75 trang đích'!$B$2:$B$2505,'Tổng hợp 75 trang đích'!$I$2:$I$2505=A216)))"),"https://techcombank.com/thong-tin/blog/chuyen-khoan-thanh-cong-nhung-khong-nhan-duoc-tien
https://techcombank.com/thong-tin/blog/1-te-bang-bao-nhieu-tien-viet-nam
https://techcombank.com/thong-tin/blog/1-won-bang-bao-nhieu-tien-viet
https://techcombank.co"&amp;"m/thong-tin/blog/doi-tien-do-o-dau")</f>
        <v>https://techcombank.com/thong-tin/blog/chuyen-khoan-thanh-cong-nhung-khong-nhan-duoc-tien
https://techcombank.com/thong-tin/blog/1-te-bang-bao-nhieu-tien-viet-nam
https://techcombank.com/thong-tin/blog/1-won-bang-bao-nhieu-tien-viet
https://techcombank.com/thong-tin/blog/doi-tien-do-o-dau</v>
      </c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</row>
    <row r="217">
      <c r="A217" s="10" t="str">
        <f>IFERROR(__xludf.DUMMYFUNCTION("""COMPUTED_VALUE"""),"https://techcombank.com/thong-tin/blog/bao-hiem-vat-chat-xe-o-to")</f>
        <v>https://techcombank.com/thong-tin/blog/bao-hiem-vat-chat-xe-o-to</v>
      </c>
      <c r="B217" s="11">
        <f>IFERROR(__xludf.DUMMYFUNCTION("""COMPUTED_VALUE"""),4.0)</f>
        <v>4</v>
      </c>
      <c r="C217" s="8" t="str">
        <f>IFERROR(__xludf.DUMMYFUNCTION("IF(A217="""","""",TEXTJOIN(CHAR(10),TRUE,FILTER('Tổng hợp 75 trang đích'!$B$2:$B$2505,'Tổng hợp 75 trang đích'!$I$2:$I$2505=A217)))"),"https://techcombank.com/thong-tin/blog/ngan-hang-uy-tin
https://techcombank.com/thong-tin/blog/vay-ngan-hang-1-ty-moi-thang-tra-bao-nhieu
https://techcombank.com/thong-tin/blog/cach-tinh-lai-vay-ngan-hang
https://techcombank.com/cong-cu-tien-ich/cong-cu-t"&amp;"inh-toan/bang-tinh-lai-suat-vay")</f>
        <v>https://techcombank.com/thong-tin/blog/ngan-hang-uy-tin
https://techcombank.com/thong-tin/blog/vay-ngan-hang-1-ty-moi-thang-tra-bao-nhieu
https://techcombank.com/thong-tin/blog/cach-tinh-lai-vay-ngan-hang
https://techcombank.com/cong-cu-tien-ich/cong-cu-tinh-toan/bang-tinh-lai-suat-vay</v>
      </c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</row>
    <row r="218">
      <c r="A218" s="10" t="str">
        <f>IFERROR(__xludf.DUMMYFUNCTION("""COMPUTED_VALUE"""),"https://techcombank.com/thong-tin/blog/cac-hinh-thuc-cho-vay-tieu-dung")</f>
        <v>https://techcombank.com/thong-tin/blog/cac-hinh-thuc-cho-vay-tieu-dung</v>
      </c>
      <c r="B218" s="11">
        <f>IFERROR(__xludf.DUMMYFUNCTION("""COMPUTED_VALUE"""),4.0)</f>
        <v>4</v>
      </c>
      <c r="C218" s="8" t="str">
        <f>IFERROR(__xludf.DUMMYFUNCTION("IF(A218="""","""",TEXTJOIN(CHAR(10),TRUE,FILTER('Tổng hợp 75 trang đích'!$B$2:$B$2505,'Tổng hợp 75 trang đích'!$I$2:$I$2505=A218)))"),"https://techcombank.com/thong-tin/blog/lai-suat-vay-the-chap-so-do
https://techcombank.com/thong-tin/blog/ho-so-thu-tuc-xoa-the-chap
https://techcombank.com/thong-tin/blog/nen-vay-tin-chap-o-dau
https://techcombank.com/thong-tin/blog/vay-tin-chap-khong-tr"&amp;"a-duoc-co-sao-khong")</f>
        <v>https://techcombank.com/thong-tin/blog/lai-suat-vay-the-chap-so-do
https://techcombank.com/thong-tin/blog/ho-so-thu-tuc-xoa-the-chap
https://techcombank.com/thong-tin/blog/nen-vay-tin-chap-o-dau
https://techcombank.com/thong-tin/blog/vay-tin-chap-khong-tra-duoc-co-sao-khong</v>
      </c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</row>
    <row r="219">
      <c r="A219" s="10" t="str">
        <f>IFERROR(__xludf.DUMMYFUNCTION("""COMPUTED_VALUE"""),"https://techcombank.com/thong-tin/blog/cac-sai-lam-pho-bien-khi-chuyen-doi-ho-kinh-doanh-len-sme")</f>
        <v>https://techcombank.com/thong-tin/blog/cac-sai-lam-pho-bien-khi-chuyen-doi-ho-kinh-doanh-len-sme</v>
      </c>
      <c r="B219" s="11">
        <f>IFERROR(__xludf.DUMMYFUNCTION("""COMPUTED_VALUE"""),4.0)</f>
        <v>4</v>
      </c>
      <c r="C219" s="8" t="str">
        <f>IFERROR(__xludf.DUMMYFUNCTION("IF(A219="""","""",TEXTJOIN(CHAR(10),TRUE,FILTER('Tổng hợp 75 trang đích'!$B$2:$B$2505,'Tổng hợp 75 trang đích'!$I$2:$I$2505=A219)))"),"https://techcombank.com/thong-tin/blog/ho-kinh-doanh-dong-thue-nhu-nao
https://techcombank.com/thong-tin/blog/mo-tai-khoan-ho-kinh-doanh
https://techcombank.com/thong-tin/blog/cach-tinh-thue-ho-kinh-doanh-nho-le
https://techcombank.com/thong-tin/blog/rui-"&amp;"ro-khi-gui-tiet-kiem-online")</f>
        <v>https://techcombank.com/thong-tin/blog/ho-kinh-doanh-dong-thue-nhu-nao
https://techcombank.com/thong-tin/blog/mo-tai-khoan-ho-kinh-doanh
https://techcombank.com/thong-tin/blog/cach-tinh-thue-ho-kinh-doanh-nho-le
https://techcombank.com/thong-tin/blog/rui-ro-khi-gui-tiet-kiem-online</v>
      </c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</row>
    <row r="220">
      <c r="A220" s="10" t="str">
        <f>IFERROR(__xludf.DUMMYFUNCTION("""COMPUTED_VALUE"""),"https://techcombank.com/thong-tin/blog/cach-chon-so-tai-khoan-dep")</f>
        <v>https://techcombank.com/thong-tin/blog/cach-chon-so-tai-khoan-dep</v>
      </c>
      <c r="B220" s="11">
        <f>IFERROR(__xludf.DUMMYFUNCTION("""COMPUTED_VALUE"""),4.0)</f>
        <v>4</v>
      </c>
      <c r="C220" s="8" t="str">
        <f>IFERROR(__xludf.DUMMYFUNCTION("IF(A220="""","""",TEXTJOIN(CHAR(10),TRUE,FILTER('Tổng hợp 75 trang đích'!$B$2:$B$2505,'Tổng hợp 75 trang đích'!$I$2:$I$2505=A220)))"),"https://techcombank.com/thong-tin/blog/cach-kiem-tra-tai-khoan-ngan-hang
https://techcombank.com/thong-tin/blog/cach-mo-tai-khoan
https://techcombank.com/thong-tin/blog/bao-nhieu-tuoi-duoc-mo-tai-khoan-ngan-hang
https://techcombank.com/thong-tin/blog/day-"&amp;"so-phat-tai-phat-loc")</f>
        <v>https://techcombank.com/thong-tin/blog/cach-kiem-tra-tai-khoan-ngan-hang
https://techcombank.com/thong-tin/blog/cach-mo-tai-khoan
https://techcombank.com/thong-tin/blog/bao-nhieu-tuoi-duoc-mo-tai-khoan-ngan-hang
https://techcombank.com/thong-tin/blog/day-so-phat-tai-phat-loc</v>
      </c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</row>
    <row r="221">
      <c r="A221" s="10" t="str">
        <f>IFERROR(__xludf.DUMMYFUNCTION("""COMPUTED_VALUE"""),"https://techcombank.com/thong-tin/blog/cach-dang-ky-ma-so-thue-ho-kinh-doanh-online")</f>
        <v>https://techcombank.com/thong-tin/blog/cach-dang-ky-ma-so-thue-ho-kinh-doanh-online</v>
      </c>
      <c r="B221" s="11">
        <f>IFERROR(__xludf.DUMMYFUNCTION("""COMPUTED_VALUE"""),4.0)</f>
        <v>4</v>
      </c>
      <c r="C221" s="8" t="str">
        <f>IFERROR(__xludf.DUMMYFUNCTION("IF(A221="""","""",TEXTJOIN(CHAR(10),TRUE,FILTER('Tổng hợp 75 trang đích'!$B$2:$B$2505,'Tổng hợp 75 trang đích'!$I$2:$I$2505=A221)))"),"https://techcombank.com/thong-tin/blog/ho-kinh-doanh-dong-thue-nhu-nao
https://techcombank.com/thong-tin/blog/mo-hinh-kinh-doanh-la-gi
https://techcombank.com/thong-tin/blog/mo-tai-khoan-ho-kinh-doanh
https://techcombank.com/thong-tin/blog/cach-tinh-thue-"&amp;"ho-kinh-doanh-nho-le")</f>
        <v>https://techcombank.com/thong-tin/blog/ho-kinh-doanh-dong-thue-nhu-nao
https://techcombank.com/thong-tin/blog/mo-hinh-kinh-doanh-la-gi
https://techcombank.com/thong-tin/blog/mo-tai-khoan-ho-kinh-doanh
https://techcombank.com/thong-tin/blog/cach-tinh-thue-ho-kinh-doanh-nho-le</v>
      </c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</row>
    <row r="222">
      <c r="A222" s="10" t="str">
        <f>IFERROR(__xludf.DUMMYFUNCTION("""COMPUTED_VALUE"""),"https://techcombank.com/thong-tin/blog/cach-huy-thanh-toan-tien-dien")</f>
        <v>https://techcombank.com/thong-tin/blog/cach-huy-thanh-toan-tien-dien</v>
      </c>
      <c r="B222" s="11">
        <f>IFERROR(__xludf.DUMMYFUNCTION("""COMPUTED_VALUE"""),4.0)</f>
        <v>4</v>
      </c>
      <c r="C222" s="8" t="str">
        <f>IFERROR(__xludf.DUMMYFUNCTION("IF(A222="""","""",TEXTJOIN(CHAR(10),TRUE,FILTER('Tổng hợp 75 trang đích'!$B$2:$B$2505,'Tổng hợp 75 trang đích'!$I$2:$I$2505=A222)))"),"https://techcombank.com/thong-tin/blog/thue-vat-la-gi
https://techcombank.com/thong-tin/blog/cach-tinh-tien-dien-sinh-hoat
https://techcombank.com/thong-tin/blog/ten-dang-nhap-tai-khoan-ngan-hang-la-gi
https://techcombank.com/thong-tin/blog/traveloka-vouc"&amp;"her")</f>
        <v>https://techcombank.com/thong-tin/blog/thue-vat-la-gi
https://techcombank.com/thong-tin/blog/cach-tinh-tien-dien-sinh-hoat
https://techcombank.com/thong-tin/blog/ten-dang-nhap-tai-khoan-ngan-hang-la-gi
https://techcombank.com/thong-tin/blog/traveloka-voucher</v>
      </c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</row>
    <row r="223">
      <c r="A223" s="10" t="str">
        <f>IFERROR(__xludf.DUMMYFUNCTION("""COMPUTED_VALUE"""),"https://techcombank.com/thong-tin/blog/cach-huy-the-tin-dung")</f>
        <v>https://techcombank.com/thong-tin/blog/cach-huy-the-tin-dung</v>
      </c>
      <c r="B223" s="11">
        <f>IFERROR(__xludf.DUMMYFUNCTION("""COMPUTED_VALUE"""),4.0)</f>
        <v>4</v>
      </c>
      <c r="C223" s="8" t="str">
        <f>IFERROR(__xludf.DUMMYFUNCTION("IF(A223="""","""",TEXTJOIN(CHAR(10),TRUE,FILTER('Tổng hợp 75 trang đích'!$B$2:$B$2505,'Tổng hợp 75 trang đích'!$I$2:$I$2505=A223)))"),"https://techcombank.com/thong-tin/blog/lam-the-tin-dung
https://techcombank.com/khach-hang-ca-nhan/chi-tieu/the/the-tin-dung/techcombank-everyday
https://techcombank.com/thong-tin/blog/the-tin-dung-hoan-tien
https://techcombank.com/thong-tin/blog/cach-tha"&amp;"nh-toan-the-tin-dung")</f>
        <v>https://techcombank.com/thong-tin/blog/lam-the-tin-dung
https://techcombank.com/khach-hang-ca-nhan/chi-tieu/the/the-tin-dung/techcombank-everyday
https://techcombank.com/thong-tin/blog/the-tin-dung-hoan-tien
https://techcombank.com/thong-tin/blog/cach-thanh-toan-the-tin-dung</v>
      </c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</row>
    <row r="224">
      <c r="A224" s="10" t="str">
        <f>IFERROR(__xludf.DUMMYFUNCTION("""COMPUTED_VALUE"""),"https://techcombank.com/thong-tin/blog/cach-kiem-tra-tai-khoan-ngan-hang-cua-cong-ty")</f>
        <v>https://techcombank.com/thong-tin/blog/cach-kiem-tra-tai-khoan-ngan-hang-cua-cong-ty</v>
      </c>
      <c r="B224" s="11">
        <f>IFERROR(__xludf.DUMMYFUNCTION("""COMPUTED_VALUE"""),4.0)</f>
        <v>4</v>
      </c>
      <c r="C224" s="8" t="str">
        <f>IFERROR(__xludf.DUMMYFUNCTION("IF(A224="""","""",TEXTJOIN(CHAR(10),TRUE,FILTER('Tổng hợp 75 trang đích'!$B$2:$B$2505,'Tổng hợp 75 trang đích'!$I$2:$I$2505=A224)))"),"https://techcombank.com/thong-tin/blog/cach-kiem-tra-tai-khoan-ngan-hang
https://techcombank.com/thong-tin/blog/cach-mo-tai-khoan
https://techcombank.com/thong-tin/blog/ten-dang-nhap-tai-khoan-ngan-hang-la-gi
https://techcombank.com/thong-tin/blog/ho-kinh"&amp;"-doanh-dong-thue-nhu-nao")</f>
        <v>https://techcombank.com/thong-tin/blog/cach-kiem-tra-tai-khoan-ngan-hang
https://techcombank.com/thong-tin/blog/cach-mo-tai-khoan
https://techcombank.com/thong-tin/blog/ten-dang-nhap-tai-khoan-ngan-hang-la-gi
https://techcombank.com/thong-tin/blog/ho-kinh-doanh-dong-thue-nhu-nao</v>
      </c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</row>
    <row r="225">
      <c r="A225" s="10" t="str">
        <f>IFERROR(__xludf.DUMMYFUNCTION("""COMPUTED_VALUE"""),"https://techcombank.com/thong-tin/blog/cach-rut-tien-atm")</f>
        <v>https://techcombank.com/thong-tin/blog/cach-rut-tien-atm</v>
      </c>
      <c r="B225" s="11">
        <f>IFERROR(__xludf.DUMMYFUNCTION("""COMPUTED_VALUE"""),4.0)</f>
        <v>4</v>
      </c>
      <c r="C225" s="8" t="str">
        <f>IFERROR(__xludf.DUMMYFUNCTION("IF(A225="""","""",TEXTJOIN(CHAR(10),TRUE,FILTER('Tổng hợp 75 trang đích'!$B$2:$B$2505,'Tổng hợp 75 trang đích'!$I$2:$I$2505=A225)))"),"https://techcombank.com/thong-tin/blog/nap-tien-vao-tai-khoan-ngan-hang
https://techcombank.com/thong-tin/blog/rut-tien-bang-ma-qr-la-gi-cach-thuc-hien-nhu-the-nao
https://techcombank.com/thong-tin/blog/rut-tien-mat-tu-the-tin-dung
https://techcombank.com"&amp;"/thong-tin/blog/gui-ma-qr-ngan-hang")</f>
        <v>https://techcombank.com/thong-tin/blog/nap-tien-vao-tai-khoan-ngan-hang
https://techcombank.com/thong-tin/blog/rut-tien-bang-ma-qr-la-gi-cach-thuc-hien-nhu-the-nao
https://techcombank.com/thong-tin/blog/rut-tien-mat-tu-the-tin-dung
https://techcombank.com/thong-tin/blog/gui-ma-qr-ngan-hang</v>
      </c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</row>
    <row r="226">
      <c r="A226" s="10" t="str">
        <f>IFERROR(__xludf.DUMMYFUNCTION("""COMPUTED_VALUE"""),"https://techcombank.com/thong-tin/blog/cach-tiet-kiem-tien-hieu-qua-cho-gia-dinh")</f>
        <v>https://techcombank.com/thong-tin/blog/cach-tiet-kiem-tien-hieu-qua-cho-gia-dinh</v>
      </c>
      <c r="B226" s="11">
        <f>IFERROR(__xludf.DUMMYFUNCTION("""COMPUTED_VALUE"""),4.0)</f>
        <v>4</v>
      </c>
      <c r="C226" s="8" t="str">
        <f>IFERROR(__xludf.DUMMYFUNCTION("IF(A226="""","""",TEXTJOIN(CHAR(10),TRUE,FILTER('Tổng hợp 75 trang đích'!$B$2:$B$2505,'Tổng hợp 75 trang đích'!$I$2:$I$2505=A226)))"),"https://techcombank.com/thong-tin/blog/mo-tai-khoan-ngan-hang-duoi-18-tuoi
https://techcombank.com/thong-tin/blog/cach-sao-ke-tai-khoan-ngan-hang
https://techcombank.com/thong-tin/blog/eco-card
https://techcombank.com/thong-tin/blog/cach-tiet-kiem-tien")</f>
        <v>https://techcombank.com/thong-tin/blog/mo-tai-khoan-ngan-hang-duoi-18-tuoi
https://techcombank.com/thong-tin/blog/cach-sao-ke-tai-khoan-ngan-hang
https://techcombank.com/thong-tin/blog/eco-card
https://techcombank.com/thong-tin/blog/cach-tiet-kiem-tien</v>
      </c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</row>
    <row r="227">
      <c r="A227" s="10" t="str">
        <f>IFERROR(__xludf.DUMMYFUNCTION("""COMPUTED_VALUE"""),"https://techcombank.com/thong-tin/blog/cach-tinh-loi-nhuan-chung-chi-tien-gui")</f>
        <v>https://techcombank.com/thong-tin/blog/cach-tinh-loi-nhuan-chung-chi-tien-gui</v>
      </c>
      <c r="B227" s="11">
        <f>IFERROR(__xludf.DUMMYFUNCTION("""COMPUTED_VALUE"""),4.0)</f>
        <v>4</v>
      </c>
      <c r="C227" s="8" t="str">
        <f>IFERROR(__xludf.DUMMYFUNCTION("IF(A227="""","""",TEXTJOIN(CHAR(10),TRUE,FILTER('Tổng hợp 75 trang đích'!$B$2:$B$2505,'Tổng hợp 75 trang đích'!$I$2:$I$2505=A227)))"),"https://techcombank.com/thong-tin/blog/thue-thu-nhap-doanh-nghiep
https://techcombank.com/thong-tin/blog/cach-tinh-thue-thu-nhap-doanh-nghiep
https://techcombank.com/thong-tin/blog/chung-chi-tien-gui-la-gi
https://techcombank.com/thong-tin/blog/lai-suat-c"&amp;"hung-chi-tien-gui-cac-ngan-hang")</f>
        <v>https://techcombank.com/thong-tin/blog/thue-thu-nhap-doanh-nghiep
https://techcombank.com/thong-tin/blog/cach-tinh-thue-thu-nhap-doanh-nghiep
https://techcombank.com/thong-tin/blog/chung-chi-tien-gui-la-gi
https://techcombank.com/thong-tin/blog/lai-suat-chung-chi-tien-gui-cac-ngan-hang</v>
      </c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</row>
    <row r="228">
      <c r="A228" s="10" t="str">
        <f>IFERROR(__xludf.DUMMYFUNCTION("""COMPUTED_VALUE"""),"https://techcombank.com/thong-tin/blog/cach-tinh-thue-thu-nhap-doanh-nghiep")</f>
        <v>https://techcombank.com/thong-tin/blog/cach-tinh-thue-thu-nhap-doanh-nghiep</v>
      </c>
      <c r="B228" s="11">
        <f>IFERROR(__xludf.DUMMYFUNCTION("""COMPUTED_VALUE"""),4.0)</f>
        <v>4</v>
      </c>
      <c r="C228" s="8" t="str">
        <f>IFERROR(__xludf.DUMMYFUNCTION("IF(A228="""","""",TEXTJOIN(CHAR(10),TRUE,FILTER('Tổng hợp 75 trang đích'!$B$2:$B$2505,'Tổng hợp 75 trang đích'!$I$2:$I$2505=A228)))"),"https://techcombank.com/thong-tin/blog/thue-thu-nhap-doanh-nghiep
https://techcombank.com/thong-tin/blog/tra-cuu-no-thue-doanh-nghiep
https://techcombank.com/thong-tin/blog/thue-doanh-nghiep
https://techcombank.com/thong-tin/blog/ho-kinh-doanh-dong-thue-n"&amp;"hu-nao")</f>
        <v>https://techcombank.com/thong-tin/blog/thue-thu-nhap-doanh-nghiep
https://techcombank.com/thong-tin/blog/tra-cuu-no-thue-doanh-nghiep
https://techcombank.com/thong-tin/blog/thue-doanh-nghiep
https://techcombank.com/thong-tin/blog/ho-kinh-doanh-dong-thue-nhu-nao</v>
      </c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</row>
    <row r="229">
      <c r="A229" s="10" t="str">
        <f>IFERROR(__xludf.DUMMYFUNCTION("""COMPUTED_VALUE"""),"https://techcombank.com/thong-tin/blog/chixmax")</f>
        <v>https://techcombank.com/thong-tin/blog/chixmax</v>
      </c>
      <c r="B229" s="11">
        <f>IFERROR(__xludf.DUMMYFUNCTION("""COMPUTED_VALUE"""),4.0)</f>
        <v>4</v>
      </c>
      <c r="C229" s="8" t="str">
        <f>IFERROR(__xludf.DUMMYFUNCTION("IF(A229="""","""",TEXTJOIN(CHAR(10),TRUE,FILTER('Tổng hợp 75 trang đích'!$B$2:$B$2505,'Tổng hợp 75 trang đích'!$I$2:$I$2505=A229)))"),"https://techcombank.com/thong-tin/blog/tien-nhat
https://techcombank.com/thong-tin/blog/1-yen-bang-bao-nhieu-tien-viet-nam
https://techcombank.com/thong-tin/blog/1-man-bang-bao-nhieu-tien-viet
https://techcombank.com/thong-tin/blog/traveloka-voucher")</f>
        <v>https://techcombank.com/thong-tin/blog/tien-nhat
https://techcombank.com/thong-tin/blog/1-yen-bang-bao-nhieu-tien-viet-nam
https://techcombank.com/thong-tin/blog/1-man-bang-bao-nhieu-tien-viet
https://techcombank.com/thong-tin/blog/traveloka-voucher</v>
      </c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</row>
    <row r="230">
      <c r="A230" s="10" t="str">
        <f>IFERROR(__xludf.DUMMYFUNCTION("""COMPUTED_VALUE"""),"https://techcombank.com/thong-tin/blog/cho-vay-tieu-dung-la-gi")</f>
        <v>https://techcombank.com/thong-tin/blog/cho-vay-tieu-dung-la-gi</v>
      </c>
      <c r="B230" s="11">
        <f>IFERROR(__xludf.DUMMYFUNCTION("""COMPUTED_VALUE"""),4.0)</f>
        <v>4</v>
      </c>
      <c r="C230" s="8" t="str">
        <f>IFERROR(__xludf.DUMMYFUNCTION("IF(A230="""","""",TEXTJOIN(CHAR(10),TRUE,FILTER('Tổng hợp 75 trang đích'!$B$2:$B$2505,'Tổng hợp 75 trang đích'!$I$2:$I$2505=A230)))"),"https://techcombank.com/thong-tin/blog/cach-sao-ke-tai-khoan-ngan-hang
https://techcombank.com/thong-tin/blog/xep-hang-tin-dung
https://techcombank.com/thong-tin/blog/cach-tiet-kiem-tien
https://techcombank.com/thong-tin/blog/nen-vay-tin-chap-o-dau")</f>
        <v>https://techcombank.com/thong-tin/blog/cach-sao-ke-tai-khoan-ngan-hang
https://techcombank.com/thong-tin/blog/xep-hang-tin-dung
https://techcombank.com/thong-tin/blog/cach-tiet-kiem-tien
https://techcombank.com/thong-tin/blog/nen-vay-tin-chap-o-dau</v>
      </c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</row>
    <row r="231">
      <c r="A231" s="10" t="str">
        <f>IFERROR(__xludf.DUMMYFUNCTION("""COMPUTED_VALUE"""),"https://techcombank.com/thong-tin/blog/chuan-bi-cho-doanh-nghiep-khoi-nghiep-truoc-nhung-thay-doi-ve-thue")</f>
        <v>https://techcombank.com/thong-tin/blog/chuan-bi-cho-doanh-nghiep-khoi-nghiep-truoc-nhung-thay-doi-ve-thue</v>
      </c>
      <c r="B231" s="11">
        <f>IFERROR(__xludf.DUMMYFUNCTION("""COMPUTED_VALUE"""),4.0)</f>
        <v>4</v>
      </c>
      <c r="C231" s="8" t="str">
        <f>IFERROR(__xludf.DUMMYFUNCTION("IF(A231="""","""",TEXTJOIN(CHAR(10),TRUE,FILTER('Tổng hợp 75 trang đích'!$B$2:$B$2505,'Tổng hợp 75 trang đích'!$I$2:$I$2505=A231)))"),"https://techcombank.com/thong-tin/blog/thue-doanh-nghiep
https://techcombank.com/thong-tin/blog/cach-tinh-thue-thu-nhap-doanh-nghiep
https://techcombank.com/thong-tin/blog/ho-kinh-doanh-dong-thue-nhu-nao
https://techcombank.com/thong-tin/blog/mo-hinh-kinh"&amp;"-doanh-la-gi")</f>
        <v>https://techcombank.com/thong-tin/blog/thue-doanh-nghiep
https://techcombank.com/thong-tin/blog/cach-tinh-thue-thu-nhap-doanh-nghiep
https://techcombank.com/thong-tin/blog/ho-kinh-doanh-dong-thue-nhu-nao
https://techcombank.com/thong-tin/blog/mo-hinh-kinh-doanh-la-gi</v>
      </c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</row>
    <row r="232">
      <c r="A232" s="10" t="str">
        <f>IFERROR(__xludf.DUMMYFUNCTION("""COMPUTED_VALUE"""),"https://techcombank.com/thong-tin/blog/chuyen-doi-so-ho-kinh-doanh")</f>
        <v>https://techcombank.com/thong-tin/blog/chuyen-doi-so-ho-kinh-doanh</v>
      </c>
      <c r="B232" s="11">
        <f>IFERROR(__xludf.DUMMYFUNCTION("""COMPUTED_VALUE"""),4.0)</f>
        <v>4</v>
      </c>
      <c r="C232" s="8" t="str">
        <f>IFERROR(__xludf.DUMMYFUNCTION("IF(A232="""","""",TEXTJOIN(CHAR(10),TRUE,FILTER('Tổng hợp 75 trang đích'!$B$2:$B$2505,'Tổng hợp 75 trang đích'!$I$2:$I$2505=A232)))"),"https://techcombank.com/thong-tin/blog/chung-chi-tien-gui-la-gi
https://techcombank.com/thong-tin/blog/ho-kinh-doanh-dong-thue-nhu-nao
https://techcombank.com/thong-tin/blog/mo-tai-khoan-ho-kinh-doanh
https://techcombank.com/thong-tin/blog/cach-tinh-thue-"&amp;"ho-kinh-doanh-nho-le")</f>
        <v>https://techcombank.com/thong-tin/blog/chung-chi-tien-gui-la-gi
https://techcombank.com/thong-tin/blog/ho-kinh-doanh-dong-thue-nhu-nao
https://techcombank.com/thong-tin/blog/mo-tai-khoan-ho-kinh-doanh
https://techcombank.com/thong-tin/blog/cach-tinh-thue-ho-kinh-doanh-nho-le</v>
      </c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</row>
    <row r="233">
      <c r="A233" s="10" t="str">
        <f>IFERROR(__xludf.DUMMYFUNCTION("""COMPUTED_VALUE"""),"https://techcombank.com/thong-tin/blog/chuyen-nhuong-chung-chi-tien-gui")</f>
        <v>https://techcombank.com/thong-tin/blog/chuyen-nhuong-chung-chi-tien-gui</v>
      </c>
      <c r="B233" s="11">
        <f>IFERROR(__xludf.DUMMYFUNCTION("""COMPUTED_VALUE"""),4.0)</f>
        <v>4</v>
      </c>
      <c r="C233" s="8" t="str">
        <f>IFERROR(__xludf.DUMMYFUNCTION("IF(A233="""","""",TEXTJOIN(CHAR(10),TRUE,FILTER('Tổng hợp 75 trang đích'!$B$2:$B$2505,'Tổng hợp 75 trang đích'!$I$2:$I$2505=A233)))"),"https://techcombank.com/thong-tin/blog/chung-chi-tien-gui-la-gi
https://techcombank.com/thong-tin/blog/lai-suat-chung-chi-tien-gui-cac-ngan-hang
https://techcombank.com/thong-tin/blog/ho-kinh-doanh-dong-thue-nhu-nao
https://techcombank.com/thong-tin/blog/"&amp;"rut-tien-tiet-kiem-truoc-thoi-han")</f>
        <v>https://techcombank.com/thong-tin/blog/chung-chi-tien-gui-la-gi
https://techcombank.com/thong-tin/blog/lai-suat-chung-chi-tien-gui-cac-ngan-hang
https://techcombank.com/thong-tin/blog/ho-kinh-doanh-dong-thue-nhu-nao
https://techcombank.com/thong-tin/blog/rut-tien-tiet-kiem-truoc-thoi-han</v>
      </c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</row>
    <row r="234">
      <c r="A234" s="10" t="str">
        <f>IFERROR(__xludf.DUMMYFUNCTION("""COMPUTED_VALUE"""),"https://techcombank.com/thong-tin/blog/chuyen-tien-dinh-cu")</f>
        <v>https://techcombank.com/thong-tin/blog/chuyen-tien-dinh-cu</v>
      </c>
      <c r="B234" s="11">
        <f>IFERROR(__xludf.DUMMYFUNCTION("""COMPUTED_VALUE"""),4.0)</f>
        <v>4</v>
      </c>
      <c r="C234" s="8" t="str">
        <f>IFERROR(__xludf.DUMMYFUNCTION("IF(A234="""","""",TEXTJOIN(CHAR(10),TRUE,FILTER('Tổng hợp 75 trang đích'!$B$2:$B$2505,'Tổng hợp 75 trang đích'!$I$2:$I$2505=A234)))"),"https://techcombank.com/thong-tin/blog/chuyen-khoan-thanh-cong-nhung-khong-nhan-duoc-tien
https://techcombank.com/thong-tin/blog/1-te-bang-bao-nhieu-tien-viet-nam
https://techcombank.com/thong-tin/blog/cach-nhan-tien-tu-nuoc-ngoai-ve-viet-nam
https://tech"&amp;"combank.com/thong-tin/blog/doi-tien-do-o-dau")</f>
        <v>https://techcombank.com/thong-tin/blog/chuyen-khoan-thanh-cong-nhung-khong-nhan-duoc-tien
https://techcombank.com/thong-tin/blog/1-te-bang-bao-nhieu-tien-viet-nam
https://techcombank.com/thong-tin/blog/cach-nhan-tien-tu-nuoc-ngoai-ve-viet-nam
https://techcombank.com/thong-tin/blog/doi-tien-do-o-dau</v>
      </c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</row>
    <row r="235">
      <c r="A235" s="10" t="str">
        <f>IFERROR(__xludf.DUMMYFUNCTION("""COMPUTED_VALUE"""),"https://techcombank.com/thong-tin/blog/chuyen-tien-tu-han-sang-viet-nam")</f>
        <v>https://techcombank.com/thong-tin/blog/chuyen-tien-tu-han-sang-viet-nam</v>
      </c>
      <c r="B235" s="11">
        <f>IFERROR(__xludf.DUMMYFUNCTION("""COMPUTED_VALUE"""),4.0)</f>
        <v>4</v>
      </c>
      <c r="C235" s="8" t="str">
        <f>IFERROR(__xludf.DUMMYFUNCTION("IF(A235="""","""",TEXTJOIN(CHAR(10),TRUE,FILTER('Tổng hợp 75 trang đích'!$B$2:$B$2505,'Tổng hợp 75 trang đích'!$I$2:$I$2505=A235)))"),"https://techcombank.com/thong-tin/blog/chuyen-khoan-thanh-cong-nhung-khong-nhan-duoc-tien
https://techcombank.com/thong-tin/blog/1-won-bang-bao-nhieu-tien-viet
https://techcombank.com/thong-tin/blog/1000-won-bang-bao-nhieu-tien-viet
https://techcombank.co"&amp;"m/thong-tin/blog/doi-tien-do-o-dau")</f>
        <v>https://techcombank.com/thong-tin/blog/chuyen-khoan-thanh-cong-nhung-khong-nhan-duoc-tien
https://techcombank.com/thong-tin/blog/1-won-bang-bao-nhieu-tien-viet
https://techcombank.com/thong-tin/blog/1000-won-bang-bao-nhieu-tien-viet
https://techcombank.com/thong-tin/blog/doi-tien-do-o-dau</v>
      </c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</row>
    <row r="236">
      <c r="A236" s="10" t="str">
        <f>IFERROR(__xludf.DUMMYFUNCTION("""COMPUTED_VALUE"""),"https://techcombank.com/thong-tin/blog/co-100-trieu-co-mua-nen-mua-tra-gop")</f>
        <v>https://techcombank.com/thong-tin/blog/co-100-trieu-co-mua-nen-mua-tra-gop</v>
      </c>
      <c r="B236" s="11">
        <f>IFERROR(__xludf.DUMMYFUNCTION("""COMPUTED_VALUE"""),4.0)</f>
        <v>4</v>
      </c>
      <c r="C236" s="8" t="str">
        <f>IFERROR(__xludf.DUMMYFUNCTION("IF(A236="""","""",TEXTJOIN(CHAR(10),TRUE,FILTER('Tổng hợp 75 trang đích'!$B$2:$B$2505,'Tổng hợp 75 trang đích'!$I$2:$I$2505=A236)))"),"https://techcombank.com/thong-tin/blog/xep-hang-tin-dung
https://techcombank.com/thong-tin/blog/vay-ngan-hang-1-ty-moi-thang-tra-bao-nhieu
https://techcombank.com/thong-tin/blog/cach-tinh-lai-vay-ngan-hang
https://techcombank.com/cong-cu-tien-ich/cong-cu-"&amp;"tinh-toan/bang-tinh-lai-suat-vay")</f>
        <v>https://techcombank.com/thong-tin/blog/xep-hang-tin-dung
https://techcombank.com/thong-tin/blog/vay-ngan-hang-1-ty-moi-thang-tra-bao-nhieu
https://techcombank.com/thong-tin/blog/cach-tinh-lai-vay-ngan-hang
https://techcombank.com/cong-cu-tien-ich/cong-cu-tinh-toan/bang-tinh-lai-suat-vay</v>
      </c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</row>
    <row r="237">
      <c r="A237" s="10" t="str">
        <f>IFERROR(__xludf.DUMMYFUNCTION("""COMPUTED_VALUE"""),"https://techcombank.com/thong-tin/blog/co-nen-mua-o-to-tra-gop")</f>
        <v>https://techcombank.com/thong-tin/blog/co-nen-mua-o-to-tra-gop</v>
      </c>
      <c r="B237" s="11">
        <f>IFERROR(__xludf.DUMMYFUNCTION("""COMPUTED_VALUE"""),4.0)</f>
        <v>4</v>
      </c>
      <c r="C237" s="8" t="str">
        <f>IFERROR(__xludf.DUMMYFUNCTION("IF(A237="""","""",TEXTJOIN(CHAR(10),TRUE,FILTER('Tổng hợp 75 trang đích'!$B$2:$B$2505,'Tổng hợp 75 trang đích'!$I$2:$I$2505=A237)))"),"https://techcombank.com/thong-tin/blog/lai-suat-vay-mua-o-to
https://techcombank.com/thong-tin/blog/vay-ngan-hang-1-ty-moi-thang-tra-bao-nhieu
https://techcombank.com/thong-tin/blog/cach-tinh-lai-vay-ngan-hang
https://techcombank.com/cong-cu-tien-ich/cong"&amp;"-cu-tinh-toan/bang-tinh-lai-suat-vay")</f>
        <v>https://techcombank.com/thong-tin/blog/lai-suat-vay-mua-o-to
https://techcombank.com/thong-tin/blog/vay-ngan-hang-1-ty-moi-thang-tra-bao-nhieu
https://techcombank.com/thong-tin/blog/cach-tinh-lai-vay-ngan-hang
https://techcombank.com/cong-cu-tien-ich/cong-cu-tinh-toan/bang-tinh-lai-suat-vay</v>
      </c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</row>
    <row r="238">
      <c r="A238" s="10" t="str">
        <f>IFERROR(__xludf.DUMMYFUNCTION("""COMPUTED_VALUE"""),"https://techcombank.com/thong-tin/blog/dau-co-va-dau-tu")</f>
        <v>https://techcombank.com/thong-tin/blog/dau-co-va-dau-tu</v>
      </c>
      <c r="B238" s="11">
        <f>IFERROR(__xludf.DUMMYFUNCTION("""COMPUTED_VALUE"""),4.0)</f>
        <v>4</v>
      </c>
      <c r="C238" s="8" t="str">
        <f>IFERROR(__xludf.DUMMYFUNCTION("IF(A238="""","""",TEXTJOIN(CHAR(10),TRUE,FILTER('Tổng hợp 75 trang đích'!$B$2:$B$2505,'Tổng hợp 75 trang đích'!$I$2:$I$2505=A238)))"),"https://techcombank.com/thong-tin/blog/thue-thu-nhap-doanh-nghiep
https://techcombank.com/thong-tin/blog/cach-tinh-thue-thu-nhap-doanh-nghiep
https://techcombank.com/thong-tin/blog/rui-ro-khi-gui-tiet-kiem-online
https://techcombank.com/thong-tin/blog/phu"&amp;"ong-phap-dau-tu-chung-chi-quy")</f>
        <v>https://techcombank.com/thong-tin/blog/thue-thu-nhap-doanh-nghiep
https://techcombank.com/thong-tin/blog/cach-tinh-thue-thu-nhap-doanh-nghiep
https://techcombank.com/thong-tin/blog/rui-ro-khi-gui-tiet-kiem-online
https://techcombank.com/thong-tin/blog/phuong-phap-dau-tu-chung-chi-quy</v>
      </c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</row>
    <row r="239">
      <c r="A239" s="10" t="str">
        <f>IFERROR(__xludf.DUMMYFUNCTION("""COMPUTED_VALUE"""),"https://techcombank.com/thong-tin/blog/dau-tu-dai-han")</f>
        <v>https://techcombank.com/thong-tin/blog/dau-tu-dai-han</v>
      </c>
      <c r="B239" s="11">
        <f>IFERROR(__xludf.DUMMYFUNCTION("""COMPUTED_VALUE"""),4.0)</f>
        <v>4</v>
      </c>
      <c r="C239" s="8" t="str">
        <f>IFERROR(__xludf.DUMMYFUNCTION("IF(A239="""","""",TEXTJOIN(CHAR(10),TRUE,FILTER('Tổng hợp 75 trang đích'!$B$2:$B$2505,'Tổng hợp 75 trang đích'!$I$2:$I$2505=A239)))"),"https://techcombank.com/thong-tin/blog/eco-card
https://techcombank.com/thong-tin/blog/chung-chi-tien-gui-la-gi
https://techcombank.com/thong-tin/blog/cach-tinh-lai-suat-tien-gui-tiet-kiem
https://techcombank.com/thong-tin/blog/phuong-phap-dau-tu-chung-ch"&amp;"i-quy")</f>
        <v>https://techcombank.com/thong-tin/blog/eco-card
https://techcombank.com/thong-tin/blog/chung-chi-tien-gui-la-gi
https://techcombank.com/thong-tin/blog/cach-tinh-lai-suat-tien-gui-tiet-kiem
https://techcombank.com/thong-tin/blog/phuong-phap-dau-tu-chung-chi-quy</v>
      </c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</row>
    <row r="240">
      <c r="A240" s="10" t="str">
        <f>IFERROR(__xludf.DUMMYFUNCTION("""COMPUTED_VALUE"""),"https://techcombank.com/thong-tin/blog/du-no-la-gi")</f>
        <v>https://techcombank.com/thong-tin/blog/du-no-la-gi</v>
      </c>
      <c r="B240" s="11">
        <f>IFERROR(__xludf.DUMMYFUNCTION("""COMPUTED_VALUE"""),4.0)</f>
        <v>4</v>
      </c>
      <c r="C240" s="8" t="str">
        <f>IFERROR(__xludf.DUMMYFUNCTION("IF(A240="""","""",TEXTJOIN(CHAR(10),TRUE,FILTER('Tổng hợp 75 trang đích'!$B$2:$B$2505,'Tổng hợp 75 trang đích'!$I$2:$I$2505=A240)))"),"https://techcombank.com/thong-tin/blog/cach-thanh-toan-the-tin-dung
https://techcombank.com/thong-tin/blog/cach-tinh-lai-vay-ngan-hang
https://techcombank.com/thong-tin/blog/no-xau-la-gi
https://techcombank.com/thong-tin/blog/vay-tin-chap-khong-tra-duoc-c"&amp;"o-sao-khong")</f>
        <v>https://techcombank.com/thong-tin/blog/cach-thanh-toan-the-tin-dung
https://techcombank.com/thong-tin/blog/cach-tinh-lai-vay-ngan-hang
https://techcombank.com/thong-tin/blog/no-xau-la-gi
https://techcombank.com/thong-tin/blog/vay-tin-chap-khong-tra-duoc-co-sao-khong</v>
      </c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</row>
    <row r="241">
      <c r="A241" s="10" t="str">
        <f>IFERROR(__xludf.DUMMYFUNCTION("""COMPUTED_VALUE"""),"https://techcombank.com/thong-tin/blog/gia-chung-chi-quy-la-gi")</f>
        <v>https://techcombank.com/thong-tin/blog/gia-chung-chi-quy-la-gi</v>
      </c>
      <c r="B241" s="11">
        <f>IFERROR(__xludf.DUMMYFUNCTION("""COMPUTED_VALUE"""),4.0)</f>
        <v>4</v>
      </c>
      <c r="C241" s="8" t="str">
        <f>IFERROR(__xludf.DUMMYFUNCTION("IF(A241="""","""",TEXTJOIN(CHAR(10),TRUE,FILTER('Tổng hợp 75 trang đích'!$B$2:$B$2505,'Tổng hợp 75 trang đích'!$I$2:$I$2505=A241)))"),"https://techcombank.com/thong-tin/blog/thue-thu-nhap-doanh-nghiep
https://techcombank.com/thong-tin/blog/cach-tinh-thue-thu-nhap-doanh-nghiep
https://techcombank.com/thong-tin/blog/rui-ro-khi-gui-tiet-kiem-online
https://techcombank.com/thong-tin/blog/phu"&amp;"ong-phap-dau-tu-chung-chi-quy")</f>
        <v>https://techcombank.com/thong-tin/blog/thue-thu-nhap-doanh-nghiep
https://techcombank.com/thong-tin/blog/cach-tinh-thue-thu-nhap-doanh-nghiep
https://techcombank.com/thong-tin/blog/rui-ro-khi-gui-tiet-kiem-online
https://techcombank.com/thong-tin/blog/phuong-phap-dau-tu-chung-chi-quy</v>
      </c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</row>
    <row r="242">
      <c r="A242" s="10" t="str">
        <f>IFERROR(__xludf.DUMMYFUNCTION("""COMPUTED_VALUE"""),"https://techcombank.com/thong-tin/blog/giai-dap-ve-thue-doanh-nghiep")</f>
        <v>https://techcombank.com/thong-tin/blog/giai-dap-ve-thue-doanh-nghiep</v>
      </c>
      <c r="B242" s="11">
        <f>IFERROR(__xludf.DUMMYFUNCTION("""COMPUTED_VALUE"""),4.0)</f>
        <v>4</v>
      </c>
      <c r="C242" s="8" t="str">
        <f>IFERROR(__xludf.DUMMYFUNCTION("IF(A242="""","""",TEXTJOIN(CHAR(10),TRUE,FILTER('Tổng hợp 75 trang đích'!$B$2:$B$2505,'Tổng hợp 75 trang đích'!$I$2:$I$2505=A242)))"),"https://techcombank.com/thong-tin/blog/thue-thu-nhap-doanh-nghiep
https://techcombank.com/thong-tin/blog/tra-cuu-no-thue-doanh-nghiep
https://techcombank.com/thong-tin/blog/thue-doanh-nghiep
https://techcombank.com/thong-tin/blog/ho-kinh-doanh-dong-thue-n"&amp;"hu-nao")</f>
        <v>https://techcombank.com/thong-tin/blog/thue-thu-nhap-doanh-nghiep
https://techcombank.com/thong-tin/blog/tra-cuu-no-thue-doanh-nghiep
https://techcombank.com/thong-tin/blog/thue-doanh-nghiep
https://techcombank.com/thong-tin/blog/ho-kinh-doanh-dong-thue-nhu-nao</v>
      </c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</row>
    <row r="243">
      <c r="A243" s="10" t="str">
        <f>IFERROR(__xludf.DUMMYFUNCTION("""COMPUTED_VALUE"""),"https://techcombank.com/thong-tin/blog/hoc-sinh-sinh-vien-nen-lam-the-ngan-hang-nao")</f>
        <v>https://techcombank.com/thong-tin/blog/hoc-sinh-sinh-vien-nen-lam-the-ngan-hang-nao</v>
      </c>
      <c r="B243" s="11">
        <f>IFERROR(__xludf.DUMMYFUNCTION("""COMPUTED_VALUE"""),4.0)</f>
        <v>4</v>
      </c>
      <c r="C243" s="8" t="str">
        <f>IFERROR(__xludf.DUMMYFUNCTION("IF(A243="""","""",TEXTJOIN(CHAR(10),TRUE,FILTER('Tổng hợp 75 trang đích'!$B$2:$B$2505,'Tổng hợp 75 trang đích'!$I$2:$I$2505=A243)))"),"https://techcombank.com/thong-tin/blog/ngan-hang-uy-tin
https://techcombank.com/thong-tin/blog/bao-nhieu-tuoi-duoc-mo-tai-khoan-ngan-hang
https://techcombank.com/thong-tin/blog/mo-tai-khoan-ngan-hang-duoi-18-tuoi
https://techcombank.com/thong-tin/blog/lam"&amp;"-the-tin-dung")</f>
        <v>https://techcombank.com/thong-tin/blog/ngan-hang-uy-tin
https://techcombank.com/thong-tin/blog/bao-nhieu-tuoi-duoc-mo-tai-khoan-ngan-hang
https://techcombank.com/thong-tin/blog/mo-tai-khoan-ngan-hang-duoi-18-tuoi
https://techcombank.com/thong-tin/blog/lam-the-tin-dung</v>
      </c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</row>
    <row r="244">
      <c r="A244" s="10" t="str">
        <f>IFERROR(__xludf.DUMMYFUNCTION("""COMPUTED_VALUE"""),"https://techcombank.com/thong-tin/blog/khai-bao-tai-khoan-ngan-hang-voi-co-quan-thue")</f>
        <v>https://techcombank.com/thong-tin/blog/khai-bao-tai-khoan-ngan-hang-voi-co-quan-thue</v>
      </c>
      <c r="B244" s="11">
        <f>IFERROR(__xludf.DUMMYFUNCTION("""COMPUTED_VALUE"""),4.0)</f>
        <v>4</v>
      </c>
      <c r="C244" s="8" t="str">
        <f>IFERROR(__xludf.DUMMYFUNCTION("IF(A244="""","""",TEXTJOIN(CHAR(10),TRUE,FILTER('Tổng hợp 75 trang đích'!$B$2:$B$2505,'Tổng hợp 75 trang đích'!$I$2:$I$2505=A244)))"),"https://techcombank.com/thong-tin/blog/cach-mo-tai-khoan
https://techcombank.com/thong-tin/blog/ho-kinh-doanh-dong-thue-nhu-nao
https://techcombank.com/thong-tin/blog/mo-tai-khoan-ho-kinh-doanh
https://techcombank.com/thong-tin/blog/cach-tinh-thue-ho-kinh"&amp;"-doanh-nho-le")</f>
        <v>https://techcombank.com/thong-tin/blog/cach-mo-tai-khoan
https://techcombank.com/thong-tin/blog/ho-kinh-doanh-dong-thue-nhu-nao
https://techcombank.com/thong-tin/blog/mo-tai-khoan-ho-kinh-doanh
https://techcombank.com/thong-tin/blog/cach-tinh-thue-ho-kinh-doanh-nho-le</v>
      </c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</row>
    <row r="245">
      <c r="A245" s="10" t="str">
        <f>IFERROR(__xludf.DUMMYFUNCTION("""COMPUTED_VALUE"""),"https://techcombank.com/thong-tin/blog/kiem-tra-ma-so-thue-doanh-nghiep")</f>
        <v>https://techcombank.com/thong-tin/blog/kiem-tra-ma-so-thue-doanh-nghiep</v>
      </c>
      <c r="B245" s="11">
        <f>IFERROR(__xludf.DUMMYFUNCTION("""COMPUTED_VALUE"""),4.0)</f>
        <v>4</v>
      </c>
      <c r="C245" s="8" t="str">
        <f>IFERROR(__xludf.DUMMYFUNCTION("IF(A245="""","""",TEXTJOIN(CHAR(10),TRUE,FILTER('Tổng hợp 75 trang đích'!$B$2:$B$2505,'Tổng hợp 75 trang đích'!$I$2:$I$2505=A245)))"),"https://techcombank.com/thong-tin/blog/thue-thu-nhap-doanh-nghiep
https://techcombank.com/thong-tin/blog/tra-cuu-no-thue-doanh-nghiep
https://techcombank.com/thong-tin/blog/thue-doanh-nghiep
https://techcombank.com/thong-tin/blog/ho-kinh-doanh-dong-thue-n"&amp;"hu-nao")</f>
        <v>https://techcombank.com/thong-tin/blog/thue-thu-nhap-doanh-nghiep
https://techcombank.com/thong-tin/blog/tra-cuu-no-thue-doanh-nghiep
https://techcombank.com/thong-tin/blog/thue-doanh-nghiep
https://techcombank.com/thong-tin/blog/ho-kinh-doanh-dong-thue-nhu-nao</v>
      </c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</row>
    <row r="246">
      <c r="A246" s="10" t="str">
        <f>IFERROR(__xludf.DUMMYFUNCTION("""COMPUTED_VALUE"""),"https://techcombank.com/thong-tin/blog/lai-suat-cho-vay-doanh-nghiep")</f>
        <v>https://techcombank.com/thong-tin/blog/lai-suat-cho-vay-doanh-nghiep</v>
      </c>
      <c r="B246" s="11">
        <f>IFERROR(__xludf.DUMMYFUNCTION("""COMPUTED_VALUE"""),4.0)</f>
        <v>4</v>
      </c>
      <c r="C246" s="8" t="str">
        <f>IFERROR(__xludf.DUMMYFUNCTION("IF(A246="""","""",TEXTJOIN(CHAR(10),TRUE,FILTER('Tổng hợp 75 trang đích'!$B$2:$B$2505,'Tổng hợp 75 trang đích'!$I$2:$I$2505=A246)))"),"https://techcombank.com/thong-tin/blog/cach-tinh-lai-vay-ngan-hang
https://techcombank.com/thong-tin/blog/lai-suat-tiet-kiem
https://techcombank.com/cong-cu-tien-ich/cong-cu-tinh-toan/bang-tinh-lai-suat-vay
https://techcombank.com/thong-tin/blog/lai-suat-"&amp;"vay-ngan-hang")</f>
        <v>https://techcombank.com/thong-tin/blog/cach-tinh-lai-vay-ngan-hang
https://techcombank.com/thong-tin/blog/lai-suat-tiet-kiem
https://techcombank.com/cong-cu-tien-ich/cong-cu-tinh-toan/bang-tinh-lai-suat-vay
https://techcombank.com/thong-tin/blog/lai-suat-vay-ngan-hang</v>
      </c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</row>
    <row r="247">
      <c r="A247" s="10" t="str">
        <f>IFERROR(__xludf.DUMMYFUNCTION("""COMPUTED_VALUE"""),"https://techcombank.com/thong-tin/blog/lai-suat-qua-han")</f>
        <v>https://techcombank.com/thong-tin/blog/lai-suat-qua-han</v>
      </c>
      <c r="B247" s="11">
        <f>IFERROR(__xludf.DUMMYFUNCTION("""COMPUTED_VALUE"""),4.0)</f>
        <v>4</v>
      </c>
      <c r="C247" s="8" t="str">
        <f>IFERROR(__xludf.DUMMYFUNCTION("IF(A247="""","""",TEXTJOIN(CHAR(10),TRUE,FILTER('Tổng hợp 75 trang đích'!$B$2:$B$2505,'Tổng hợp 75 trang đích'!$I$2:$I$2505=A247)))"),"https://techcombank.com/thong-tin/blog/cach-thanh-toan-the-tin-dung
https://techcombank.com/thong-tin/blog/lai-suat-vay-ngan-hang
https://techcombank.com/thong-tin/blog/no-xau-la-gi
https://techcombank.com/thong-tin/blog/vay-tin-chap-khong-tra-duoc-co-sao"&amp;"-khong")</f>
        <v>https://techcombank.com/thong-tin/blog/cach-thanh-toan-the-tin-dung
https://techcombank.com/thong-tin/blog/lai-suat-vay-ngan-hang
https://techcombank.com/thong-tin/blog/no-xau-la-gi
https://techcombank.com/thong-tin/blog/vay-tin-chap-khong-tra-duoc-co-sao-khong</v>
      </c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</row>
    <row r="248">
      <c r="A248" s="10" t="str">
        <f>IFERROR(__xludf.DUMMYFUNCTION("""COMPUTED_VALUE"""),"https://techcombank.com/thong-tin/blog/lam-the-atm-bao-lau-co")</f>
        <v>https://techcombank.com/thong-tin/blog/lam-the-atm-bao-lau-co</v>
      </c>
      <c r="B248" s="11">
        <f>IFERROR(__xludf.DUMMYFUNCTION("""COMPUTED_VALUE"""),4.0)</f>
        <v>4</v>
      </c>
      <c r="C248" s="8" t="str">
        <f>IFERROR(__xludf.DUMMYFUNCTION("IF(A248="""","""",TEXTJOIN(CHAR(10),TRUE,FILTER('Tổng hợp 75 trang đích'!$B$2:$B$2505,'Tổng hợp 75 trang đích'!$I$2:$I$2505=A248)))"),"https://techcombank.com/thong-tin/blog/bao-nhieu-tuoi-duoc-mo-tai-khoan-ngan-hang
https://techcombank.com/thong-tin/blog/nap-tien-vao-tai-khoan-ngan-hang
https://techcombank.com/thong-tin/blog/rut-tien-bang-ma-qr-la-gi-cach-thuc-hien-nhu-the-nao
https://t"&amp;"echcombank.com/thong-tin/blog/lam-the-tin-dung")</f>
        <v>https://techcombank.com/thong-tin/blog/bao-nhieu-tuoi-duoc-mo-tai-khoan-ngan-hang
https://techcombank.com/thong-tin/blog/nap-tien-vao-tai-khoan-ngan-hang
https://techcombank.com/thong-tin/blog/rut-tien-bang-ma-qr-la-gi-cach-thuc-hien-nhu-the-nao
https://techcombank.com/thong-tin/blog/lam-the-tin-dung</v>
      </c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</row>
    <row r="249">
      <c r="A249" s="10" t="str">
        <f>IFERROR(__xludf.DUMMYFUNCTION("""COMPUTED_VALUE"""),"https://techcombank.com/thong-tin/blog/lam-the-atm-co-mat-phi-khong")</f>
        <v>https://techcombank.com/thong-tin/blog/lam-the-atm-co-mat-phi-khong</v>
      </c>
      <c r="B249" s="11">
        <f>IFERROR(__xludf.DUMMYFUNCTION("""COMPUTED_VALUE"""),4.0)</f>
        <v>4</v>
      </c>
      <c r="C249" s="8" t="str">
        <f>IFERROR(__xludf.DUMMYFUNCTION("IF(A249="""","""",TEXTJOIN(CHAR(10),TRUE,FILTER('Tổng hợp 75 trang đích'!$B$2:$B$2505,'Tổng hợp 75 trang đích'!$I$2:$I$2505=A249)))"),"https://techcombank.com/thong-tin/blog/bao-nhieu-tuoi-duoc-mo-tai-khoan-ngan-hang
https://techcombank.com/thong-tin/blog/nap-tien-vao-tai-khoan-ngan-hang
https://techcombank.com/thong-tin/blog/rut-tien-bang-ma-qr-la-gi-cach-thuc-hien-nhu-the-nao
https://t"&amp;"echcombank.com/thong-tin/blog/lam-the-tin-dung")</f>
        <v>https://techcombank.com/thong-tin/blog/bao-nhieu-tuoi-duoc-mo-tai-khoan-ngan-hang
https://techcombank.com/thong-tin/blog/nap-tien-vao-tai-khoan-ngan-hang
https://techcombank.com/thong-tin/blog/rut-tien-bang-ma-qr-la-gi-cach-thuc-hien-nhu-the-nao
https://techcombank.com/thong-tin/blog/lam-the-tin-dung</v>
      </c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</row>
    <row r="250">
      <c r="A250" s="10" t="str">
        <f>IFERROR(__xludf.DUMMYFUNCTION("""COMPUTED_VALUE"""),"https://techcombank.com/thong-tin/blog/lo-so-tai-khoan-ngan-hang-co-sao-khong")</f>
        <v>https://techcombank.com/thong-tin/blog/lo-so-tai-khoan-ngan-hang-co-sao-khong</v>
      </c>
      <c r="B250" s="11">
        <f>IFERROR(__xludf.DUMMYFUNCTION("""COMPUTED_VALUE"""),4.0)</f>
        <v>4</v>
      </c>
      <c r="C250" s="8" t="str">
        <f>IFERROR(__xludf.DUMMYFUNCTION("IF(A250="""","""",TEXTJOIN(CHAR(10),TRUE,FILTER('Tổng hợp 75 trang đích'!$B$2:$B$2505,'Tổng hợp 75 trang đích'!$I$2:$I$2505=A250)))"),"https://techcombank.com/thong-tin/blog/cach-kiem-tra-tai-khoan-ngan-hang
https://techcombank.com/thong-tin/blog/cach-mo-tai-khoan
https://techcombank.com/thong-tin/blog/ten-dang-nhap-tai-khoan-ngan-hang-la-gi
https://techcombank.com/thong-tin/blog/rui-ro-"&amp;"khi-gui-tiet-kiem-online")</f>
        <v>https://techcombank.com/thong-tin/blog/cach-kiem-tra-tai-khoan-ngan-hang
https://techcombank.com/thong-tin/blog/cach-mo-tai-khoan
https://techcombank.com/thong-tin/blog/ten-dang-nhap-tai-khoan-ngan-hang-la-gi
https://techcombank.com/thong-tin/blog/rui-ro-khi-gui-tiet-kiem-online</v>
      </c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</row>
    <row r="251">
      <c r="A251" s="10" t="str">
        <f>IFERROR(__xludf.DUMMYFUNCTION("""COMPUTED_VALUE"""),"https://techcombank.com/thong-tin/blog/luu-y-khi-chuyen-doi-tu-ho-kinh-doanh-len-doanh-nghiep")</f>
        <v>https://techcombank.com/thong-tin/blog/luu-y-khi-chuyen-doi-tu-ho-kinh-doanh-len-doanh-nghiep</v>
      </c>
      <c r="B251" s="11">
        <f>IFERROR(__xludf.DUMMYFUNCTION("""COMPUTED_VALUE"""),4.0)</f>
        <v>4</v>
      </c>
      <c r="C251" s="8" t="str">
        <f>IFERROR(__xludf.DUMMYFUNCTION("IF(A251="""","""",TEXTJOIN(CHAR(10),TRUE,FILTER('Tổng hợp 75 trang đích'!$B$2:$B$2505,'Tổng hợp 75 trang đích'!$I$2:$I$2505=A251)))"),"https://techcombank.com/thong-tin/blog/eco-card
https://techcombank.com/thong-tin/blog/ho-kinh-doanh-dong-thue-nhu-nao
https://techcombank.com/thong-tin/blog/mo-tai-khoan-ho-kinh-doanh
https://techcombank.com/thong-tin/blog/cach-tinh-thue-ho-kinh-doanh-nh"&amp;"o-le")</f>
        <v>https://techcombank.com/thong-tin/blog/eco-card
https://techcombank.com/thong-tin/blog/ho-kinh-doanh-dong-thue-nhu-nao
https://techcombank.com/thong-tin/blog/mo-tai-khoan-ho-kinh-doanh
https://techcombank.com/thong-tin/blog/cach-tinh-thue-ho-kinh-doanh-nho-le</v>
      </c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</row>
    <row r="252">
      <c r="A252" s="10" t="str">
        <f>IFERROR(__xludf.DUMMYFUNCTION("""COMPUTED_VALUE"""),"https://techcombank.com/thong-tin/blog/mo-tai-khoan-ho-kinh-doanh")</f>
        <v>https://techcombank.com/thong-tin/blog/mo-tai-khoan-ho-kinh-doanh</v>
      </c>
      <c r="B252" s="11">
        <f>IFERROR(__xludf.DUMMYFUNCTION("""COMPUTED_VALUE"""),4.0)</f>
        <v>4</v>
      </c>
      <c r="C252" s="8" t="str">
        <f>IFERROR(__xludf.DUMMYFUNCTION("IF(A252="""","""",TEXTJOIN(CHAR(10),TRUE,FILTER('Tổng hợp 75 trang đích'!$B$2:$B$2505,'Tổng hợp 75 trang đích'!$I$2:$I$2505=A252)))"),"https://techcombank.com/thong-tin/blog/cach-mo-tai-khoan
https://techcombank.com/thong-tin/blog/ho-kinh-doanh-dong-thue-nhu-nao
https://techcombank.com/thong-tin/blog/mo-hinh-kinh-doanh-la-gi
https://techcombank.com/thong-tin/blog/cach-tinh-thue-ho-kinh-d"&amp;"oanh-nho-le")</f>
        <v>https://techcombank.com/thong-tin/blog/cach-mo-tai-khoan
https://techcombank.com/thong-tin/blog/ho-kinh-doanh-dong-thue-nhu-nao
https://techcombank.com/thong-tin/blog/mo-hinh-kinh-doanh-la-gi
https://techcombank.com/thong-tin/blog/cach-tinh-thue-ho-kinh-doanh-nho-le</v>
      </c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</row>
    <row r="253">
      <c r="A253" s="10" t="str">
        <f>IFERROR(__xludf.DUMMYFUNCTION("""COMPUTED_VALUE"""),"https://techcombank.com/thong-tin/blog/mua-nha-tra-gop-dua-truoc-100-trieu")</f>
        <v>https://techcombank.com/thong-tin/blog/mua-nha-tra-gop-dua-truoc-100-trieu</v>
      </c>
      <c r="B253" s="11">
        <f>IFERROR(__xludf.DUMMYFUNCTION("""COMPUTED_VALUE"""),4.0)</f>
        <v>4</v>
      </c>
      <c r="C253" s="8" t="str">
        <f>IFERROR(__xludf.DUMMYFUNCTION("IF(A253="""","""",TEXTJOIN(CHAR(10),TRUE,FILTER('Tổng hợp 75 trang đích'!$B$2:$B$2505,'Tổng hợp 75 trang đích'!$I$2:$I$2505=A253)))"),"https://techcombank.com/thong-tin/blog/xep-hang-tin-dung
https://techcombank.com/thong-tin/blog/vay-ngan-hang-1-ty-moi-thang-tra-bao-nhieu
https://techcombank.com/thong-tin/blog/cach-tinh-lai-vay-ngan-hang
https://techcombank.com/cong-cu-tien-ich/cong-cu-"&amp;"tinh-toan/bang-tinh-lai-suat-vay")</f>
        <v>https://techcombank.com/thong-tin/blog/xep-hang-tin-dung
https://techcombank.com/thong-tin/blog/vay-ngan-hang-1-ty-moi-thang-tra-bao-nhieu
https://techcombank.com/thong-tin/blog/cach-tinh-lai-vay-ngan-hang
https://techcombank.com/cong-cu-tien-ich/cong-cu-tinh-toan/bang-tinh-lai-suat-vay</v>
      </c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</row>
    <row r="254">
      <c r="A254" s="10" t="str">
        <f>IFERROR(__xludf.DUMMYFUNCTION("""COMPUTED_VALUE"""),"https://techcombank.com/thong-tin/blog/nen-vay-the-chap-ngan-hang-nao")</f>
        <v>https://techcombank.com/thong-tin/blog/nen-vay-the-chap-ngan-hang-nao</v>
      </c>
      <c r="B254" s="11">
        <f>IFERROR(__xludf.DUMMYFUNCTION("""COMPUTED_VALUE"""),4.0)</f>
        <v>4</v>
      </c>
      <c r="C254" s="8" t="str">
        <f>IFERROR(__xludf.DUMMYFUNCTION("IF(A254="""","""",TEXTJOIN(CHAR(10),TRUE,FILTER('Tổng hợp 75 trang đích'!$B$2:$B$2505,'Tổng hợp 75 trang đích'!$I$2:$I$2505=A254)))"),"https://techcombank.com/thong-tin/blog/ngan-hang-uy-tin
https://techcombank.com/thong-tin/blog/vay-ngan-hang-1-ty-moi-thang-tra-bao-nhieu
https://techcombank.com/thong-tin/blog/lai-suat-vay-the-chap-so-do
https://techcombank.com/thong-tin/blog/ho-so-thu-t"&amp;"uc-xoa-the-chap")</f>
        <v>https://techcombank.com/thong-tin/blog/ngan-hang-uy-tin
https://techcombank.com/thong-tin/blog/vay-ngan-hang-1-ty-moi-thang-tra-bao-nhieu
https://techcombank.com/thong-tin/blog/lai-suat-vay-the-chap-so-do
https://techcombank.com/thong-tin/blog/ho-so-thu-tuc-xoa-the-chap</v>
      </c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</row>
    <row r="255">
      <c r="A255" s="10" t="str">
        <f>IFERROR(__xludf.DUMMYFUNCTION("""COMPUTED_VALUE"""),"https://techcombank.com/thong-tin/blog/ngoai-te-la-gi")</f>
        <v>https://techcombank.com/thong-tin/blog/ngoai-te-la-gi</v>
      </c>
      <c r="B255" s="11">
        <f>IFERROR(__xludf.DUMMYFUNCTION("""COMPUTED_VALUE"""),4.0)</f>
        <v>4</v>
      </c>
      <c r="C255" s="8" t="str">
        <f>IFERROR(__xludf.DUMMYFUNCTION("IF(A255="""","""",TEXTJOIN(CHAR(10),TRUE,FILTER('Tổng hợp 75 trang đích'!$B$2:$B$2505,'Tổng hợp 75 trang đích'!$I$2:$I$2505=A255)))"),"https://techcombank.com/thong-tin/blog/1-te-bang-bao-nhieu-tien-viet-nam
https://techcombank.com/thong-tin/blog/tien-dai-loan
https://techcombank.com/thong-tin/blog/cach-nhan-tien-tu-nuoc-ngoai-ve-viet-nam
https://techcombank.com/thong-tin/blog/doi-tien-d"&amp;"o-o-dau")</f>
        <v>https://techcombank.com/thong-tin/blog/1-te-bang-bao-nhieu-tien-viet-nam
https://techcombank.com/thong-tin/blog/tien-dai-loan
https://techcombank.com/thong-tin/blog/cach-nhan-tien-tu-nuoc-ngoai-ve-viet-nam
https://techcombank.com/thong-tin/blog/doi-tien-do-o-dau</v>
      </c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</row>
    <row r="256">
      <c r="A256" s="10" t="str">
        <f>IFERROR(__xludf.DUMMYFUNCTION("""COMPUTED_VALUE"""),"https://techcombank.com/thong-tin/blog/phat-cham-dang-ky-thue-ho-kinh-doanh")</f>
        <v>https://techcombank.com/thong-tin/blog/phat-cham-dang-ky-thue-ho-kinh-doanh</v>
      </c>
      <c r="B256" s="11">
        <f>IFERROR(__xludf.DUMMYFUNCTION("""COMPUTED_VALUE"""),4.0)</f>
        <v>4</v>
      </c>
      <c r="C256" s="8" t="str">
        <f>IFERROR(__xludf.DUMMYFUNCTION("IF(A256="""","""",TEXTJOIN(CHAR(10),TRUE,FILTER('Tổng hợp 75 trang đích'!$B$2:$B$2505,'Tổng hợp 75 trang đích'!$I$2:$I$2505=A256)))"),"https://techcombank.com/thong-tin/blog/ho-kinh-doanh-dong-thue-nhu-nao
https://techcombank.com/thong-tin/blog/mo-tai-khoan-ho-kinh-doanh
https://techcombank.com/thong-tin/blog/cach-tinh-thue-ho-kinh-doanh-nho-le
https://techcombank.com/thong-tin/blog/rui-"&amp;"ro-khi-gui-tiet-kiem-online")</f>
        <v>https://techcombank.com/thong-tin/blog/ho-kinh-doanh-dong-thue-nhu-nao
https://techcombank.com/thong-tin/blog/mo-tai-khoan-ho-kinh-doanh
https://techcombank.com/thong-tin/blog/cach-tinh-thue-ho-kinh-doanh-nho-le
https://techcombank.com/thong-tin/blog/rui-ro-khi-gui-tiet-kiem-online</v>
      </c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</row>
    <row r="257">
      <c r="A257" s="10" t="str">
        <f>IFERROR(__xludf.DUMMYFUNCTION("""COMPUTED_VALUE"""),"https://techcombank.com/thong-tin/blog/quy-trinh-cho-vay-tieu-dung")</f>
        <v>https://techcombank.com/thong-tin/blog/quy-trinh-cho-vay-tieu-dung</v>
      </c>
      <c r="B257" s="11">
        <f>IFERROR(__xludf.DUMMYFUNCTION("""COMPUTED_VALUE"""),4.0)</f>
        <v>4</v>
      </c>
      <c r="C257" s="8" t="str">
        <f>IFERROR(__xludf.DUMMYFUNCTION("IF(A257="""","""",TEXTJOIN(CHAR(10),TRUE,FILTER('Tổng hợp 75 trang đích'!$B$2:$B$2505,'Tổng hợp 75 trang đích'!$I$2:$I$2505=A257)))"),"https://techcombank.com/thong-tin/blog/cach-tinh-lai-vay-ngan-hang
https://techcombank.com/cong-cu-tien-ich/cong-cu-tinh-toan/bang-tinh-lai-suat-vay
https://techcombank.com/thong-tin/blog/app-vay-tien-nhanh
https://techcombank.com/thong-tin/blog/nen-vay-t"&amp;"in-chap-o-dau")</f>
        <v>https://techcombank.com/thong-tin/blog/cach-tinh-lai-vay-ngan-hang
https://techcombank.com/cong-cu-tien-ich/cong-cu-tinh-toan/bang-tinh-lai-suat-vay
https://techcombank.com/thong-tin/blog/app-vay-tien-nhanh
https://techcombank.com/thong-tin/blog/nen-vay-tin-chap-o-dau</v>
      </c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</row>
    <row r="258">
      <c r="A258" s="10" t="str">
        <f>IFERROR(__xludf.DUMMYFUNCTION("""COMPUTED_VALUE"""),"https://techcombank.com/thong-tin/blog/rut-tien-bang-ma-qr-khac-ngan-hang-duoc-khong")</f>
        <v>https://techcombank.com/thong-tin/blog/rut-tien-bang-ma-qr-khac-ngan-hang-duoc-khong</v>
      </c>
      <c r="B258" s="11">
        <f>IFERROR(__xludf.DUMMYFUNCTION("""COMPUTED_VALUE"""),4.0)</f>
        <v>4</v>
      </c>
      <c r="C258" s="8" t="str">
        <f>IFERROR(__xludf.DUMMYFUNCTION("IF(A258="""","""",TEXTJOIN(CHAR(10),TRUE,FILTER('Tổng hợp 75 trang đích'!$B$2:$B$2505,'Tổng hợp 75 trang đích'!$I$2:$I$2505=A258)))"),"https://techcombank.com/thong-tin/blog/nap-tien-vao-tai-khoan-ngan-hang
https://techcombank.com/thong-tin/blog/rut-tien-bang-ma-qr-la-gi-cach-thuc-hien-nhu-the-nao
https://techcombank.com/thong-tin/blog/rut-tien-mat-tu-the-tin-dung
https://techcombank.com"&amp;"/thong-tin/blog/gui-ma-qr-ngan-hang")</f>
        <v>https://techcombank.com/thong-tin/blog/nap-tien-vao-tai-khoan-ngan-hang
https://techcombank.com/thong-tin/blog/rut-tien-bang-ma-qr-la-gi-cach-thuc-hien-nhu-the-nao
https://techcombank.com/thong-tin/blog/rut-tien-mat-tu-the-tin-dung
https://techcombank.com/thong-tin/blog/gui-ma-qr-ngan-hang</v>
      </c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</row>
    <row r="259">
      <c r="A259" s="10" t="str">
        <f>IFERROR(__xludf.DUMMYFUNCTION("""COMPUTED_VALUE"""),"https://techcombank.com/thong-tin/blog/sao-ke-luong")</f>
        <v>https://techcombank.com/thong-tin/blog/sao-ke-luong</v>
      </c>
      <c r="B259" s="11">
        <f>IFERROR(__xludf.DUMMYFUNCTION("""COMPUTED_VALUE"""),4.0)</f>
        <v>4</v>
      </c>
      <c r="C259" s="8" t="str">
        <f>IFERROR(__xludf.DUMMYFUNCTION("IF(A259="""","""",TEXTJOIN(CHAR(10),TRUE,FILTER('Tổng hợp 75 trang đích'!$B$2:$B$2505,'Tổng hợp 75 trang đích'!$I$2:$I$2505=A259)))"),"https://techcombank.com/thong-tin/blog/cach-tinh-thue-thu-nhap-ca-nhan-2025
https://techcombank.com/thong-tin/blog/cach-sao-ke-tai-khoan-ngan-hang
https://techcombank.com/thong-tin/blog/thue-thu-nhap-ca-nhan
https://techcombank.com/thong-tin/blog/cach-tha"&amp;"nh-toan-the-tin-dung")</f>
        <v>https://techcombank.com/thong-tin/blog/cach-tinh-thue-thu-nhap-ca-nhan-2025
https://techcombank.com/thong-tin/blog/cach-sao-ke-tai-khoan-ngan-hang
https://techcombank.com/thong-tin/blog/thue-thu-nhap-ca-nhan
https://techcombank.com/thong-tin/blog/cach-thanh-toan-the-tin-dung</v>
      </c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</row>
    <row r="260">
      <c r="A260" s="10" t="str">
        <f>IFERROR(__xludf.DUMMYFUNCTION("""COMPUTED_VALUE"""),"https://techcombank.com/thong-tin/blog/thanh-toan-khi-du-lich-nhat-ban")</f>
        <v>https://techcombank.com/thong-tin/blog/thanh-toan-khi-du-lich-nhat-ban</v>
      </c>
      <c r="B260" s="11">
        <f>IFERROR(__xludf.DUMMYFUNCTION("""COMPUTED_VALUE"""),4.0)</f>
        <v>4</v>
      </c>
      <c r="C260" s="8" t="str">
        <f>IFERROR(__xludf.DUMMYFUNCTION("IF(A260="""","""",TEXTJOIN(CHAR(10),TRUE,FILTER('Tổng hợp 75 trang đích'!$B$2:$B$2505,'Tổng hợp 75 trang đích'!$I$2:$I$2505=A260)))"),"https://techcombank.com/thong-tin/blog/tien-nhat
https://techcombank.com/thong-tin/blog/1-yen-bang-bao-nhieu-tien-viet-nam
https://techcombank.com/thong-tin/blog/1-man-bang-bao-nhieu-tien-viet
https://techcombank.com/thong-tin/blog/traveloka-voucher")</f>
        <v>https://techcombank.com/thong-tin/blog/tien-nhat
https://techcombank.com/thong-tin/blog/1-yen-bang-bao-nhieu-tien-viet-nam
https://techcombank.com/thong-tin/blog/1-man-bang-bao-nhieu-tien-viet
https://techcombank.com/thong-tin/blog/traveloka-voucher</v>
      </c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</row>
    <row r="261">
      <c r="A261" s="10" t="str">
        <f>IFERROR(__xludf.DUMMYFUNCTION("""COMPUTED_VALUE"""),"https://techcombank.com/thong-tin/blog/thanh-toan-khong-dung-tien-mat")</f>
        <v>https://techcombank.com/thong-tin/blog/thanh-toan-khong-dung-tien-mat</v>
      </c>
      <c r="B261" s="11">
        <f>IFERROR(__xludf.DUMMYFUNCTION("""COMPUTED_VALUE"""),4.0)</f>
        <v>4</v>
      </c>
      <c r="C261" s="8" t="str">
        <f>IFERROR(__xludf.DUMMYFUNCTION("IF(A261="""","""",TEXTJOIN(CHAR(10),TRUE,FILTER('Tổng hợp 75 trang đích'!$B$2:$B$2505,'Tổng hợp 75 trang đích'!$I$2:$I$2505=A261)))"),"https://techcombank.com/thong-tin/blog/rut-tien-mat-tu-the-tin-dung
https://techcombank.com/thong-tin/blog/ho-kinh-doanh-dong-thue-nhu-nao
https://techcombank.com/thong-tin/blog/mo-tai-khoan-ho-kinh-doanh
https://techcombank.com/thong-tin/blog/cach-tinh-t"&amp;"hue-ho-kinh-doanh-nho-le")</f>
        <v>https://techcombank.com/thong-tin/blog/rut-tien-mat-tu-the-tin-dung
https://techcombank.com/thong-tin/blog/ho-kinh-doanh-dong-thue-nhu-nao
https://techcombank.com/thong-tin/blog/mo-tai-khoan-ho-kinh-doanh
https://techcombank.com/thong-tin/blog/cach-tinh-thue-ho-kinh-doanh-nho-le</v>
      </c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</row>
    <row r="262">
      <c r="A262" s="10" t="str">
        <f>IFERROR(__xludf.DUMMYFUNCTION("""COMPUTED_VALUE"""),"https://techcombank.com/thong-tin/blog/the-atm-khong-rut-duoc-tien")</f>
        <v>https://techcombank.com/thong-tin/blog/the-atm-khong-rut-duoc-tien</v>
      </c>
      <c r="B262" s="11">
        <f>IFERROR(__xludf.DUMMYFUNCTION("""COMPUTED_VALUE"""),4.0)</f>
        <v>4</v>
      </c>
      <c r="C262" s="8" t="str">
        <f>IFERROR(__xludf.DUMMYFUNCTION("IF(A262="""","""",TEXTJOIN(CHAR(10),TRUE,FILTER('Tổng hợp 75 trang đích'!$B$2:$B$2505,'Tổng hợp 75 trang đích'!$I$2:$I$2505=A262)))"),"https://techcombank.com/thong-tin/blog/nap-tien-vao-tai-khoan-ngan-hang
https://techcombank.com/thong-tin/blog/rut-tien-bang-ma-qr-la-gi-cach-thuc-hien-nhu-the-nao
https://techcombank.com/thong-tin/blog/rut-tien-mat-tu-the-tin-dung
https://techcombank.com"&amp;"/thong-tin/blog/rui-ro-khi-gui-tiet-kiem-online")</f>
        <v>https://techcombank.com/thong-tin/blog/nap-tien-vao-tai-khoan-ngan-hang
https://techcombank.com/thong-tin/blog/rut-tien-bang-ma-qr-la-gi-cach-thuc-hien-nhu-the-nao
https://techcombank.com/thong-tin/blog/rut-tien-mat-tu-the-tin-dung
https://techcombank.com/thong-tin/blog/rui-ro-khi-gui-tiet-kiem-online</v>
      </c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</row>
    <row r="263">
      <c r="A263" s="10" t="str">
        <f>IFERROR(__xludf.DUMMYFUNCTION("""COMPUTED_VALUE"""),"https://techcombank.com/thong-tin/blog/the-tin-dung-hoan-tien")</f>
        <v>https://techcombank.com/thong-tin/blog/the-tin-dung-hoan-tien</v>
      </c>
      <c r="B263" s="11">
        <f>IFERROR(__xludf.DUMMYFUNCTION("""COMPUTED_VALUE"""),4.0)</f>
        <v>4</v>
      </c>
      <c r="C263" s="8" t="str">
        <f>IFERROR(__xludf.DUMMYFUNCTION("IF(A263="""","""",TEXTJOIN(CHAR(10),TRUE,FILTER('Tổng hợp 75 trang đích'!$B$2:$B$2505,'Tổng hợp 75 trang đích'!$I$2:$I$2505=A263)))"),"https://techcombank.com/thong-tin/blog/lam-the-tin-dung
https://techcombank.com/khach-hang-ca-nhan/chi-tieu/the/the-tin-dung/techcombank-everyday
https://techcombank.com/thong-tin/blog/cach-huy-the-tin-dung
https://techcombank.com/thong-tin/blog/cach-than"&amp;"h-toan-the-tin-dung")</f>
        <v>https://techcombank.com/thong-tin/blog/lam-the-tin-dung
https://techcombank.com/khach-hang-ca-nhan/chi-tieu/the/the-tin-dung/techcombank-everyday
https://techcombank.com/thong-tin/blog/cach-huy-the-tin-dung
https://techcombank.com/thong-tin/blog/cach-thanh-toan-the-tin-dung</v>
      </c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</row>
    <row r="264">
      <c r="A264" s="10" t="str">
        <f>IFERROR(__xludf.DUMMYFUNCTION("""COMPUTED_VALUE"""),"https://techcombank.com/thong-tin/blog/thu-tuc-mua-xe-tra-gop")</f>
        <v>https://techcombank.com/thong-tin/blog/thu-tuc-mua-xe-tra-gop</v>
      </c>
      <c r="B264" s="11">
        <f>IFERROR(__xludf.DUMMYFUNCTION("""COMPUTED_VALUE"""),4.0)</f>
        <v>4</v>
      </c>
      <c r="C264" s="8" t="str">
        <f>IFERROR(__xludf.DUMMYFUNCTION("IF(A264="""","""",TEXTJOIN(CHAR(10),TRUE,FILTER('Tổng hợp 75 trang đích'!$B$2:$B$2505,'Tổng hợp 75 trang đích'!$I$2:$I$2505=A264)))"),"https://techcombank.com/thong-tin/blog/lai-suat-vay-mua-o-to
https://techcombank.com/thong-tin/blog/vay-ngan-hang-1-ty-moi-thang-tra-bao-nhieu
https://techcombank.com/thong-tin/blog/cach-tinh-lai-vay-ngan-hang
https://techcombank.com/cong-cu-tien-ich/cong"&amp;"-cu-tinh-toan/bang-tinh-lai-suat-vay")</f>
        <v>https://techcombank.com/thong-tin/blog/lai-suat-vay-mua-o-to
https://techcombank.com/thong-tin/blog/vay-ngan-hang-1-ty-moi-thang-tra-bao-nhieu
https://techcombank.com/thong-tin/blog/cach-tinh-lai-vay-ngan-hang
https://techcombank.com/cong-cu-tien-ich/cong-cu-tinh-toan/bang-tinh-lai-suat-vay</v>
      </c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</row>
    <row r="265">
      <c r="A265" s="10" t="str">
        <f>IFERROR(__xludf.DUMMYFUNCTION("""COMPUTED_VALUE"""),"https://techcombank.com/thong-tin/blog/thue-thu-nhap-ca-nhan")</f>
        <v>https://techcombank.com/thong-tin/blog/thue-thu-nhap-ca-nhan</v>
      </c>
      <c r="B265" s="11">
        <f>IFERROR(__xludf.DUMMYFUNCTION("""COMPUTED_VALUE"""),4.0)</f>
        <v>4</v>
      </c>
      <c r="C265" s="8" t="str">
        <f>IFERROR(__xludf.DUMMYFUNCTION("IF(A265="""","""",TEXTJOIN(CHAR(10),TRUE,FILTER('Tổng hợp 75 trang đích'!$B$2:$B$2505,'Tổng hợp 75 trang đích'!$I$2:$I$2505=A265)))"),"https://techcombank.com/thong-tin/blog/cach-nop-thue-dien-tu
https://techcombank.com/thong-tin/blog/cach-mo-tai-khoan
https://techcombank.com/thong-tin/blog/kiem-tra-thue-thu-nhap-ca-nhan
https://techcombank.com/thong-tin/blog/ho-kinh-doanh-dong-thue-nhu-"&amp;"nao")</f>
        <v>https://techcombank.com/thong-tin/blog/cach-nop-thue-dien-tu
https://techcombank.com/thong-tin/blog/cach-mo-tai-khoan
https://techcombank.com/thong-tin/blog/kiem-tra-thue-thu-nhap-ca-nhan
https://techcombank.com/thong-tin/blog/ho-kinh-doanh-dong-thue-nhu-nao</v>
      </c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</row>
    <row r="266">
      <c r="A266" s="10" t="str">
        <f>IFERROR(__xludf.DUMMYFUNCTION("""COMPUTED_VALUE"""),"https://techcombank.com/thong-tin/blog/thue-thu-nhap-doanh-nghiep")</f>
        <v>https://techcombank.com/thong-tin/blog/thue-thu-nhap-doanh-nghiep</v>
      </c>
      <c r="B266" s="11">
        <f>IFERROR(__xludf.DUMMYFUNCTION("""COMPUTED_VALUE"""),4.0)</f>
        <v>4</v>
      </c>
      <c r="C266" s="8" t="str">
        <f>IFERROR(__xludf.DUMMYFUNCTION("IF(A266="""","""",TEXTJOIN(CHAR(10),TRUE,FILTER('Tổng hợp 75 trang đích'!$B$2:$B$2505,'Tổng hợp 75 trang đích'!$I$2:$I$2505=A266)))"),"https://techcombank.com/thong-tin/blog/nop-thue-dat-qua-ngan-hang
https://techcombank.com/thong-tin/blog/cach-nop-thue-dien-tu
https://techcombank.com/thong-tin/blog/cach-tinh-thue-thu-nhap-doanh-nghiep
https://techcombank.com/thong-tin/blog/ho-kinh-doanh"&amp;"-dong-thue-nhu-nao")</f>
        <v>https://techcombank.com/thong-tin/blog/nop-thue-dat-qua-ngan-hang
https://techcombank.com/thong-tin/blog/cach-nop-thue-dien-tu
https://techcombank.com/thong-tin/blog/cach-tinh-thue-thu-nhap-doanh-nghiep
https://techcombank.com/thong-tin/blog/ho-kinh-doanh-dong-thue-nhu-nao</v>
      </c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</row>
    <row r="267">
      <c r="A267" s="10" t="str">
        <f>IFERROR(__xludf.DUMMYFUNCTION("""COMPUTED_VALUE"""),"https://techcombank.com/thong-tin/blog/tien-nhat")</f>
        <v>https://techcombank.com/thong-tin/blog/tien-nhat</v>
      </c>
      <c r="B267" s="11">
        <f>IFERROR(__xludf.DUMMYFUNCTION("""COMPUTED_VALUE"""),4.0)</f>
        <v>4</v>
      </c>
      <c r="C267" s="8" t="str">
        <f>IFERROR(__xludf.DUMMYFUNCTION("IF(A267="""","""",TEXTJOIN(CHAR(10),TRUE,FILTER('Tổng hợp 75 trang đích'!$B$2:$B$2505,'Tổng hợp 75 trang đích'!$I$2:$I$2505=A267)))"),"https://techcombank.com/thong-tin/blog/chuyen-khoan-thanh-cong-nhung-khong-nhan-duoc-tien
https://techcombank.com/thong-tin/blog/1-yen-bang-bao-nhieu-tien-viet-nam
https://techcombank.com/thong-tin/blog/1-man-bang-bao-nhieu-tien-viet
https://techcombank.c"&amp;"om/thong-tin/blog/doi-tien-do-o-dau")</f>
        <v>https://techcombank.com/thong-tin/blog/chuyen-khoan-thanh-cong-nhung-khong-nhan-duoc-tien
https://techcombank.com/thong-tin/blog/1-yen-bang-bao-nhieu-tien-viet-nam
https://techcombank.com/thong-tin/blog/1-man-bang-bao-nhieu-tien-viet
https://techcombank.com/thong-tin/blog/doi-tien-do-o-dau</v>
      </c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</row>
    <row r="268">
      <c r="A268" s="10" t="str">
        <f>IFERROR(__xludf.DUMMYFUNCTION("""COMPUTED_VALUE"""),"https://techcombank.com/thong-tin/blog/tra-luong-tien-mat")</f>
        <v>https://techcombank.com/thong-tin/blog/tra-luong-tien-mat</v>
      </c>
      <c r="B268" s="11">
        <f>IFERROR(__xludf.DUMMYFUNCTION("""COMPUTED_VALUE"""),4.0)</f>
        <v>4</v>
      </c>
      <c r="C268" s="8" t="str">
        <f>IFERROR(__xludf.DUMMYFUNCTION("IF(A268="""","""",TEXTJOIN(CHAR(10),TRUE,FILTER('Tổng hợp 75 trang đích'!$B$2:$B$2505,'Tổng hợp 75 trang đích'!$I$2:$I$2505=A268)))"),"https://techcombank.com/thong-tin/blog/cong-ty-su-dung-tai-khoan-ca-nhan
https://techcombank.com/thong-tin/blog/cach-tinh-thue-thu-nhap-ca-nhan-2025
https://techcombank.com/thong-tin/blog/rut-tien-mat-tu-the-tin-dung
https://techcombank.com/thong-tin/blog"&amp;"/rui-ro-khi-gui-tiet-kiem-online")</f>
        <v>https://techcombank.com/thong-tin/blog/cong-ty-su-dung-tai-khoan-ca-nhan
https://techcombank.com/thong-tin/blog/cach-tinh-thue-thu-nhap-ca-nhan-2025
https://techcombank.com/thong-tin/blog/rut-tien-mat-tu-the-tin-dung
https://techcombank.com/thong-tin/blog/rui-ro-khi-gui-tiet-kiem-online</v>
      </c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</row>
    <row r="269">
      <c r="A269" s="10" t="str">
        <f>IFERROR(__xludf.DUMMYFUNCTION("""COMPUTED_VALUE"""),"https://techcombank.com/thong-tin/blog/tra-no-vay-thau-chi-nhu-the-nao")</f>
        <v>https://techcombank.com/thong-tin/blog/tra-no-vay-thau-chi-nhu-the-nao</v>
      </c>
      <c r="B269" s="11">
        <f>IFERROR(__xludf.DUMMYFUNCTION("""COMPUTED_VALUE"""),4.0)</f>
        <v>4</v>
      </c>
      <c r="C269" s="8" t="str">
        <f>IFERROR(__xludf.DUMMYFUNCTION("IF(A269="""","""",TEXTJOIN(CHAR(10),TRUE,FILTER('Tổng hợp 75 trang đích'!$B$2:$B$2505,'Tổng hợp 75 trang đích'!$I$2:$I$2505=A269)))"),"https://techcombank.com/thong-tin/blog/cach-tinh-lai-suat-tien-gui-tiet-kiem
https://techcombank.com/thong-tin/blog/rui-ro-khi-gui-tiet-kiem-online
https://techcombank.com/cong-cu-tien-ich/cong-cu-tinh-toan/bang-tinh-lai-suat-tiet-kiem
https://techcombank"&amp;".com/thong-tin/blog/vay-thau-chi-la-gi")</f>
        <v>https://techcombank.com/thong-tin/blog/cach-tinh-lai-suat-tien-gui-tiet-kiem
https://techcombank.com/thong-tin/blog/rui-ro-khi-gui-tiet-kiem-online
https://techcombank.com/cong-cu-tien-ich/cong-cu-tinh-toan/bang-tinh-lai-suat-tiet-kiem
https://techcombank.com/thong-tin/blog/vay-thau-chi-la-gi</v>
      </c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</row>
    <row r="270">
      <c r="A270" s="10" t="str">
        <f>IFERROR(__xludf.DUMMYFUNCTION("""COMPUTED_VALUE"""),"https://techcombank.com/thong-tin/blog/vay-100-trieu")</f>
        <v>https://techcombank.com/thong-tin/blog/vay-100-trieu</v>
      </c>
      <c r="B270" s="11">
        <f>IFERROR(__xludf.DUMMYFUNCTION("""COMPUTED_VALUE"""),4.0)</f>
        <v>4</v>
      </c>
      <c r="C270" s="8" t="str">
        <f>IFERROR(__xludf.DUMMYFUNCTION("IF(A270="""","""",TEXTJOIN(CHAR(10),TRUE,FILTER('Tổng hợp 75 trang đích'!$B$2:$B$2505,'Tổng hợp 75 trang đích'!$I$2:$I$2505=A270)))"),"https://techcombank.com/thong-tin/blog/vay-ngan-hang-1-ty-moi-thang-tra-bao-nhieu
https://techcombank.com/thong-tin/blog/cach-tinh-lai-vay-ngan-hang
https://techcombank.com/thong-tin/blog/cach-tiet-kiem-tien
https://techcombank.com/cong-cu-tien-ich/cong-c"&amp;"u-tinh-toan/bang-tinh-lai-suat-vay")</f>
        <v>https://techcombank.com/thong-tin/blog/vay-ngan-hang-1-ty-moi-thang-tra-bao-nhieu
https://techcombank.com/thong-tin/blog/cach-tinh-lai-vay-ngan-hang
https://techcombank.com/thong-tin/blog/cach-tiet-kiem-tien
https://techcombank.com/cong-cu-tien-ich/cong-cu-tinh-toan/bang-tinh-lai-suat-vay</v>
      </c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</row>
    <row r="271">
      <c r="A271" s="10" t="str">
        <f>IFERROR(__xludf.DUMMYFUNCTION("""COMPUTED_VALUE"""),"https://techcombank.com/thong-tin/blog/vay-30-trieu")</f>
        <v>https://techcombank.com/thong-tin/blog/vay-30-trieu</v>
      </c>
      <c r="B271" s="11">
        <f>IFERROR(__xludf.DUMMYFUNCTION("""COMPUTED_VALUE"""),4.0)</f>
        <v>4</v>
      </c>
      <c r="C271" s="8" t="str">
        <f>IFERROR(__xludf.DUMMYFUNCTION("IF(A271="""","""",TEXTJOIN(CHAR(10),TRUE,FILTER('Tổng hợp 75 trang đích'!$B$2:$B$2505,'Tổng hợp 75 trang đích'!$I$2:$I$2505=A271)))"),"https://techcombank.com/thong-tin/blog/vay-ngan-hang-1-ty-moi-thang-tra-bao-nhieu
https://techcombank.com/thong-tin/blog/cach-tinh-lai-vay-ngan-hang
https://techcombank.com/cong-cu-tien-ich/cong-cu-tinh-toan/bang-tinh-lai-suat-vay
https://techcombank.com/"&amp;"thong-tin/blog/app-vay-tien-nhanh")</f>
        <v>https://techcombank.com/thong-tin/blog/vay-ngan-hang-1-ty-moi-thang-tra-bao-nhieu
https://techcombank.com/thong-tin/blog/cach-tinh-lai-vay-ngan-hang
https://techcombank.com/cong-cu-tien-ich/cong-cu-tinh-toan/bang-tinh-lai-suat-vay
https://techcombank.com/thong-tin/blog/app-vay-tien-nhanh</v>
      </c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</row>
    <row r="272">
      <c r="A272" s="10" t="str">
        <f>IFERROR(__xludf.DUMMYFUNCTION("""COMPUTED_VALUE"""),"https://techcombank.com/thong-tin/blog/vay-han-muc-la-gi")</f>
        <v>https://techcombank.com/thong-tin/blog/vay-han-muc-la-gi</v>
      </c>
      <c r="B272" s="11">
        <f>IFERROR(__xludf.DUMMYFUNCTION("""COMPUTED_VALUE"""),4.0)</f>
        <v>4</v>
      </c>
      <c r="C272" s="8" t="str">
        <f>IFERROR(__xludf.DUMMYFUNCTION("IF(A272="""","""",TEXTJOIN(CHAR(10),TRUE,FILTER('Tổng hợp 75 trang đích'!$B$2:$B$2505,'Tổng hợp 75 trang đích'!$I$2:$I$2505=A272)))"),"https://techcombank.com/thong-tin/blog/xep-hang-tin-dung
https://techcombank.com/thong-tin/blog/cach-tinh-lai-vay-ngan-hang
https://techcombank.com/cong-cu-tien-ich/cong-cu-tinh-toan/bang-tinh-lai-suat-vay
https://techcombank.com/thong-tin/blog/vay-thau-c"&amp;"hi-la-gi")</f>
        <v>https://techcombank.com/thong-tin/blog/xep-hang-tin-dung
https://techcombank.com/thong-tin/blog/cach-tinh-lai-vay-ngan-hang
https://techcombank.com/cong-cu-tien-ich/cong-cu-tinh-toan/bang-tinh-lai-suat-vay
https://techcombank.com/thong-tin/blog/vay-thau-chi-la-gi</v>
      </c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</row>
    <row r="273">
      <c r="A273" s="10" t="str">
        <f>IFERROR(__xludf.DUMMYFUNCTION("""COMPUTED_VALUE"""),"https://techcombank.com/thong-tin/blog/vay-mua-nha-tra-gop")</f>
        <v>https://techcombank.com/thong-tin/blog/vay-mua-nha-tra-gop</v>
      </c>
      <c r="B273" s="11">
        <f>IFERROR(__xludf.DUMMYFUNCTION("""COMPUTED_VALUE"""),4.0)</f>
        <v>4</v>
      </c>
      <c r="C273" s="8" t="str">
        <f>IFERROR(__xludf.DUMMYFUNCTION("IF(A273="""","""",TEXTJOIN(CHAR(10),TRUE,FILTER('Tổng hợp 75 trang đích'!$B$2:$B$2505,'Tổng hợp 75 trang đích'!$I$2:$I$2505=A273)))"),"https://techcombank.com/thong-tin/blog/vay-ngan-hang-1-ty-moi-thang-tra-bao-nhieu
https://techcombank.com/thong-tin/blog/cach-tinh-lai-vay-ngan-hang
https://techcombank.com/thong-tin/blog/lai-suat-tiet-kiem
https://techcombank.com/cong-cu-tien-ich/cong-cu"&amp;"-tinh-toan/bang-tinh-lai-suat-vay")</f>
        <v>https://techcombank.com/thong-tin/blog/vay-ngan-hang-1-ty-moi-thang-tra-bao-nhieu
https://techcombank.com/thong-tin/blog/cach-tinh-lai-vay-ngan-hang
https://techcombank.com/thong-tin/blog/lai-suat-tiet-kiem
https://techcombank.com/cong-cu-tien-ich/cong-cu-tinh-toan/bang-tinh-lai-suat-vay</v>
      </c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</row>
    <row r="274">
      <c r="A274" s="10" t="str">
        <f>IFERROR(__xludf.DUMMYFUNCTION("""COMPUTED_VALUE"""),"https://techcombank.com/thong-tin/blog/vay-the-chap-khong-chung-minh-thu-nhap")</f>
        <v>https://techcombank.com/thong-tin/blog/vay-the-chap-khong-chung-minh-thu-nhap</v>
      </c>
      <c r="B274" s="11">
        <f>IFERROR(__xludf.DUMMYFUNCTION("""COMPUTED_VALUE"""),4.0)</f>
        <v>4</v>
      </c>
      <c r="C274" s="8" t="str">
        <f>IFERROR(__xludf.DUMMYFUNCTION("IF(A274="""","""",TEXTJOIN(CHAR(10),TRUE,FILTER('Tổng hợp 75 trang đích'!$B$2:$B$2505,'Tổng hợp 75 trang đích'!$I$2:$I$2505=A274)))"),"https://techcombank.com/thong-tin/blog/cach-sao-ke-tai-khoan-ngan-hang
https://techcombank.com/thong-tin/blog/vay-ngan-hang-1-ty-moi-thang-tra-bao-nhieu
https://techcombank.com/thong-tin/blog/lai-suat-vay-the-chap-so-do
https://techcombank.com/thong-tin/b"&amp;"log/ho-so-thu-tuc-xoa-the-chap")</f>
        <v>https://techcombank.com/thong-tin/blog/cach-sao-ke-tai-khoan-ngan-hang
https://techcombank.com/thong-tin/blog/vay-ngan-hang-1-ty-moi-thang-tra-bao-nhieu
https://techcombank.com/thong-tin/blog/lai-suat-vay-the-chap-so-do
https://techcombank.com/thong-tin/blog/ho-so-thu-tuc-xoa-the-chap</v>
      </c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</row>
    <row r="275">
      <c r="A275" s="10" t="str">
        <f>IFERROR(__xludf.DUMMYFUNCTION("""COMPUTED_VALUE"""),"https://techcombank.com/thong-tin/blog/vay-the-chap-so-bao-hiem-xa-hoi")</f>
        <v>https://techcombank.com/thong-tin/blog/vay-the-chap-so-bao-hiem-xa-hoi</v>
      </c>
      <c r="B275" s="11">
        <f>IFERROR(__xludf.DUMMYFUNCTION("""COMPUTED_VALUE"""),4.0)</f>
        <v>4</v>
      </c>
      <c r="C275" s="8" t="str">
        <f>IFERROR(__xludf.DUMMYFUNCTION("IF(A275="""","""",TEXTJOIN(CHAR(10),TRUE,FILTER('Tổng hợp 75 trang đích'!$B$2:$B$2505,'Tổng hợp 75 trang đích'!$I$2:$I$2505=A275)))"),"https://techcombank.com/thong-tin/blog/vay-ngan-hang-1-ty-moi-thang-tra-bao-nhieu
https://techcombank.com/thong-tin/blog/lai-suat-vay-the-chap-so-do
https://techcombank.com/thong-tin/blog/ho-so-thu-tuc-xoa-the-chap
https://techcombank.com/thong-tin/blog/r"&amp;"ui-ro-khi-gui-tiet-kiem-online")</f>
        <v>https://techcombank.com/thong-tin/blog/vay-ngan-hang-1-ty-moi-thang-tra-bao-nhieu
https://techcombank.com/thong-tin/blog/lai-suat-vay-the-chap-so-do
https://techcombank.com/thong-tin/blog/ho-so-thu-tuc-xoa-the-chap
https://techcombank.com/thong-tin/blog/rui-ro-khi-gui-tiet-kiem-online</v>
      </c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</row>
    <row r="276">
      <c r="A276" s="10" t="str">
        <f>IFERROR(__xludf.DUMMYFUNCTION("""COMPUTED_VALUE"""),"https://techcombank.com/thong-tin/blog/vay-the-chap-xe-o-to-cu")</f>
        <v>https://techcombank.com/thong-tin/blog/vay-the-chap-xe-o-to-cu</v>
      </c>
      <c r="B276" s="11">
        <f>IFERROR(__xludf.DUMMYFUNCTION("""COMPUTED_VALUE"""),4.0)</f>
        <v>4</v>
      </c>
      <c r="C276" s="8" t="str">
        <f>IFERROR(__xludf.DUMMYFUNCTION("IF(A276="""","""",TEXTJOIN(CHAR(10),TRUE,FILTER('Tổng hợp 75 trang đích'!$B$2:$B$2505,'Tổng hợp 75 trang đích'!$I$2:$I$2505=A276)))"),"https://techcombank.com/thong-tin/blog/lai-suat-vay-mua-o-to
https://techcombank.com/thong-tin/blog/vay-ngan-hang-1-ty-moi-thang-tra-bao-nhieu
https://techcombank.com/thong-tin/blog/lai-suat-vay-the-chap-so-do
https://techcombank.com/thong-tin/blog/ho-so-"&amp;"thu-tuc-xoa-the-chap")</f>
        <v>https://techcombank.com/thong-tin/blog/lai-suat-vay-mua-o-to
https://techcombank.com/thong-tin/blog/vay-ngan-hang-1-ty-moi-thang-tra-bao-nhieu
https://techcombank.com/thong-tin/blog/lai-suat-vay-the-chap-so-do
https://techcombank.com/thong-tin/blog/ho-so-thu-tuc-xoa-the-chap</v>
      </c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</row>
    <row r="277">
      <c r="A277" s="10" t="str">
        <f>IFERROR(__xludf.DUMMYFUNCTION("""COMPUTED_VALUE"""),"https://techcombank.com/thong-tin/blog/vay-tin-chap-theo-luong")</f>
        <v>https://techcombank.com/thong-tin/blog/vay-tin-chap-theo-luong</v>
      </c>
      <c r="B277" s="11">
        <f>IFERROR(__xludf.DUMMYFUNCTION("""COMPUTED_VALUE"""),4.0)</f>
        <v>4</v>
      </c>
      <c r="C277" s="8" t="str">
        <f>IFERROR(__xludf.DUMMYFUNCTION("IF(A277="""","""",TEXTJOIN(CHAR(10),TRUE,FILTER('Tổng hợp 75 trang đích'!$B$2:$B$2505,'Tổng hợp 75 trang đích'!$I$2:$I$2505=A277)))"),"https://techcombank.com/thong-tin/blog/cach-thanh-toan-the-tin-dung
https://techcombank.com/thong-tin/blog/cach-tinh-lai-vay-ngan-hang
https://techcombank.com/thong-tin/blog/cach-tiet-kiem-tien
https://techcombank.com/cong-cu-tien-ich/cong-cu-tinh-toan/ba"&amp;"ng-tinh-lai-suat-vay")</f>
        <v>https://techcombank.com/thong-tin/blog/cach-thanh-toan-the-tin-dung
https://techcombank.com/thong-tin/blog/cach-tinh-lai-vay-ngan-hang
https://techcombank.com/thong-tin/blog/cach-tiet-kiem-tien
https://techcombank.com/cong-cu-tien-ich/cong-cu-tinh-toan/bang-tinh-lai-suat-vay</v>
      </c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</row>
    <row r="278">
      <c r="A278" s="10" t="str">
        <f>IFERROR(__xludf.DUMMYFUNCTION("""COMPUTED_VALUE"""),"https://techcombank.com/thong-tin/blog/xu-huong-ty-gia-usd")</f>
        <v>https://techcombank.com/thong-tin/blog/xu-huong-ty-gia-usd</v>
      </c>
      <c r="B278" s="11">
        <f>IFERROR(__xludf.DUMMYFUNCTION("""COMPUTED_VALUE"""),4.0)</f>
        <v>4</v>
      </c>
      <c r="C278" s="8" t="str">
        <f>IFERROR(__xludf.DUMMYFUNCTION("IF(A278="""","""",TEXTJOIN(CHAR(10),TRUE,FILTER('Tổng hợp 75 trang đích'!$B$2:$B$2505,'Tổng hợp 75 trang đích'!$I$2:$I$2505=A278)))"),"https://techcombank.com/thong-tin/blog/1-dong-do-la-my-bang-bao-nhieu-tien-viet-nam
https://techcombank.com/thong-tin/blog/1-trieu-do-bang-bao-nhieu-tien-viet
https://techcombank.com/thong-tin/blog/cach-nhan-tien-tu-nuoc-ngoai-ve-viet-nam
https://techcomb"&amp;"ank.com/thong-tin/blog/doi-tien-do-o-dau")</f>
        <v>https://techcombank.com/thong-tin/blog/1-dong-do-la-my-bang-bao-nhieu-tien-viet-nam
https://techcombank.com/thong-tin/blog/1-trieu-do-bang-bao-nhieu-tien-viet
https://techcombank.com/thong-tin/blog/cach-nhan-tien-tu-nuoc-ngoai-ve-viet-nam
https://techcombank.com/thong-tin/blog/doi-tien-do-o-dau</v>
      </c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</row>
    <row r="279">
      <c r="A279" s="10" t="str">
        <f>IFERROR(__xludf.DUMMYFUNCTION("""COMPUTED_VALUE"""),"https://techcombank.com/thong-tin/blog/1-cent-bang-bao-nhieu-tien-viet")</f>
        <v>https://techcombank.com/thong-tin/blog/1-cent-bang-bao-nhieu-tien-viet</v>
      </c>
      <c r="B279" s="11">
        <f>IFERROR(__xludf.DUMMYFUNCTION("""COMPUTED_VALUE"""),3.0)</f>
        <v>3</v>
      </c>
      <c r="C279" s="8" t="str">
        <f>IFERROR(__xludf.DUMMYFUNCTION("IF(A279="""","""",TEXTJOIN(CHAR(10),TRUE,FILTER('Tổng hợp 75 trang đích'!$B$2:$B$2505,'Tổng hợp 75 trang đích'!$I$2:$I$2505=A279)))"),"https://techcombank.com/thong-tin/blog/1-dong-do-la-my-bang-bao-nhieu-tien-viet-nam
https://techcombank.com/thong-tin/blog/1-trieu-do-bang-bao-nhieu-tien-viet
https://techcombank.com/thong-tin/blog/doi-tien-do-o-dau")</f>
        <v>https://techcombank.com/thong-tin/blog/1-dong-do-la-my-bang-bao-nhieu-tien-viet-nam
https://techcombank.com/thong-tin/blog/1-trieu-do-bang-bao-nhieu-tien-viet
https://techcombank.com/thong-tin/blog/doi-tien-do-o-dau</v>
      </c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</row>
    <row r="280">
      <c r="A280" s="10" t="str">
        <f>IFERROR(__xludf.DUMMYFUNCTION("""COMPUTED_VALUE"""),"https://techcombank.com/thong-tin/blog/1-man-bang-bao-nhieu-tien-viet")</f>
        <v>https://techcombank.com/thong-tin/blog/1-man-bang-bao-nhieu-tien-viet</v>
      </c>
      <c r="B280" s="11">
        <f>IFERROR(__xludf.DUMMYFUNCTION("""COMPUTED_VALUE"""),3.0)</f>
        <v>3</v>
      </c>
      <c r="C280" s="8" t="str">
        <f>IFERROR(__xludf.DUMMYFUNCTION("IF(A280="""","""",TEXTJOIN(CHAR(10),TRUE,FILTER('Tổng hợp 75 trang đích'!$B$2:$B$2505,'Tổng hợp 75 trang đích'!$I$2:$I$2505=A280)))"),"https://techcombank.com/thong-tin/blog/tien-nhat
https://techcombank.com/thong-tin/blog/1-yen-bang-bao-nhieu-tien-viet-nam
https://techcombank.com/thong-tin/blog/doi-tien-do-o-dau")</f>
        <v>https://techcombank.com/thong-tin/blog/tien-nhat
https://techcombank.com/thong-tin/blog/1-yen-bang-bao-nhieu-tien-viet-nam
https://techcombank.com/thong-tin/blog/doi-tien-do-o-dau</v>
      </c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</row>
    <row r="281">
      <c r="A281" s="10" t="str">
        <f>IFERROR(__xludf.DUMMYFUNCTION("""COMPUTED_VALUE"""),"https://techcombank.com/thong-tin/blog/1-nguoi-co-the-lam-duoc-bao-nhieu-the-atm")</f>
        <v>https://techcombank.com/thong-tin/blog/1-nguoi-co-the-lam-duoc-bao-nhieu-the-atm</v>
      </c>
      <c r="B281" s="11">
        <f>IFERROR(__xludf.DUMMYFUNCTION("""COMPUTED_VALUE"""),3.0)</f>
        <v>3</v>
      </c>
      <c r="C281" s="8" t="str">
        <f>IFERROR(__xludf.DUMMYFUNCTION("IF(A281="""","""",TEXTJOIN(CHAR(10),TRUE,FILTER('Tổng hợp 75 trang đích'!$B$2:$B$2505,'Tổng hợp 75 trang đích'!$I$2:$I$2505=A281)))"),"https://techcombank.com/thong-tin/blog/bao-nhieu-tuoi-duoc-mo-tai-khoan-ngan-hang
https://techcombank.com/thong-tin/blog/nap-tien-vao-tai-khoan-ngan-hang
https://techcombank.com/thong-tin/blog/rut-tien-bang-ma-qr-la-gi-cach-thuc-hien-nhu-the-nao")</f>
        <v>https://techcombank.com/thong-tin/blog/bao-nhieu-tuoi-duoc-mo-tai-khoan-ngan-hang
https://techcombank.com/thong-tin/blog/nap-tien-vao-tai-khoan-ngan-hang
https://techcombank.com/thong-tin/blog/rut-tien-bang-ma-qr-la-gi-cach-thuc-hien-nhu-the-nao</v>
      </c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</row>
    <row r="282">
      <c r="A282" s="10" t="str">
        <f>IFERROR(__xludf.DUMMYFUNCTION("""COMPUTED_VALUE"""),"https://techcombank.com/thong-tin/blog/1-trieu-won-bang-bao-nhieu-tien-viet")</f>
        <v>https://techcombank.com/thong-tin/blog/1-trieu-won-bang-bao-nhieu-tien-viet</v>
      </c>
      <c r="B282" s="11">
        <f>IFERROR(__xludf.DUMMYFUNCTION("""COMPUTED_VALUE"""),3.0)</f>
        <v>3</v>
      </c>
      <c r="C282" s="8" t="str">
        <f>IFERROR(__xludf.DUMMYFUNCTION("IF(A282="""","""",TEXTJOIN(CHAR(10),TRUE,FILTER('Tổng hợp 75 trang đích'!$B$2:$B$2505,'Tổng hợp 75 trang đích'!$I$2:$I$2505=A282)))"),"https://techcombank.com/thong-tin/blog/1-won-bang-bao-nhieu-tien-viet
https://techcombank.com/thong-tin/blog/1000-won-bang-bao-nhieu-tien-viet
https://techcombank.com/thong-tin/blog/doi-tien-do-o-dau")</f>
        <v>https://techcombank.com/thong-tin/blog/1-won-bang-bao-nhieu-tien-viet
https://techcombank.com/thong-tin/blog/1000-won-bang-bao-nhieu-tien-viet
https://techcombank.com/thong-tin/blog/doi-tien-do-o-dau</v>
      </c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</row>
    <row r="283">
      <c r="A283" s="10" t="str">
        <f>IFERROR(__xludf.DUMMYFUNCTION("""COMPUTED_VALUE"""),"https://techcombank.com/thong-tin/blog/1-yen-bang-bao-nhieu-tien-viet-nam")</f>
        <v>https://techcombank.com/thong-tin/blog/1-yen-bang-bao-nhieu-tien-viet-nam</v>
      </c>
      <c r="B283" s="11">
        <f>IFERROR(__xludf.DUMMYFUNCTION("""COMPUTED_VALUE"""),3.0)</f>
        <v>3</v>
      </c>
      <c r="C283" s="8" t="str">
        <f>IFERROR(__xludf.DUMMYFUNCTION("IF(A283="""","""",TEXTJOIN(CHAR(10),TRUE,FILTER('Tổng hợp 75 trang đích'!$B$2:$B$2505,'Tổng hợp 75 trang đích'!$I$2:$I$2505=A283)))"),"https://techcombank.com/thong-tin/blog/tien-nhat
https://techcombank.com/thong-tin/blog/1-man-bang-bao-nhieu-tien-viet
https://techcombank.com/thong-tin/blog/doi-tien-do-o-dau")</f>
        <v>https://techcombank.com/thong-tin/blog/tien-nhat
https://techcombank.com/thong-tin/blog/1-man-bang-bao-nhieu-tien-viet
https://techcombank.com/thong-tin/blog/doi-tien-do-o-dau</v>
      </c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</row>
    <row r="284">
      <c r="A284" s="10" t="str">
        <f>IFERROR(__xludf.DUMMYFUNCTION("""COMPUTED_VALUE"""),"https://techcombank.com/thong-tin/blog/6-chiec-lo-tai-chinh-ca-nhan")</f>
        <v>https://techcombank.com/thong-tin/blog/6-chiec-lo-tai-chinh-ca-nhan</v>
      </c>
      <c r="B284" s="11">
        <f>IFERROR(__xludf.DUMMYFUNCTION("""COMPUTED_VALUE"""),3.0)</f>
        <v>3</v>
      </c>
      <c r="C284" s="8" t="str">
        <f>IFERROR(__xludf.DUMMYFUNCTION("IF(A284="""","""",TEXTJOIN(CHAR(10),TRUE,FILTER('Tổng hợp 75 trang đích'!$B$2:$B$2505,'Tổng hợp 75 trang đích'!$I$2:$I$2505=A284)))"),"https://techcombank.com/thong-tin/blog/cach-sao-ke-tai-khoan-ngan-hang
https://techcombank.com/thong-tin/blog/eco-card
https://techcombank.com/thong-tin/blog/cach-tiet-kiem-tien")</f>
        <v>https://techcombank.com/thong-tin/blog/cach-sao-ke-tai-khoan-ngan-hang
https://techcombank.com/thong-tin/blog/eco-card
https://techcombank.com/thong-tin/blog/cach-tiet-kiem-tien</v>
      </c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</row>
    <row r="285">
      <c r="A285" s="10" t="str">
        <f>IFERROR(__xludf.DUMMYFUNCTION("""COMPUTED_VALUE"""),"https://techcombank.com/thong-tin/blog/app-dong-tien-dien-online")</f>
        <v>https://techcombank.com/thong-tin/blog/app-dong-tien-dien-online</v>
      </c>
      <c r="B285" s="11">
        <f>IFERROR(__xludf.DUMMYFUNCTION("""COMPUTED_VALUE"""),3.0)</f>
        <v>3</v>
      </c>
      <c r="C285" s="8" t="str">
        <f>IFERROR(__xludf.DUMMYFUNCTION("IF(A285="""","""",TEXTJOIN(CHAR(10),TRUE,FILTER('Tổng hợp 75 trang đích'!$B$2:$B$2505,'Tổng hợp 75 trang đích'!$I$2:$I$2505=A285)))"),"https://techcombank.com/thong-tin/blog/thue-vat-la-gi
https://techcombank.com/thong-tin/blog/cach-nap-the-viettel
https://techcombank.com/thong-tin/blog/cach-tinh-tien-dien-sinh-hoat")</f>
        <v>https://techcombank.com/thong-tin/blog/thue-vat-la-gi
https://techcombank.com/thong-tin/blog/cach-nap-the-viettel
https://techcombank.com/thong-tin/blog/cach-tinh-tien-dien-sinh-hoat</v>
      </c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</row>
    <row r="286">
      <c r="A286" s="27" t="str">
        <f>IFERROR(__xludf.DUMMYFUNCTION("""COMPUTED_VALUE"""),"https://techcombank.com/thong-tin/blog/app-vay-tien-nhanh")</f>
        <v>https://techcombank.com/thong-tin/blog/app-vay-tien-nhanh</v>
      </c>
      <c r="B286" s="11">
        <f>IFERROR(__xludf.DUMMYFUNCTION("""COMPUTED_VALUE"""),3.0)</f>
        <v>3</v>
      </c>
      <c r="C286" s="8" t="str">
        <f>IFERROR(__xludf.DUMMYFUNCTION("IF(A286="""","""",TEXTJOIN(CHAR(10),TRUE,FILTER('Tổng hợp 75 trang đích'!$B$2:$B$2505,'Tổng hợp 75 trang đích'!$I$2:$I$2505=A286)))"),"https://techcombank.com/thong-tin/blog/chuyen-khoan-thanh-cong-nhung-khong-nhan-duoc-tien
https://techcombank.com/thong-tin/blog/cach-quet-nfc-cccd-tren-iphone
https://techcombank.com/thong-tin/blog/nen-vay-tin-chap-o-dau")</f>
        <v>https://techcombank.com/thong-tin/blog/chuyen-khoan-thanh-cong-nhung-khong-nhan-duoc-tien
https://techcombank.com/thong-tin/blog/cach-quet-nfc-cccd-tren-iphone
https://techcombank.com/thong-tin/blog/nen-vay-tin-chap-o-dau</v>
      </c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</row>
    <row r="287">
      <c r="A287" s="27" t="str">
        <f>IFERROR(__xludf.DUMMYFUNCTION("""COMPUTED_VALUE"""),"https://techcombank.com/thong-tin/blog/barcode-la-gi")</f>
        <v>https://techcombank.com/thong-tin/blog/barcode-la-gi</v>
      </c>
      <c r="B287" s="11">
        <f>IFERROR(__xludf.DUMMYFUNCTION("""COMPUTED_VALUE"""),3.0)</f>
        <v>3</v>
      </c>
      <c r="C287" s="8" t="str">
        <f>IFERROR(__xludf.DUMMYFUNCTION("IF(A287="""","""",TEXTJOIN(CHAR(10),TRUE,FILTER('Tổng hợp 75 trang đích'!$B$2:$B$2505,'Tổng hợp 75 trang đích'!$I$2:$I$2505=A287)))"),"https://techcombank.com/thong-tin/blog/ho-kinh-doanh-dong-thue-nhu-nao
https://techcombank.com/thong-tin/blog/mo-tai-khoan-ho-kinh-doanh
https://techcombank.com/thong-tin/blog/cach-tinh-thue-ho-kinh-doanh-nho-le")</f>
        <v>https://techcombank.com/thong-tin/blog/ho-kinh-doanh-dong-thue-nhu-nao
https://techcombank.com/thong-tin/blog/mo-tai-khoan-ho-kinh-doanh
https://techcombank.com/thong-tin/blog/cach-tinh-thue-ho-kinh-doanh-nho-le</v>
      </c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</row>
    <row r="288">
      <c r="A288" s="27" t="str">
        <f>IFERROR(__xludf.DUMMYFUNCTION("""COMPUTED_VALUE"""),"https://techcombank.com/thong-tin/blog/bi-nuot-the-atm-phai-lam-sao")</f>
        <v>https://techcombank.com/thong-tin/blog/bi-nuot-the-atm-phai-lam-sao</v>
      </c>
      <c r="B288" s="11">
        <f>IFERROR(__xludf.DUMMYFUNCTION("""COMPUTED_VALUE"""),3.0)</f>
        <v>3</v>
      </c>
      <c r="C288" s="8" t="str">
        <f>IFERROR(__xludf.DUMMYFUNCTION("IF(A288="""","""",TEXTJOIN(CHAR(10),TRUE,FILTER('Tổng hợp 75 trang đích'!$B$2:$B$2505,'Tổng hợp 75 trang đích'!$I$2:$I$2505=A288)))"),"https://techcombank.com/thong-tin/blog/nap-tien-vao-tai-khoan-ngan-hang
https://techcombank.com/thong-tin/blog/rut-tien-bang-ma-qr-la-gi-cach-thuc-hien-nhu-the-nao
https://techcombank.com/thong-tin/blog/rut-tien-mat-tu-the-tin-dung")</f>
        <v>https://techcombank.com/thong-tin/blog/nap-tien-vao-tai-khoan-ngan-hang
https://techcombank.com/thong-tin/blog/rut-tien-bang-ma-qr-la-gi-cach-thuc-hien-nhu-the-nao
https://techcombank.com/thong-tin/blog/rut-tien-mat-tu-the-tin-dung</v>
      </c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</row>
    <row r="289">
      <c r="A289" s="27" t="str">
        <f>IFERROR(__xludf.DUMMYFUNCTION("""COMPUTED_VALUE"""),"https://techcombank.com/thong-tin/blog/cach-bao-ve-tai-khoan")</f>
        <v>https://techcombank.com/thong-tin/blog/cach-bao-ve-tai-khoan</v>
      </c>
      <c r="B289" s="11">
        <f>IFERROR(__xludf.DUMMYFUNCTION("""COMPUTED_VALUE"""),3.0)</f>
        <v>3</v>
      </c>
      <c r="C289" s="8" t="str">
        <f>IFERROR(__xludf.DUMMYFUNCTION("IF(A289="""","""",TEXTJOIN(CHAR(10),TRUE,FILTER('Tổng hợp 75 trang đích'!$B$2:$B$2505,'Tổng hợp 75 trang đích'!$I$2:$I$2505=A289)))"),"https://techcombank.com/thong-tin/blog/cach-mo-tai-khoan
https://techcombank.com/thong-tin/blog/ten-dang-nhap-tai-khoan-ngan-hang-la-gi
https://techcombank.com/thong-tin/blog/rui-ro-khi-gui-tiet-kiem-online")</f>
        <v>https://techcombank.com/thong-tin/blog/cach-mo-tai-khoan
https://techcombank.com/thong-tin/blog/ten-dang-nhap-tai-khoan-ngan-hang-la-gi
https://techcombank.com/thong-tin/blog/rui-ro-khi-gui-tiet-kiem-online</v>
      </c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</row>
    <row r="290">
      <c r="A290" s="27" t="str">
        <f>IFERROR(__xludf.DUMMYFUNCTION("""COMPUTED_VALUE"""),"https://techcombank.com/thong-tin/blog/cach-chuyen-khoan-bang-dien-thoai")</f>
        <v>https://techcombank.com/thong-tin/blog/cach-chuyen-khoan-bang-dien-thoai</v>
      </c>
      <c r="B290" s="11">
        <f>IFERROR(__xludf.DUMMYFUNCTION("""COMPUTED_VALUE"""),3.0)</f>
        <v>3</v>
      </c>
      <c r="C290" s="8" t="str">
        <f>IFERROR(__xludf.DUMMYFUNCTION("IF(A290="""","""",TEXTJOIN(CHAR(10),TRUE,FILTER('Tổng hợp 75 trang đích'!$B$2:$B$2505,'Tổng hợp 75 trang đích'!$I$2:$I$2505=A290)))"),"https://techcombank.com/thong-tin/blog/chuyen-khoan-thanh-cong-nhung-khong-nhan-duoc-tien
https://techcombank.com/thong-tin/blog/rut-tien-bang-ma-qr-la-gi-cach-thuc-hien-nhu-the-nao
https://techcombank.com/thong-tin/blog/gui-ma-qr-ngan-hang")</f>
        <v>https://techcombank.com/thong-tin/blog/chuyen-khoan-thanh-cong-nhung-khong-nhan-duoc-tien
https://techcombank.com/thong-tin/blog/rut-tien-bang-ma-qr-la-gi-cach-thuc-hien-nhu-the-nao
https://techcombank.com/thong-tin/blog/gui-ma-qr-ngan-hang</v>
      </c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</row>
    <row r="291">
      <c r="A291" s="27" t="str">
        <f>IFERROR(__xludf.DUMMYFUNCTION("""COMPUTED_VALUE"""),"https://techcombank.com/thong-tin/blog/cach-chuyen-tien-qua-ma-qr-techcombank")</f>
        <v>https://techcombank.com/thong-tin/blog/cach-chuyen-tien-qua-ma-qr-techcombank</v>
      </c>
      <c r="B291" s="11">
        <f>IFERROR(__xludf.DUMMYFUNCTION("""COMPUTED_VALUE"""),3.0)</f>
        <v>3</v>
      </c>
      <c r="C291" s="8" t="str">
        <f>IFERROR(__xludf.DUMMYFUNCTION("IF(A291="""","""",TEXTJOIN(CHAR(10),TRUE,FILTER('Tổng hợp 75 trang đích'!$B$2:$B$2505,'Tổng hợp 75 trang đích'!$I$2:$I$2505=A291)))"),"https://techcombank.com/thong-tin/blog/chuyen-khoan-thanh-cong-nhung-khong-nhan-duoc-tien
https://techcombank.com/thong-tin/blog/rut-tien-bang-ma-qr-la-gi-cach-thuc-hien-nhu-the-nao
https://techcombank.com/thong-tin/blog/gui-ma-qr-ngan-hang")</f>
        <v>https://techcombank.com/thong-tin/blog/chuyen-khoan-thanh-cong-nhung-khong-nhan-duoc-tien
https://techcombank.com/thong-tin/blog/rut-tien-bang-ma-qr-la-gi-cach-thuc-hien-nhu-the-nao
https://techcombank.com/thong-tin/blog/gui-ma-qr-ngan-hang</v>
      </c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</row>
    <row r="292">
      <c r="A292" s="27" t="str">
        <f>IFERROR(__xludf.DUMMYFUNCTION("""COMPUTED_VALUE"""),"https://techcombank.com/thong-tin/blog/cach-khoa-the-ngan-hang")</f>
        <v>https://techcombank.com/thong-tin/blog/cach-khoa-the-ngan-hang</v>
      </c>
      <c r="B292" s="11">
        <f>IFERROR(__xludf.DUMMYFUNCTION("""COMPUTED_VALUE"""),3.0)</f>
        <v>3</v>
      </c>
      <c r="C292" s="8" t="str">
        <f>IFERROR(__xludf.DUMMYFUNCTION("IF(A292="""","""",TEXTJOIN(CHAR(10),TRUE,FILTER('Tổng hợp 75 trang đích'!$B$2:$B$2505,'Tổng hợp 75 trang đích'!$I$2:$I$2505=A292)))"),"https://techcombank.com/thong-tin/blog/ten-dang-nhap-tai-khoan-ngan-hang-la-gi
https://techcombank.com/thong-tin/blog/cach-huy-the-tin-dung
https://techcombank.com/thong-tin/blog/rui-ro-khi-gui-tiet-kiem-online")</f>
        <v>https://techcombank.com/thong-tin/blog/ten-dang-nhap-tai-khoan-ngan-hang-la-gi
https://techcombank.com/thong-tin/blog/cach-huy-the-tin-dung
https://techcombank.com/thong-tin/blog/rui-ro-khi-gui-tiet-kiem-online</v>
      </c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</row>
    <row r="293">
      <c r="A293" s="27" t="str">
        <f>IFERROR(__xludf.DUMMYFUNCTION("""COMPUTED_VALUE"""),"https://techcombank.com/thong-tin/blog/cach-kich-hoat-the-atm")</f>
        <v>https://techcombank.com/thong-tin/blog/cach-kich-hoat-the-atm</v>
      </c>
      <c r="B293" s="11">
        <f>IFERROR(__xludf.DUMMYFUNCTION("""COMPUTED_VALUE"""),3.0)</f>
        <v>3</v>
      </c>
      <c r="C293" s="8" t="str">
        <f>IFERROR(__xludf.DUMMYFUNCTION("IF(A293="""","""",TEXTJOIN(CHAR(10),TRUE,FILTER('Tổng hợp 75 trang đích'!$B$2:$B$2505,'Tổng hợp 75 trang đích'!$I$2:$I$2505=A293)))"),"https://techcombank.com/thong-tin/blog/nap-tien-vao-tai-khoan-ngan-hang
https://techcombank.com/thong-tin/blog/ten-dang-nhap-tai-khoan-ngan-hang-la-gi
https://techcombank.com/thong-tin/blog/rut-tien-bang-ma-qr-la-gi-cach-thuc-hien-nhu-the-nao")</f>
        <v>https://techcombank.com/thong-tin/blog/nap-tien-vao-tai-khoan-ngan-hang
https://techcombank.com/thong-tin/blog/ten-dang-nhap-tai-khoan-ngan-hang-la-gi
https://techcombank.com/thong-tin/blog/rut-tien-bang-ma-qr-la-gi-cach-thuc-hien-nhu-the-nao</v>
      </c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</row>
    <row r="294">
      <c r="A294" s="27" t="str">
        <f>IFERROR(__xludf.DUMMYFUNCTION("""COMPUTED_VALUE"""),"https://techcombank.com/thong-tin/blog/cach-nap-tien-vao-the-ghi-no")</f>
        <v>https://techcombank.com/thong-tin/blog/cach-nap-tien-vao-the-ghi-no</v>
      </c>
      <c r="B294" s="11">
        <f>IFERROR(__xludf.DUMMYFUNCTION("""COMPUTED_VALUE"""),3.0)</f>
        <v>3</v>
      </c>
      <c r="C294" s="8" t="str">
        <f>IFERROR(__xludf.DUMMYFUNCTION("IF(A294="""","""",TEXTJOIN(CHAR(10),TRUE,FILTER('Tổng hợp 75 trang đích'!$B$2:$B$2505,'Tổng hợp 75 trang đích'!$I$2:$I$2505=A294)))"),"https://techcombank.com/thong-tin/blog/nap-tien-vao-tai-khoan-ngan-hang
https://techcombank.com/thong-tin/blog/ten-dang-nhap-tai-khoan-ngan-hang-la-gi
https://techcombank.com/thong-tin/blog/eco-card")</f>
        <v>https://techcombank.com/thong-tin/blog/nap-tien-vao-tai-khoan-ngan-hang
https://techcombank.com/thong-tin/blog/ten-dang-nhap-tai-khoan-ngan-hang-la-gi
https://techcombank.com/thong-tin/blog/eco-card</v>
      </c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</row>
    <row r="295">
      <c r="A295" s="27" t="str">
        <f>IFERROR(__xludf.DUMMYFUNCTION("""COMPUTED_VALUE"""),"https://techcombank.com/thong-tin/blog/cach-nop-thue-dien-tu")</f>
        <v>https://techcombank.com/thong-tin/blog/cach-nop-thue-dien-tu</v>
      </c>
      <c r="B295" s="11">
        <f>IFERROR(__xludf.DUMMYFUNCTION("""COMPUTED_VALUE"""),3.0)</f>
        <v>3</v>
      </c>
      <c r="C295" s="8" t="str">
        <f>IFERROR(__xludf.DUMMYFUNCTION("IF(A295="""","""",TEXTJOIN(CHAR(10),TRUE,FILTER('Tổng hợp 75 trang đích'!$B$2:$B$2505,'Tổng hợp 75 trang đích'!$I$2:$I$2505=A295)))"),"https://techcombank.com/thong-tin/blog/nop-thue-dat-qua-ngan-hang
https://techcombank.com/thong-tin/blog/kiem-tra-thue-thu-nhap-ca-nhan
https://techcombank.com/thong-tin/blog/ho-kinh-doanh-dong-thue-nhu-nao")</f>
        <v>https://techcombank.com/thong-tin/blog/nop-thue-dat-qua-ngan-hang
https://techcombank.com/thong-tin/blog/kiem-tra-thue-thu-nhap-ca-nhan
https://techcombank.com/thong-tin/blog/ho-kinh-doanh-dong-thue-nhu-nao</v>
      </c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</row>
    <row r="296">
      <c r="A296" s="27" t="str">
        <f>IFERROR(__xludf.DUMMYFUNCTION("""COMPUTED_VALUE"""),"https://techcombank.com/thong-tin/blog/cach-su-dung-the-ghi-no")</f>
        <v>https://techcombank.com/thong-tin/blog/cach-su-dung-the-ghi-no</v>
      </c>
      <c r="B296" s="11">
        <f>IFERROR(__xludf.DUMMYFUNCTION("""COMPUTED_VALUE"""),3.0)</f>
        <v>3</v>
      </c>
      <c r="C296" s="8" t="str">
        <f>IFERROR(__xludf.DUMMYFUNCTION("IF(A296="""","""",TEXTJOIN(CHAR(10),TRUE,FILTER('Tổng hợp 75 trang đích'!$B$2:$B$2505,'Tổng hợp 75 trang đích'!$I$2:$I$2505=A296)))"),"https://techcombank.com/thong-tin/blog/rut-tien-bang-ma-qr-la-gi-cach-thuc-hien-nhu-the-nao
https://techcombank.com/thong-tin/blog/eco-card
https://techcombank.com/thong-tin/blog/rut-tien-mat-tu-the-tin-dung")</f>
        <v>https://techcombank.com/thong-tin/blog/rut-tien-bang-ma-qr-la-gi-cach-thuc-hien-nhu-the-nao
https://techcombank.com/thong-tin/blog/eco-card
https://techcombank.com/thong-tin/blog/rut-tien-mat-tu-the-tin-dung</v>
      </c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</row>
    <row r="297">
      <c r="A297" s="27" t="str">
        <f>IFERROR(__xludf.DUMMYFUNCTION("""COMPUTED_VALUE"""),"https://techcombank.com/thong-tin/blog/cach-tao-ma-qr-code-mien-phi")</f>
        <v>https://techcombank.com/thong-tin/blog/cach-tao-ma-qr-code-mien-phi</v>
      </c>
      <c r="B297" s="11">
        <f>IFERROR(__xludf.DUMMYFUNCTION("""COMPUTED_VALUE"""),3.0)</f>
        <v>3</v>
      </c>
      <c r="C297" s="8" t="str">
        <f>IFERROR(__xludf.DUMMYFUNCTION("IF(A297="""","""",TEXTJOIN(CHAR(10),TRUE,FILTER('Tổng hợp 75 trang đích'!$B$2:$B$2505,'Tổng hợp 75 trang đích'!$I$2:$I$2505=A297)))"),"https://techcombank.com/thong-tin/blog/chuyen-khoan-thanh-cong-nhung-khong-nhan-duoc-tien
https://techcombank.com/thong-tin/blog/rut-tien-bang-ma-qr-la-gi-cach-thuc-hien-nhu-the-nao
https://techcombank.com/thong-tin/blog/gui-ma-qr-ngan-hang")</f>
        <v>https://techcombank.com/thong-tin/blog/chuyen-khoan-thanh-cong-nhung-khong-nhan-duoc-tien
https://techcombank.com/thong-tin/blog/rut-tien-bang-ma-qr-la-gi-cach-thuc-hien-nhu-the-nao
https://techcombank.com/thong-tin/blog/gui-ma-qr-ngan-hang</v>
      </c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</row>
    <row r="298">
      <c r="A298" s="27" t="str">
        <f>IFERROR(__xludf.DUMMYFUNCTION("""COMPUTED_VALUE"""),"https://techcombank.com/thong-tin/blog/cach-tinh-ty-gia-ky-han")</f>
        <v>https://techcombank.com/thong-tin/blog/cach-tinh-ty-gia-ky-han</v>
      </c>
      <c r="B298" s="11">
        <f>IFERROR(__xludf.DUMMYFUNCTION("""COMPUTED_VALUE"""),3.0)</f>
        <v>3</v>
      </c>
      <c r="C298" s="8" t="str">
        <f>IFERROR(__xludf.DUMMYFUNCTION("IF(A298="""","""",TEXTJOIN(CHAR(10),TRUE,FILTER('Tổng hợp 75 trang đích'!$B$2:$B$2505,'Tổng hợp 75 trang đích'!$I$2:$I$2505=A298)))"),"https://techcombank.com/thong-tin/blog/doi-tien-do-o-dau
https://techcombank.com/thong-tin/blog/lai-suat-tiet-kiem
https://techcombank.com/thong-tin/blog/rui-ro-khi-gui-tiet-kiem-online")</f>
        <v>https://techcombank.com/thong-tin/blog/doi-tien-do-o-dau
https://techcombank.com/thong-tin/blog/lai-suat-tiet-kiem
https://techcombank.com/thong-tin/blog/rui-ro-khi-gui-tiet-kiem-online</v>
      </c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</row>
    <row r="299">
      <c r="A299" s="27" t="str">
        <f>IFERROR(__xludf.DUMMYFUNCTION("""COMPUTED_VALUE"""),"https://techcombank.com/thong-tin/blog/cach-tra-cuu-hoa-don-dien-tu")</f>
        <v>https://techcombank.com/thong-tin/blog/cach-tra-cuu-hoa-don-dien-tu</v>
      </c>
      <c r="B299" s="11">
        <f>IFERROR(__xludf.DUMMYFUNCTION("""COMPUTED_VALUE"""),3.0)</f>
        <v>3</v>
      </c>
      <c r="C299" s="8" t="str">
        <f>IFERROR(__xludf.DUMMYFUNCTION("IF(A299="""","""",TEXTJOIN(CHAR(10),TRUE,FILTER('Tổng hợp 75 trang đích'!$B$2:$B$2505,'Tổng hợp 75 trang đích'!$I$2:$I$2505=A299)))"),"https://techcombank.com/thong-tin/blog/thue-vat-la-gi
https://techcombank.com/thong-tin/blog/cach-tinh-tien-dien-sinh-hoat
https://techcombank.com/thong-tin/blog/ho-kinh-doanh-dong-thue-nhu-nao")</f>
        <v>https://techcombank.com/thong-tin/blog/thue-vat-la-gi
https://techcombank.com/thong-tin/blog/cach-tinh-tien-dien-sinh-hoat
https://techcombank.com/thong-tin/blog/ho-kinh-doanh-dong-thue-nhu-nao</v>
      </c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</row>
    <row r="300">
      <c r="A300" s="27" t="str">
        <f>IFERROR(__xludf.DUMMYFUNCTION("""COMPUTED_VALUE"""),"https://techcombank.com/thong-tin/blog/cay-atm-gan-day")</f>
        <v>https://techcombank.com/thong-tin/blog/cay-atm-gan-day</v>
      </c>
      <c r="B300" s="11">
        <f>IFERROR(__xludf.DUMMYFUNCTION("""COMPUTED_VALUE"""),3.0)</f>
        <v>3</v>
      </c>
      <c r="C300" s="8" t="str">
        <f>IFERROR(__xludf.DUMMYFUNCTION("IF(A300="""","""",TEXTJOIN(CHAR(10),TRUE,FILTER('Tổng hợp 75 trang đích'!$B$2:$B$2505,'Tổng hợp 75 trang đích'!$I$2:$I$2505=A300)))"),"https://techcombank.com/thong-tin/blog/nap-tien-vao-tai-khoan-ngan-hang
https://techcombank.com/thong-tin/blog/rut-tien-bang-ma-qr-la-gi-cach-thuc-hien-nhu-the-nao
https://techcombank.com/thong-tin/blog/rut-tien-mat-tu-the-tin-dung")</f>
        <v>https://techcombank.com/thong-tin/blog/nap-tien-vao-tai-khoan-ngan-hang
https://techcombank.com/thong-tin/blog/rut-tien-bang-ma-qr-la-gi-cach-thuc-hien-nhu-the-nao
https://techcombank.com/thong-tin/blog/rut-tien-mat-tu-the-tin-dung</v>
      </c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</row>
    <row r="301">
      <c r="A301" s="27" t="str">
        <f>IFERROR(__xludf.DUMMYFUNCTION("""COMPUTED_VALUE"""),"https://techcombank.com/thong-tin/blog/chi-tra-luong-huu")</f>
        <v>https://techcombank.com/thong-tin/blog/chi-tra-luong-huu</v>
      </c>
      <c r="B301" s="11">
        <f>IFERROR(__xludf.DUMMYFUNCTION("""COMPUTED_VALUE"""),3.0)</f>
        <v>3</v>
      </c>
      <c r="C301" s="8" t="str">
        <f>IFERROR(__xludf.DUMMYFUNCTION("IF(A301="""","""",TEXTJOIN(CHAR(10),TRUE,FILTER('Tổng hợp 75 trang đích'!$B$2:$B$2505,'Tổng hợp 75 trang đích'!$I$2:$I$2505=A301)))"),"https://techcombank.com/thong-tin/blog/cach-tinh-thue-thu-nhap-ca-nhan-2025
https://techcombank.com/thong-tin/blog/cach-mo-tai-khoan
https://techcombank.com/thong-tin/blog/thue-thu-nhap-ca-nhan")</f>
        <v>https://techcombank.com/thong-tin/blog/cach-tinh-thue-thu-nhap-ca-nhan-2025
https://techcombank.com/thong-tin/blog/cach-mo-tai-khoan
https://techcombank.com/thong-tin/blog/thue-thu-nhap-ca-nhan</v>
      </c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</row>
    <row r="302">
      <c r="A302" s="27" t="str">
        <f>IFERROR(__xludf.DUMMYFUNCTION("""COMPUTED_VALUE"""),"https://techcombank.com/thong-tin/blog/chinh-sach-tang-luong-huu")</f>
        <v>https://techcombank.com/thong-tin/blog/chinh-sach-tang-luong-huu</v>
      </c>
      <c r="B302" s="11">
        <f>IFERROR(__xludf.DUMMYFUNCTION("""COMPUTED_VALUE"""),3.0)</f>
        <v>3</v>
      </c>
      <c r="C302" s="8" t="str">
        <f>IFERROR(__xludf.DUMMYFUNCTION("IF(A302="""","""",TEXTJOIN(CHAR(10),TRUE,FILTER('Tổng hợp 75 trang đích'!$B$2:$B$2505,'Tổng hợp 75 trang đích'!$I$2:$I$2505=A302)))"),"https://techcombank.com/thong-tin/blog/cach-tinh-thue-thu-nhap-ca-nhan-2025
https://techcombank.com/thong-tin/blog/thue-thu-nhap-ca-nhan
https://techcombank.com/thong-tin/blog/cach-tiet-kiem-tien")</f>
        <v>https://techcombank.com/thong-tin/blog/cach-tinh-thue-thu-nhap-ca-nhan-2025
https://techcombank.com/thong-tin/blog/thue-thu-nhap-ca-nhan
https://techcombank.com/thong-tin/blog/cach-tiet-kiem-tien</v>
      </c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</row>
    <row r="303">
      <c r="A303" s="27" t="str">
        <f>IFERROR(__xludf.DUMMYFUNCTION("""COMPUTED_VALUE"""),"https://techcombank.com/thong-tin/blog/chung-chi-quy-va-chung-khoan")</f>
        <v>https://techcombank.com/thong-tin/blog/chung-chi-quy-va-chung-khoan</v>
      </c>
      <c r="B303" s="11">
        <f>IFERROR(__xludf.DUMMYFUNCTION("""COMPUTED_VALUE"""),3.0)</f>
        <v>3</v>
      </c>
      <c r="C303" s="8" t="str">
        <f>IFERROR(__xludf.DUMMYFUNCTION("IF(A303="""","""",TEXTJOIN(CHAR(10),TRUE,FILTER('Tổng hợp 75 trang đích'!$B$2:$B$2505,'Tổng hợp 75 trang đích'!$I$2:$I$2505=A303)))"),"https://techcombank.com/thong-tin/blog/chung-chi-tien-gui-la-gi
https://techcombank.com/thong-tin/blog/rui-ro-khi-gui-tiet-kiem-online
https://techcombank.com/thong-tin/blog/phuong-phap-dau-tu-chung-chi-quy")</f>
        <v>https://techcombank.com/thong-tin/blog/chung-chi-tien-gui-la-gi
https://techcombank.com/thong-tin/blog/rui-ro-khi-gui-tiet-kiem-online
https://techcombank.com/thong-tin/blog/phuong-phap-dau-tu-chung-chi-quy</v>
      </c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</row>
    <row r="304">
      <c r="A304" s="27" t="str">
        <f>IFERROR(__xludf.DUMMYFUNCTION("""COMPUTED_VALUE"""),"https://techcombank.com/thong-tin/blog/chung-chi-tien-gui-co-an-toan-khong")</f>
        <v>https://techcombank.com/thong-tin/blog/chung-chi-tien-gui-co-an-toan-khong</v>
      </c>
      <c r="B304" s="11">
        <f>IFERROR(__xludf.DUMMYFUNCTION("""COMPUTED_VALUE"""),3.0)</f>
        <v>3</v>
      </c>
      <c r="C304" s="8" t="str">
        <f>IFERROR(__xludf.DUMMYFUNCTION("IF(A304="""","""",TEXTJOIN(CHAR(10),TRUE,FILTER('Tổng hợp 75 trang đích'!$B$2:$B$2505,'Tổng hợp 75 trang đích'!$I$2:$I$2505=A304)))"),"https://techcombank.com/thong-tin/blog/chung-chi-tien-gui-la-gi
https://techcombank.com/thong-tin/blog/lai-suat-chung-chi-tien-gui-cac-ngan-hang
https://techcombank.com/thong-tin/blog/phuong-phap-dau-tu-chung-chi-quy")</f>
        <v>https://techcombank.com/thong-tin/blog/chung-chi-tien-gui-la-gi
https://techcombank.com/thong-tin/blog/lai-suat-chung-chi-tien-gui-cac-ngan-hang
https://techcombank.com/thong-tin/blog/phuong-phap-dau-tu-chung-chi-quy</v>
      </c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</row>
    <row r="305">
      <c r="A305" s="27" t="str">
        <f>IFERROR(__xludf.DUMMYFUNCTION("""COMPUTED_VALUE"""),"https://techcombank.com/thong-tin/blog/chuyen-doi-ho-kinh-doanh-len-doanh-nghiep")</f>
        <v>https://techcombank.com/thong-tin/blog/chuyen-doi-ho-kinh-doanh-len-doanh-nghiep</v>
      </c>
      <c r="B305" s="11">
        <f>IFERROR(__xludf.DUMMYFUNCTION("""COMPUTED_VALUE"""),3.0)</f>
        <v>3</v>
      </c>
      <c r="C305" s="8" t="str">
        <f>IFERROR(__xludf.DUMMYFUNCTION("IF(A305="""","""",TEXTJOIN(CHAR(10),TRUE,FILTER('Tổng hợp 75 trang đích'!$B$2:$B$2505,'Tổng hợp 75 trang đích'!$I$2:$I$2505=A305)))"),"https://techcombank.com/thong-tin/blog/ho-kinh-doanh-dong-thue-nhu-nao
https://techcombank.com/thong-tin/blog/mo-tai-khoan-ho-kinh-doanh
https://techcombank.com/thong-tin/blog/cach-tinh-thue-ho-kinh-doanh-nho-le")</f>
        <v>https://techcombank.com/thong-tin/blog/ho-kinh-doanh-dong-thue-nhu-nao
https://techcombank.com/thong-tin/blog/mo-tai-khoan-ho-kinh-doanh
https://techcombank.com/thong-tin/blog/cach-tinh-thue-ho-kinh-doanh-nho-le</v>
      </c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</row>
    <row r="306">
      <c r="A306" s="27" t="str">
        <f>IFERROR(__xludf.DUMMYFUNCTION("""COMPUTED_VALUE"""),"https://techcombank.com/thong-tin/blog/chuyen-tien-tu-duc-ve-viet-nam")</f>
        <v>https://techcombank.com/thong-tin/blog/chuyen-tien-tu-duc-ve-viet-nam</v>
      </c>
      <c r="B306" s="11">
        <f>IFERROR(__xludf.DUMMYFUNCTION("""COMPUTED_VALUE"""),3.0)</f>
        <v>3</v>
      </c>
      <c r="C306" s="8" t="str">
        <f>IFERROR(__xludf.DUMMYFUNCTION("IF(A306="""","""",TEXTJOIN(CHAR(10),TRUE,FILTER('Tổng hợp 75 trang đích'!$B$2:$B$2505,'Tổng hợp 75 trang đích'!$I$2:$I$2505=A306)))"),"https://techcombank.com/thong-tin/blog/chuyen-khoan-thanh-cong-nhung-khong-nhan-duoc-tien
https://techcombank.com/thong-tin/blog/1-te-bang-bao-nhieu-tien-viet-nam
https://techcombank.com/thong-tin/blog/doi-tien-do-o-dau")</f>
        <v>https://techcombank.com/thong-tin/blog/chuyen-khoan-thanh-cong-nhung-khong-nhan-duoc-tien
https://techcombank.com/thong-tin/blog/1-te-bang-bao-nhieu-tien-viet-nam
https://techcombank.com/thong-tin/blog/doi-tien-do-o-dau</v>
      </c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</row>
    <row r="307">
      <c r="A307" s="27" t="str">
        <f>IFERROR(__xludf.DUMMYFUNCTION("""COMPUTED_VALUE"""),"https://techcombank.com/thong-tin/blog/co-nen-gui-chung-chi-tien-gui")</f>
        <v>https://techcombank.com/thong-tin/blog/co-nen-gui-chung-chi-tien-gui</v>
      </c>
      <c r="B307" s="11">
        <f>IFERROR(__xludf.DUMMYFUNCTION("""COMPUTED_VALUE"""),3.0)</f>
        <v>3</v>
      </c>
      <c r="C307" s="8" t="str">
        <f>IFERROR(__xludf.DUMMYFUNCTION("IF(A307="""","""",TEXTJOIN(CHAR(10),TRUE,FILTER('Tổng hợp 75 trang đích'!$B$2:$B$2505,'Tổng hợp 75 trang đích'!$I$2:$I$2505=A307)))"),"https://techcombank.com/thong-tin/blog/chung-chi-tien-gui-la-gi
https://techcombank.com/thong-tin/blog/lai-suat-chung-chi-tien-gui-cac-ngan-hang
https://techcombank.com/thong-tin/blog/phuong-phap-dau-tu-chung-chi-quy")</f>
        <v>https://techcombank.com/thong-tin/blog/chung-chi-tien-gui-la-gi
https://techcombank.com/thong-tin/blog/lai-suat-chung-chi-tien-gui-cac-ngan-hang
https://techcombank.com/thong-tin/blog/phuong-phap-dau-tu-chung-chi-quy</v>
      </c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</row>
    <row r="308">
      <c r="A308" s="27" t="str">
        <f>IFERROR(__xludf.DUMMYFUNCTION("""COMPUTED_VALUE"""),"https://techcombank.com/thong-tin/blog/co-nen-mua-so-tai-khoan-ngan-hang-dep")</f>
        <v>https://techcombank.com/thong-tin/blog/co-nen-mua-so-tai-khoan-ngan-hang-dep</v>
      </c>
      <c r="B308" s="11">
        <f>IFERROR(__xludf.DUMMYFUNCTION("""COMPUTED_VALUE"""),3.0)</f>
        <v>3</v>
      </c>
      <c r="C308" s="8" t="str">
        <f>IFERROR(__xludf.DUMMYFUNCTION("IF(A308="""","""",TEXTJOIN(CHAR(10),TRUE,FILTER('Tổng hợp 75 trang đích'!$B$2:$B$2505,'Tổng hợp 75 trang đích'!$I$2:$I$2505=A308)))"),"https://techcombank.com/thong-tin/blog/cach-kiem-tra-tai-khoan-ngan-hang
https://techcombank.com/thong-tin/blog/cach-mo-tai-khoan
https://techcombank.com/thong-tin/blog/day-so-phat-tai-phat-loc")</f>
        <v>https://techcombank.com/thong-tin/blog/cach-kiem-tra-tai-khoan-ngan-hang
https://techcombank.com/thong-tin/blog/cach-mo-tai-khoan
https://techcombank.com/thong-tin/blog/day-so-phat-tai-phat-loc</v>
      </c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</row>
    <row r="309">
      <c r="A309" s="27" t="str">
        <f>IFERROR(__xludf.DUMMYFUNCTION("""COMPUTED_VALUE"""),"https://techcombank.com/thong-tin/blog/cong-thuc-tinh-lai-suat-thuc")</f>
        <v>https://techcombank.com/thong-tin/blog/cong-thuc-tinh-lai-suat-thuc</v>
      </c>
      <c r="B309" s="11">
        <f>IFERROR(__xludf.DUMMYFUNCTION("""COMPUTED_VALUE"""),3.0)</f>
        <v>3</v>
      </c>
      <c r="C309" s="8" t="str">
        <f>IFERROR(__xludf.DUMMYFUNCTION("IF(A309="""","""",TEXTJOIN(CHAR(10),TRUE,FILTER('Tổng hợp 75 trang đích'!$B$2:$B$2505,'Tổng hợp 75 trang đích'!$I$2:$I$2505=A309)))"),"https://techcombank.com/thong-tin/blog/cach-tinh-lai-vay-ngan-hang
https://techcombank.com/thong-tin/blog/cach-tinh-lai-suat-tien-gui-tiet-kiem
https://techcombank.com/cong-cu-tien-ich/cong-cu-tinh-toan/bang-tinh-lai-suat-tiet-kiem")</f>
        <v>https://techcombank.com/thong-tin/blog/cach-tinh-lai-vay-ngan-hang
https://techcombank.com/thong-tin/blog/cach-tinh-lai-suat-tien-gui-tiet-kiem
https://techcombank.com/cong-cu-tien-ich/cong-cu-tinh-toan/bang-tinh-lai-suat-tiet-kiem</v>
      </c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</row>
    <row r="310">
      <c r="A310" s="27" t="str">
        <f>IFERROR(__xludf.DUMMYFUNCTION("""COMPUTED_VALUE"""),"https://techcombank.com/thong-tin/blog/dang-ky-kinh-doanh-la-gi")</f>
        <v>https://techcombank.com/thong-tin/blog/dang-ky-kinh-doanh-la-gi</v>
      </c>
      <c r="B310" s="11">
        <f>IFERROR(__xludf.DUMMYFUNCTION("""COMPUTED_VALUE"""),3.0)</f>
        <v>3</v>
      </c>
      <c r="C310" s="8" t="str">
        <f>IFERROR(__xludf.DUMMYFUNCTION("IF(A310="""","""",TEXTJOIN(CHAR(10),TRUE,FILTER('Tổng hợp 75 trang đích'!$B$2:$B$2505,'Tổng hợp 75 trang đích'!$I$2:$I$2505=A310)))"),"https://techcombank.com/thong-tin/blog/ho-kinh-doanh-dong-thue-nhu-nao
https://techcombank.com/thong-tin/blog/mo-tai-khoan-ho-kinh-doanh
https://techcombank.com/thong-tin/blog/cach-tinh-thue-ho-kinh-doanh-nho-le")</f>
        <v>https://techcombank.com/thong-tin/blog/ho-kinh-doanh-dong-thue-nhu-nao
https://techcombank.com/thong-tin/blog/mo-tai-khoan-ho-kinh-doanh
https://techcombank.com/thong-tin/blog/cach-tinh-thue-ho-kinh-doanh-nho-le</v>
      </c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</row>
    <row r="311">
      <c r="A311" s="27" t="str">
        <f>IFERROR(__xludf.DUMMYFUNCTION("""COMPUTED_VALUE"""),"https://techcombank.com/thong-tin/blog/dang-ky-thue-ho-kinh-doanh-ca-the-online")</f>
        <v>https://techcombank.com/thong-tin/blog/dang-ky-thue-ho-kinh-doanh-ca-the-online</v>
      </c>
      <c r="B311" s="11">
        <f>IFERROR(__xludf.DUMMYFUNCTION("""COMPUTED_VALUE"""),3.0)</f>
        <v>3</v>
      </c>
      <c r="C311" s="8" t="str">
        <f>IFERROR(__xludf.DUMMYFUNCTION("IF(A311="""","""",TEXTJOIN(CHAR(10),TRUE,FILTER('Tổng hợp 75 trang đích'!$B$2:$B$2505,'Tổng hợp 75 trang đích'!$I$2:$I$2505=A311)))"),"https://techcombank.com/thong-tin/blog/ho-kinh-doanh-dong-thue-nhu-nao
https://techcombank.com/thong-tin/blog/mo-tai-khoan-ho-kinh-doanh
https://techcombank.com/thong-tin/blog/cach-tinh-thue-ho-kinh-doanh-nho-le")</f>
        <v>https://techcombank.com/thong-tin/blog/ho-kinh-doanh-dong-thue-nhu-nao
https://techcombank.com/thong-tin/blog/mo-tai-khoan-ho-kinh-doanh
https://techcombank.com/thong-tin/blog/cach-tinh-thue-ho-kinh-doanh-nho-le</v>
      </c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</row>
    <row r="312">
      <c r="A312" s="27" t="str">
        <f>IFERROR(__xludf.DUMMYFUNCTION("""COMPUTED_VALUE"""),"https://techcombank.com/thong-tin/blog/dau-chan-carbon")</f>
        <v>https://techcombank.com/thong-tin/blog/dau-chan-carbon</v>
      </c>
      <c r="B312" s="11">
        <f>IFERROR(__xludf.DUMMYFUNCTION("""COMPUTED_VALUE"""),3.0)</f>
        <v>3</v>
      </c>
      <c r="C312" s="8" t="str">
        <f>IFERROR(__xludf.DUMMYFUNCTION("IF(A312="""","""",TEXTJOIN(CHAR(10),TRUE,FILTER('Tổng hợp 75 trang đích'!$B$2:$B$2505,'Tổng hợp 75 trang đích'!$I$2:$I$2505=A312)))"),"https://techcombank.com/thong-tin/blog/cach-sao-ke-tai-khoan-ngan-hang
https://techcombank.com/thong-tin/blog/eco-card
https://techcombank.com/thong-tin/blog/cach-tiet-kiem-tien")</f>
        <v>https://techcombank.com/thong-tin/blog/cach-sao-ke-tai-khoan-ngan-hang
https://techcombank.com/thong-tin/blog/eco-card
https://techcombank.com/thong-tin/blog/cach-tiet-kiem-tien</v>
      </c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</row>
    <row r="313">
      <c r="A313" s="27" t="str">
        <f>IFERROR(__xludf.DUMMYFUNCTION("""COMPUTED_VALUE"""),"https://techcombank.com/thong-tin/blog/diem-tin-dung")</f>
        <v>https://techcombank.com/thong-tin/blog/diem-tin-dung</v>
      </c>
      <c r="B313" s="11">
        <f>IFERROR(__xludf.DUMMYFUNCTION("""COMPUTED_VALUE"""),3.0)</f>
        <v>3</v>
      </c>
      <c r="C313" s="8" t="str">
        <f>IFERROR(__xludf.DUMMYFUNCTION("IF(A313="""","""",TEXTJOIN(CHAR(10),TRUE,FILTER('Tổng hợp 75 trang đích'!$B$2:$B$2505,'Tổng hợp 75 trang đích'!$I$2:$I$2505=A313)))"),"https://techcombank.com/thong-tin/blog/cic-la-gi
https://techcombank.com/thong-tin/blog/xep-hang-tin-dung
https://techcombank.com/thong-tin/blog/kiem-tra-no-xau")</f>
        <v>https://techcombank.com/thong-tin/blog/cic-la-gi
https://techcombank.com/thong-tin/blog/xep-hang-tin-dung
https://techcombank.com/thong-tin/blog/kiem-tra-no-xau</v>
      </c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</row>
    <row r="314">
      <c r="A314" s="27" t="str">
        <f>IFERROR(__xludf.DUMMYFUNCTION("""COMPUTED_VALUE"""),"https://techcombank.com/thong-tin/blog/dieu-kien-mua-usd-tu-ngan-hang")</f>
        <v>https://techcombank.com/thong-tin/blog/dieu-kien-mua-usd-tu-ngan-hang</v>
      </c>
      <c r="B314" s="11">
        <f>IFERROR(__xludf.DUMMYFUNCTION("""COMPUTED_VALUE"""),3.0)</f>
        <v>3</v>
      </c>
      <c r="C314" s="8" t="str">
        <f>IFERROR(__xludf.DUMMYFUNCTION("IF(A314="""","""",TEXTJOIN(CHAR(10),TRUE,FILTER('Tổng hợp 75 trang đích'!$B$2:$B$2505,'Tổng hợp 75 trang đích'!$I$2:$I$2505=A314)))"),"https://techcombank.com/thong-tin/blog/1-dong-do-la-my-bang-bao-nhieu-tien-viet-nam
https://techcombank.com/thong-tin/blog/1-trieu-do-bang-bao-nhieu-tien-viet
https://techcombank.com/thong-tin/blog/doi-tien-do-o-dau")</f>
        <v>https://techcombank.com/thong-tin/blog/1-dong-do-la-my-bang-bao-nhieu-tien-viet-nam
https://techcombank.com/thong-tin/blog/1-trieu-do-bang-bao-nhieu-tien-viet
https://techcombank.com/thong-tin/blog/doi-tien-do-o-dau</v>
      </c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</row>
    <row r="315">
      <c r="A315" s="27" t="str">
        <f>IFERROR(__xludf.DUMMYFUNCTION("""COMPUTED_VALUE"""),"https://techcombank.com/thong-tin/blog/dong-ma-so-thue-ho-kinh-doanh")</f>
        <v>https://techcombank.com/thong-tin/blog/dong-ma-so-thue-ho-kinh-doanh</v>
      </c>
      <c r="B315" s="11">
        <f>IFERROR(__xludf.DUMMYFUNCTION("""COMPUTED_VALUE"""),3.0)</f>
        <v>3</v>
      </c>
      <c r="C315" s="8" t="str">
        <f>IFERROR(__xludf.DUMMYFUNCTION("IF(A315="""","""",TEXTJOIN(CHAR(10),TRUE,FILTER('Tổng hợp 75 trang đích'!$B$2:$B$2505,'Tổng hợp 75 trang đích'!$I$2:$I$2505=A315)))"),"https://techcombank.com/thong-tin/blog/ho-kinh-doanh-dong-thue-nhu-nao
https://techcombank.com/thong-tin/blog/mo-tai-khoan-ho-kinh-doanh
https://techcombank.com/thong-tin/blog/cach-tinh-thue-ho-kinh-doanh-nho-le")</f>
        <v>https://techcombank.com/thong-tin/blog/ho-kinh-doanh-dong-thue-nhu-nao
https://techcombank.com/thong-tin/blog/mo-tai-khoan-ho-kinh-doanh
https://techcombank.com/thong-tin/blog/cach-tinh-thue-ho-kinh-doanh-nho-le</v>
      </c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</row>
    <row r="316">
      <c r="A316" s="27" t="str">
        <f>IFERROR(__xludf.DUMMYFUNCTION("""COMPUTED_VALUE"""),"https://techcombank.com/thong-tin/blog/due-diligence")</f>
        <v>https://techcombank.com/thong-tin/blog/due-diligence</v>
      </c>
      <c r="B316" s="11">
        <f>IFERROR(__xludf.DUMMYFUNCTION("""COMPUTED_VALUE"""),3.0)</f>
        <v>3</v>
      </c>
      <c r="C316" s="8" t="str">
        <f>IFERROR(__xludf.DUMMYFUNCTION("IF(A316="""","""",TEXTJOIN(CHAR(10),TRUE,FILTER('Tổng hợp 75 trang đích'!$B$2:$B$2505,'Tổng hợp 75 trang đích'!$I$2:$I$2505=A316)))"),"https://techcombank.com/thong-tin/blog/ho-kinh-doanh-dong-thue-nhu-nao
https://techcombank.com/thong-tin/blog/rui-ro-khi-gui-tiet-kiem-online
https://techcombank.com/thong-tin/blog/phuong-phap-dau-tu-chung-chi-quy")</f>
        <v>https://techcombank.com/thong-tin/blog/ho-kinh-doanh-dong-thue-nhu-nao
https://techcombank.com/thong-tin/blog/rui-ro-khi-gui-tiet-kiem-online
https://techcombank.com/thong-tin/blog/phuong-phap-dau-tu-chung-chi-quy</v>
      </c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</row>
    <row r="317">
      <c r="A317" s="27" t="str">
        <f>IFERROR(__xludf.DUMMYFUNCTION("""COMPUTED_VALUE"""),"https://techcombank.com/thong-tin/blog/giai-ngan-vay-the-chap")</f>
        <v>https://techcombank.com/thong-tin/blog/giai-ngan-vay-the-chap</v>
      </c>
      <c r="B317" s="11">
        <f>IFERROR(__xludf.DUMMYFUNCTION("""COMPUTED_VALUE"""),3.0)</f>
        <v>3</v>
      </c>
      <c r="C317" s="8" t="str">
        <f>IFERROR(__xludf.DUMMYFUNCTION("IF(A317="""","""",TEXTJOIN(CHAR(10),TRUE,FILTER('Tổng hợp 75 trang đích'!$B$2:$B$2505,'Tổng hợp 75 trang đích'!$I$2:$I$2505=A317)))"),"https://techcombank.com/thong-tin/blog/vay-ngan-hang-1-ty-moi-thang-tra-bao-nhieu
https://techcombank.com/thong-tin/blog/lai-suat-vay-the-chap-so-do
https://techcombank.com/thong-tin/blog/ho-so-thu-tuc-xoa-the-chap")</f>
        <v>https://techcombank.com/thong-tin/blog/vay-ngan-hang-1-ty-moi-thang-tra-bao-nhieu
https://techcombank.com/thong-tin/blog/lai-suat-vay-the-chap-so-do
https://techcombank.com/thong-tin/blog/ho-so-thu-tuc-xoa-the-chap</v>
      </c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</row>
    <row r="318">
      <c r="A318" s="27" t="str">
        <f>IFERROR(__xludf.DUMMYFUNCTION("""COMPUTED_VALUE"""),"https://techcombank.com/thong-tin/blog/giay-phep-kinh-doanh")</f>
        <v>https://techcombank.com/thong-tin/blog/giay-phep-kinh-doanh</v>
      </c>
      <c r="B318" s="11">
        <f>IFERROR(__xludf.DUMMYFUNCTION("""COMPUTED_VALUE"""),3.0)</f>
        <v>3</v>
      </c>
      <c r="C318" s="8" t="str">
        <f>IFERROR(__xludf.DUMMYFUNCTION("IF(A318="""","""",TEXTJOIN(CHAR(10),TRUE,FILTER('Tổng hợp 75 trang đích'!$B$2:$B$2505,'Tổng hợp 75 trang đích'!$I$2:$I$2505=A318)))"),"https://techcombank.com/thong-tin/blog/ho-kinh-doanh-dong-thue-nhu-nao
https://techcombank.com/thong-tin/blog/mo-tai-khoan-ho-kinh-doanh
https://techcombank.com/thong-tin/blog/cach-tinh-thue-ho-kinh-doanh-nho-le")</f>
        <v>https://techcombank.com/thong-tin/blog/ho-kinh-doanh-dong-thue-nhu-nao
https://techcombank.com/thong-tin/blog/mo-tai-khoan-ho-kinh-doanh
https://techcombank.com/thong-tin/blog/cach-tinh-thue-ho-kinh-doanh-nho-le</v>
      </c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</row>
    <row r="319">
      <c r="A319" s="27" t="str">
        <f>IFERROR(__xludf.DUMMYFUNCTION("""COMPUTED_VALUE"""),"https://techcombank.com/thong-tin/blog/gui-tien-sang-nuoc-ngoai")</f>
        <v>https://techcombank.com/thong-tin/blog/gui-tien-sang-nuoc-ngoai</v>
      </c>
      <c r="B319" s="11">
        <f>IFERROR(__xludf.DUMMYFUNCTION("""COMPUTED_VALUE"""),3.0)</f>
        <v>3</v>
      </c>
      <c r="C319" s="8" t="str">
        <f>IFERROR(__xludf.DUMMYFUNCTION("IF(A319="""","""",TEXTJOIN(CHAR(10),TRUE,FILTER('Tổng hợp 75 trang đích'!$B$2:$B$2505,'Tổng hợp 75 trang đích'!$I$2:$I$2505=A319)))"),"https://techcombank.com/thong-tin/blog/chuyen-khoan-thanh-cong-nhung-khong-nhan-duoc-tien
https://techcombank.com/thong-tin/blog/cach-nhan-tien-tu-nuoc-ngoai-ve-viet-nam
https://techcombank.com/thong-tin/blog/doi-tien-do-o-dau")</f>
        <v>https://techcombank.com/thong-tin/blog/chuyen-khoan-thanh-cong-nhung-khong-nhan-duoc-tien
https://techcombank.com/thong-tin/blog/cach-nhan-tien-tu-nuoc-ngoai-ve-viet-nam
https://techcombank.com/thong-tin/blog/doi-tien-do-o-dau</v>
      </c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</row>
    <row r="320">
      <c r="A320" s="27" t="str">
        <f>IFERROR(__xludf.DUMMYFUNCTION("""COMPUTED_VALUE"""),"https://techcombank.com/thong-tin/blog/han-muc-thau-chi-la-gi")</f>
        <v>https://techcombank.com/thong-tin/blog/han-muc-thau-chi-la-gi</v>
      </c>
      <c r="B320" s="11">
        <f>IFERROR(__xludf.DUMMYFUNCTION("""COMPUTED_VALUE"""),3.0)</f>
        <v>3</v>
      </c>
      <c r="C320" s="8" t="str">
        <f>IFERROR(__xludf.DUMMYFUNCTION("IF(A320="""","""",TEXTJOIN(CHAR(10),TRUE,FILTER('Tổng hợp 75 trang đích'!$B$2:$B$2505,'Tổng hợp 75 trang đích'!$I$2:$I$2505=A320)))"),"https://techcombank.com/thong-tin/blog/cic-la-gi
https://techcombank.com/thong-tin/blog/xep-hang-tin-dung
https://techcombank.com/thong-tin/blog/vay-thau-chi-la-gi")</f>
        <v>https://techcombank.com/thong-tin/blog/cic-la-gi
https://techcombank.com/thong-tin/blog/xep-hang-tin-dung
https://techcombank.com/thong-tin/blog/vay-thau-chi-la-gi</v>
      </c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</row>
    <row r="321">
      <c r="A321" s="27" t="str">
        <f>IFERROR(__xludf.DUMMYFUNCTION("""COMPUTED_VALUE"""),"https://techcombank.com/thong-tin/blog/hieu-hiet-ve-tuan-thu-thue-cho-cac-doanh-nghiep-khoi-nghiep")</f>
        <v>https://techcombank.com/thong-tin/blog/hieu-hiet-ve-tuan-thu-thue-cho-cac-doanh-nghiep-khoi-nghiep</v>
      </c>
      <c r="B321" s="11">
        <f>IFERROR(__xludf.DUMMYFUNCTION("""COMPUTED_VALUE"""),3.0)</f>
        <v>3</v>
      </c>
      <c r="C321" s="8" t="str">
        <f>IFERROR(__xludf.DUMMYFUNCTION("IF(A321="""","""",TEXTJOIN(CHAR(10),TRUE,FILTER('Tổng hợp 75 trang đích'!$B$2:$B$2505,'Tổng hợp 75 trang đích'!$I$2:$I$2505=A321)))"),"https://techcombank.com/thong-tin/blog/thue-doanh-nghiep
https://techcombank.com/thong-tin/blog/ho-kinh-doanh-dong-thue-nhu-nao
https://techcombank.com/thong-tin/blog/mo-hinh-kinh-doanh-la-gi")</f>
        <v>https://techcombank.com/thong-tin/blog/thue-doanh-nghiep
https://techcombank.com/thong-tin/blog/ho-kinh-doanh-dong-thue-nhu-nao
https://techcombank.com/thong-tin/blog/mo-hinh-kinh-doanh-la-gi</v>
      </c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</row>
    <row r="322">
      <c r="A322" s="27" t="str">
        <f>IFERROR(__xludf.DUMMYFUNCTION("""COMPUTED_VALUE"""),"https://techcombank.com/thong-tin/blog/ho-kinh-doanh-ca-the")</f>
        <v>https://techcombank.com/thong-tin/blog/ho-kinh-doanh-ca-the</v>
      </c>
      <c r="B322" s="11">
        <f>IFERROR(__xludf.DUMMYFUNCTION("""COMPUTED_VALUE"""),3.0)</f>
        <v>3</v>
      </c>
      <c r="C322" s="8" t="str">
        <f>IFERROR(__xludf.DUMMYFUNCTION("IF(A322="""","""",TEXTJOIN(CHAR(10),TRUE,FILTER('Tổng hợp 75 trang đích'!$B$2:$B$2505,'Tổng hợp 75 trang đích'!$I$2:$I$2505=A322)))"),"https://techcombank.com/thong-tin/blog/ho-kinh-doanh-dong-thue-nhu-nao
https://techcombank.com/thong-tin/blog/mo-tai-khoan-ho-kinh-doanh
https://techcombank.com/thong-tin/blog/cach-tinh-thue-ho-kinh-doanh-nho-le")</f>
        <v>https://techcombank.com/thong-tin/blog/ho-kinh-doanh-dong-thue-nhu-nao
https://techcombank.com/thong-tin/blog/mo-tai-khoan-ho-kinh-doanh
https://techcombank.com/thong-tin/blog/cach-tinh-thue-ho-kinh-doanh-nho-le</v>
      </c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</row>
    <row r="323">
      <c r="A323" s="27" t="str">
        <f>IFERROR(__xludf.DUMMYFUNCTION("""COMPUTED_VALUE"""),"https://techcombank.com/thong-tin/blog/ho-kinh-doanh-la-gi")</f>
        <v>https://techcombank.com/thong-tin/blog/ho-kinh-doanh-la-gi</v>
      </c>
      <c r="B323" s="11">
        <f>IFERROR(__xludf.DUMMYFUNCTION("""COMPUTED_VALUE"""),3.0)</f>
        <v>3</v>
      </c>
      <c r="C323" s="8" t="str">
        <f>IFERROR(__xludf.DUMMYFUNCTION("IF(A323="""","""",TEXTJOIN(CHAR(10),TRUE,FILTER('Tổng hợp 75 trang đích'!$B$2:$B$2505,'Tổng hợp 75 trang đích'!$I$2:$I$2505=A323)))"),"https://techcombank.com/thong-tin/blog/ho-kinh-doanh-dong-thue-nhu-nao
https://techcombank.com/thong-tin/blog/mo-tai-khoan-ho-kinh-doanh
https://techcombank.com/thong-tin/blog/cach-tinh-thue-ho-kinh-doanh-nho-le")</f>
        <v>https://techcombank.com/thong-tin/blog/ho-kinh-doanh-dong-thue-nhu-nao
https://techcombank.com/thong-tin/blog/mo-tai-khoan-ho-kinh-doanh
https://techcombank.com/thong-tin/blog/cach-tinh-thue-ho-kinh-doanh-nho-le</v>
      </c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</row>
    <row r="324">
      <c r="A324" s="27" t="str">
        <f>IFERROR(__xludf.DUMMYFUNCTION("""COMPUTED_VALUE"""),"https://techcombank.com/thong-tin/blog/kinh-nghiem-chuyen-doi-tu-ho-kinh-doanh-len-doanh-nghiep")</f>
        <v>https://techcombank.com/thong-tin/blog/kinh-nghiem-chuyen-doi-tu-ho-kinh-doanh-len-doanh-nghiep</v>
      </c>
      <c r="B324" s="11">
        <f>IFERROR(__xludf.DUMMYFUNCTION("""COMPUTED_VALUE"""),3.0)</f>
        <v>3</v>
      </c>
      <c r="C324" s="8" t="str">
        <f>IFERROR(__xludf.DUMMYFUNCTION("IF(A324="""","""",TEXTJOIN(CHAR(10),TRUE,FILTER('Tổng hợp 75 trang đích'!$B$2:$B$2505,'Tổng hợp 75 trang đích'!$I$2:$I$2505=A324)))"),"https://techcombank.com/thong-tin/blog/ho-kinh-doanh-dong-thue-nhu-nao
https://techcombank.com/thong-tin/blog/mo-tai-khoan-ho-kinh-doanh
https://techcombank.com/thong-tin/blog/cach-tinh-thue-ho-kinh-doanh-nho-le")</f>
        <v>https://techcombank.com/thong-tin/blog/ho-kinh-doanh-dong-thue-nhu-nao
https://techcombank.com/thong-tin/blog/mo-tai-khoan-ho-kinh-doanh
https://techcombank.com/thong-tin/blog/cach-tinh-thue-ho-kinh-doanh-nho-le</v>
      </c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</row>
    <row r="325">
      <c r="A325" s="27" t="str">
        <f>IFERROR(__xludf.DUMMYFUNCTION("""COMPUTED_VALUE"""),"https://techcombank.com/thong-tin/blog/kinh-nghiem-mua-vang-tich-tru")</f>
        <v>https://techcombank.com/thong-tin/blog/kinh-nghiem-mua-vang-tich-tru</v>
      </c>
      <c r="B325" s="11">
        <f>IFERROR(__xludf.DUMMYFUNCTION("""COMPUTED_VALUE"""),3.0)</f>
        <v>3</v>
      </c>
      <c r="C325" s="8" t="str">
        <f>IFERROR(__xludf.DUMMYFUNCTION("IF(A325="""","""",TEXTJOIN(CHAR(10),TRUE,FILTER('Tổng hợp 75 trang đích'!$B$2:$B$2505,'Tổng hợp 75 trang đích'!$I$2:$I$2505=A325)))"),"https://techcombank.com/thong-tin/blog/thue-thu-nhap-doanh-nghiep
https://techcombank.com/thong-tin/blog/cach-tinh-thue-thu-nhap-doanh-nghiep
https://techcombank.com/thong-tin/blog/phuong-phap-dau-tu-chung-chi-quy")</f>
        <v>https://techcombank.com/thong-tin/blog/thue-thu-nhap-doanh-nghiep
https://techcombank.com/thong-tin/blog/cach-tinh-thue-thu-nhap-doanh-nghiep
https://techcombank.com/thong-tin/blog/phuong-phap-dau-tu-chung-chi-quy</v>
      </c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</row>
    <row r="326">
      <c r="A326" s="27" t="str">
        <f>IFERROR(__xludf.DUMMYFUNCTION("""COMPUTED_VALUE"""),"https://techcombank.com/thong-tin/blog/kinh-nghiem-vay-the-chap-ngan-hang")</f>
        <v>https://techcombank.com/thong-tin/blog/kinh-nghiem-vay-the-chap-ngan-hang</v>
      </c>
      <c r="B326" s="11">
        <f>IFERROR(__xludf.DUMMYFUNCTION("""COMPUTED_VALUE"""),3.0)</f>
        <v>3</v>
      </c>
      <c r="C326" s="8" t="str">
        <f>IFERROR(__xludf.DUMMYFUNCTION("IF(A326="""","""",TEXTJOIN(CHAR(10),TRUE,FILTER('Tổng hợp 75 trang đích'!$B$2:$B$2505,'Tổng hợp 75 trang đích'!$I$2:$I$2505=A326)))"),"https://techcombank.com/thong-tin/blog/vay-ngan-hang-1-ty-moi-thang-tra-bao-nhieu
https://techcombank.com/thong-tin/blog/lai-suat-vay-the-chap-so-do
https://techcombank.com/thong-tin/blog/ho-so-thu-tuc-xoa-the-chap")</f>
        <v>https://techcombank.com/thong-tin/blog/vay-ngan-hang-1-ty-moi-thang-tra-bao-nhieu
https://techcombank.com/thong-tin/blog/lai-suat-vay-the-chap-so-do
https://techcombank.com/thong-tin/blog/ho-so-thu-tuc-xoa-the-chap</v>
      </c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</row>
    <row r="327">
      <c r="A327" s="27" t="str">
        <f>IFERROR(__xludf.DUMMYFUNCTION("""COMPUTED_VALUE"""),"https://techcombank.com/thong-tin/blog/lai-suat-chung-chi-quy")</f>
        <v>https://techcombank.com/thong-tin/blog/lai-suat-chung-chi-quy</v>
      </c>
      <c r="B327" s="11">
        <f>IFERROR(__xludf.DUMMYFUNCTION("""COMPUTED_VALUE"""),3.0)</f>
        <v>3</v>
      </c>
      <c r="C327" s="8" t="str">
        <f>IFERROR(__xludf.DUMMYFUNCTION("IF(A327="""","""",TEXTJOIN(CHAR(10),TRUE,FILTER('Tổng hợp 75 trang đích'!$B$2:$B$2505,'Tổng hợp 75 trang đích'!$I$2:$I$2505=A327)))"),"https://techcombank.com/thong-tin/blog/thue-thu-nhap-doanh-nghiep
https://techcombank.com/thong-tin/blog/cach-tinh-thue-thu-nhap-doanh-nghiep
https://techcombank.com/thong-tin/blog/phuong-phap-dau-tu-chung-chi-quy")</f>
        <v>https://techcombank.com/thong-tin/blog/thue-thu-nhap-doanh-nghiep
https://techcombank.com/thong-tin/blog/cach-tinh-thue-thu-nhap-doanh-nghiep
https://techcombank.com/thong-tin/blog/phuong-phap-dau-tu-chung-chi-quy</v>
      </c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</row>
    <row r="328">
      <c r="A328" s="27" t="str">
        <f>IFERROR(__xludf.DUMMYFUNCTION("""COMPUTED_VALUE"""),"https://techcombank.com/thong-tin/blog/lai-suat-tha-noi")</f>
        <v>https://techcombank.com/thong-tin/blog/lai-suat-tha-noi</v>
      </c>
      <c r="B328" s="11">
        <f>IFERROR(__xludf.DUMMYFUNCTION("""COMPUTED_VALUE"""),3.0)</f>
        <v>3</v>
      </c>
      <c r="C328" s="8" t="str">
        <f>IFERROR(__xludf.DUMMYFUNCTION("IF(A328="""","""",TEXTJOIN(CHAR(10),TRUE,FILTER('Tổng hợp 75 trang đích'!$B$2:$B$2505,'Tổng hợp 75 trang đích'!$I$2:$I$2505=A328)))"),"https://techcombank.com/thong-tin/blog/cach-tinh-lai-vay-ngan-hang
https://techcombank.com/thong-tin/blog/cach-tinh-lai-suat-tien-gui-tiet-kiem
https://techcombank.com/cong-cu-tien-ich/cong-cu-tinh-toan/bang-tinh-lai-suat-tiet-kiem")</f>
        <v>https://techcombank.com/thong-tin/blog/cach-tinh-lai-vay-ngan-hang
https://techcombank.com/thong-tin/blog/cach-tinh-lai-suat-tien-gui-tiet-kiem
https://techcombank.com/cong-cu-tien-ich/cong-cu-tinh-toan/bang-tinh-lai-suat-tiet-kiem</v>
      </c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</row>
    <row r="329">
      <c r="A329" s="27" t="str">
        <f>IFERROR(__xludf.DUMMYFUNCTION("""COMPUTED_VALUE"""),"https://techcombank.com/thong-tin/blog/lam-the-thanh-toan-quoc-te")</f>
        <v>https://techcombank.com/thong-tin/blog/lam-the-thanh-toan-quoc-te</v>
      </c>
      <c r="B329" s="11">
        <f>IFERROR(__xludf.DUMMYFUNCTION("""COMPUTED_VALUE"""),3.0)</f>
        <v>3</v>
      </c>
      <c r="C329" s="8" t="str">
        <f>IFERROR(__xludf.DUMMYFUNCTION("IF(A329="""","""",TEXTJOIN(CHAR(10),TRUE,FILTER('Tổng hợp 75 trang đích'!$B$2:$B$2505,'Tổng hợp 75 trang đích'!$I$2:$I$2505=A329)))"),"https://techcombank.com/thong-tin/blog/bao-nhieu-tuoi-duoc-mo-tai-khoan-ngan-hang
https://techcombank.com/thong-tin/blog/lam-the-tin-dung
https://techcombank.com/thong-tin/blog/cach-nhan-tien-tu-nuoc-ngoai-ve-viet-nam")</f>
        <v>https://techcombank.com/thong-tin/blog/bao-nhieu-tuoi-duoc-mo-tai-khoan-ngan-hang
https://techcombank.com/thong-tin/blog/lam-the-tin-dung
https://techcombank.com/thong-tin/blog/cach-nhan-tien-tu-nuoc-ngoai-ve-viet-nam</v>
      </c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</row>
    <row r="330">
      <c r="A330" s="27" t="str">
        <f>IFERROR(__xludf.DUMMYFUNCTION("""COMPUTED_VALUE"""),"https://techcombank.com/thong-tin/blog/lam-the-visa-o-dau")</f>
        <v>https://techcombank.com/thong-tin/blog/lam-the-visa-o-dau</v>
      </c>
      <c r="B330" s="11">
        <f>IFERROR(__xludf.DUMMYFUNCTION("""COMPUTED_VALUE"""),3.0)</f>
        <v>3</v>
      </c>
      <c r="C330" s="8" t="str">
        <f>IFERROR(__xludf.DUMMYFUNCTION("IF(A330="""","""",TEXTJOIN(CHAR(10),TRUE,FILTER('Tổng hợp 75 trang đích'!$B$2:$B$2505,'Tổng hợp 75 trang đích'!$I$2:$I$2505=A330)))"),"https://techcombank.com/thong-tin/blog/ngan-hang-uy-tin
https://techcombank.com/thong-tin/blog/bao-nhieu-tuoi-duoc-mo-tai-khoan-ngan-hang
https://techcombank.com/thong-tin/blog/lam-the-tin-dung")</f>
        <v>https://techcombank.com/thong-tin/blog/ngan-hang-uy-tin
https://techcombank.com/thong-tin/blog/bao-nhieu-tuoi-duoc-mo-tai-khoan-ngan-hang
https://techcombank.com/thong-tin/blog/lam-the-tin-dung</v>
      </c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</row>
    <row r="331">
      <c r="A331" s="27" t="str">
        <f>IFERROR(__xludf.DUMMYFUNCTION("""COMPUTED_VALUE"""),"https://techcombank.com/thong-tin/blog/lich-su-tin-dung")</f>
        <v>https://techcombank.com/thong-tin/blog/lich-su-tin-dung</v>
      </c>
      <c r="B331" s="11">
        <f>IFERROR(__xludf.DUMMYFUNCTION("""COMPUTED_VALUE"""),3.0)</f>
        <v>3</v>
      </c>
      <c r="C331" s="8" t="str">
        <f>IFERROR(__xludf.DUMMYFUNCTION("IF(A331="""","""",TEXTJOIN(CHAR(10),TRUE,FILTER('Tổng hợp 75 trang đích'!$B$2:$B$2505,'Tổng hợp 75 trang đích'!$I$2:$I$2505=A331)))"),"https://techcombank.com/thong-tin/blog/cic-la-gi
https://techcombank.com/thong-tin/blog/xep-hang-tin-dung
https://techcombank.com/thong-tin/blog/kiem-tra-no-xau")</f>
        <v>https://techcombank.com/thong-tin/blog/cic-la-gi
https://techcombank.com/thong-tin/blog/xep-hang-tin-dung
https://techcombank.com/thong-tin/blog/kiem-tra-no-xau</v>
      </c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</row>
    <row r="332">
      <c r="A332" s="27" t="str">
        <f>IFERROR(__xludf.DUMMYFUNCTION("""COMPUTED_VALUE"""),"https://techcombank.com/thong-tin/blog/lo-ma-qr-ngan-hang-co-sao-khong")</f>
        <v>https://techcombank.com/thong-tin/blog/lo-ma-qr-ngan-hang-co-sao-khong</v>
      </c>
      <c r="B332" s="11">
        <f>IFERROR(__xludf.DUMMYFUNCTION("""COMPUTED_VALUE"""),3.0)</f>
        <v>3</v>
      </c>
      <c r="C332" s="8" t="str">
        <f>IFERROR(__xludf.DUMMYFUNCTION("IF(A332="""","""",TEXTJOIN(CHAR(10),TRUE,FILTER('Tổng hợp 75 trang đích'!$B$2:$B$2505,'Tổng hợp 75 trang đích'!$I$2:$I$2505=A332)))"),"https://techcombank.com/thong-tin/blog/ten-dang-nhap-tai-khoan-ngan-hang-la-gi
https://techcombank.com/thong-tin/blog/rut-tien-bang-ma-qr-la-gi-cach-thuc-hien-nhu-the-nao
https://techcombank.com/thong-tin/blog/gui-ma-qr-ngan-hang")</f>
        <v>https://techcombank.com/thong-tin/blog/ten-dang-nhap-tai-khoan-ngan-hang-la-gi
https://techcombank.com/thong-tin/blog/rut-tien-bang-ma-qr-la-gi-cach-thuc-hien-nhu-the-nao
https://techcombank.com/thong-tin/blog/gui-ma-qr-ngan-hang</v>
      </c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</row>
    <row r="333">
      <c r="A333" s="27" t="str">
        <f>IFERROR(__xludf.DUMMYFUNCTION("""COMPUTED_VALUE"""),"https://techcombank.com/thong-tin/blog/loi-ich-khi-ho-kinh-doanh-chuyen-len-doanh-nghiep")</f>
        <v>https://techcombank.com/thong-tin/blog/loi-ich-khi-ho-kinh-doanh-chuyen-len-doanh-nghiep</v>
      </c>
      <c r="B333" s="11">
        <f>IFERROR(__xludf.DUMMYFUNCTION("""COMPUTED_VALUE"""),3.0)</f>
        <v>3</v>
      </c>
      <c r="C333" s="8" t="str">
        <f>IFERROR(__xludf.DUMMYFUNCTION("IF(A333="""","""",TEXTJOIN(CHAR(10),TRUE,FILTER('Tổng hợp 75 trang đích'!$B$2:$B$2505,'Tổng hợp 75 trang đích'!$I$2:$I$2505=A333)))"),"https://techcombank.com/thong-tin/blog/ho-kinh-doanh-dong-thue-nhu-nao
https://techcombank.com/thong-tin/blog/mo-tai-khoan-ho-kinh-doanh
https://techcombank.com/thong-tin/blog/cach-tinh-thue-ho-kinh-doanh-nho-le")</f>
        <v>https://techcombank.com/thong-tin/blog/ho-kinh-doanh-dong-thue-nhu-nao
https://techcombank.com/thong-tin/blog/mo-tai-khoan-ho-kinh-doanh
https://techcombank.com/thong-tin/blog/cach-tinh-thue-ho-kinh-doanh-nho-le</v>
      </c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</row>
    <row r="334">
      <c r="A334" s="27" t="str">
        <f>IFERROR(__xludf.DUMMYFUNCTION("""COMPUTED_VALUE"""),"https://techcombank.com/thong-tin/blog/loi-nhuan-rong")</f>
        <v>https://techcombank.com/thong-tin/blog/loi-nhuan-rong</v>
      </c>
      <c r="B334" s="11">
        <f>IFERROR(__xludf.DUMMYFUNCTION("""COMPUTED_VALUE"""),3.0)</f>
        <v>3</v>
      </c>
      <c r="C334" s="8" t="str">
        <f>IFERROR(__xludf.DUMMYFUNCTION("IF(A334="""","""",TEXTJOIN(CHAR(10),TRUE,FILTER('Tổng hợp 75 trang đích'!$B$2:$B$2505,'Tổng hợp 75 trang đích'!$I$2:$I$2505=A334)))"),"https://techcombank.com/thong-tin/blog/thue-thu-nhap-doanh-nghiep
https://techcombank.com/thong-tin/blog/cach-tinh-thue-thu-nhap-doanh-nghiep
https://techcombank.com/thong-tin/blog/eco-card")</f>
        <v>https://techcombank.com/thong-tin/blog/thue-thu-nhap-doanh-nghiep
https://techcombank.com/thong-tin/blog/cach-tinh-thue-thu-nhap-doanh-nghiep
https://techcombank.com/thong-tin/blog/eco-card</v>
      </c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</row>
    <row r="335">
      <c r="A335" s="27" t="str">
        <f>IFERROR(__xludf.DUMMYFUNCTION("""COMPUTED_VALUE"""),"https://techcombank.com/thong-tin/blog/luat-thuong-mai-dien-tu")</f>
        <v>https://techcombank.com/thong-tin/blog/luat-thuong-mai-dien-tu</v>
      </c>
      <c r="B335" s="11">
        <f>IFERROR(__xludf.DUMMYFUNCTION("""COMPUTED_VALUE"""),3.0)</f>
        <v>3</v>
      </c>
      <c r="C335" s="8" t="str">
        <f>IFERROR(__xludf.DUMMYFUNCTION("IF(A335="""","""",TEXTJOIN(CHAR(10),TRUE,FILTER('Tổng hợp 75 trang đích'!$B$2:$B$2505,'Tổng hợp 75 trang đích'!$I$2:$I$2505=A335)))"),"https://techcombank.com/thong-tin/blog/ho-kinh-doanh-dong-thue-nhu-nao
https://techcombank.com/thong-tin/blog/mo-tai-khoan-ho-kinh-doanh
https://techcombank.com/thong-tin/blog/cach-tinh-thue-ho-kinh-doanh-nho-le")</f>
        <v>https://techcombank.com/thong-tin/blog/ho-kinh-doanh-dong-thue-nhu-nao
https://techcombank.com/thong-tin/blog/mo-tai-khoan-ho-kinh-doanh
https://techcombank.com/thong-tin/blog/cach-tinh-thue-ho-kinh-doanh-nho-le</v>
      </c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</row>
    <row r="336">
      <c r="A336" s="27" t="str">
        <f>IFERROR(__xludf.DUMMYFUNCTION("""COMPUTED_VALUE"""),"https://techcombank.com/thong-tin/blog/ma-qr-ngan-hang-khong-hop-le")</f>
        <v>https://techcombank.com/thong-tin/blog/ma-qr-ngan-hang-khong-hop-le</v>
      </c>
      <c r="B336" s="11">
        <f>IFERROR(__xludf.DUMMYFUNCTION("""COMPUTED_VALUE"""),3.0)</f>
        <v>3</v>
      </c>
      <c r="C336" s="8" t="str">
        <f>IFERROR(__xludf.DUMMYFUNCTION("IF(A336="""","""",TEXTJOIN(CHAR(10),TRUE,FILTER('Tổng hợp 75 trang đích'!$B$2:$B$2505,'Tổng hợp 75 trang đích'!$I$2:$I$2505=A336)))"),"https://techcombank.com/thong-tin/blog/chuyen-khoan-thanh-cong-nhung-khong-nhan-duoc-tien
https://techcombank.com/thong-tin/blog/rut-tien-bang-ma-qr-la-gi-cach-thuc-hien-nhu-the-nao
https://techcombank.com/thong-tin/blog/gui-ma-qr-ngan-hang")</f>
        <v>https://techcombank.com/thong-tin/blog/chuyen-khoan-thanh-cong-nhung-khong-nhan-duoc-tien
https://techcombank.com/thong-tin/blog/rut-tien-bang-ma-qr-la-gi-cach-thuc-hien-nhu-the-nao
https://techcombank.com/thong-tin/blog/gui-ma-qr-ngan-hang</v>
      </c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</row>
    <row r="337">
      <c r="A337" s="27" t="str">
        <f>IFERROR(__xludf.DUMMYFUNCTION("""COMPUTED_VALUE"""),"https://techcombank.com/thong-tin/blog/mat-so-dien-thoai-dang-ky-tai-khoan-ngan-hang")</f>
        <v>https://techcombank.com/thong-tin/blog/mat-so-dien-thoai-dang-ky-tai-khoan-ngan-hang</v>
      </c>
      <c r="B337" s="11">
        <f>IFERROR(__xludf.DUMMYFUNCTION("""COMPUTED_VALUE"""),3.0)</f>
        <v>3</v>
      </c>
      <c r="C337" s="8" t="str">
        <f>IFERROR(__xludf.DUMMYFUNCTION("IF(A337="""","""",TEXTJOIN(CHAR(10),TRUE,FILTER('Tổng hợp 75 trang đích'!$B$2:$B$2505,'Tổng hợp 75 trang đích'!$I$2:$I$2505=A337)))"),"https://techcombank.com/thong-tin/blog/cach-nap-the-viettel
https://techcombank.com/thong-tin/blog/cach-mo-tai-khoan
https://techcombank.com/thong-tin/blog/ten-dang-nhap-tai-khoan-ngan-hang-la-gi")</f>
        <v>https://techcombank.com/thong-tin/blog/cach-nap-the-viettel
https://techcombank.com/thong-tin/blog/cach-mo-tai-khoan
https://techcombank.com/thong-tin/blog/ten-dang-nhap-tai-khoan-ngan-hang-la-gi</v>
      </c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</row>
    <row r="338">
      <c r="A338" s="27" t="str">
        <f>IFERROR(__xludf.DUMMYFUNCTION("""COMPUTED_VALUE"""),"https://techcombank.com/thong-tin/blog/mo-so-tiet-kiem-can-bao-nhieu-tien")</f>
        <v>https://techcombank.com/thong-tin/blog/mo-so-tiet-kiem-can-bao-nhieu-tien</v>
      </c>
      <c r="B338" s="11">
        <f>IFERROR(__xludf.DUMMYFUNCTION("""COMPUTED_VALUE"""),3.0)</f>
        <v>3</v>
      </c>
      <c r="C338" s="8" t="str">
        <f>IFERROR(__xludf.DUMMYFUNCTION("IF(A338="""","""",TEXTJOIN(CHAR(10),TRUE,FILTER('Tổng hợp 75 trang đích'!$B$2:$B$2505,'Tổng hợp 75 trang đích'!$I$2:$I$2505=A338)))"),"https://techcombank.com/thong-tin/blog/lai-suat-tiet-kiem
https://techcombank.com/thong-tin/blog/rut-tien-tiet-kiem-truoc-thoi-han
https://techcombank.com/thong-tin/blog/so-tiet-kiem-ngan-hang")</f>
        <v>https://techcombank.com/thong-tin/blog/lai-suat-tiet-kiem
https://techcombank.com/thong-tin/blog/rut-tien-tiet-kiem-truoc-thoi-han
https://techcombank.com/thong-tin/blog/so-tiet-kiem-ngan-hang</v>
      </c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</row>
    <row r="339">
      <c r="A339" s="27" t="str">
        <f>IFERROR(__xludf.DUMMYFUNCTION("""COMPUTED_VALUE"""),"https://techcombank.com/thong-tin/blog/mo-tai-khoan-doanh-nghiep")</f>
        <v>https://techcombank.com/thong-tin/blog/mo-tai-khoan-doanh-nghiep</v>
      </c>
      <c r="B339" s="11">
        <f>IFERROR(__xludf.DUMMYFUNCTION("""COMPUTED_VALUE"""),3.0)</f>
        <v>3</v>
      </c>
      <c r="C339" s="8" t="str">
        <f>IFERROR(__xludf.DUMMYFUNCTION("IF(A339="""","""",TEXTJOIN(CHAR(10),TRUE,FILTER('Tổng hợp 75 trang đích'!$B$2:$B$2505,'Tổng hợp 75 trang đích'!$I$2:$I$2505=A339)))"),"https://techcombank.com/thong-tin/blog/cong-ty-su-dung-tai-khoan-ca-nhan
https://techcombank.com/thong-tin/blog/cach-mo-tai-khoan
https://techcombank.com/thong-tin/blog/cach-tiet-kiem-tien")</f>
        <v>https://techcombank.com/thong-tin/blog/cong-ty-su-dung-tai-khoan-ca-nhan
https://techcombank.com/thong-tin/blog/cach-mo-tai-khoan
https://techcombank.com/thong-tin/blog/cach-tiet-kiem-tien</v>
      </c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</row>
    <row r="340">
      <c r="A340" s="27" t="str">
        <f>IFERROR(__xludf.DUMMYFUNCTION("""COMPUTED_VALUE"""),"https://techcombank.com/thong-tin/blog/mo-tai-khoan-ngan-hang-bang-so-dien-thoai")</f>
        <v>https://techcombank.com/thong-tin/blog/mo-tai-khoan-ngan-hang-bang-so-dien-thoai</v>
      </c>
      <c r="B340" s="11">
        <f>IFERROR(__xludf.DUMMYFUNCTION("""COMPUTED_VALUE"""),3.0)</f>
        <v>3</v>
      </c>
      <c r="C340" s="8" t="str">
        <f>IFERROR(__xludf.DUMMYFUNCTION("IF(A340="""","""",TEXTJOIN(CHAR(10),TRUE,FILTER('Tổng hợp 75 trang đích'!$B$2:$B$2505,'Tổng hợp 75 trang đích'!$I$2:$I$2505=A340)))"),"https://techcombank.com/thong-tin/blog/cach-mo-tai-khoan
https://techcombank.com/thong-tin/blog/mo-tai-khoan-ngan-hang-duoi-18-tuoi
https://techcombank.com/thong-tin/blog/cach-quet-nfc-cccd-tren-iphone")</f>
        <v>https://techcombank.com/thong-tin/blog/cach-mo-tai-khoan
https://techcombank.com/thong-tin/blog/mo-tai-khoan-ngan-hang-duoi-18-tuoi
https://techcombank.com/thong-tin/blog/cach-quet-nfc-cccd-tren-iphone</v>
      </c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</row>
    <row r="341">
      <c r="A341" s="27" t="str">
        <f>IFERROR(__xludf.DUMMYFUNCTION("""COMPUTED_VALUE"""),"https://techcombank.com/thong-tin/blog/mo-tai-khoan-ngan-hang-cho-tre-em")</f>
        <v>https://techcombank.com/thong-tin/blog/mo-tai-khoan-ngan-hang-cho-tre-em</v>
      </c>
      <c r="B341" s="11">
        <f>IFERROR(__xludf.DUMMYFUNCTION("""COMPUTED_VALUE"""),3.0)</f>
        <v>3</v>
      </c>
      <c r="C341" s="8" t="str">
        <f>IFERROR(__xludf.DUMMYFUNCTION("IF(A341="""","""",TEXTJOIN(CHAR(10),TRUE,FILTER('Tổng hợp 75 trang đích'!$B$2:$B$2505,'Tổng hợp 75 trang đích'!$I$2:$I$2505=A341)))"),"https://techcombank.com/thong-tin/blog/bao-nhieu-tuoi-duoc-mo-tai-khoan-ngan-hang
https://techcombank.com/thong-tin/blog/mo-tai-khoan-ngan-hang-duoi-18-tuoi
https://techcombank.com/thong-tin/blog/cach-tiet-kiem-tien")</f>
        <v>https://techcombank.com/thong-tin/blog/bao-nhieu-tuoi-duoc-mo-tai-khoan-ngan-hang
https://techcombank.com/thong-tin/blog/mo-tai-khoan-ngan-hang-duoi-18-tuoi
https://techcombank.com/thong-tin/blog/cach-tiet-kiem-tien</v>
      </c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</row>
    <row r="342">
      <c r="A342" s="27" t="str">
        <f>IFERROR(__xludf.DUMMYFUNCTION("""COMPUTED_VALUE"""),"https://techcombank.com/thong-tin/blog/mua-chung-chi-quy")</f>
        <v>https://techcombank.com/thong-tin/blog/mua-chung-chi-quy</v>
      </c>
      <c r="B342" s="11">
        <f>IFERROR(__xludf.DUMMYFUNCTION("""COMPUTED_VALUE"""),3.0)</f>
        <v>3</v>
      </c>
      <c r="C342" s="8" t="str">
        <f>IFERROR(__xludf.DUMMYFUNCTION("IF(A342="""","""",TEXTJOIN(CHAR(10),TRUE,FILTER('Tổng hợp 75 trang đích'!$B$2:$B$2505,'Tổng hợp 75 trang đích'!$I$2:$I$2505=A342)))"),"https://techcombank.com/thong-tin/blog/thue-thu-nhap-doanh-nghiep
https://techcombank.com/thong-tin/blog/cach-tinh-thue-thu-nhap-doanh-nghiep
https://techcombank.com/thong-tin/blog/phuong-phap-dau-tu-chung-chi-quy")</f>
        <v>https://techcombank.com/thong-tin/blog/thue-thu-nhap-doanh-nghiep
https://techcombank.com/thong-tin/blog/cach-tinh-thue-thu-nhap-doanh-nghiep
https://techcombank.com/thong-tin/blog/phuong-phap-dau-tu-chung-chi-quy</v>
      </c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</row>
    <row r="343">
      <c r="A343" s="27" t="str">
        <f>IFERROR(__xludf.DUMMYFUNCTION("""COMPUTED_VALUE"""),"https://techcombank.com/thong-tin/blog/nap-tien-dien-thoai-online")</f>
        <v>https://techcombank.com/thong-tin/blog/nap-tien-dien-thoai-online</v>
      </c>
      <c r="B343" s="11">
        <f>IFERROR(__xludf.DUMMYFUNCTION("""COMPUTED_VALUE"""),3.0)</f>
        <v>3</v>
      </c>
      <c r="C343" s="8" t="str">
        <f>IFERROR(__xludf.DUMMYFUNCTION("IF(A343="""","""",TEXTJOIN(CHAR(10),TRUE,FILTER('Tổng hợp 75 trang đích'!$B$2:$B$2505,'Tổng hợp 75 trang đích'!$I$2:$I$2505=A343)))"),"https://techcombank.com/thong-tin/blog/cach-nap-the-viettel
https://techcombank.com/thong-tin/blog/cach-tinh-tien-dien-sinh-hoat
https://techcombank.com/thong-tin/blog/nap-tien-vao-tai-khoan-ngan-hang")</f>
        <v>https://techcombank.com/thong-tin/blog/cach-nap-the-viettel
https://techcombank.com/thong-tin/blog/cach-tinh-tien-dien-sinh-hoat
https://techcombank.com/thong-tin/blog/nap-tien-vao-tai-khoan-ngan-hang</v>
      </c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</row>
    <row r="344">
      <c r="A344" s="27" t="str">
        <f>IFERROR(__xludf.DUMMYFUNCTION("""COMPUTED_VALUE"""),"https://techcombank.com/thong-tin/blog/nen-thanh-lap-ho-kinh-doanh-ke-khai-hay-doanh-nghiep")</f>
        <v>https://techcombank.com/thong-tin/blog/nen-thanh-lap-ho-kinh-doanh-ke-khai-hay-doanh-nghiep</v>
      </c>
      <c r="B344" s="11">
        <f>IFERROR(__xludf.DUMMYFUNCTION("""COMPUTED_VALUE"""),3.0)</f>
        <v>3</v>
      </c>
      <c r="C344" s="8" t="str">
        <f>IFERROR(__xludf.DUMMYFUNCTION("IF(A344="""","""",TEXTJOIN(CHAR(10),TRUE,FILTER('Tổng hợp 75 trang đích'!$B$2:$B$2505,'Tổng hợp 75 trang đích'!$I$2:$I$2505=A344)))"),"https://techcombank.com/thong-tin/blog/ho-kinh-doanh-dong-thue-nhu-nao
https://techcombank.com/thong-tin/blog/mo-tai-khoan-ho-kinh-doanh
https://techcombank.com/thong-tin/blog/cach-tinh-thue-ho-kinh-doanh-nho-le")</f>
        <v>https://techcombank.com/thong-tin/blog/ho-kinh-doanh-dong-thue-nhu-nao
https://techcombank.com/thong-tin/blog/mo-tai-khoan-ho-kinh-doanh
https://techcombank.com/thong-tin/blog/cach-tinh-thue-ho-kinh-doanh-nho-le</v>
      </c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</row>
    <row r="345">
      <c r="A345" s="27" t="str">
        <f>IFERROR(__xludf.DUMMYFUNCTION("""COMPUTED_VALUE"""),"https://techcombank.com/thong-tin/blog/ngan-hang-so")</f>
        <v>https://techcombank.com/thong-tin/blog/ngan-hang-so</v>
      </c>
      <c r="B345" s="11">
        <f>IFERROR(__xludf.DUMMYFUNCTION("""COMPUTED_VALUE"""),3.0)</f>
        <v>3</v>
      </c>
      <c r="C345" s="8" t="str">
        <f>IFERROR(__xludf.DUMMYFUNCTION("IF(A345="""","""",TEXTJOIN(CHAR(10),TRUE,FILTER('Tổng hợp 75 trang đích'!$B$2:$B$2505,'Tổng hợp 75 trang đích'!$I$2:$I$2505=A345)))"),"https://techcombank.com/thong-tin/blog/cach-sao-ke-tai-khoan-ngan-hang
https://techcombank.com/thong-tin/blog/cach-tiet-kiem-tien
https://techcombank.com/thong-tin/blog/phuong-phap-dau-tu-chung-chi-quy")</f>
        <v>https://techcombank.com/thong-tin/blog/cach-sao-ke-tai-khoan-ngan-hang
https://techcombank.com/thong-tin/blog/cach-tiet-kiem-tien
https://techcombank.com/thong-tin/blog/phuong-phap-dau-tu-chung-chi-quy</v>
      </c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</row>
    <row r="346">
      <c r="A346" s="27" t="str">
        <f>IFERROR(__xludf.DUMMYFUNCTION("""COMPUTED_VALUE"""),"https://techcombank.com/thong-tin/blog/nha-dau-tu-giao-dich-trai-phieu-truc-tuyen-tang-manh-tro-lai")</f>
        <v>https://techcombank.com/thong-tin/blog/nha-dau-tu-giao-dich-trai-phieu-truc-tuyen-tang-manh-tro-lai</v>
      </c>
      <c r="B346" s="11">
        <f>IFERROR(__xludf.DUMMYFUNCTION("""COMPUTED_VALUE"""),3.0)</f>
        <v>3</v>
      </c>
      <c r="C346" s="8" t="str">
        <f>IFERROR(__xludf.DUMMYFUNCTION("IF(A346="""","""",TEXTJOIN(CHAR(10),TRUE,FILTER('Tổng hợp 75 trang đích'!$B$2:$B$2505,'Tổng hợp 75 trang đích'!$I$2:$I$2505=A346)))"),"https://techcombank.com/thong-tin/blog/thue-thu-nhap-doanh-nghiep
https://techcombank.com/thong-tin/blog/cach-tinh-thue-thu-nhap-doanh-nghiep
https://techcombank.com/thong-tin/blog/phuong-phap-dau-tu-chung-chi-quy")</f>
        <v>https://techcombank.com/thong-tin/blog/thue-thu-nhap-doanh-nghiep
https://techcombank.com/thong-tin/blog/cach-tinh-thue-thu-nhap-doanh-nghiep
https://techcombank.com/thong-tin/blog/phuong-phap-dau-tu-chung-chi-quy</v>
      </c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</row>
    <row r="347">
      <c r="A347" s="27" t="str">
        <f>IFERROR(__xludf.DUMMYFUNCTION("""COMPUTED_VALUE"""),"https://techcombank.com/thong-tin/blog/nhung-chi-phi-khong-duoc-tru-khi-tinh-thue-tndn")</f>
        <v>https://techcombank.com/thong-tin/blog/nhung-chi-phi-khong-duoc-tru-khi-tinh-thue-tndn</v>
      </c>
      <c r="B347" s="11">
        <f>IFERROR(__xludf.DUMMYFUNCTION("""COMPUTED_VALUE"""),3.0)</f>
        <v>3</v>
      </c>
      <c r="C347" s="8" t="str">
        <f>IFERROR(__xludf.DUMMYFUNCTION("IF(A347="""","""",TEXTJOIN(CHAR(10),TRUE,FILTER('Tổng hợp 75 trang đích'!$B$2:$B$2505,'Tổng hợp 75 trang đích'!$I$2:$I$2505=A347)))"),"https://techcombank.com/thong-tin/blog/thue-thu-nhap-doanh-nghiep
https://techcombank.com/thong-tin/blog/cach-tinh-thue-thu-nhap-doanh-nghiep
https://techcombank.com/thong-tin/blog/ho-kinh-doanh-dong-thue-nhu-nao")</f>
        <v>https://techcombank.com/thong-tin/blog/thue-thu-nhap-doanh-nghiep
https://techcombank.com/thong-tin/blog/cach-tinh-thue-thu-nhap-doanh-nghiep
https://techcombank.com/thong-tin/blog/ho-kinh-doanh-dong-thue-nhu-nao</v>
      </c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</row>
    <row r="348">
      <c r="A348" s="27" t="str">
        <f>IFERROR(__xludf.DUMMYFUNCTION("""COMPUTED_VALUE"""),"https://techcombank.com/thong-tin/blog/nop-thue-dat-qua-ngan-hang")</f>
        <v>https://techcombank.com/thong-tin/blog/nop-thue-dat-qua-ngan-hang</v>
      </c>
      <c r="B348" s="11">
        <f>IFERROR(__xludf.DUMMYFUNCTION("""COMPUTED_VALUE"""),3.0)</f>
        <v>3</v>
      </c>
      <c r="C348" s="8" t="str">
        <f>IFERROR(__xludf.DUMMYFUNCTION("IF(A348="""","""",TEXTJOIN(CHAR(10),TRUE,FILTER('Tổng hợp 75 trang đích'!$B$2:$B$2505,'Tổng hợp 75 trang đích'!$I$2:$I$2505=A348)))"),"https://techcombank.com/thong-tin/blog/cach-nop-thue-dien-tu
https://techcombank.com/thong-tin/blog/kiem-tra-thue-thu-nhap-ca-nhan
https://techcombank.com/thong-tin/blog/ho-kinh-doanh-dong-thue-nhu-nao")</f>
        <v>https://techcombank.com/thong-tin/blog/cach-nop-thue-dien-tu
https://techcombank.com/thong-tin/blog/kiem-tra-thue-thu-nhap-ca-nhan
https://techcombank.com/thong-tin/blog/ho-kinh-doanh-dong-thue-nhu-nao</v>
      </c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</row>
    <row r="349">
      <c r="A349" s="27" t="str">
        <f>IFERROR(__xludf.DUMMYFUNCTION("""COMPUTED_VALUE"""),"https://techcombank.com/thong-tin/blog/nop-thue-hai-quan")</f>
        <v>https://techcombank.com/thong-tin/blog/nop-thue-hai-quan</v>
      </c>
      <c r="B349" s="11">
        <f>IFERROR(__xludf.DUMMYFUNCTION("""COMPUTED_VALUE"""),3.0)</f>
        <v>3</v>
      </c>
      <c r="C349" s="8" t="str">
        <f>IFERROR(__xludf.DUMMYFUNCTION("IF(A349="""","""",TEXTJOIN(CHAR(10),TRUE,FILTER('Tổng hợp 75 trang đích'!$B$2:$B$2505,'Tổng hợp 75 trang đích'!$I$2:$I$2505=A349)))"),"https://techcombank.com/thong-tin/blog/nop-thue-dat-qua-ngan-hang
https://techcombank.com/thong-tin/blog/cach-nop-thue-dien-tu
https://techcombank.com/thong-tin/blog/ho-kinh-doanh-dong-thue-nhu-nao")</f>
        <v>https://techcombank.com/thong-tin/blog/nop-thue-dat-qua-ngan-hang
https://techcombank.com/thong-tin/blog/cach-nop-thue-dien-tu
https://techcombank.com/thong-tin/blog/ho-kinh-doanh-dong-thue-nhu-nao</v>
      </c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</row>
    <row r="350">
      <c r="A350" s="27" t="str">
        <f>IFERROR(__xludf.DUMMYFUNCTION("""COMPUTED_VALUE"""),"https://techcombank.com/thong-tin/blog/nop-tien-mat-vao-tai-khoan-cong-ty")</f>
        <v>https://techcombank.com/thong-tin/blog/nop-tien-mat-vao-tai-khoan-cong-ty</v>
      </c>
      <c r="B350" s="11">
        <f>IFERROR(__xludf.DUMMYFUNCTION("""COMPUTED_VALUE"""),3.0)</f>
        <v>3</v>
      </c>
      <c r="C350" s="8" t="str">
        <f>IFERROR(__xludf.DUMMYFUNCTION("IF(A350="""","""",TEXTJOIN(CHAR(10),TRUE,FILTER('Tổng hợp 75 trang đích'!$B$2:$B$2505,'Tổng hợp 75 trang đích'!$I$2:$I$2505=A350)))"),"https://techcombank.com/thong-tin/blog/cong-ty-su-dung-tai-khoan-ca-nhan
https://techcombank.com/thong-tin/blog/nap-tien-vao-tai-khoan-ngan-hang
https://techcombank.com/thong-tin/blog/rut-tien-mat-tu-the-tin-dung")</f>
        <v>https://techcombank.com/thong-tin/blog/cong-ty-su-dung-tai-khoan-ca-nhan
https://techcombank.com/thong-tin/blog/nap-tien-vao-tai-khoan-ngan-hang
https://techcombank.com/thong-tin/blog/rut-tien-mat-tu-the-tin-dung</v>
      </c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</row>
    <row r="351">
      <c r="A351" s="27" t="str">
        <f>IFERROR(__xludf.DUMMYFUNCTION("""COMPUTED_VALUE"""),"https://techcombank.com/thong-tin/blog/phan-mem-lap-ke-hoach-tai-chinh-ca-nhan")</f>
        <v>https://techcombank.com/thong-tin/blog/phan-mem-lap-ke-hoach-tai-chinh-ca-nhan</v>
      </c>
      <c r="B351" s="11">
        <f>IFERROR(__xludf.DUMMYFUNCTION("""COMPUTED_VALUE"""),3.0)</f>
        <v>3</v>
      </c>
      <c r="C351" s="8" t="str">
        <f>IFERROR(__xludf.DUMMYFUNCTION("IF(A351="""","""",TEXTJOIN(CHAR(10),TRUE,FILTER('Tổng hợp 75 trang đích'!$B$2:$B$2505,'Tổng hợp 75 trang đích'!$I$2:$I$2505=A351)))"),"https://techcombank.com/thong-tin/blog/cach-sao-ke-tai-khoan-ngan-hang
https://techcombank.com/thong-tin/blog/cach-tiet-kiem-tien
https://techcombank.com/thong-tin/blog/phuong-phap-dau-tu-chung-chi-quy")</f>
        <v>https://techcombank.com/thong-tin/blog/cach-sao-ke-tai-khoan-ngan-hang
https://techcombank.com/thong-tin/blog/cach-tiet-kiem-tien
https://techcombank.com/thong-tin/blog/phuong-phap-dau-tu-chung-chi-quy</v>
      </c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</row>
    <row r="352">
      <c r="A352" s="27" t="str">
        <f>IFERROR(__xludf.DUMMYFUNCTION("""COMPUTED_VALUE"""),"https://techcombank.com/thong-tin/blog/phi-vay-the-chap")</f>
        <v>https://techcombank.com/thong-tin/blog/phi-vay-the-chap</v>
      </c>
      <c r="B352" s="11">
        <f>IFERROR(__xludf.DUMMYFUNCTION("""COMPUTED_VALUE"""),3.0)</f>
        <v>3</v>
      </c>
      <c r="C352" s="8" t="str">
        <f>IFERROR(__xludf.DUMMYFUNCTION("IF(A352="""","""",TEXTJOIN(CHAR(10),TRUE,FILTER('Tổng hợp 75 trang đích'!$B$2:$B$2505,'Tổng hợp 75 trang đích'!$I$2:$I$2505=A352)))"),"https://techcombank.com/thong-tin/blog/vay-ngan-hang-1-ty-moi-thang-tra-bao-nhieu
https://techcombank.com/thong-tin/blog/lai-suat-vay-the-chap-so-do
https://techcombank.com/thong-tin/blog/ho-so-thu-tuc-xoa-the-chap")</f>
        <v>https://techcombank.com/thong-tin/blog/vay-ngan-hang-1-ty-moi-thang-tra-bao-nhieu
https://techcombank.com/thong-tin/blog/lai-suat-vay-the-chap-so-do
https://techcombank.com/thong-tin/blog/ho-so-thu-tuc-xoa-the-chap</v>
      </c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</row>
    <row r="353">
      <c r="A353" s="27" t="str">
        <f>IFERROR(__xludf.DUMMYFUNCTION("""COMPUTED_VALUE"""),"https://techcombank.com/thong-tin/blog/quan-ly-tai-chinh-doanh-nghiep-la-gi")</f>
        <v>https://techcombank.com/thong-tin/blog/quan-ly-tai-chinh-doanh-nghiep-la-gi</v>
      </c>
      <c r="B353" s="11">
        <f>IFERROR(__xludf.DUMMYFUNCTION("""COMPUTED_VALUE"""),3.0)</f>
        <v>3</v>
      </c>
      <c r="C353" s="8" t="str">
        <f>IFERROR(__xludf.DUMMYFUNCTION("IF(A353="""","""",TEXTJOIN(CHAR(10),TRUE,FILTER('Tổng hợp 75 trang đích'!$B$2:$B$2505,'Tổng hợp 75 trang đích'!$I$2:$I$2505=A353)))"),"https://techcombank.com/thong-tin/blog/thue-thu-nhap-doanh-nghiep
https://techcombank.com/thong-tin/blog/cach-tinh-thue-thu-nhap-doanh-nghiep
https://techcombank.com/thong-tin/blog/cach-tiet-kiem-tien")</f>
        <v>https://techcombank.com/thong-tin/blog/thue-thu-nhap-doanh-nghiep
https://techcombank.com/thong-tin/blog/cach-tinh-thue-thu-nhap-doanh-nghiep
https://techcombank.com/thong-tin/blog/cach-tiet-kiem-tien</v>
      </c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</row>
    <row r="354">
      <c r="A354" s="27" t="str">
        <f>IFERROR(__xludf.DUMMYFUNCTION("""COMPUTED_VALUE"""),"https://techcombank.com/thong-tin/blog/rut-tien-bang-ma-qr-la-gi-cach-thuc-hien-nhu-the-nao")</f>
        <v>https://techcombank.com/thong-tin/blog/rut-tien-bang-ma-qr-la-gi-cach-thuc-hien-nhu-the-nao</v>
      </c>
      <c r="B354" s="11">
        <f>IFERROR(__xludf.DUMMYFUNCTION("""COMPUTED_VALUE"""),3.0)</f>
        <v>3</v>
      </c>
      <c r="C354" s="8" t="str">
        <f>IFERROR(__xludf.DUMMYFUNCTION("IF(A354="""","""",TEXTJOIN(CHAR(10),TRUE,FILTER('Tổng hợp 75 trang đích'!$B$2:$B$2505,'Tổng hợp 75 trang đích'!$I$2:$I$2505=A354)))"),"https://techcombank.com/thong-tin/blog/nap-tien-vao-tai-khoan-ngan-hang
https://techcombank.com/thong-tin/blog/rut-tien-mat-tu-the-tin-dung
https://techcombank.com/thong-tin/blog/gui-ma-qr-ngan-hang")</f>
        <v>https://techcombank.com/thong-tin/blog/nap-tien-vao-tai-khoan-ngan-hang
https://techcombank.com/thong-tin/blog/rut-tien-mat-tu-the-tin-dung
https://techcombank.com/thong-tin/blog/gui-ma-qr-ngan-hang</v>
      </c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</row>
    <row r="355">
      <c r="A355" s="27" t="str">
        <f>IFERROR(__xludf.DUMMYFUNCTION("""COMPUTED_VALUE"""),"https://techcombank.com/thong-tin/blog/rut-tien-mat-tu-tai-khoan-doanh-nghiep")</f>
        <v>https://techcombank.com/thong-tin/blog/rut-tien-mat-tu-tai-khoan-doanh-nghiep</v>
      </c>
      <c r="B355" s="11">
        <f>IFERROR(__xludf.DUMMYFUNCTION("""COMPUTED_VALUE"""),3.0)</f>
        <v>3</v>
      </c>
      <c r="C355" s="8" t="str">
        <f>IFERROR(__xludf.DUMMYFUNCTION("IF(A355="""","""",TEXTJOIN(CHAR(10),TRUE,FILTER('Tổng hợp 75 trang đích'!$B$2:$B$2505,'Tổng hợp 75 trang đích'!$I$2:$I$2505=A355)))"),"https://techcombank.com/thong-tin/blog/cong-ty-su-dung-tai-khoan-ca-nhan
https://techcombank.com/thong-tin/blog/rut-tien-bang-ma-qr-la-gi-cach-thuc-hien-nhu-the-nao
https://techcombank.com/thong-tin/blog/rut-tien-mat-tu-the-tin-dung")</f>
        <v>https://techcombank.com/thong-tin/blog/cong-ty-su-dung-tai-khoan-ca-nhan
https://techcombank.com/thong-tin/blog/rut-tien-bang-ma-qr-la-gi-cach-thuc-hien-nhu-the-nao
https://techcombank.com/thong-tin/blog/rut-tien-mat-tu-the-tin-dung</v>
      </c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</row>
    <row r="356">
      <c r="A356" s="27" t="str">
        <f>IFERROR(__xludf.DUMMYFUNCTION("""COMPUTED_VALUE"""),"https://techcombank.com/thong-tin/blog/sao-ke-tai-khoan-doanh-nghiep")</f>
        <v>https://techcombank.com/thong-tin/blog/sao-ke-tai-khoan-doanh-nghiep</v>
      </c>
      <c r="B356" s="11">
        <f>IFERROR(__xludf.DUMMYFUNCTION("""COMPUTED_VALUE"""),3.0)</f>
        <v>3</v>
      </c>
      <c r="C356" s="8" t="str">
        <f>IFERROR(__xludf.DUMMYFUNCTION("IF(A356="""","""",TEXTJOIN(CHAR(10),TRUE,FILTER('Tổng hợp 75 trang đích'!$B$2:$B$2505,'Tổng hợp 75 trang đích'!$I$2:$I$2505=A356)))"),"https://techcombank.com/thong-tin/blog/cong-ty-su-dung-tai-khoan-ca-nhan
https://techcombank.com/thong-tin/blog/cach-sao-ke-tai-khoan-ngan-hang
https://techcombank.com/thong-tin/blog/cach-thanh-toan-the-tin-dung")</f>
        <v>https://techcombank.com/thong-tin/blog/cong-ty-su-dung-tai-khoan-ca-nhan
https://techcombank.com/thong-tin/blog/cach-sao-ke-tai-khoan-ngan-hang
https://techcombank.com/thong-tin/blog/cach-thanh-toan-the-tin-dung</v>
      </c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</row>
    <row r="357">
      <c r="A357" s="27" t="str">
        <f>IFERROR(__xludf.DUMMYFUNCTION("""COMPUTED_VALUE"""),"https://techcombank.com/thong-tin/blog/so-du-tien-gui-la-gi")</f>
        <v>https://techcombank.com/thong-tin/blog/so-du-tien-gui-la-gi</v>
      </c>
      <c r="B357" s="11">
        <f>IFERROR(__xludf.DUMMYFUNCTION("""COMPUTED_VALUE"""),3.0)</f>
        <v>3</v>
      </c>
      <c r="C357" s="8" t="str">
        <f>IFERROR(__xludf.DUMMYFUNCTION("IF(A357="""","""",TEXTJOIN(CHAR(10),TRUE,FILTER('Tổng hợp 75 trang đích'!$B$2:$B$2505,'Tổng hợp 75 trang đích'!$I$2:$I$2505=A357)))"),"https://techcombank.com/thong-tin/blog/cach-kiem-tra-tai-khoan-ngan-hang
https://techcombank.com/thong-tin/blog/nap-tien-vao-tai-khoan-ngan-hang
https://techcombank.com/thong-tin/blog/rut-tien-bang-ma-qr-la-gi-cach-thuc-hien-nhu-the-nao")</f>
        <v>https://techcombank.com/thong-tin/blog/cach-kiem-tra-tai-khoan-ngan-hang
https://techcombank.com/thong-tin/blog/nap-tien-vao-tai-khoan-ngan-hang
https://techcombank.com/thong-tin/blog/rut-tien-bang-ma-qr-la-gi-cach-thuc-hien-nhu-the-nao</v>
      </c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</row>
    <row r="358">
      <c r="A358" s="27" t="str">
        <f>IFERROR(__xludf.DUMMYFUNCTION("""COMPUTED_VALUE"""),"https://techcombank.com/thong-tin/blog/softpos")</f>
        <v>https://techcombank.com/thong-tin/blog/softpos</v>
      </c>
      <c r="B358" s="11">
        <f>IFERROR(__xludf.DUMMYFUNCTION("""COMPUTED_VALUE"""),3.0)</f>
        <v>3</v>
      </c>
      <c r="C358" s="8" t="str">
        <f>IFERROR(__xludf.DUMMYFUNCTION("IF(A358="""","""",TEXTJOIN(CHAR(10),TRUE,FILTER('Tổng hợp 75 trang đích'!$B$2:$B$2505,'Tổng hợp 75 trang đích'!$I$2:$I$2505=A358)))"),"https://techcombank.com/thong-tin/blog/rut-tien-bang-ma-qr-la-gi-cach-thuc-hien-nhu-the-nao
https://techcombank.com/thong-tin/blog/gui-ma-qr-ngan-hang
https://techcombank.com/thong-tin/blog/phuong-phap-dau-tu-chung-chi-quy")</f>
        <v>https://techcombank.com/thong-tin/blog/rut-tien-bang-ma-qr-la-gi-cach-thuc-hien-nhu-the-nao
https://techcombank.com/thong-tin/blog/gui-ma-qr-ngan-hang
https://techcombank.com/thong-tin/blog/phuong-phap-dau-tu-chung-chi-quy</v>
      </c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</row>
    <row r="359">
      <c r="A359" s="27" t="str">
        <f>IFERROR(__xludf.DUMMYFUNCTION("""COMPUTED_VALUE"""),"https://techcombank.com/thong-tin/blog/spaylater")</f>
        <v>https://techcombank.com/thong-tin/blog/spaylater</v>
      </c>
      <c r="B359" s="11">
        <f>IFERROR(__xludf.DUMMYFUNCTION("""COMPUTED_VALUE"""),3.0)</f>
        <v>3</v>
      </c>
      <c r="C359" s="8" t="str">
        <f>IFERROR(__xludf.DUMMYFUNCTION("IF(A359="""","""",TEXTJOIN(CHAR(10),TRUE,FILTER('Tổng hợp 75 trang đích'!$B$2:$B$2505,'Tổng hợp 75 trang đích'!$I$2:$I$2505=A359)))"),"https://techcombank.com/thong-tin/blog/cic-la-gi
https://techcombank.com/thong-tin/blog/xep-hang-tin-dung
https://techcombank.com/thong-tin/blog/kiem-tra-no-xau")</f>
        <v>https://techcombank.com/thong-tin/blog/cic-la-gi
https://techcombank.com/thong-tin/blog/xep-hang-tin-dung
https://techcombank.com/thong-tin/blog/kiem-tra-no-xau</v>
      </c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</row>
    <row r="360">
      <c r="A360" s="27" t="str">
        <f>IFERROR(__xludf.DUMMYFUNCTION("""COMPUTED_VALUE"""),"https://techcombank.com/thong-tin/blog/tap-doan-thanh-quang-khoi-sac-kinh-doanh-nho-nguon-von-vay-tin-dung-techcombank-tren-nen-tang-misa-lending")</f>
        <v>https://techcombank.com/thong-tin/blog/tap-doan-thanh-quang-khoi-sac-kinh-doanh-nho-nguon-von-vay-tin-dung-techcombank-tren-nen-tang-misa-lending</v>
      </c>
      <c r="B360" s="11">
        <f>IFERROR(__xludf.DUMMYFUNCTION("""COMPUTED_VALUE"""),3.0)</f>
        <v>3</v>
      </c>
      <c r="C360" s="8" t="str">
        <f>IFERROR(__xludf.DUMMYFUNCTION("IF(A360="""","""",TEXTJOIN(CHAR(10),TRUE,FILTER('Tổng hợp 75 trang đích'!$B$2:$B$2505,'Tổng hợp 75 trang đích'!$I$2:$I$2505=A360)))"),"https://techcombank.com/thong-tin/blog/bao-nhieu-tuoi-duoc-mo-tai-khoan-ngan-hang
https://techcombank.com/thong-tin/blog/mo-tai-khoan-ngan-hang-duoi-18-tuoi
https://techcombank.com/thong-tin/blog/eco-card")</f>
        <v>https://techcombank.com/thong-tin/blog/bao-nhieu-tuoi-duoc-mo-tai-khoan-ngan-hang
https://techcombank.com/thong-tin/blog/mo-tai-khoan-ngan-hang-duoi-18-tuoi
https://techcombank.com/thong-tin/blog/eco-card</v>
      </c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</row>
    <row r="361">
      <c r="A361" s="27" t="str">
        <f>IFERROR(__xludf.DUMMYFUNCTION("""COMPUTED_VALUE"""),"https://techcombank.com/thong-tin/blog/tat-toan-so-tiet-kiem")</f>
        <v>https://techcombank.com/thong-tin/blog/tat-toan-so-tiet-kiem</v>
      </c>
      <c r="B361" s="11">
        <f>IFERROR(__xludf.DUMMYFUNCTION("""COMPUTED_VALUE"""),3.0)</f>
        <v>3</v>
      </c>
      <c r="C361" s="8" t="str">
        <f>IFERROR(__xludf.DUMMYFUNCTION("IF(A361="""","""",TEXTJOIN(CHAR(10),TRUE,FILTER('Tổng hợp 75 trang đích'!$B$2:$B$2505,'Tổng hợp 75 trang đích'!$I$2:$I$2505=A361)))"),"https://techcombank.com/thong-tin/blog/ho-so-thu-tuc-xoa-the-chap
https://techcombank.com/thong-tin/blog/rut-tien-tiet-kiem-truoc-thoi-han
https://techcombank.com/thong-tin/blog/so-tiet-kiem-ngan-hang")</f>
        <v>https://techcombank.com/thong-tin/blog/ho-so-thu-tuc-xoa-the-chap
https://techcombank.com/thong-tin/blog/rut-tien-tiet-kiem-truoc-thoi-han
https://techcombank.com/thong-tin/blog/so-tiet-kiem-ngan-hang</v>
      </c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</row>
    <row r="362">
      <c r="A362" s="27" t="str">
        <f>IFERROR(__xludf.DUMMYFUNCTION("""COMPUTED_VALUE"""),"https://techcombank.com/thong-tin/blog/thanh-lap-ho-kinh-doanh-ca-the")</f>
        <v>https://techcombank.com/thong-tin/blog/thanh-lap-ho-kinh-doanh-ca-the</v>
      </c>
      <c r="B362" s="11">
        <f>IFERROR(__xludf.DUMMYFUNCTION("""COMPUTED_VALUE"""),3.0)</f>
        <v>3</v>
      </c>
      <c r="C362" s="8" t="str">
        <f>IFERROR(__xludf.DUMMYFUNCTION("IF(A362="""","""",TEXTJOIN(CHAR(10),TRUE,FILTER('Tổng hợp 75 trang đích'!$B$2:$B$2505,'Tổng hợp 75 trang đích'!$I$2:$I$2505=A362)))"),"https://techcombank.com/thong-tin/blog/ho-kinh-doanh-dong-thue-nhu-nao
https://techcombank.com/thong-tin/blog/mo-tai-khoan-ho-kinh-doanh
https://techcombank.com/thong-tin/blog/cach-tinh-thue-ho-kinh-doanh-nho-le")</f>
        <v>https://techcombank.com/thong-tin/blog/ho-kinh-doanh-dong-thue-nhu-nao
https://techcombank.com/thong-tin/blog/mo-tai-khoan-ho-kinh-doanh
https://techcombank.com/thong-tin/blog/cach-tinh-thue-ho-kinh-doanh-nho-le</v>
      </c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</row>
    <row r="363">
      <c r="A363" s="27" t="str">
        <f>IFERROR(__xludf.DUMMYFUNCTION("""COMPUTED_VALUE"""),"https://techcombank.com/thong-tin/blog/thanh-toan-hoa-don-tieu-dung")</f>
        <v>https://techcombank.com/thong-tin/blog/thanh-toan-hoa-don-tieu-dung</v>
      </c>
      <c r="B363" s="11">
        <f>IFERROR(__xludf.DUMMYFUNCTION("""COMPUTED_VALUE"""),3.0)</f>
        <v>3</v>
      </c>
      <c r="C363" s="8" t="str">
        <f>IFERROR(__xludf.DUMMYFUNCTION("IF(A363="""","""",TEXTJOIN(CHAR(10),TRUE,FILTER('Tổng hợp 75 trang đích'!$B$2:$B$2505,'Tổng hợp 75 trang đích'!$I$2:$I$2505=A363)))"),"https://techcombank.com/thong-tin/blog/thue-vat-la-gi
https://techcombank.com/thong-tin/blog/cach-tinh-tien-dien-sinh-hoat
https://techcombank.com/thong-tin/blog/ten-dang-nhap-tai-khoan-ngan-hang-la-gi")</f>
        <v>https://techcombank.com/thong-tin/blog/thue-vat-la-gi
https://techcombank.com/thong-tin/blog/cach-tinh-tien-dien-sinh-hoat
https://techcombank.com/thong-tin/blog/ten-dang-nhap-tai-khoan-ngan-hang-la-gi</v>
      </c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</row>
    <row r="364">
      <c r="A364" s="27" t="str">
        <f>IFERROR(__xludf.DUMMYFUNCTION("""COMPUTED_VALUE"""),"https://techcombank.com/thong-tin/blog/thanh-toan-khi-du-lich-hong-kong")</f>
        <v>https://techcombank.com/thong-tin/blog/thanh-toan-khi-du-lich-hong-kong</v>
      </c>
      <c r="B364" s="11">
        <f>IFERROR(__xludf.DUMMYFUNCTION("""COMPUTED_VALUE"""),3.0)</f>
        <v>3</v>
      </c>
      <c r="C364" s="8" t="str">
        <f>IFERROR(__xludf.DUMMYFUNCTION("IF(A364="""","""",TEXTJOIN(CHAR(10),TRUE,FILTER('Tổng hợp 75 trang đích'!$B$2:$B$2505,'Tổng hợp 75 trang đích'!$I$2:$I$2505=A364)))"),"https://techcombank.com/thong-tin/blog/cach-sao-ke-tai-khoan-ngan-hang
https://techcombank.com/thong-tin/blog/traveloka-voucher
https://techcombank.com/thong-tin/blog/cach-tiet-kiem-tien")</f>
        <v>https://techcombank.com/thong-tin/blog/cach-sao-ke-tai-khoan-ngan-hang
https://techcombank.com/thong-tin/blog/traveloka-voucher
https://techcombank.com/thong-tin/blog/cach-tiet-kiem-tien</v>
      </c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</row>
    <row r="365">
      <c r="A365" s="27" t="str">
        <f>IFERROR(__xludf.DUMMYFUNCTION("""COMPUTED_VALUE"""),"https://techcombank.com/thong-tin/blog/thanh-toan-khi-du-lich-singapore")</f>
        <v>https://techcombank.com/thong-tin/blog/thanh-toan-khi-du-lich-singapore</v>
      </c>
      <c r="B365" s="11">
        <f>IFERROR(__xludf.DUMMYFUNCTION("""COMPUTED_VALUE"""),3.0)</f>
        <v>3</v>
      </c>
      <c r="C365" s="8" t="str">
        <f>IFERROR(__xludf.DUMMYFUNCTION("IF(A365="""","""",TEXTJOIN(CHAR(10),TRUE,FILTER('Tổng hợp 75 trang đích'!$B$2:$B$2505,'Tổng hợp 75 trang đích'!$I$2:$I$2505=A365)))"),"https://techcombank.com/thong-tin/blog/cach-sao-ke-tai-khoan-ngan-hang
https://techcombank.com/thong-tin/blog/traveloka-voucher
https://techcombank.com/thong-tin/blog/cach-tiet-kiem-tien")</f>
        <v>https://techcombank.com/thong-tin/blog/cach-sao-ke-tai-khoan-ngan-hang
https://techcombank.com/thong-tin/blog/traveloka-voucher
https://techcombank.com/thong-tin/blog/cach-tiet-kiem-tien</v>
      </c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</row>
    <row r="366">
      <c r="A366" s="27" t="str">
        <f>IFERROR(__xludf.DUMMYFUNCTION("""COMPUTED_VALUE"""),"https://techcombank.com/thong-tin/blog/thanh-toan-tra-sau-viettel-bang-tai-khoan-ngan-hang")</f>
        <v>https://techcombank.com/thong-tin/blog/thanh-toan-tra-sau-viettel-bang-tai-khoan-ngan-hang</v>
      </c>
      <c r="B366" s="11">
        <f>IFERROR(__xludf.DUMMYFUNCTION("""COMPUTED_VALUE"""),3.0)</f>
        <v>3</v>
      </c>
      <c r="C366" s="8" t="str">
        <f>IFERROR(__xludf.DUMMYFUNCTION("IF(A366="""","""",TEXTJOIN(CHAR(10),TRUE,FILTER('Tổng hợp 75 trang đích'!$B$2:$B$2505,'Tổng hợp 75 trang đích'!$I$2:$I$2505=A366)))"),"https://techcombank.com/thong-tin/blog/cach-nap-the-viettel
https://techcombank.com/thong-tin/blog/cach-mo-tai-khoan
https://techcombank.com/thong-tin/blog/ten-dang-nhap-tai-khoan-ngan-hang-la-gi")</f>
        <v>https://techcombank.com/thong-tin/blog/cach-nap-the-viettel
https://techcombank.com/thong-tin/blog/cach-mo-tai-khoan
https://techcombank.com/thong-tin/blog/ten-dang-nhap-tai-khoan-ngan-hang-la-gi</v>
      </c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</row>
    <row r="367">
      <c r="A367" s="27" t="str">
        <f>IFERROR(__xludf.DUMMYFUNCTION("""COMPUTED_VALUE"""),"https://techcombank.com/thong-tin/blog/thay-doi-dia-chi-ho-kinh-doanh")</f>
        <v>https://techcombank.com/thong-tin/blog/thay-doi-dia-chi-ho-kinh-doanh</v>
      </c>
      <c r="B367" s="11">
        <f>IFERROR(__xludf.DUMMYFUNCTION("""COMPUTED_VALUE"""),3.0)</f>
        <v>3</v>
      </c>
      <c r="C367" s="8" t="str">
        <f>IFERROR(__xludf.DUMMYFUNCTION("IF(A367="""","""",TEXTJOIN(CHAR(10),TRUE,FILTER('Tổng hợp 75 trang đích'!$B$2:$B$2505,'Tổng hợp 75 trang đích'!$I$2:$I$2505=A367)))"),"https://techcombank.com/thong-tin/blog/ho-kinh-doanh-dong-thue-nhu-nao
https://techcombank.com/thong-tin/blog/mo-tai-khoan-ho-kinh-doanh
https://techcombank.com/thong-tin/blog/cach-tinh-thue-ho-kinh-doanh-nho-le")</f>
        <v>https://techcombank.com/thong-tin/blog/ho-kinh-doanh-dong-thue-nhu-nao
https://techcombank.com/thong-tin/blog/mo-tai-khoan-ho-kinh-doanh
https://techcombank.com/thong-tin/blog/cach-tinh-thue-ho-kinh-doanh-nho-le</v>
      </c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</row>
    <row r="368">
      <c r="A368" s="27" t="str">
        <f>IFERROR(__xludf.DUMMYFUNCTION("""COMPUTED_VALUE"""),"https://techcombank.com/thong-tin/blog/the-chap-la-gi")</f>
        <v>https://techcombank.com/thong-tin/blog/the-chap-la-gi</v>
      </c>
      <c r="B368" s="11">
        <f>IFERROR(__xludf.DUMMYFUNCTION("""COMPUTED_VALUE"""),3.0)</f>
        <v>3</v>
      </c>
      <c r="C368" s="8" t="str">
        <f>IFERROR(__xludf.DUMMYFUNCTION("IF(A368="""","""",TEXTJOIN(CHAR(10),TRUE,FILTER('Tổng hợp 75 trang đích'!$B$2:$B$2505,'Tổng hợp 75 trang đích'!$I$2:$I$2505=A368)))"),"https://techcombank.com/thong-tin/blog/vay-ngan-hang-1-ty-moi-thang-tra-bao-nhieu
https://techcombank.com/thong-tin/blog/lai-suat-vay-the-chap-so-do
https://techcombank.com/thong-tin/blog/ho-so-thu-tuc-xoa-the-chap")</f>
        <v>https://techcombank.com/thong-tin/blog/vay-ngan-hang-1-ty-moi-thang-tra-bao-nhieu
https://techcombank.com/thong-tin/blog/lai-suat-vay-the-chap-so-do
https://techcombank.com/thong-tin/blog/ho-so-thu-tuc-xoa-the-chap</v>
      </c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</row>
    <row r="369">
      <c r="A369" s="27" t="str">
        <f>IFERROR(__xludf.DUMMYFUNCTION("""COMPUTED_VALUE"""),"https://techcombank.com/thong-tin/blog/the-ghi-no-co-chuyen-khoan-duoc-khong")</f>
        <v>https://techcombank.com/thong-tin/blog/the-ghi-no-co-chuyen-khoan-duoc-khong</v>
      </c>
      <c r="B369" s="11">
        <f>IFERROR(__xludf.DUMMYFUNCTION("""COMPUTED_VALUE"""),3.0)</f>
        <v>3</v>
      </c>
      <c r="C369" s="8" t="str">
        <f>IFERROR(__xludf.DUMMYFUNCTION("IF(A369="""","""",TEXTJOIN(CHAR(10),TRUE,FILTER('Tổng hợp 75 trang đích'!$B$2:$B$2505,'Tổng hợp 75 trang đích'!$I$2:$I$2505=A369)))"),"https://techcombank.com/thong-tin/blog/chuyen-khoan-thanh-cong-nhung-khong-nhan-duoc-tien
https://techcombank.com/thong-tin/blog/ten-dang-nhap-tai-khoan-ngan-hang-la-gi
https://techcombank.com/thong-tin/blog/eco-card")</f>
        <v>https://techcombank.com/thong-tin/blog/chuyen-khoan-thanh-cong-nhung-khong-nhan-duoc-tien
https://techcombank.com/thong-tin/blog/ten-dang-nhap-tai-khoan-ngan-hang-la-gi
https://techcombank.com/thong-tin/blog/eco-card</v>
      </c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</row>
    <row r="370">
      <c r="A370" s="27" t="str">
        <f>IFERROR(__xludf.DUMMYFUNCTION("""COMPUTED_VALUE"""),"https://techcombank.com/thong-tin/blog/the-ghi-no-co-rut-tien-duoc-khong")</f>
        <v>https://techcombank.com/thong-tin/blog/the-ghi-no-co-rut-tien-duoc-khong</v>
      </c>
      <c r="B370" s="11">
        <f>IFERROR(__xludf.DUMMYFUNCTION("""COMPUTED_VALUE"""),3.0)</f>
        <v>3</v>
      </c>
      <c r="C370" s="8" t="str">
        <f>IFERROR(__xludf.DUMMYFUNCTION("IF(A370="""","""",TEXTJOIN(CHAR(10),TRUE,FILTER('Tổng hợp 75 trang đích'!$B$2:$B$2505,'Tổng hợp 75 trang đích'!$I$2:$I$2505=A370)))"),"https://techcombank.com/thong-tin/blog/rut-tien-bang-ma-qr-la-gi-cach-thuc-hien-nhu-the-nao
https://techcombank.com/thong-tin/blog/eco-card
https://techcombank.com/thong-tin/blog/rut-tien-mat-tu-the-tin-dung")</f>
        <v>https://techcombank.com/thong-tin/blog/rut-tien-bang-ma-qr-la-gi-cach-thuc-hien-nhu-the-nao
https://techcombank.com/thong-tin/blog/eco-card
https://techcombank.com/thong-tin/blog/rut-tien-mat-tu-the-tin-dung</v>
      </c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</row>
    <row r="371">
      <c r="A371" s="27" t="str">
        <f>IFERROR(__xludf.DUMMYFUNCTION("""COMPUTED_VALUE"""),"https://techcombank.com/thong-tin/blog/the-visa-co-rut-tien-duoc-khong")</f>
        <v>https://techcombank.com/thong-tin/blog/the-visa-co-rut-tien-duoc-khong</v>
      </c>
      <c r="B371" s="11">
        <f>IFERROR(__xludf.DUMMYFUNCTION("""COMPUTED_VALUE"""),3.0)</f>
        <v>3</v>
      </c>
      <c r="C371" s="8" t="str">
        <f>IFERROR(__xludf.DUMMYFUNCTION("IF(A371="""","""",TEXTJOIN(CHAR(10),TRUE,FILTER('Tổng hợp 75 trang đích'!$B$2:$B$2505,'Tổng hợp 75 trang đích'!$I$2:$I$2505=A371)))"),"https://techcombank.com/thong-tin/blog/nap-tien-vao-tai-khoan-ngan-hang
https://techcombank.com/thong-tin/blog/rut-tien-bang-ma-qr-la-gi-cach-thuc-hien-nhu-the-nao
https://techcombank.com/thong-tin/blog/rut-tien-mat-tu-the-tin-dung")</f>
        <v>https://techcombank.com/thong-tin/blog/nap-tien-vao-tai-khoan-ngan-hang
https://techcombank.com/thong-tin/blog/rut-tien-bang-ma-qr-la-gi-cach-thuc-hien-nhu-the-nao
https://techcombank.com/thong-tin/blog/rut-tien-mat-tu-the-tin-dung</v>
      </c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</row>
    <row r="372">
      <c r="A372" s="27" t="str">
        <f>IFERROR(__xludf.DUMMYFUNCTION("""COMPUTED_VALUE"""),"https://techcombank.com/thong-tin/blog/thi-truong-trai-phieu-am-tro-lai-nha-dau-tu-san-sang-cho-nhung-co-hoi-sinh-loi-moi")</f>
        <v>https://techcombank.com/thong-tin/blog/thi-truong-trai-phieu-am-tro-lai-nha-dau-tu-san-sang-cho-nhung-co-hoi-sinh-loi-moi</v>
      </c>
      <c r="B372" s="11">
        <f>IFERROR(__xludf.DUMMYFUNCTION("""COMPUTED_VALUE"""),3.0)</f>
        <v>3</v>
      </c>
      <c r="C372" s="8" t="str">
        <f>IFERROR(__xludf.DUMMYFUNCTION("IF(A372="""","""",TEXTJOIN(CHAR(10),TRUE,FILTER('Tổng hợp 75 trang đích'!$B$2:$B$2505,'Tổng hợp 75 trang đích'!$I$2:$I$2505=A372)))"),"https://techcombank.com/thong-tin/blog/thue-thu-nhap-doanh-nghiep
https://techcombank.com/thong-tin/blog/cach-tinh-thue-thu-nhap-doanh-nghiep
https://techcombank.com/thong-tin/blog/phuong-phap-dau-tu-chung-chi-quy")</f>
        <v>https://techcombank.com/thong-tin/blog/thue-thu-nhap-doanh-nghiep
https://techcombank.com/thong-tin/blog/cach-tinh-thue-thu-nhap-doanh-nghiep
https://techcombank.com/thong-tin/blog/phuong-phap-dau-tu-chung-chi-quy</v>
      </c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</row>
    <row r="373">
      <c r="A373" s="27" t="str">
        <f>IFERROR(__xludf.DUMMYFUNCTION("""COMPUTED_VALUE"""),"https://techcombank.com/thong-tin/blog/thue-ho-kinh-doanh-2025")</f>
        <v>https://techcombank.com/thong-tin/blog/thue-ho-kinh-doanh-2025</v>
      </c>
      <c r="B373" s="11">
        <f>IFERROR(__xludf.DUMMYFUNCTION("""COMPUTED_VALUE"""),3.0)</f>
        <v>3</v>
      </c>
      <c r="C373" s="8" t="str">
        <f>IFERROR(__xludf.DUMMYFUNCTION("IF(A373="""","""",TEXTJOIN(CHAR(10),TRUE,FILTER('Tổng hợp 75 trang đích'!$B$2:$B$2505,'Tổng hợp 75 trang đích'!$I$2:$I$2505=A373)))"),"https://techcombank.com/thong-tin/blog/ho-kinh-doanh-dong-thue-nhu-nao
https://techcombank.com/thong-tin/blog/mo-tai-khoan-ho-kinh-doanh
https://techcombank.com/thong-tin/blog/cach-tinh-thue-ho-kinh-doanh-nho-le")</f>
        <v>https://techcombank.com/thong-tin/blog/ho-kinh-doanh-dong-thue-nhu-nao
https://techcombank.com/thong-tin/blog/mo-tai-khoan-ho-kinh-doanh
https://techcombank.com/thong-tin/blog/cach-tinh-thue-ho-kinh-doanh-nho-le</v>
      </c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</row>
    <row r="374">
      <c r="A374" s="27" t="str">
        <f>IFERROR(__xludf.DUMMYFUNCTION("""COMPUTED_VALUE"""),"https://techcombank.com/thong-tin/blog/thue-khoan-ho-kinh-doanh-la-gi")</f>
        <v>https://techcombank.com/thong-tin/blog/thue-khoan-ho-kinh-doanh-la-gi</v>
      </c>
      <c r="B374" s="11">
        <f>IFERROR(__xludf.DUMMYFUNCTION("""COMPUTED_VALUE"""),3.0)</f>
        <v>3</v>
      </c>
      <c r="C374" s="8" t="str">
        <f>IFERROR(__xludf.DUMMYFUNCTION("IF(A374="""","""",TEXTJOIN(CHAR(10),TRUE,FILTER('Tổng hợp 75 trang đích'!$B$2:$B$2505,'Tổng hợp 75 trang đích'!$I$2:$I$2505=A374)))"),"https://techcombank.com/thong-tin/blog/ho-kinh-doanh-dong-thue-nhu-nao
https://techcombank.com/thong-tin/blog/mo-tai-khoan-ho-kinh-doanh
https://techcombank.com/thong-tin/blog/cach-tinh-thue-ho-kinh-doanh-nho-le")</f>
        <v>https://techcombank.com/thong-tin/blog/ho-kinh-doanh-dong-thue-nhu-nao
https://techcombank.com/thong-tin/blog/mo-tai-khoan-ho-kinh-doanh
https://techcombank.com/thong-tin/blog/cach-tinh-thue-ho-kinh-doanh-nho-le</v>
      </c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</row>
    <row r="375">
      <c r="A375" s="27" t="str">
        <f>IFERROR(__xludf.DUMMYFUNCTION("""COMPUTED_VALUE"""),"https://techcombank.com/thong-tin/blog/tich-luy-tai-san")</f>
        <v>https://techcombank.com/thong-tin/blog/tich-luy-tai-san</v>
      </c>
      <c r="B375" s="11">
        <f>IFERROR(__xludf.DUMMYFUNCTION("""COMPUTED_VALUE"""),3.0)</f>
        <v>3</v>
      </c>
      <c r="C375" s="8" t="str">
        <f>IFERROR(__xludf.DUMMYFUNCTION("IF(A375="""","""",TEXTJOIN(CHAR(10),TRUE,FILTER('Tổng hợp 75 trang đích'!$B$2:$B$2505,'Tổng hợp 75 trang đích'!$I$2:$I$2505=A375)))"),"https://techcombank.com/thong-tin/blog/eco-card
https://techcombank.com/cong-cu-tien-ich/cong-cu-tinh-toan/bang-tinh-lai-suat-tiet-kiem
https://techcombank.com/thong-tin/blog/phuong-phap-dau-tu-chung-chi-quy")</f>
        <v>https://techcombank.com/thong-tin/blog/eco-card
https://techcombank.com/cong-cu-tien-ich/cong-cu-tinh-toan/bang-tinh-lai-suat-tiet-kiem
https://techcombank.com/thong-tin/blog/phuong-phap-dau-tu-chung-chi-quy</v>
      </c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</row>
    <row r="376">
      <c r="A376" s="27" t="str">
        <f>IFERROR(__xludf.DUMMYFUNCTION("""COMPUTED_VALUE"""),"https://techcombank.com/thong-tin/blog/tiem-nang-chuyen-doi-tu-ho-kinh-doanh-len-doanh-nghiep-sme")</f>
        <v>https://techcombank.com/thong-tin/blog/tiem-nang-chuyen-doi-tu-ho-kinh-doanh-len-doanh-nghiep-sme</v>
      </c>
      <c r="B376" s="11">
        <f>IFERROR(__xludf.DUMMYFUNCTION("""COMPUTED_VALUE"""),3.0)</f>
        <v>3</v>
      </c>
      <c r="C376" s="8" t="str">
        <f>IFERROR(__xludf.DUMMYFUNCTION("IF(A376="""","""",TEXTJOIN(CHAR(10),TRUE,FILTER('Tổng hợp 75 trang đích'!$B$2:$B$2505,'Tổng hợp 75 trang đích'!$I$2:$I$2505=A376)))"),"https://techcombank.com/thong-tin/blog/ho-kinh-doanh-dong-thue-nhu-nao
https://techcombank.com/thong-tin/blog/mo-tai-khoan-ho-kinh-doanh
https://techcombank.com/thong-tin/blog/cach-tinh-thue-ho-kinh-doanh-nho-le")</f>
        <v>https://techcombank.com/thong-tin/blog/ho-kinh-doanh-dong-thue-nhu-nao
https://techcombank.com/thong-tin/blog/mo-tai-khoan-ho-kinh-doanh
https://techcombank.com/thong-tin/blog/cach-tinh-thue-ho-kinh-doanh-nho-le</v>
      </c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</row>
    <row r="377">
      <c r="A377" s="27" t="str">
        <f>IFERROR(__xludf.DUMMYFUNCTION("""COMPUTED_VALUE"""),"https://techcombank.com/thong-tin/blog/tien-gui-khong-ky-han")</f>
        <v>https://techcombank.com/thong-tin/blog/tien-gui-khong-ky-han</v>
      </c>
      <c r="B377" s="11">
        <f>IFERROR(__xludf.DUMMYFUNCTION("""COMPUTED_VALUE"""),3.0)</f>
        <v>3</v>
      </c>
      <c r="C377" s="8" t="str">
        <f>IFERROR(__xludf.DUMMYFUNCTION("IF(A377="""","""",TEXTJOIN(CHAR(10),TRUE,FILTER('Tổng hợp 75 trang đích'!$B$2:$B$2505,'Tổng hợp 75 trang đích'!$I$2:$I$2505=A377)))"),"https://techcombank.com/thong-tin/blog/lai-suat-tiet-kiem
https://techcombank.com/thong-tin/blog/cach-tinh-lai-suat-tien-gui-tiet-kiem
https://techcombank.com/cong-cu-tien-ich/cong-cu-tinh-toan/bang-tinh-lai-suat-tiet-kiem")</f>
        <v>https://techcombank.com/thong-tin/blog/lai-suat-tiet-kiem
https://techcombank.com/thong-tin/blog/cach-tinh-lai-suat-tien-gui-tiet-kiem
https://techcombank.com/cong-cu-tien-ich/cong-cu-tinh-toan/bang-tinh-lai-suat-tiet-kiem</v>
      </c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</row>
    <row r="378">
      <c r="A378" s="27" t="str">
        <f>IFERROR(__xludf.DUMMYFUNCTION("""COMPUTED_VALUE"""),"https://techcombank.com/thong-tin/blog/tien-nhan-roi-nen-lam-gi")</f>
        <v>https://techcombank.com/thong-tin/blog/tien-nhan-roi-nen-lam-gi</v>
      </c>
      <c r="B378" s="11">
        <f>IFERROR(__xludf.DUMMYFUNCTION("""COMPUTED_VALUE"""),3.0)</f>
        <v>3</v>
      </c>
      <c r="C378" s="8" t="str">
        <f>IFERROR(__xludf.DUMMYFUNCTION("IF(A378="""","""",TEXTJOIN(CHAR(10),TRUE,FILTER('Tổng hợp 75 trang đích'!$B$2:$B$2505,'Tổng hợp 75 trang đích'!$I$2:$I$2505=A378)))"),"https://techcombank.com/thong-tin/blog/chung-chi-tien-gui-la-gi
https://techcombank.com/cong-cu-tien-ich/cong-cu-tinh-toan/bang-tinh-lai-suat-tiet-kiem
https://techcombank.com/thong-tin/blog/phuong-phap-dau-tu-chung-chi-quy")</f>
        <v>https://techcombank.com/thong-tin/blog/chung-chi-tien-gui-la-gi
https://techcombank.com/cong-cu-tien-ich/cong-cu-tinh-toan/bang-tinh-lai-suat-tiet-kiem
https://techcombank.com/thong-tin/blog/phuong-phap-dau-tu-chung-chi-quy</v>
      </c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</row>
    <row r="379">
      <c r="A379" s="27" t="str">
        <f>IFERROR(__xludf.DUMMYFUNCTION("""COMPUTED_VALUE"""),"https://techcombank.com/thong-tin/blog/tien-singapore")</f>
        <v>https://techcombank.com/thong-tin/blog/tien-singapore</v>
      </c>
      <c r="B379" s="11">
        <f>IFERROR(__xludf.DUMMYFUNCTION("""COMPUTED_VALUE"""),3.0)</f>
        <v>3</v>
      </c>
      <c r="C379" s="8" t="str">
        <f>IFERROR(__xludf.DUMMYFUNCTION("IF(A379="""","""",TEXTJOIN(CHAR(10),TRUE,FILTER('Tổng hợp 75 trang đích'!$B$2:$B$2505,'Tổng hợp 75 trang đích'!$I$2:$I$2505=A379)))"),"https://techcombank.com/thong-tin/blog/1-trieu-do-bang-bao-nhieu-tien-viet
https://techcombank.com/thong-tin/blog/cach-nhan-tien-tu-nuoc-ngoai-ve-viet-nam
https://techcombank.com/thong-tin/blog/doi-tien-do-o-dau")</f>
        <v>https://techcombank.com/thong-tin/blog/1-trieu-do-bang-bao-nhieu-tien-viet
https://techcombank.com/thong-tin/blog/cach-nhan-tien-tu-nuoc-ngoai-ve-viet-nam
https://techcombank.com/thong-tin/blog/doi-tien-do-o-dau</v>
      </c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</row>
    <row r="380">
      <c r="A380" s="27" t="str">
        <f>IFERROR(__xludf.DUMMYFUNCTION("""COMPUTED_VALUE"""),"https://techcombank.com/thong-tin/blog/tien-trung-quoc")</f>
        <v>https://techcombank.com/thong-tin/blog/tien-trung-quoc</v>
      </c>
      <c r="B380" s="11">
        <f>IFERROR(__xludf.DUMMYFUNCTION("""COMPUTED_VALUE"""),3.0)</f>
        <v>3</v>
      </c>
      <c r="C380" s="8" t="str">
        <f>IFERROR(__xludf.DUMMYFUNCTION("IF(A380="""","""",TEXTJOIN(CHAR(10),TRUE,FILTER('Tổng hợp 75 trang đích'!$B$2:$B$2505,'Tổng hợp 75 trang đích'!$I$2:$I$2505=A380)))"),"https://techcombank.com/thong-tin/blog/chuyen-khoan-thanh-cong-nhung-khong-nhan-duoc-tien
https://techcombank.com/thong-tin/blog/1-te-bang-bao-nhieu-tien-viet-nam
https://techcombank.com/thong-tin/blog/doi-tien-do-o-dau")</f>
        <v>https://techcombank.com/thong-tin/blog/chuyen-khoan-thanh-cong-nhung-khong-nhan-duoc-tien
https://techcombank.com/thong-tin/blog/1-te-bang-bao-nhieu-tien-viet-nam
https://techcombank.com/thong-tin/blog/doi-tien-do-o-dau</v>
      </c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</row>
    <row r="381">
      <c r="A381" s="27" t="str">
        <f>IFERROR(__xludf.DUMMYFUNCTION("""COMPUTED_VALUE"""),"https://techcombank.com/thong-tin/blog/tinh-thanh-khoan-la-gi")</f>
        <v>https://techcombank.com/thong-tin/blog/tinh-thanh-khoan-la-gi</v>
      </c>
      <c r="B381" s="11">
        <f>IFERROR(__xludf.DUMMYFUNCTION("""COMPUTED_VALUE"""),3.0)</f>
        <v>3</v>
      </c>
      <c r="C381" s="8" t="str">
        <f>IFERROR(__xludf.DUMMYFUNCTION("IF(A381="""","""",TEXTJOIN(CHAR(10),TRUE,FILTER('Tổng hợp 75 trang đích'!$B$2:$B$2505,'Tổng hợp 75 trang đích'!$I$2:$I$2505=A381)))"),"https://techcombank.com/thong-tin/blog/cach-tiet-kiem-tien
https://techcombank.com/thong-tin/blog/rui-ro-khi-gui-tiet-kiem-online
https://techcombank.com/thong-tin/blog/phuong-phap-dau-tu-chung-chi-quy")</f>
        <v>https://techcombank.com/thong-tin/blog/cach-tiet-kiem-tien
https://techcombank.com/thong-tin/blog/rui-ro-khi-gui-tiet-kiem-online
https://techcombank.com/thong-tin/blog/phuong-phap-dau-tu-chung-chi-quy</v>
      </c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</row>
    <row r="382">
      <c r="A382" s="27" t="str">
        <f>IFERROR(__xludf.DUMMYFUNCTION("""COMPUTED_VALUE"""),"https://techcombank.com/thong-tin/blog/toi-uu-hoa-chi-phi-trong-doanh-nghiep")</f>
        <v>https://techcombank.com/thong-tin/blog/toi-uu-hoa-chi-phi-trong-doanh-nghiep</v>
      </c>
      <c r="B382" s="11">
        <f>IFERROR(__xludf.DUMMYFUNCTION("""COMPUTED_VALUE"""),3.0)</f>
        <v>3</v>
      </c>
      <c r="C382" s="8" t="str">
        <f>IFERROR(__xludf.DUMMYFUNCTION("IF(A382="""","""",TEXTJOIN(CHAR(10),TRUE,FILTER('Tổng hợp 75 trang đích'!$B$2:$B$2505,'Tổng hợp 75 trang đích'!$I$2:$I$2505=A382)))"),"https://techcombank.com/thong-tin/blog/thue-thu-nhap-doanh-nghiep
https://techcombank.com/thong-tin/blog/cach-tinh-thue-thu-nhap-doanh-nghiep
https://techcombank.com/thong-tin/blog/eco-card")</f>
        <v>https://techcombank.com/thong-tin/blog/thue-thu-nhap-doanh-nghiep
https://techcombank.com/thong-tin/blog/cach-tinh-thue-thu-nhap-doanh-nghiep
https://techcombank.com/thong-tin/blog/eco-card</v>
      </c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</row>
    <row r="383">
      <c r="A383" s="27" t="str">
        <f>IFERROR(__xludf.DUMMYFUNCTION("""COMPUTED_VALUE"""),"https://techcombank.com/thong-tin/blog/top-phan-mem-ban-hang")</f>
        <v>https://techcombank.com/thong-tin/blog/top-phan-mem-ban-hang</v>
      </c>
      <c r="B383" s="11">
        <f>IFERROR(__xludf.DUMMYFUNCTION("""COMPUTED_VALUE"""),3.0)</f>
        <v>3</v>
      </c>
      <c r="C383" s="8" t="str">
        <f>IFERROR(__xludf.DUMMYFUNCTION("IF(A383="""","""",TEXTJOIN(CHAR(10),TRUE,FILTER('Tổng hợp 75 trang đích'!$B$2:$B$2505,'Tổng hợp 75 trang đích'!$I$2:$I$2505=A383)))"),"https://techcombank.com/thong-tin/blog/ho-kinh-doanh-dong-thue-nhu-nao
https://techcombank.com/thong-tin/blog/mo-tai-khoan-ho-kinh-doanh
https://techcombank.com/thong-tin/blog/cach-tinh-thue-ho-kinh-doanh-nho-le")</f>
        <v>https://techcombank.com/thong-tin/blog/ho-kinh-doanh-dong-thue-nhu-nao
https://techcombank.com/thong-tin/blog/mo-tai-khoan-ho-kinh-doanh
https://techcombank.com/thong-tin/blog/cach-tinh-thue-ho-kinh-doanh-nho-le</v>
      </c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</row>
    <row r="384">
      <c r="A384" s="27" t="str">
        <f>IFERROR(__xludf.DUMMYFUNCTION("""COMPUTED_VALUE"""),"https://techcombank.com/thong-tin/blog/tra-gop-hoc-phi")</f>
        <v>https://techcombank.com/thong-tin/blog/tra-gop-hoc-phi</v>
      </c>
      <c r="B384" s="11">
        <f>IFERROR(__xludf.DUMMYFUNCTION("""COMPUTED_VALUE"""),3.0)</f>
        <v>3</v>
      </c>
      <c r="C384" s="8" t="str">
        <f>IFERROR(__xludf.DUMMYFUNCTION("IF(A384="""","""",TEXTJOIN(CHAR(10),TRUE,FILTER('Tổng hợp 75 trang đích'!$B$2:$B$2505,'Tổng hợp 75 trang đích'!$I$2:$I$2505=A384)))"),"https://techcombank.com/thong-tin/blog/vay-ngan-hang-1-ty-moi-thang-tra-bao-nhieu
https://techcombank.com/thong-tin/blog/cach-tinh-lai-vay-ngan-hang
https://techcombank.com/cong-cu-tien-ich/cong-cu-tinh-toan/bang-tinh-lai-suat-vay")</f>
        <v>https://techcombank.com/thong-tin/blog/vay-ngan-hang-1-ty-moi-thang-tra-bao-nhieu
https://techcombank.com/thong-tin/blog/cach-tinh-lai-vay-ngan-hang
https://techcombank.com/cong-cu-tien-ich/cong-cu-tinh-toan/bang-tinh-lai-suat-vay</v>
      </c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</row>
    <row r="385">
      <c r="A385" s="27" t="str">
        <f>IFERROR(__xludf.DUMMYFUNCTION("""COMPUTED_VALUE"""),"https://techcombank.com/thong-tin/blog/ty-gia-la-gi")</f>
        <v>https://techcombank.com/thong-tin/blog/ty-gia-la-gi</v>
      </c>
      <c r="B385" s="11">
        <f>IFERROR(__xludf.DUMMYFUNCTION("""COMPUTED_VALUE"""),3.0)</f>
        <v>3</v>
      </c>
      <c r="C385" s="8" t="str">
        <f>IFERROR(__xludf.DUMMYFUNCTION("IF(A385="""","""",TEXTJOIN(CHAR(10),TRUE,FILTER('Tổng hợp 75 trang đích'!$B$2:$B$2505,'Tổng hợp 75 trang đích'!$I$2:$I$2505=A385)))"),"https://techcombank.com/thong-tin/blog/ngan-hang-uy-tin
https://techcombank.com/thong-tin/blog/1-te-bang-bao-nhieu-tien-viet-nam
https://techcombank.com/thong-tin/blog/doi-tien-do-o-dau")</f>
        <v>https://techcombank.com/thong-tin/blog/ngan-hang-uy-tin
https://techcombank.com/thong-tin/blog/1-te-bang-bao-nhieu-tien-viet-nam
https://techcombank.com/thong-tin/blog/doi-tien-do-o-dau</v>
      </c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</row>
    <row r="386">
      <c r="A386" s="27" t="str">
        <f>IFERROR(__xludf.DUMMYFUNCTION("""COMPUTED_VALUE"""),"https://techcombank.com/thong-tin/blog/vay-15-trieu")</f>
        <v>https://techcombank.com/thong-tin/blog/vay-15-trieu</v>
      </c>
      <c r="B386" s="11">
        <f>IFERROR(__xludf.DUMMYFUNCTION("""COMPUTED_VALUE"""),3.0)</f>
        <v>3</v>
      </c>
      <c r="C386" s="8" t="str">
        <f>IFERROR(__xludf.DUMMYFUNCTION("IF(A386="""","""",TEXTJOIN(CHAR(10),TRUE,FILTER('Tổng hợp 75 trang đích'!$B$2:$B$2505,'Tổng hợp 75 trang đích'!$I$2:$I$2505=A386)))"),"https://techcombank.com/thong-tin/blog/vay-ngan-hang-1-ty-moi-thang-tra-bao-nhieu
https://techcombank.com/thong-tin/blog/cach-tinh-lai-vay-ngan-hang
https://techcombank.com/cong-cu-tien-ich/cong-cu-tinh-toan/bang-tinh-lai-suat-vay")</f>
        <v>https://techcombank.com/thong-tin/blog/vay-ngan-hang-1-ty-moi-thang-tra-bao-nhieu
https://techcombank.com/thong-tin/blog/cach-tinh-lai-vay-ngan-hang
https://techcombank.com/cong-cu-tien-ich/cong-cu-tinh-toan/bang-tinh-lai-suat-vay</v>
      </c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</row>
    <row r="387">
      <c r="A387" s="27" t="str">
        <f>IFERROR(__xludf.DUMMYFUNCTION("""COMPUTED_VALUE"""),"https://techcombank.com/thong-tin/blog/vay-300-trieu")</f>
        <v>https://techcombank.com/thong-tin/blog/vay-300-trieu</v>
      </c>
      <c r="B387" s="11">
        <f>IFERROR(__xludf.DUMMYFUNCTION("""COMPUTED_VALUE"""),3.0)</f>
        <v>3</v>
      </c>
      <c r="C387" s="8" t="str">
        <f>IFERROR(__xludf.DUMMYFUNCTION("IF(A387="""","""",TEXTJOIN(CHAR(10),TRUE,FILTER('Tổng hợp 75 trang đích'!$B$2:$B$2505,'Tổng hợp 75 trang đích'!$I$2:$I$2505=A387)))"),"https://techcombank.com/thong-tin/blog/vay-ngan-hang-1-ty-moi-thang-tra-bao-nhieu
https://techcombank.com/thong-tin/blog/cach-tinh-lai-vay-ngan-hang
https://techcombank.com/cong-cu-tien-ich/cong-cu-tinh-toan/bang-tinh-lai-suat-vay")</f>
        <v>https://techcombank.com/thong-tin/blog/vay-ngan-hang-1-ty-moi-thang-tra-bao-nhieu
https://techcombank.com/thong-tin/blog/cach-tinh-lai-vay-ngan-hang
https://techcombank.com/cong-cu-tien-ich/cong-cu-tinh-toan/bang-tinh-lai-suat-vay</v>
      </c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</row>
    <row r="388">
      <c r="A388" s="27" t="str">
        <f>IFERROR(__xludf.DUMMYFUNCTION("""COMPUTED_VALUE"""),"https://techcombank.com/thong-tin/blog/vay-40-trieu")</f>
        <v>https://techcombank.com/thong-tin/blog/vay-40-trieu</v>
      </c>
      <c r="B388" s="11">
        <f>IFERROR(__xludf.DUMMYFUNCTION("""COMPUTED_VALUE"""),3.0)</f>
        <v>3</v>
      </c>
      <c r="C388" s="8" t="str">
        <f>IFERROR(__xludf.DUMMYFUNCTION("IF(A388="""","""",TEXTJOIN(CHAR(10),TRUE,FILTER('Tổng hợp 75 trang đích'!$B$2:$B$2505,'Tổng hợp 75 trang đích'!$I$2:$I$2505=A388)))"),"https://techcombank.com/thong-tin/blog/vay-ngan-hang-1-ty-moi-thang-tra-bao-nhieu
https://techcombank.com/thong-tin/blog/cach-tinh-lai-vay-ngan-hang
https://techcombank.com/cong-cu-tien-ich/cong-cu-tinh-toan/bang-tinh-lai-suat-vay")</f>
        <v>https://techcombank.com/thong-tin/blog/vay-ngan-hang-1-ty-moi-thang-tra-bao-nhieu
https://techcombank.com/thong-tin/blog/cach-tinh-lai-vay-ngan-hang
https://techcombank.com/cong-cu-tien-ich/cong-cu-tinh-toan/bang-tinh-lai-suat-vay</v>
      </c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</row>
    <row r="389">
      <c r="A389" s="27" t="str">
        <f>IFERROR(__xludf.DUMMYFUNCTION("""COMPUTED_VALUE"""),"https://techcombank.com/thong-tin/blog/vay-du-hoc")</f>
        <v>https://techcombank.com/thong-tin/blog/vay-du-hoc</v>
      </c>
      <c r="B389" s="11">
        <f>IFERROR(__xludf.DUMMYFUNCTION("""COMPUTED_VALUE"""),3.0)</f>
        <v>3</v>
      </c>
      <c r="C389" s="8" t="str">
        <f>IFERROR(__xludf.DUMMYFUNCTION("IF(A389="""","""",TEXTJOIN(CHAR(10),TRUE,FILTER('Tổng hợp 75 trang đích'!$B$2:$B$2505,'Tổng hợp 75 trang đích'!$I$2:$I$2505=A389)))"),"https://techcombank.com/thong-tin/blog/cach-nhan-tien-tu-nuoc-ngoai-ve-viet-nam
https://techcombank.com/thong-tin/blog/app-vay-tien-nhanh
https://techcombank.com/thong-tin/blog/nen-vay-tin-chap-o-dau")</f>
        <v>https://techcombank.com/thong-tin/blog/cach-nhan-tien-tu-nuoc-ngoai-ve-viet-nam
https://techcombank.com/thong-tin/blog/app-vay-tien-nhanh
https://techcombank.com/thong-tin/blog/nen-vay-tin-chap-o-dau</v>
      </c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</row>
    <row r="390">
      <c r="A390" s="27" t="str">
        <f>IFERROR(__xludf.DUMMYFUNCTION("""COMPUTED_VALUE"""),"https://techcombank.com/thong-tin/blog/vay-mua-dien-thoai")</f>
        <v>https://techcombank.com/thong-tin/blog/vay-mua-dien-thoai</v>
      </c>
      <c r="B390" s="11">
        <f>IFERROR(__xludf.DUMMYFUNCTION("""COMPUTED_VALUE"""),3.0)</f>
        <v>3</v>
      </c>
      <c r="C390" s="8" t="str">
        <f>IFERROR(__xludf.DUMMYFUNCTION("IF(A390="""","""",TEXTJOIN(CHAR(10),TRUE,FILTER('Tổng hợp 75 trang đích'!$B$2:$B$2505,'Tổng hợp 75 trang đích'!$I$2:$I$2505=A390)))"),"https://techcombank.com/thong-tin/blog/vay-ngan-hang-1-ty-moi-thang-tra-bao-nhieu
https://techcombank.com/thong-tin/blog/cach-tinh-lai-vay-ngan-hang
https://techcombank.com/cong-cu-tien-ich/cong-cu-tinh-toan/bang-tinh-lai-suat-vay")</f>
        <v>https://techcombank.com/thong-tin/blog/vay-ngan-hang-1-ty-moi-thang-tra-bao-nhieu
https://techcombank.com/thong-tin/blog/cach-tinh-lai-vay-ngan-hang
https://techcombank.com/cong-cu-tien-ich/cong-cu-tinh-toan/bang-tinh-lai-suat-vay</v>
      </c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</row>
    <row r="391">
      <c r="A391" s="27" t="str">
        <f>IFERROR(__xludf.DUMMYFUNCTION("""COMPUTED_VALUE"""),"https://techcombank.com/thong-tin/blog/vay-mua-nha-o-xa-hoi")</f>
        <v>https://techcombank.com/thong-tin/blog/vay-mua-nha-o-xa-hoi</v>
      </c>
      <c r="B391" s="11">
        <f>IFERROR(__xludf.DUMMYFUNCTION("""COMPUTED_VALUE"""),3.0)</f>
        <v>3</v>
      </c>
      <c r="C391" s="8" t="str">
        <f>IFERROR(__xludf.DUMMYFUNCTION("IF(A391="""","""",TEXTJOIN(CHAR(10),TRUE,FILTER('Tổng hợp 75 trang đích'!$B$2:$B$2505,'Tổng hợp 75 trang đích'!$I$2:$I$2505=A391)))"),"https://techcombank.com/thong-tin/blog/vay-ngan-hang-1-ty-moi-thang-tra-bao-nhieu
https://techcombank.com/thong-tin/blog/cach-tinh-lai-vay-ngan-hang
https://techcombank.com/cong-cu-tien-ich/cong-cu-tinh-toan/bang-tinh-lai-suat-vay")</f>
        <v>https://techcombank.com/thong-tin/blog/vay-ngan-hang-1-ty-moi-thang-tra-bao-nhieu
https://techcombank.com/thong-tin/blog/cach-tinh-lai-vay-ngan-hang
https://techcombank.com/cong-cu-tien-ich/cong-cu-tinh-toan/bang-tinh-lai-suat-vay</v>
      </c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</row>
    <row r="392">
      <c r="A392" s="27" t="str">
        <f>IFERROR(__xludf.DUMMYFUNCTION("""COMPUTED_VALUE"""),"https://techcombank.com/thong-tin/blog/vay-the-chap-la-gi")</f>
        <v>https://techcombank.com/thong-tin/blog/vay-the-chap-la-gi</v>
      </c>
      <c r="B392" s="11">
        <f>IFERROR(__xludf.DUMMYFUNCTION("""COMPUTED_VALUE"""),3.0)</f>
        <v>3</v>
      </c>
      <c r="C392" s="8" t="str">
        <f>IFERROR(__xludf.DUMMYFUNCTION("IF(A392="""","""",TEXTJOIN(CHAR(10),TRUE,FILTER('Tổng hợp 75 trang đích'!$B$2:$B$2505,'Tổng hợp 75 trang đích'!$I$2:$I$2505=A392)))"),"https://techcombank.com/thong-tin/blog/vay-ngan-hang-1-ty-moi-thang-tra-bao-nhieu
https://techcombank.com/thong-tin/blog/lai-suat-vay-the-chap-so-do
https://techcombank.com/thong-tin/blog/ho-so-thu-tuc-xoa-the-chap")</f>
        <v>https://techcombank.com/thong-tin/blog/vay-ngan-hang-1-ty-moi-thang-tra-bao-nhieu
https://techcombank.com/thong-tin/blog/lai-suat-vay-the-chap-so-do
https://techcombank.com/thong-tin/blog/ho-so-thu-tuc-xoa-the-chap</v>
      </c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</row>
    <row r="393">
      <c r="A393" s="27" t="str">
        <f>IFERROR(__xludf.DUMMYFUNCTION("""COMPUTED_VALUE"""),"https://techcombank.com/thong-tin/blog/vay-the-chap-so-hong")</f>
        <v>https://techcombank.com/thong-tin/blog/vay-the-chap-so-hong</v>
      </c>
      <c r="B393" s="11">
        <f>IFERROR(__xludf.DUMMYFUNCTION("""COMPUTED_VALUE"""),3.0)</f>
        <v>3</v>
      </c>
      <c r="C393" s="8" t="str">
        <f>IFERROR(__xludf.DUMMYFUNCTION("IF(A393="""","""",TEXTJOIN(CHAR(10),TRUE,FILTER('Tổng hợp 75 trang đích'!$B$2:$B$2505,'Tổng hợp 75 trang đích'!$I$2:$I$2505=A393)))"),"https://techcombank.com/thong-tin/blog/vay-ngan-hang-1-ty-moi-thang-tra-bao-nhieu
https://techcombank.com/thong-tin/blog/lai-suat-vay-the-chap-so-do
https://techcombank.com/thong-tin/blog/ho-so-thu-tuc-xoa-the-chap")</f>
        <v>https://techcombank.com/thong-tin/blog/vay-ngan-hang-1-ty-moi-thang-tra-bao-nhieu
https://techcombank.com/thong-tin/blog/lai-suat-vay-the-chap-so-do
https://techcombank.com/thong-tin/blog/ho-so-thu-tuc-xoa-the-chap</v>
      </c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</row>
    <row r="394">
      <c r="A394" s="27" t="str">
        <f>IFERROR(__xludf.DUMMYFUNCTION("""COMPUTED_VALUE"""),"https://techcombank.com/thong-tin/blog/vay-the-chap-toi-da-duoc-bao-nhieu")</f>
        <v>https://techcombank.com/thong-tin/blog/vay-the-chap-toi-da-duoc-bao-nhieu</v>
      </c>
      <c r="B394" s="11">
        <f>IFERROR(__xludf.DUMMYFUNCTION("""COMPUTED_VALUE"""),3.0)</f>
        <v>3</v>
      </c>
      <c r="C394" s="8" t="str">
        <f>IFERROR(__xludf.DUMMYFUNCTION("IF(A394="""","""",TEXTJOIN(CHAR(10),TRUE,FILTER('Tổng hợp 75 trang đích'!$B$2:$B$2505,'Tổng hợp 75 trang đích'!$I$2:$I$2505=A394)))"),"https://techcombank.com/thong-tin/blog/vay-ngan-hang-1-ty-moi-thang-tra-bao-nhieu
https://techcombank.com/thong-tin/blog/lai-suat-vay-the-chap-so-do
https://techcombank.com/thong-tin/blog/ho-so-thu-tuc-xoa-the-chap")</f>
        <v>https://techcombank.com/thong-tin/blog/vay-ngan-hang-1-ty-moi-thang-tra-bao-nhieu
https://techcombank.com/thong-tin/blog/lai-suat-vay-the-chap-so-do
https://techcombank.com/thong-tin/blog/ho-so-thu-tuc-xoa-the-chap</v>
      </c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</row>
    <row r="395">
      <c r="A395" s="27" t="str">
        <f>IFERROR(__xludf.DUMMYFUNCTION("""COMPUTED_VALUE"""),"https://techcombank.com/thong-tin/blog/vay-tien-mat")</f>
        <v>https://techcombank.com/thong-tin/blog/vay-tien-mat</v>
      </c>
      <c r="B395" s="11">
        <f>IFERROR(__xludf.DUMMYFUNCTION("""COMPUTED_VALUE"""),3.0)</f>
        <v>3</v>
      </c>
      <c r="C395" s="8" t="str">
        <f>IFERROR(__xludf.DUMMYFUNCTION("IF(A395="""","""",TEXTJOIN(CHAR(10),TRUE,FILTER('Tổng hợp 75 trang đích'!$B$2:$B$2505,'Tổng hợp 75 trang đích'!$I$2:$I$2505=A395)))"),"https://techcombank.com/thong-tin/blog/rut-tien-mat-tu-the-tin-dung
https://techcombank.com/thong-tin/blog/app-vay-tien-nhanh
https://techcombank.com/thong-tin/blog/nen-vay-tin-chap-o-dau")</f>
        <v>https://techcombank.com/thong-tin/blog/rut-tien-mat-tu-the-tin-dung
https://techcombank.com/thong-tin/blog/app-vay-tien-nhanh
https://techcombank.com/thong-tin/blog/nen-vay-tin-chap-o-dau</v>
      </c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</row>
    <row r="396">
      <c r="A396" s="27" t="str">
        <f>IFERROR(__xludf.DUMMYFUNCTION("""COMPUTED_VALUE"""),"https://techcombank.com/thong-tin/blog/vay-tien-online")</f>
        <v>https://techcombank.com/thong-tin/blog/vay-tien-online</v>
      </c>
      <c r="B396" s="11">
        <f>IFERROR(__xludf.DUMMYFUNCTION("""COMPUTED_VALUE"""),3.0)</f>
        <v>3</v>
      </c>
      <c r="C396" s="8" t="str">
        <f>IFERROR(__xludf.DUMMYFUNCTION("IF(A396="""","""",TEXTJOIN(CHAR(10),TRUE,FILTER('Tổng hợp 75 trang đích'!$B$2:$B$2505,'Tổng hợp 75 trang đích'!$I$2:$I$2505=A396)))"),"https://techcombank.com/thong-tin/blog/cach-sao-ke-tai-khoan-ngan-hang
https://techcombank.com/thong-tin/blog/app-vay-tien-nhanh
https://techcombank.com/thong-tin/blog/nen-vay-tin-chap-o-dau")</f>
        <v>https://techcombank.com/thong-tin/blog/cach-sao-ke-tai-khoan-ngan-hang
https://techcombank.com/thong-tin/blog/app-vay-tien-nhanh
https://techcombank.com/thong-tin/blog/nen-vay-tin-chap-o-dau</v>
      </c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</row>
    <row r="397">
      <c r="A397" s="27" t="str">
        <f>IFERROR(__xludf.DUMMYFUNCTION("""COMPUTED_VALUE"""),"https://techcombank.com/thong-tin/blog/vay-tin-chap-toi-da-duoc-bao-nhieu")</f>
        <v>https://techcombank.com/thong-tin/blog/vay-tin-chap-toi-da-duoc-bao-nhieu</v>
      </c>
      <c r="B397" s="11">
        <f>IFERROR(__xludf.DUMMYFUNCTION("""COMPUTED_VALUE"""),3.0)</f>
        <v>3</v>
      </c>
      <c r="C397" s="8" t="str">
        <f>IFERROR(__xludf.DUMMYFUNCTION("IF(A397="""","""",TEXTJOIN(CHAR(10),TRUE,FILTER('Tổng hợp 75 trang đích'!$B$2:$B$2505,'Tổng hợp 75 trang đích'!$I$2:$I$2505=A397)))"),"https://techcombank.com/thong-tin/blog/app-vay-tien-nhanh
https://techcombank.com/thong-tin/blog/nen-vay-tin-chap-o-dau
https://techcombank.com/thong-tin/blog/vay-tin-chap-khong-tra-duoc-co-sao-khong")</f>
        <v>https://techcombank.com/thong-tin/blog/app-vay-tien-nhanh
https://techcombank.com/thong-tin/blog/nen-vay-tin-chap-o-dau
https://techcombank.com/thong-tin/blog/vay-tin-chap-khong-tra-duoc-co-sao-khong</v>
      </c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</row>
    <row r="398">
      <c r="A398" s="27" t="str">
        <f>IFERROR(__xludf.DUMMYFUNCTION("""COMPUTED_VALUE"""),"https://techcombank.com/thong-tin/blog/vip-ngan-hang")</f>
        <v>https://techcombank.com/thong-tin/blog/vip-ngan-hang</v>
      </c>
      <c r="B398" s="11">
        <f>IFERROR(__xludf.DUMMYFUNCTION("""COMPUTED_VALUE"""),3.0)</f>
        <v>3</v>
      </c>
      <c r="C398" s="8" t="str">
        <f>IFERROR(__xludf.DUMMYFUNCTION("IF(A398="""","""",TEXTJOIN(CHAR(10),TRUE,FILTER('Tổng hợp 75 trang đích'!$B$2:$B$2505,'Tổng hợp 75 trang đích'!$I$2:$I$2505=A398)))"),"https://techcombank.com/thong-tin/blog/cach-kiem-tra-tai-khoan-ngan-hang
https://techcombank.com/thong-tin/blog/cach-mo-tai-khoan
https://techcombank.com/thong-tin/blog/ngan-hang-uy-tin")</f>
        <v>https://techcombank.com/thong-tin/blog/cach-kiem-tra-tai-khoan-ngan-hang
https://techcombank.com/thong-tin/blog/cach-mo-tai-khoan
https://techcombank.com/thong-tin/blog/ngan-hang-uy-tin</v>
      </c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</row>
    <row r="399">
      <c r="A399" s="27" t="str">
        <f>IFERROR(__xludf.DUMMYFUNCTION("""COMPUTED_VALUE"""),"https://techcombank.com/thong-tin/blog/vnd-to-myr")</f>
        <v>https://techcombank.com/thong-tin/blog/vnd-to-myr</v>
      </c>
      <c r="B399" s="11">
        <f>IFERROR(__xludf.DUMMYFUNCTION("""COMPUTED_VALUE"""),3.0)</f>
        <v>3</v>
      </c>
      <c r="C399" s="8" t="str">
        <f>IFERROR(__xludf.DUMMYFUNCTION("IF(A399="""","""",TEXTJOIN(CHAR(10),TRUE,FILTER('Tổng hợp 75 trang đích'!$B$2:$B$2505,'Tổng hợp 75 trang đích'!$I$2:$I$2505=A399)))"),"https://techcombank.com/thong-tin/blog/cach-sao-ke-tai-khoan-ngan-hang
https://techcombank.com/thong-tin/blog/doi-tien-do-o-dau
https://techcombank.com/thong-tin/blog/cach-tiet-kiem-tien")</f>
        <v>https://techcombank.com/thong-tin/blog/cach-sao-ke-tai-khoan-ngan-hang
https://techcombank.com/thong-tin/blog/doi-tien-do-o-dau
https://techcombank.com/thong-tin/blog/cach-tiet-kiem-tien</v>
      </c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</row>
    <row r="400">
      <c r="A400" s="27" t="str">
        <f>IFERROR(__xludf.DUMMYFUNCTION("""COMPUTED_VALUE"""),"https://techcombank.com/thong-tin/blog/1-do-uc-bang-bao-nhieu-tien-viet")</f>
        <v>https://techcombank.com/thong-tin/blog/1-do-uc-bang-bao-nhieu-tien-viet</v>
      </c>
      <c r="B400" s="11">
        <f>IFERROR(__xludf.DUMMYFUNCTION("""COMPUTED_VALUE"""),2.0)</f>
        <v>2</v>
      </c>
      <c r="C400" s="8" t="str">
        <f>IFERROR(__xludf.DUMMYFUNCTION("IF(A400="""","""",TEXTJOIN(CHAR(10),TRUE,FILTER('Tổng hợp 75 trang đích'!$B$2:$B$2505,'Tổng hợp 75 trang đích'!$I$2:$I$2505=A400)))"),"https://techcombank.com/thong-tin/blog/1-trieu-do-bang-bao-nhieu-tien-viet
https://techcombank.com/thong-tin/blog/doi-tien-do-o-dau")</f>
        <v>https://techcombank.com/thong-tin/blog/1-trieu-do-bang-bao-nhieu-tien-viet
https://techcombank.com/thong-tin/blog/doi-tien-do-o-dau</v>
      </c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</row>
    <row r="401">
      <c r="A401" s="27" t="str">
        <f>IFERROR(__xludf.DUMMYFUNCTION("""COMPUTED_VALUE"""),"https://techcombank.com/thong-tin/blog/1-dong-do-la-my-bang-bao-nhieu-tien-viet-nam")</f>
        <v>https://techcombank.com/thong-tin/blog/1-dong-do-la-my-bang-bao-nhieu-tien-viet-nam</v>
      </c>
      <c r="B401" s="11">
        <f>IFERROR(__xludf.DUMMYFUNCTION("""COMPUTED_VALUE"""),2.0)</f>
        <v>2</v>
      </c>
      <c r="C401" s="8" t="str">
        <f>IFERROR(__xludf.DUMMYFUNCTION("IF(A401="""","""",TEXTJOIN(CHAR(10),TRUE,FILTER('Tổng hợp 75 trang đích'!$B$2:$B$2505,'Tổng hợp 75 trang đích'!$I$2:$I$2505=A401)))"),"https://techcombank.com/thong-tin/blog/1-trieu-do-bang-bao-nhieu-tien-viet
https://techcombank.com/thong-tin/blog/doi-tien-do-o-dau")</f>
        <v>https://techcombank.com/thong-tin/blog/1-trieu-do-bang-bao-nhieu-tien-viet
https://techcombank.com/thong-tin/blog/doi-tien-do-o-dau</v>
      </c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</row>
    <row r="402">
      <c r="A402" s="27" t="str">
        <f>IFERROR(__xludf.DUMMYFUNCTION("""COMPUTED_VALUE"""),"https://techcombank.com/thong-tin/blog/1-trieu-do-bang-bao-nhieu-tien-viet")</f>
        <v>https://techcombank.com/thong-tin/blog/1-trieu-do-bang-bao-nhieu-tien-viet</v>
      </c>
      <c r="B402" s="11">
        <f>IFERROR(__xludf.DUMMYFUNCTION("""COMPUTED_VALUE"""),2.0)</f>
        <v>2</v>
      </c>
      <c r="C402" s="8" t="str">
        <f>IFERROR(__xludf.DUMMYFUNCTION("IF(A402="""","""",TEXTJOIN(CHAR(10),TRUE,FILTER('Tổng hợp 75 trang đích'!$B$2:$B$2505,'Tổng hợp 75 trang đích'!$I$2:$I$2505=A402)))"),"https://techcombank.com/thong-tin/blog/1-dong-do-la-my-bang-bao-nhieu-tien-viet-nam
https://techcombank.com/thong-tin/blog/doi-tien-do-o-dau")</f>
        <v>https://techcombank.com/thong-tin/blog/1-dong-do-la-my-bang-bao-nhieu-tien-viet-nam
https://techcombank.com/thong-tin/blog/doi-tien-do-o-dau</v>
      </c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</row>
    <row r="403">
      <c r="A403" s="27" t="str">
        <f>IFERROR(__xludf.DUMMYFUNCTION("""COMPUTED_VALUE"""),"https://techcombank.com/thong-tin/blog/1-van-te-bang-bao-nhieu-tien-viet")</f>
        <v>https://techcombank.com/thong-tin/blog/1-van-te-bang-bao-nhieu-tien-viet</v>
      </c>
      <c r="B403" s="11">
        <f>IFERROR(__xludf.DUMMYFUNCTION("""COMPUTED_VALUE"""),2.0)</f>
        <v>2</v>
      </c>
      <c r="C403" s="8" t="str">
        <f>IFERROR(__xludf.DUMMYFUNCTION("IF(A403="""","""",TEXTJOIN(CHAR(10),TRUE,FILTER('Tổng hợp 75 trang đích'!$B$2:$B$2505,'Tổng hợp 75 trang đích'!$I$2:$I$2505=A403)))"),"https://techcombank.com/thong-tin/blog/1-te-bang-bao-nhieu-tien-viet-nam
https://techcombank.com/thong-tin/blog/doi-tien-do-o-dau")</f>
        <v>https://techcombank.com/thong-tin/blog/1-te-bang-bao-nhieu-tien-viet-nam
https://techcombank.com/thong-tin/blog/doi-tien-do-o-dau</v>
      </c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</row>
    <row r="404">
      <c r="A404" s="27" t="str">
        <f>IFERROR(__xludf.DUMMYFUNCTION("""COMPUTED_VALUE"""),"https://techcombank.com/thong-tin/blog/1-van-tien-dai-loan-bang-bao-nhieu-tien-viet")</f>
        <v>https://techcombank.com/thong-tin/blog/1-van-tien-dai-loan-bang-bao-nhieu-tien-viet</v>
      </c>
      <c r="B404" s="11">
        <f>IFERROR(__xludf.DUMMYFUNCTION("""COMPUTED_VALUE"""),2.0)</f>
        <v>2</v>
      </c>
      <c r="C404" s="8" t="str">
        <f>IFERROR(__xludf.DUMMYFUNCTION("IF(A404="""","""",TEXTJOIN(CHAR(10),TRUE,FILTER('Tổng hợp 75 trang đích'!$B$2:$B$2505,'Tổng hợp 75 trang đích'!$I$2:$I$2505=A404)))"),"https://techcombank.com/thong-tin/blog/tien-dai-loan
https://techcombank.com/thong-tin/blog/doi-tien-do-o-dau")</f>
        <v>https://techcombank.com/thong-tin/blog/tien-dai-loan
https://techcombank.com/thong-tin/blog/doi-tien-do-o-dau</v>
      </c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</row>
    <row r="405">
      <c r="A405" s="27" t="str">
        <f>IFERROR(__xludf.DUMMYFUNCTION("""COMPUTED_VALUE"""),"https://techcombank.com/thong-tin/blog/1-won-bang-bao-nhieu-tien-viet")</f>
        <v>https://techcombank.com/thong-tin/blog/1-won-bang-bao-nhieu-tien-viet</v>
      </c>
      <c r="B405" s="11">
        <f>IFERROR(__xludf.DUMMYFUNCTION("""COMPUTED_VALUE"""),2.0)</f>
        <v>2</v>
      </c>
      <c r="C405" s="8" t="str">
        <f>IFERROR(__xludf.DUMMYFUNCTION("IF(A405="""","""",TEXTJOIN(CHAR(10),TRUE,FILTER('Tổng hợp 75 trang đích'!$B$2:$B$2505,'Tổng hợp 75 trang đích'!$I$2:$I$2505=A405)))"),"https://techcombank.com/thong-tin/blog/1000-won-bang-bao-nhieu-tien-viet
https://techcombank.com/thong-tin/blog/doi-tien-do-o-dau")</f>
        <v>https://techcombank.com/thong-tin/blog/1000-won-bang-bao-nhieu-tien-viet
https://techcombank.com/thong-tin/blog/doi-tien-do-o-dau</v>
      </c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</row>
    <row r="406">
      <c r="A406" s="27" t="str">
        <f>IFERROR(__xludf.DUMMYFUNCTION("""COMPUTED_VALUE"""),"https://techcombank.com/thong-tin/blog/100-riel-bang-bao-nhieu-tien-viet-nam")</f>
        <v>https://techcombank.com/thong-tin/blog/100-riel-bang-bao-nhieu-tien-viet-nam</v>
      </c>
      <c r="B406" s="11">
        <f>IFERROR(__xludf.DUMMYFUNCTION("""COMPUTED_VALUE"""),2.0)</f>
        <v>2</v>
      </c>
      <c r="C406" s="8" t="str">
        <f>IFERROR(__xludf.DUMMYFUNCTION("IF(A406="""","""",TEXTJOIN(CHAR(10),TRUE,FILTER('Tổng hợp 75 trang đích'!$B$2:$B$2505,'Tổng hợp 75 trang đích'!$I$2:$I$2505=A406)))"),"https://techcombank.com/thong-tin/blog/doi-tien-do-o-dau
https://techcombank.com/thong-tin/blog/traveloka-voucher")</f>
        <v>https://techcombank.com/thong-tin/blog/doi-tien-do-o-dau
https://techcombank.com/thong-tin/blog/traveloka-voucher</v>
      </c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</row>
    <row r="407">
      <c r="A407" s="27" t="str">
        <f>IFERROR(__xludf.DUMMYFUNCTION("""COMPUTED_VALUE"""),"https://techcombank.com/thong-tin/blog/1000-te-bang-bao-nhieu-tien-viet")</f>
        <v>https://techcombank.com/thong-tin/blog/1000-te-bang-bao-nhieu-tien-viet</v>
      </c>
      <c r="B407" s="11">
        <f>IFERROR(__xludf.DUMMYFUNCTION("""COMPUTED_VALUE"""),2.0)</f>
        <v>2</v>
      </c>
      <c r="C407" s="8" t="str">
        <f>IFERROR(__xludf.DUMMYFUNCTION("IF(A407="""","""",TEXTJOIN(CHAR(10),TRUE,FILTER('Tổng hợp 75 trang đích'!$B$2:$B$2505,'Tổng hợp 75 trang đích'!$I$2:$I$2505=A407)))"),"https://techcombank.com/thong-tin/blog/1-te-bang-bao-nhieu-tien-viet-nam
https://techcombank.com/thong-tin/blog/doi-tien-do-o-dau")</f>
        <v>https://techcombank.com/thong-tin/blog/1-te-bang-bao-nhieu-tien-viet-nam
https://techcombank.com/thong-tin/blog/doi-tien-do-o-dau</v>
      </c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</row>
    <row r="408">
      <c r="A408" s="27" t="str">
        <f>IFERROR(__xludf.DUMMYFUNCTION("""COMPUTED_VALUE"""),"https://techcombank.com/thong-tin/blog/66666-co-y-nghia-gi")</f>
        <v>https://techcombank.com/thong-tin/blog/66666-co-y-nghia-gi</v>
      </c>
      <c r="B408" s="11">
        <f>IFERROR(__xludf.DUMMYFUNCTION("""COMPUTED_VALUE"""),2.0)</f>
        <v>2</v>
      </c>
      <c r="C408" s="8" t="str">
        <f>IFERROR(__xludf.DUMMYFUNCTION("IF(A408="""","""",TEXTJOIN(CHAR(10),TRUE,FILTER('Tổng hợp 75 trang đích'!$B$2:$B$2505,'Tổng hợp 75 trang đích'!$I$2:$I$2505=A408)))"),"https://techcombank.com/thong-tin/blog/cach-kiem-tra-tai-khoan-ngan-hang
https://techcombank.com/thong-tin/blog/day-so-phat-tai-phat-loc")</f>
        <v>https://techcombank.com/thong-tin/blog/cach-kiem-tra-tai-khoan-ngan-hang
https://techcombank.com/thong-tin/blog/day-so-phat-tai-phat-loc</v>
      </c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</row>
    <row r="409">
      <c r="A409" s="27" t="str">
        <f>IFERROR(__xludf.DUMMYFUNCTION("""COMPUTED_VALUE"""),"https://techcombank.com/thong-tin/blog/88-la-gi")</f>
        <v>https://techcombank.com/thong-tin/blog/88-la-gi</v>
      </c>
      <c r="B409" s="11">
        <f>IFERROR(__xludf.DUMMYFUNCTION("""COMPUTED_VALUE"""),2.0)</f>
        <v>2</v>
      </c>
      <c r="C409" s="8" t="str">
        <f>IFERROR(__xludf.DUMMYFUNCTION("IF(A409="""","""",TEXTJOIN(CHAR(10),TRUE,FILTER('Tổng hợp 75 trang đích'!$B$2:$B$2505,'Tổng hợp 75 trang đích'!$I$2:$I$2505=A409)))"),"https://techcombank.com/thong-tin/blog/cach-mo-tai-khoan
https://techcombank.com/thong-tin/blog/day-so-phat-tai-phat-loc")</f>
        <v>https://techcombank.com/thong-tin/blog/cach-mo-tai-khoan
https://techcombank.com/thong-tin/blog/day-so-phat-tai-phat-loc</v>
      </c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</row>
    <row r="410">
      <c r="A410" s="27" t="str">
        <f>IFERROR(__xludf.DUMMYFUNCTION("""COMPUTED_VALUE"""),"https://techcombank.com/thong-tin/blog/8868")</f>
        <v>https://techcombank.com/thong-tin/blog/8868</v>
      </c>
      <c r="B410" s="11">
        <f>IFERROR(__xludf.DUMMYFUNCTION("""COMPUTED_VALUE"""),2.0)</f>
        <v>2</v>
      </c>
      <c r="C410" s="8" t="str">
        <f>IFERROR(__xludf.DUMMYFUNCTION("IF(A410="""","""",TEXTJOIN(CHAR(10),TRUE,FILTER('Tổng hợp 75 trang đích'!$B$2:$B$2505,'Tổng hợp 75 trang đích'!$I$2:$I$2505=A410)))"),"https://techcombank.com/thong-tin/blog/cach-kiem-tra-tai-khoan-ngan-hang
https://techcombank.com/thong-tin/blog/day-so-phat-tai-phat-loc")</f>
        <v>https://techcombank.com/thong-tin/blog/cach-kiem-tra-tai-khoan-ngan-hang
https://techcombank.com/thong-tin/blog/day-so-phat-tai-phat-loc</v>
      </c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</row>
    <row r="411">
      <c r="A411" s="27" t="str">
        <f>IFERROR(__xludf.DUMMYFUNCTION("""COMPUTED_VALUE"""),"https://techcombank.com/thong-tin/blog/99999-co-y-nghia-gi")</f>
        <v>https://techcombank.com/thong-tin/blog/99999-co-y-nghia-gi</v>
      </c>
      <c r="B411" s="11">
        <f>IFERROR(__xludf.DUMMYFUNCTION("""COMPUTED_VALUE"""),2.0)</f>
        <v>2</v>
      </c>
      <c r="C411" s="8" t="str">
        <f>IFERROR(__xludf.DUMMYFUNCTION("IF(A411="""","""",TEXTJOIN(CHAR(10),TRUE,FILTER('Tổng hợp 75 trang đích'!$B$2:$B$2505,'Tổng hợp 75 trang đích'!$I$2:$I$2505=A411)))"),"https://techcombank.com/thong-tin/blog/cach-kiem-tra-tai-khoan-ngan-hang
https://techcombank.com/thong-tin/blog/cach-mo-tai-khoan")</f>
        <v>https://techcombank.com/thong-tin/blog/cach-kiem-tra-tai-khoan-ngan-hang
https://techcombank.com/thong-tin/blog/cach-mo-tai-khoan</v>
      </c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</row>
    <row r="412">
      <c r="A412" s="27" t="str">
        <f>IFERROR(__xludf.DUMMYFUNCTION("""COMPUTED_VALUE"""),"https://techcombank.com/thong-tin/blog/app-mua-truoc-tra-sau")</f>
        <v>https://techcombank.com/thong-tin/blog/app-mua-truoc-tra-sau</v>
      </c>
      <c r="B412" s="11">
        <f>IFERROR(__xludf.DUMMYFUNCTION("""COMPUTED_VALUE"""),2.0)</f>
        <v>2</v>
      </c>
      <c r="C412" s="8" t="str">
        <f>IFERROR(__xludf.DUMMYFUNCTION("IF(A412="""","""",TEXTJOIN(CHAR(10),TRUE,FILTER('Tổng hợp 75 trang đích'!$B$2:$B$2505,'Tổng hợp 75 trang đích'!$I$2:$I$2505=A412)))"),"https://techcombank.com/thong-tin/blog/cach-sao-ke-tai-khoan-ngan-hang
https://techcombank.com/thong-tin/blog/cach-tiet-kiem-tien")</f>
        <v>https://techcombank.com/thong-tin/blog/cach-sao-ke-tai-khoan-ngan-hang
https://techcombank.com/thong-tin/blog/cach-tiet-kiem-tien</v>
      </c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</row>
    <row r="413">
      <c r="A413" s="27" t="str">
        <f>IFERROR(__xludf.DUMMYFUNCTION("""COMPUTED_VALUE"""),"https://techcombank.com/thong-tin/blog/app-ngan-hang")</f>
        <v>https://techcombank.com/thong-tin/blog/app-ngan-hang</v>
      </c>
      <c r="B413" s="11">
        <f>IFERROR(__xludf.DUMMYFUNCTION("""COMPUTED_VALUE"""),2.0)</f>
        <v>2</v>
      </c>
      <c r="C413" s="8" t="str">
        <f>IFERROR(__xludf.DUMMYFUNCTION("IF(A413="""","""",TEXTJOIN(CHAR(10),TRUE,FILTER('Tổng hợp 75 trang đích'!$B$2:$B$2505,'Tổng hợp 75 trang đích'!$I$2:$I$2505=A413)))"),"https://techcombank.com/thong-tin/blog/ngan-hang-uy-tin
https://techcombank.com/thong-tin/blog/cach-tiet-kiem-tien")</f>
        <v>https://techcombank.com/thong-tin/blog/ngan-hang-uy-tin
https://techcombank.com/thong-tin/blog/cach-tiet-kiem-tien</v>
      </c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</row>
    <row r="414">
      <c r="A414" s="27" t="str">
        <f>IFERROR(__xludf.DUMMYFUNCTION("""COMPUTED_VALUE"""),"https://techcombank.com/thong-tin/blog/app-quan-ly-chi-tieu")</f>
        <v>https://techcombank.com/thong-tin/blog/app-quan-ly-chi-tieu</v>
      </c>
      <c r="B414" s="11">
        <f>IFERROR(__xludf.DUMMYFUNCTION("""COMPUTED_VALUE"""),2.0)</f>
        <v>2</v>
      </c>
      <c r="C414" s="8" t="str">
        <f>IFERROR(__xludf.DUMMYFUNCTION("IF(A414="""","""",TEXTJOIN(CHAR(10),TRUE,FILTER('Tổng hợp 75 trang đích'!$B$2:$B$2505,'Tổng hợp 75 trang đích'!$I$2:$I$2505=A414)))"),"https://techcombank.com/thong-tin/blog/cach-sao-ke-tai-khoan-ngan-hang
https://techcombank.com/thong-tin/blog/cach-tiet-kiem-tien")</f>
        <v>https://techcombank.com/thong-tin/blog/cach-sao-ke-tai-khoan-ngan-hang
https://techcombank.com/thong-tin/blog/cach-tiet-kiem-tien</v>
      </c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</row>
    <row r="415">
      <c r="A415" s="27" t="str">
        <f>IFERROR(__xludf.DUMMYFUNCTION("""COMPUTED_VALUE"""),"https://techcombank.com/thong-tin/blog/app-tra-luong")</f>
        <v>https://techcombank.com/thong-tin/blog/app-tra-luong</v>
      </c>
      <c r="B415" s="11">
        <f>IFERROR(__xludf.DUMMYFUNCTION("""COMPUTED_VALUE"""),2.0)</f>
        <v>2</v>
      </c>
      <c r="C415" s="8" t="str">
        <f>IFERROR(__xludf.DUMMYFUNCTION("IF(A415="""","""",TEXTJOIN(CHAR(10),TRUE,FILTER('Tổng hợp 75 trang đích'!$B$2:$B$2505,'Tổng hợp 75 trang đích'!$I$2:$I$2505=A415)))"),"https://techcombank.com/thong-tin/blog/cach-tinh-thue-thu-nhap-ca-nhan-2025
https://techcombank.com/thong-tin/blog/thue-thu-nhap-ca-nhan")</f>
        <v>https://techcombank.com/thong-tin/blog/cach-tinh-thue-thu-nhap-ca-nhan-2025
https://techcombank.com/thong-tin/blog/thue-thu-nhap-ca-nhan</v>
      </c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</row>
    <row r="416">
      <c r="A416" s="27" t="str">
        <f>IFERROR(__xludf.DUMMYFUNCTION("""COMPUTED_VALUE"""),"https://techcombank.com/thong-tin/blog/atm-la-gi")</f>
        <v>https://techcombank.com/thong-tin/blog/atm-la-gi</v>
      </c>
      <c r="B416" s="11">
        <f>IFERROR(__xludf.DUMMYFUNCTION("""COMPUTED_VALUE"""),2.0)</f>
        <v>2</v>
      </c>
      <c r="C416" s="8" t="str">
        <f>IFERROR(__xludf.DUMMYFUNCTION("IF(A416="""","""",TEXTJOIN(CHAR(10),TRUE,FILTER('Tổng hợp 75 trang đích'!$B$2:$B$2505,'Tổng hợp 75 trang đích'!$I$2:$I$2505=A416)))"),"https://techcombank.com/thong-tin/blog/nap-tien-vao-tai-khoan-ngan-hang
https://techcombank.com/thong-tin/blog/rut-tien-bang-ma-qr-la-gi-cach-thuc-hien-nhu-the-nao")</f>
        <v>https://techcombank.com/thong-tin/blog/nap-tien-vao-tai-khoan-ngan-hang
https://techcombank.com/thong-tin/blog/rut-tien-bang-ma-qr-la-gi-cach-thuc-hien-nhu-the-nao</v>
      </c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</row>
    <row r="417">
      <c r="A417" s="27" t="str">
        <f>IFERROR(__xludf.DUMMYFUNCTION("""COMPUTED_VALUE"""),"https://techcombank.com/thong-tin/blog/bao-hiem-du-lich-quoc-te-nao-tot")</f>
        <v>https://techcombank.com/thong-tin/blog/bao-hiem-du-lich-quoc-te-nao-tot</v>
      </c>
      <c r="B417" s="11">
        <f>IFERROR(__xludf.DUMMYFUNCTION("""COMPUTED_VALUE"""),2.0)</f>
        <v>2</v>
      </c>
      <c r="C417" s="8" t="str">
        <f>IFERROR(__xludf.DUMMYFUNCTION("IF(A417="""","""",TEXTJOIN(CHAR(10),TRUE,FILTER('Tổng hợp 75 trang đích'!$B$2:$B$2505,'Tổng hợp 75 trang đích'!$I$2:$I$2505=A417)))"),"https://techcombank.com/thong-tin/blog/cach-nhan-tien-tu-nuoc-ngoai-ve-viet-nam
https://techcombank.com/thong-tin/blog/traveloka-voucher")</f>
        <v>https://techcombank.com/thong-tin/blog/cach-nhan-tien-tu-nuoc-ngoai-ve-viet-nam
https://techcombank.com/thong-tin/blog/traveloka-voucher</v>
      </c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</row>
    <row r="418">
      <c r="A418" s="27" t="str">
        <f>IFERROR(__xludf.DUMMYFUNCTION("""COMPUTED_VALUE"""),"https://techcombank.com/thong-tin/blog/bi-quyet-tiet-kiem-tien-mua-nha")</f>
        <v>https://techcombank.com/thong-tin/blog/bi-quyet-tiet-kiem-tien-mua-nha</v>
      </c>
      <c r="B418" s="11">
        <f>IFERROR(__xludf.DUMMYFUNCTION("""COMPUTED_VALUE"""),2.0)</f>
        <v>2</v>
      </c>
      <c r="C418" s="8" t="str">
        <f>IFERROR(__xludf.DUMMYFUNCTION("IF(A418="""","""",TEXTJOIN(CHAR(10),TRUE,FILTER('Tổng hợp 75 trang đích'!$B$2:$B$2505,'Tổng hợp 75 trang đích'!$I$2:$I$2505=A418)))"),"https://techcombank.com/thong-tin/blog/vay-ngan-hang-1-ty-moi-thang-tra-bao-nhieu
https://techcombank.com/thong-tin/blog/cach-tiet-kiem-tien")</f>
        <v>https://techcombank.com/thong-tin/blog/vay-ngan-hang-1-ty-moi-thang-tra-bao-nhieu
https://techcombank.com/thong-tin/blog/cach-tiet-kiem-tien</v>
      </c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</row>
    <row r="419">
      <c r="A419" s="27" t="str">
        <f>IFERROR(__xludf.DUMMYFUNCTION("""COMPUTED_VALUE"""),"https://techcombank.com/thong-tin/blog/bib-techcombank")</f>
        <v>https://techcombank.com/thong-tin/blog/bib-techcombank</v>
      </c>
      <c r="B419" s="11">
        <f>IFERROR(__xludf.DUMMYFUNCTION("""COMPUTED_VALUE"""),2.0)</f>
        <v>2</v>
      </c>
      <c r="C419" s="8" t="str">
        <f>IFERROR(__xludf.DUMMYFUNCTION("IF(A419="""","""",TEXTJOIN(CHAR(10),TRUE,FILTER('Tổng hợp 75 trang đích'!$B$2:$B$2505,'Tổng hợp 75 trang đích'!$I$2:$I$2505=A419)))"),"https://techcombank.com/thong-tin/blog/cach-nhan-tien-tu-nuoc-ngoai-ve-viet-nam
https://techcombank.com/thong-tin/blog/traveloka-voucher")</f>
        <v>https://techcombank.com/thong-tin/blog/cach-nhan-tien-tu-nuoc-ngoai-ve-viet-nam
https://techcombank.com/thong-tin/blog/traveloka-voucher</v>
      </c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</row>
    <row r="420">
      <c r="A420" s="27" t="str">
        <f>IFERROR(__xludf.DUMMYFUNCTION("""COMPUTED_VALUE"""),"https://techcombank.com/thong-tin/blog/bien-dong-ty-gia-voi-doanh-nghiep-sme")</f>
        <v>https://techcombank.com/thong-tin/blog/bien-dong-ty-gia-voi-doanh-nghiep-sme</v>
      </c>
      <c r="B420" s="11">
        <f>IFERROR(__xludf.DUMMYFUNCTION("""COMPUTED_VALUE"""),2.0)</f>
        <v>2</v>
      </c>
      <c r="C420" s="8" t="str">
        <f>IFERROR(__xludf.DUMMYFUNCTION("IF(A420="""","""",TEXTJOIN(CHAR(10),TRUE,FILTER('Tổng hợp 75 trang đích'!$B$2:$B$2505,'Tổng hợp 75 trang đích'!$I$2:$I$2505=A420)))"),"https://techcombank.com/thong-tin/blog/doi-tien-do-o-dau
https://techcombank.com/thong-tin/blog/rui-ro-khi-gui-tiet-kiem-online")</f>
        <v>https://techcombank.com/thong-tin/blog/doi-tien-do-o-dau
https://techcombank.com/thong-tin/blog/rui-ro-khi-gui-tiet-kiem-online</v>
      </c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</row>
    <row r="421">
      <c r="A421" s="27" t="str">
        <f>IFERROR(__xludf.DUMMYFUNCTION("""COMPUTED_VALUE"""),"https://techcombank.com/thong-tin/blog/cac-chung-chi-quy-o-viet-nam")</f>
        <v>https://techcombank.com/thong-tin/blog/cac-chung-chi-quy-o-viet-nam</v>
      </c>
      <c r="B421" s="11">
        <f>IFERROR(__xludf.DUMMYFUNCTION("""COMPUTED_VALUE"""),2.0)</f>
        <v>2</v>
      </c>
      <c r="C421" s="8" t="str">
        <f>IFERROR(__xludf.DUMMYFUNCTION("IF(A421="""","""",TEXTJOIN(CHAR(10),TRUE,FILTER('Tổng hợp 75 trang đích'!$B$2:$B$2505,'Tổng hợp 75 trang đích'!$I$2:$I$2505=A421)))"),"https://techcombank.com/thong-tin/blog/rui-ro-khi-gui-tiet-kiem-online
https://techcombank.com/thong-tin/blog/phuong-phap-dau-tu-chung-chi-quy")</f>
        <v>https://techcombank.com/thong-tin/blog/rui-ro-khi-gui-tiet-kiem-online
https://techcombank.com/thong-tin/blog/phuong-phap-dau-tu-chung-chi-quy</v>
      </c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</row>
    <row r="422">
      <c r="A422" s="27" t="str">
        <f>IFERROR(__xludf.DUMMYFUNCTION("""COMPUTED_VALUE"""),"https://techcombank.com/thong-tin/blog/cac-loai-hinh-bao-hiem-nhan-tho")</f>
        <v>https://techcombank.com/thong-tin/blog/cac-loai-hinh-bao-hiem-nhan-tho</v>
      </c>
      <c r="B422" s="11">
        <f>IFERROR(__xludf.DUMMYFUNCTION("""COMPUTED_VALUE"""),2.0)</f>
        <v>2</v>
      </c>
      <c r="C422" s="8" t="str">
        <f>IFERROR(__xludf.DUMMYFUNCTION("IF(A422="""","""",TEXTJOIN(CHAR(10),TRUE,FILTER('Tổng hợp 75 trang đích'!$B$2:$B$2505,'Tổng hợp 75 trang đích'!$I$2:$I$2505=A422)))"),"https://techcombank.com/thong-tin/blog/mo-tai-khoan-ngan-hang-duoi-18-tuoi
https://techcombank.com/thong-tin/blog/rui-ro-khi-gui-tiet-kiem-online")</f>
        <v>https://techcombank.com/thong-tin/blog/mo-tai-khoan-ngan-hang-duoi-18-tuoi
https://techcombank.com/thong-tin/blog/rui-ro-khi-gui-tiet-kiem-online</v>
      </c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</row>
    <row r="423">
      <c r="A423" s="27" t="str">
        <f>IFERROR(__xludf.DUMMYFUNCTION("""COMPUTED_VALUE"""),"https://techcombank.com/thong-tin/blog/cach-doi-mat-khau-tai-khoan-ngan-hang")</f>
        <v>https://techcombank.com/thong-tin/blog/cach-doi-mat-khau-tai-khoan-ngan-hang</v>
      </c>
      <c r="B423" s="11">
        <f>IFERROR(__xludf.DUMMYFUNCTION("""COMPUTED_VALUE"""),2.0)</f>
        <v>2</v>
      </c>
      <c r="C423" s="8" t="str">
        <f>IFERROR(__xludf.DUMMYFUNCTION("IF(A423="""","""",TEXTJOIN(CHAR(10),TRUE,FILTER('Tổng hợp 75 trang đích'!$B$2:$B$2505,'Tổng hợp 75 trang đích'!$I$2:$I$2505=A423)))"),"https://techcombank.com/thong-tin/blog/cach-mo-tai-khoan
https://techcombank.com/thong-tin/blog/ten-dang-nhap-tai-khoan-ngan-hang-la-gi")</f>
        <v>https://techcombank.com/thong-tin/blog/cach-mo-tai-khoan
https://techcombank.com/thong-tin/blog/ten-dang-nhap-tai-khoan-ngan-hang-la-gi</v>
      </c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</row>
    <row r="424">
      <c r="A424" s="27" t="str">
        <f>IFERROR(__xludf.DUMMYFUNCTION("""COMPUTED_VALUE"""),"https://techcombank.com/thong-tin/blog/cach-dong-tien-dien-qua-tai-khoan-ngan-hang")</f>
        <v>https://techcombank.com/thong-tin/blog/cach-dong-tien-dien-qua-tai-khoan-ngan-hang</v>
      </c>
      <c r="B424" s="11">
        <f>IFERROR(__xludf.DUMMYFUNCTION("""COMPUTED_VALUE"""),2.0)</f>
        <v>2</v>
      </c>
      <c r="C424" s="8" t="str">
        <f>IFERROR(__xludf.DUMMYFUNCTION("IF(A424="""","""",TEXTJOIN(CHAR(10),TRUE,FILTER('Tổng hợp 75 trang đích'!$B$2:$B$2505,'Tổng hợp 75 trang đích'!$I$2:$I$2505=A424)))"),"https://techcombank.com/thong-tin/blog/cach-tinh-tien-dien-sinh-hoat
https://techcombank.com/thong-tin/blog/cach-mo-tai-khoan")</f>
        <v>https://techcombank.com/thong-tin/blog/cach-tinh-tien-dien-sinh-hoat
https://techcombank.com/thong-tin/blog/cach-mo-tai-khoan</v>
      </c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</row>
    <row r="425">
      <c r="A425" s="27" t="str">
        <f>IFERROR(__xludf.DUMMYFUNCTION("""COMPUTED_VALUE"""),"https://techcombank.com/thong-tin/blog/cach-kiem-tra-tai-khoan-ngan-hang")</f>
        <v>https://techcombank.com/thong-tin/blog/cach-kiem-tra-tai-khoan-ngan-hang</v>
      </c>
      <c r="B425" s="11">
        <f>IFERROR(__xludf.DUMMYFUNCTION("""COMPUTED_VALUE"""),2.0)</f>
        <v>2</v>
      </c>
      <c r="C425" s="8" t="str">
        <f>IFERROR(__xludf.DUMMYFUNCTION("IF(A425="""","""",TEXTJOIN(CHAR(10),TRUE,FILTER('Tổng hợp 75 trang đích'!$B$2:$B$2505,'Tổng hợp 75 trang đích'!$I$2:$I$2505=A425)))"),"https://techcombank.com/thong-tin/blog/cach-mo-tai-khoan
https://techcombank.com/thong-tin/blog/cach-sao-ke-tai-khoan-ngan-hang")</f>
        <v>https://techcombank.com/thong-tin/blog/cach-mo-tai-khoan
https://techcombank.com/thong-tin/blog/cach-sao-ke-tai-khoan-ngan-hang</v>
      </c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</row>
    <row r="426">
      <c r="A426" s="27" t="str">
        <f>IFERROR(__xludf.DUMMYFUNCTION("""COMPUTED_VALUE"""),"https://techcombank.com/thong-tin/blog/cach-lien-ket-tai-khoan-ngan-hang-voi-vneid")</f>
        <v>https://techcombank.com/thong-tin/blog/cach-lien-ket-tai-khoan-ngan-hang-voi-vneid</v>
      </c>
      <c r="B426" s="11">
        <f>IFERROR(__xludf.DUMMYFUNCTION("""COMPUTED_VALUE"""),2.0)</f>
        <v>2</v>
      </c>
      <c r="C426" s="8" t="str">
        <f>IFERROR(__xludf.DUMMYFUNCTION("IF(A426="""","""",TEXTJOIN(CHAR(10),TRUE,FILTER('Tổng hợp 75 trang đích'!$B$2:$B$2505,'Tổng hợp 75 trang đích'!$I$2:$I$2505=A426)))"),"https://techcombank.com/thong-tin/blog/cach-mo-tai-khoan
https://techcombank.com/thong-tin/blog/cach-quet-nfc-cccd-tren-iphone")</f>
        <v>https://techcombank.com/thong-tin/blog/cach-mo-tai-khoan
https://techcombank.com/thong-tin/blog/cach-quet-nfc-cccd-tren-iphone</v>
      </c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</row>
    <row r="427">
      <c r="A427" s="27" t="str">
        <f>IFERROR(__xludf.DUMMYFUNCTION("""COMPUTED_VALUE"""),"https://techcombank.com/thong-tin/blog/cach-nap-the")</f>
        <v>https://techcombank.com/thong-tin/blog/cach-nap-the</v>
      </c>
      <c r="B427" s="11">
        <f>IFERROR(__xludf.DUMMYFUNCTION("""COMPUTED_VALUE"""),2.0)</f>
        <v>2</v>
      </c>
      <c r="C427" s="8" t="str">
        <f>IFERROR(__xludf.DUMMYFUNCTION("IF(A427="""","""",TEXTJOIN(CHAR(10),TRUE,FILTER('Tổng hợp 75 trang đích'!$B$2:$B$2505,'Tổng hợp 75 trang đích'!$I$2:$I$2505=A427)))"),"https://techcombank.com/thong-tin/blog/cach-nap-the-viettel
https://techcombank.com/thong-tin/blog/nap-tien-vao-tai-khoan-ngan-hang")</f>
        <v>https://techcombank.com/thong-tin/blog/cach-nap-the-viettel
https://techcombank.com/thong-tin/blog/nap-tien-vao-tai-khoan-ngan-hang</v>
      </c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</row>
    <row r="428">
      <c r="A428" s="27" t="str">
        <f>IFERROR(__xludf.DUMMYFUNCTION("""COMPUTED_VALUE"""),"https://techcombank.com/thong-tin/blog/cach-nhan-tien-tu-nuoc-ngoai-ve-viet-nam")</f>
        <v>https://techcombank.com/thong-tin/blog/cach-nhan-tien-tu-nuoc-ngoai-ve-viet-nam</v>
      </c>
      <c r="B428" s="11">
        <f>IFERROR(__xludf.DUMMYFUNCTION("""COMPUTED_VALUE"""),2.0)</f>
        <v>2</v>
      </c>
      <c r="C428" s="8" t="str">
        <f>IFERROR(__xludf.DUMMYFUNCTION("IF(A428="""","""",TEXTJOIN(CHAR(10),TRUE,FILTER('Tổng hợp 75 trang đích'!$B$2:$B$2505,'Tổng hợp 75 trang đích'!$I$2:$I$2505=A428)))"),"https://techcombank.com/thong-tin/blog/chuyen-khoan-thanh-cong-nhung-khong-nhan-duoc-tien
https://techcombank.com/thong-tin/blog/1-te-bang-bao-nhieu-tien-viet-nam")</f>
        <v>https://techcombank.com/thong-tin/blog/chuyen-khoan-thanh-cong-nhung-khong-nhan-duoc-tien
https://techcombank.com/thong-tin/blog/1-te-bang-bao-nhieu-tien-viet-nam</v>
      </c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</row>
    <row r="429">
      <c r="A429" s="27" t="str">
        <f>IFERROR(__xludf.DUMMYFUNCTION("""COMPUTED_VALUE"""),"https://techcombank.com/thong-tin/blog/cach-quan-ly-tai-san")</f>
        <v>https://techcombank.com/thong-tin/blog/cach-quan-ly-tai-san</v>
      </c>
      <c r="B429" s="11">
        <f>IFERROR(__xludf.DUMMYFUNCTION("""COMPUTED_VALUE"""),2.0)</f>
        <v>2</v>
      </c>
      <c r="C429" s="8" t="str">
        <f>IFERROR(__xludf.DUMMYFUNCTION("IF(A429="""","""",TEXTJOIN(CHAR(10),TRUE,FILTER('Tổng hợp 75 trang đích'!$B$2:$B$2505,'Tổng hợp 75 trang đích'!$I$2:$I$2505=A429)))"),"https://techcombank.com/thong-tin/blog/eco-card
https://techcombank.com/thong-tin/blog/phuong-phap-dau-tu-chung-chi-quy")</f>
        <v>https://techcombank.com/thong-tin/blog/eco-card
https://techcombank.com/thong-tin/blog/phuong-phap-dau-tu-chung-chi-quy</v>
      </c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</row>
    <row r="430">
      <c r="A430" s="27" t="str">
        <f>IFERROR(__xludf.DUMMYFUNCTION("""COMPUTED_VALUE"""),"https://techcombank.com/thong-tin/blog/cach-sao-ke-tai-khoan-ngan-hang")</f>
        <v>https://techcombank.com/thong-tin/blog/cach-sao-ke-tai-khoan-ngan-hang</v>
      </c>
      <c r="B430" s="11">
        <f>IFERROR(__xludf.DUMMYFUNCTION("""COMPUTED_VALUE"""),2.0)</f>
        <v>2</v>
      </c>
      <c r="C430" s="8" t="str">
        <f>IFERROR(__xludf.DUMMYFUNCTION("IF(A430="""","""",TEXTJOIN(CHAR(10),TRUE,FILTER('Tổng hợp 75 trang đích'!$B$2:$B$2505,'Tổng hợp 75 trang đích'!$I$2:$I$2505=A430)))"),"https://techcombank.com/thong-tin/blog/cach-mo-tai-khoan
https://techcombank.com/thong-tin/blog/cach-thanh-toan-the-tin-dung")</f>
        <v>https://techcombank.com/thong-tin/blog/cach-mo-tai-khoan
https://techcombank.com/thong-tin/blog/cach-thanh-toan-the-tin-dung</v>
      </c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</row>
    <row r="431">
      <c r="A431" s="27" t="str">
        <f>IFERROR(__xludf.DUMMYFUNCTION("""COMPUTED_VALUE"""),"https://techcombank.com/thong-tin/blog/cach-tiet-kiem-tien")</f>
        <v>https://techcombank.com/thong-tin/blog/cach-tiet-kiem-tien</v>
      </c>
      <c r="B431" s="11">
        <f>IFERROR(__xludf.DUMMYFUNCTION("""COMPUTED_VALUE"""),2.0)</f>
        <v>2</v>
      </c>
      <c r="C431" s="8" t="str">
        <f>IFERROR(__xludf.DUMMYFUNCTION("IF(A431="""","""",TEXTJOIN(CHAR(10),TRUE,FILTER('Tổng hợp 75 trang đích'!$B$2:$B$2505,'Tổng hợp 75 trang đích'!$I$2:$I$2505=A431)))"),"https://techcombank.com/thong-tin/blog/cach-sao-ke-tai-khoan-ngan-hang
https://techcombank.com/cong-cu-tien-ich/cong-cu-tinh-toan/bang-tinh-lai-suat-tiet-kiem")</f>
        <v>https://techcombank.com/thong-tin/blog/cach-sao-ke-tai-khoan-ngan-hang
https://techcombank.com/cong-cu-tien-ich/cong-cu-tinh-toan/bang-tinh-lai-suat-tiet-kiem</v>
      </c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</row>
    <row r="432">
      <c r="A432" s="27" t="str">
        <f>IFERROR(__xludf.DUMMYFUNCTION("""COMPUTED_VALUE"""),"https://techcombank.com/thong-tin/blog/cach-tiet-kiem-tien-cua-nguoi-nhat")</f>
        <v>https://techcombank.com/thong-tin/blog/cach-tiet-kiem-tien-cua-nguoi-nhat</v>
      </c>
      <c r="B432" s="11">
        <f>IFERROR(__xludf.DUMMYFUNCTION("""COMPUTED_VALUE"""),2.0)</f>
        <v>2</v>
      </c>
      <c r="C432" s="8" t="str">
        <f>IFERROR(__xludf.DUMMYFUNCTION("IF(A432="""","""",TEXTJOIN(CHAR(10),TRUE,FILTER('Tổng hợp 75 trang đích'!$B$2:$B$2505,'Tổng hợp 75 trang đích'!$I$2:$I$2505=A432)))"),"https://techcombank.com/thong-tin/blog/tien-nhat
https://techcombank.com/thong-tin/blog/cach-tiet-kiem-tien")</f>
        <v>https://techcombank.com/thong-tin/blog/tien-nhat
https://techcombank.com/thong-tin/blog/cach-tiet-kiem-tien</v>
      </c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</row>
    <row r="433">
      <c r="A433" s="27" t="str">
        <f>IFERROR(__xludf.DUMMYFUNCTION("""COMPUTED_VALUE"""),"https://techcombank.com/thong-tin/blog/cam-nang-dinh-cu-my")</f>
        <v>https://techcombank.com/thong-tin/blog/cam-nang-dinh-cu-my</v>
      </c>
      <c r="B433" s="11">
        <f>IFERROR(__xludf.DUMMYFUNCTION("""COMPUTED_VALUE"""),2.0)</f>
        <v>2</v>
      </c>
      <c r="C433" s="8" t="str">
        <f>IFERROR(__xludf.DUMMYFUNCTION("IF(A433="""","""",TEXTJOIN(CHAR(10),TRUE,FILTER('Tổng hợp 75 trang đích'!$B$2:$B$2505,'Tổng hợp 75 trang đích'!$I$2:$I$2505=A433)))"),"https://techcombank.com/thong-tin/blog/chuyen-khoan-thanh-cong-nhung-khong-nhan-duoc-tien
https://techcombank.com/thong-tin/blog/1-dong-do-la-my-bang-bao-nhieu-tien-viet-nam")</f>
        <v>https://techcombank.com/thong-tin/blog/chuyen-khoan-thanh-cong-nhung-khong-nhan-duoc-tien
https://techcombank.com/thong-tin/blog/1-dong-do-la-my-bang-bao-nhieu-tien-viet-nam</v>
      </c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</row>
    <row r="434">
      <c r="A434" s="27" t="str">
        <f>IFERROR(__xludf.DUMMYFUNCTION("""COMPUTED_VALUE"""),"https://techcombank.com/thong-tin/blog/chi-phi-mo-tai-khoan-ngan-hang-cho-cong-ty")</f>
        <v>https://techcombank.com/thong-tin/blog/chi-phi-mo-tai-khoan-ngan-hang-cho-cong-ty</v>
      </c>
      <c r="B434" s="11">
        <f>IFERROR(__xludf.DUMMYFUNCTION("""COMPUTED_VALUE"""),2.0)</f>
        <v>2</v>
      </c>
      <c r="C434" s="8" t="str">
        <f>IFERROR(__xludf.DUMMYFUNCTION("IF(A434="""","""",TEXTJOIN(CHAR(10),TRUE,FILTER('Tổng hợp 75 trang đích'!$B$2:$B$2505,'Tổng hợp 75 trang đích'!$I$2:$I$2505=A434)))"),"https://techcombank.com/thong-tin/blog/cong-ty-su-dung-tai-khoan-ca-nhan
https://techcombank.com/thong-tin/blog/cach-mo-tai-khoan")</f>
        <v>https://techcombank.com/thong-tin/blog/cong-ty-su-dung-tai-khoan-ca-nhan
https://techcombank.com/thong-tin/blog/cach-mo-tai-khoan</v>
      </c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</row>
    <row r="435">
      <c r="A435" s="27" t="str">
        <f>IFERROR(__xludf.DUMMYFUNCTION("""COMPUTED_VALUE"""),"https://techcombank.com/thong-tin/blog/chung-chi-quy-va-co-phieu")</f>
        <v>https://techcombank.com/thong-tin/blog/chung-chi-quy-va-co-phieu</v>
      </c>
      <c r="B435" s="11">
        <f>IFERROR(__xludf.DUMMYFUNCTION("""COMPUTED_VALUE"""),2.0)</f>
        <v>2</v>
      </c>
      <c r="C435" s="8" t="str">
        <f>IFERROR(__xludf.DUMMYFUNCTION("IF(A435="""","""",TEXTJOIN(CHAR(10),TRUE,FILTER('Tổng hợp 75 trang đích'!$B$2:$B$2505,'Tổng hợp 75 trang đích'!$I$2:$I$2505=A435)))"),"https://techcombank.com/thong-tin/blog/rui-ro-khi-gui-tiet-kiem-online
https://techcombank.com/thong-tin/blog/phuong-phap-dau-tu-chung-chi-quy")</f>
        <v>https://techcombank.com/thong-tin/blog/rui-ro-khi-gui-tiet-kiem-online
https://techcombank.com/thong-tin/blog/phuong-phap-dau-tu-chung-chi-quy</v>
      </c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</row>
    <row r="436">
      <c r="A436" s="27" t="str">
        <f>IFERROR(__xludf.DUMMYFUNCTION("""COMPUTED_VALUE"""),"https://techcombank.com/thong-tin/blog/chung-chi-tien-gui-co-duoc-bao-hiem-khong")</f>
        <v>https://techcombank.com/thong-tin/blog/chung-chi-tien-gui-co-duoc-bao-hiem-khong</v>
      </c>
      <c r="B436" s="11">
        <f>IFERROR(__xludf.DUMMYFUNCTION("""COMPUTED_VALUE"""),2.0)</f>
        <v>2</v>
      </c>
      <c r="C436" s="8" t="str">
        <f>IFERROR(__xludf.DUMMYFUNCTION("IF(A436="""","""",TEXTJOIN(CHAR(10),TRUE,FILTER('Tổng hợp 75 trang đích'!$B$2:$B$2505,'Tổng hợp 75 trang đích'!$I$2:$I$2505=A436)))"),"https://techcombank.com/thong-tin/blog/chung-chi-tien-gui-la-gi
https://techcombank.com/thong-tin/blog/lai-suat-chung-chi-tien-gui-cac-ngan-hang")</f>
        <v>https://techcombank.com/thong-tin/blog/chung-chi-tien-gui-la-gi
https://techcombank.com/thong-tin/blog/lai-suat-chung-chi-tien-gui-cac-ngan-hang</v>
      </c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</row>
    <row r="437">
      <c r="A437" s="27" t="str">
        <f>IFERROR(__xludf.DUMMYFUNCTION("""COMPUTED_VALUE"""),"https://techcombank.com/thong-tin/blog/chung-chi-tien-gui-co-phai-la-trai-phieu-khong")</f>
        <v>https://techcombank.com/thong-tin/blog/chung-chi-tien-gui-co-phai-la-trai-phieu-khong</v>
      </c>
      <c r="B437" s="11">
        <f>IFERROR(__xludf.DUMMYFUNCTION("""COMPUTED_VALUE"""),2.0)</f>
        <v>2</v>
      </c>
      <c r="C437" s="8" t="str">
        <f>IFERROR(__xludf.DUMMYFUNCTION("IF(A437="""","""",TEXTJOIN(CHAR(10),TRUE,FILTER('Tổng hợp 75 trang đích'!$B$2:$B$2505,'Tổng hợp 75 trang đích'!$I$2:$I$2505=A437)))"),"https://techcombank.com/thong-tin/blog/chung-chi-tien-gui-la-gi
https://techcombank.com/thong-tin/blog/lai-suat-chung-chi-tien-gui-cac-ngan-hang")</f>
        <v>https://techcombank.com/thong-tin/blog/chung-chi-tien-gui-la-gi
https://techcombank.com/thong-tin/blog/lai-suat-chung-chi-tien-gui-cac-ngan-hang</v>
      </c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</row>
    <row r="438">
      <c r="A438" s="27" t="str">
        <f>IFERROR(__xludf.DUMMYFUNCTION("""COMPUTED_VALUE"""),"https://techcombank.com/thong-tin/blog/chuyen-doi-the-atm")</f>
        <v>https://techcombank.com/thong-tin/blog/chuyen-doi-the-atm</v>
      </c>
      <c r="B438" s="11">
        <f>IFERROR(__xludf.DUMMYFUNCTION("""COMPUTED_VALUE"""),2.0)</f>
        <v>2</v>
      </c>
      <c r="C438" s="8" t="str">
        <f>IFERROR(__xludf.DUMMYFUNCTION("IF(A438="""","""",TEXTJOIN(CHAR(10),TRUE,FILTER('Tổng hợp 75 trang đích'!$B$2:$B$2505,'Tổng hợp 75 trang đích'!$I$2:$I$2505=A438)))"),"https://techcombank.com/thong-tin/blog/nap-tien-vao-tai-khoan-ngan-hang
https://techcombank.com/thong-tin/blog/rut-tien-bang-ma-qr-la-gi-cach-thuc-hien-nhu-the-nao")</f>
        <v>https://techcombank.com/thong-tin/blog/nap-tien-vao-tai-khoan-ngan-hang
https://techcombank.com/thong-tin/blog/rut-tien-bang-ma-qr-la-gi-cach-thuc-hien-nhu-the-nao</v>
      </c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</row>
    <row r="439">
      <c r="A439" s="27" t="str">
        <f>IFERROR(__xludf.DUMMYFUNCTION("""COMPUTED_VALUE"""),"https://techcombank.com/thong-tin/blog/chuyen-tien-tro-cap-than-nhan-o-nuoc-ngoai")</f>
        <v>https://techcombank.com/thong-tin/blog/chuyen-tien-tro-cap-than-nhan-o-nuoc-ngoai</v>
      </c>
      <c r="B439" s="11">
        <f>IFERROR(__xludf.DUMMYFUNCTION("""COMPUTED_VALUE"""),2.0)</f>
        <v>2</v>
      </c>
      <c r="C439" s="8" t="str">
        <f>IFERROR(__xludf.DUMMYFUNCTION("IF(A439="""","""",TEXTJOIN(CHAR(10),TRUE,FILTER('Tổng hợp 75 trang đích'!$B$2:$B$2505,'Tổng hợp 75 trang đích'!$I$2:$I$2505=A439)))"),"https://techcombank.com/thong-tin/blog/chuyen-khoan-thanh-cong-nhung-khong-nhan-duoc-tien
https://techcombank.com/thong-tin/blog/cach-nhan-tien-tu-nuoc-ngoai-ve-viet-nam")</f>
        <v>https://techcombank.com/thong-tin/blog/chuyen-khoan-thanh-cong-nhung-khong-nhan-duoc-tien
https://techcombank.com/thong-tin/blog/cach-nhan-tien-tu-nuoc-ngoai-ve-viet-nam</v>
      </c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</row>
    <row r="440">
      <c r="A440" s="27" t="str">
        <f>IFERROR(__xludf.DUMMYFUNCTION("""COMPUTED_VALUE"""),"https://techcombank.com/thong-tin/blog/cua-hang-tien-loi")</f>
        <v>https://techcombank.com/thong-tin/blog/cua-hang-tien-loi</v>
      </c>
      <c r="B440" s="11">
        <f>IFERROR(__xludf.DUMMYFUNCTION("""COMPUTED_VALUE"""),2.0)</f>
        <v>2</v>
      </c>
      <c r="C440" s="8" t="str">
        <f>IFERROR(__xludf.DUMMYFUNCTION("IF(A440="""","""",TEXTJOIN(CHAR(10),TRUE,FILTER('Tổng hợp 75 trang đích'!$B$2:$B$2505,'Tổng hợp 75 trang đích'!$I$2:$I$2505=A440)))"),"https://techcombank.com/thong-tin/blog/traveloka-voucher
https://techcombank.com/thong-tin/blog/mo-hinh-kinh-doanh-la-gi")</f>
        <v>https://techcombank.com/thong-tin/blog/traveloka-voucher
https://techcombank.com/thong-tin/blog/mo-hinh-kinh-doanh-la-gi</v>
      </c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</row>
    <row r="441">
      <c r="A441" s="27" t="str">
        <f>IFERROR(__xludf.DUMMYFUNCTION("""COMPUTED_VALUE"""),"https://techcombank.com/thong-tin/blog/dat-xe-xanh-sm")</f>
        <v>https://techcombank.com/thong-tin/blog/dat-xe-xanh-sm</v>
      </c>
      <c r="B441" s="11">
        <f>IFERROR(__xludf.DUMMYFUNCTION("""COMPUTED_VALUE"""),2.0)</f>
        <v>2</v>
      </c>
      <c r="C441" s="8" t="str">
        <f>IFERROR(__xludf.DUMMYFUNCTION("IF(A441="""","""",TEXTJOIN(CHAR(10),TRUE,FILTER('Tổng hợp 75 trang đích'!$B$2:$B$2505,'Tổng hợp 75 trang đích'!$I$2:$I$2505=A441)))"),"https://techcombank.com/thong-tin/blog/eco-card
https://techcombank.com/thong-tin/blog/traveloka-voucher")</f>
        <v>https://techcombank.com/thong-tin/blog/eco-card
https://techcombank.com/thong-tin/blog/traveloka-voucher</v>
      </c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</row>
    <row r="442">
      <c r="A442" s="27" t="str">
        <f>IFERROR(__xludf.DUMMYFUNCTION("""COMPUTED_VALUE"""),"https://techcombank.com/thong-tin/blog/dau-tu-ngan-han")</f>
        <v>https://techcombank.com/thong-tin/blog/dau-tu-ngan-han</v>
      </c>
      <c r="B442" s="11">
        <f>IFERROR(__xludf.DUMMYFUNCTION("""COMPUTED_VALUE"""),2.0)</f>
        <v>2</v>
      </c>
      <c r="C442" s="8" t="str">
        <f>IFERROR(__xludf.DUMMYFUNCTION("IF(A442="""","""",TEXTJOIN(CHAR(10),TRUE,FILTER('Tổng hợp 75 trang đích'!$B$2:$B$2505,'Tổng hợp 75 trang đích'!$I$2:$I$2505=A442)))"),"https://techcombank.com/thong-tin/blog/chung-chi-tien-gui-la-gi
https://techcombank.com/thong-tin/blog/phuong-phap-dau-tu-chung-chi-quy")</f>
        <v>https://techcombank.com/thong-tin/blog/chung-chi-tien-gui-la-gi
https://techcombank.com/thong-tin/blog/phuong-phap-dau-tu-chung-chi-quy</v>
      </c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</row>
    <row r="443">
      <c r="A443" s="27" t="str">
        <f>IFERROR(__xludf.DUMMYFUNCTION("""COMPUTED_VALUE"""),"https://techcombank.com/thong-tin/blog/dau-tu-tai-chinh-ca-nhan")</f>
        <v>https://techcombank.com/thong-tin/blog/dau-tu-tai-chinh-ca-nhan</v>
      </c>
      <c r="B443" s="11">
        <f>IFERROR(__xludf.DUMMYFUNCTION("""COMPUTED_VALUE"""),2.0)</f>
        <v>2</v>
      </c>
      <c r="C443" s="8" t="str">
        <f>IFERROR(__xludf.DUMMYFUNCTION("IF(A443="""","""",TEXTJOIN(CHAR(10),TRUE,FILTER('Tổng hợp 75 trang đích'!$B$2:$B$2505,'Tổng hợp 75 trang đích'!$I$2:$I$2505=A443)))"),"https://techcombank.com/thong-tin/blog/cach-tiet-kiem-tien
https://techcombank.com/thong-tin/blog/phuong-phap-dau-tu-chung-chi-quy")</f>
        <v>https://techcombank.com/thong-tin/blog/cach-tiet-kiem-tien
https://techcombank.com/thong-tin/blog/phuong-phap-dau-tu-chung-chi-quy</v>
      </c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</row>
    <row r="444">
      <c r="A444" s="27" t="str">
        <f>IFERROR(__xludf.DUMMYFUNCTION("""COMPUTED_VALUE"""),"https://techcombank.com/thong-tin/blog/diem-loyalty-la-gi")</f>
        <v>https://techcombank.com/thong-tin/blog/diem-loyalty-la-gi</v>
      </c>
      <c r="B444" s="11">
        <f>IFERROR(__xludf.DUMMYFUNCTION("""COMPUTED_VALUE"""),2.0)</f>
        <v>2</v>
      </c>
      <c r="C444" s="8" t="str">
        <f>IFERROR(__xludf.DUMMYFUNCTION("IF(A444="""","""",TEXTJOIN(CHAR(10),TRUE,FILTER('Tổng hợp 75 trang đích'!$B$2:$B$2505,'Tổng hợp 75 trang đích'!$I$2:$I$2505=A444)))"),"https://techcombank.com/thong-tin/blog/traveloka-voucher
https://techcombank.com/cong-cu-tien-ich/cong-cu-tinh-toan/bang-tinh-lai-suat-tiet-kiem")</f>
        <v>https://techcombank.com/thong-tin/blog/traveloka-voucher
https://techcombank.com/cong-cu-tien-ich/cong-cu-tinh-toan/bang-tinh-lai-suat-tiet-kiem</v>
      </c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</row>
    <row r="445">
      <c r="A445" s="27" t="str">
        <f>IFERROR(__xludf.DUMMYFUNCTION("""COMPUTED_VALUE"""),"https://techcombank.com/thong-tin/blog/dinh-cu-chau-au")</f>
        <v>https://techcombank.com/thong-tin/blog/dinh-cu-chau-au</v>
      </c>
      <c r="B445" s="11">
        <f>IFERROR(__xludf.DUMMYFUNCTION("""COMPUTED_VALUE"""),2.0)</f>
        <v>2</v>
      </c>
      <c r="C445" s="8" t="str">
        <f>IFERROR(__xludf.DUMMYFUNCTION("IF(A445="""","""",TEXTJOIN(CHAR(10),TRUE,FILTER('Tổng hợp 75 trang đích'!$B$2:$B$2505,'Tổng hợp 75 trang đích'!$I$2:$I$2505=A445)))"),"https://techcombank.com/thong-tin/blog/chuyen-khoan-thanh-cong-nhung-khong-nhan-duoc-tien
https://techcombank.com/thong-tin/blog/cach-nhan-tien-tu-nuoc-ngoai-ve-viet-nam")</f>
        <v>https://techcombank.com/thong-tin/blog/chuyen-khoan-thanh-cong-nhung-khong-nhan-duoc-tien
https://techcombank.com/thong-tin/blog/cach-nhan-tien-tu-nuoc-ngoai-ve-viet-nam</v>
      </c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</row>
    <row r="446">
      <c r="A446" s="27" t="str">
        <f>IFERROR(__xludf.DUMMYFUNCTION("""COMPUTED_VALUE"""),"https://techcombank.com/thong-tin/blog/doanh-nghiep-moi-thanh-lap-duoc-uu-dai-gi")</f>
        <v>https://techcombank.com/thong-tin/blog/doanh-nghiep-moi-thanh-lap-duoc-uu-dai-gi</v>
      </c>
      <c r="B446" s="11">
        <f>IFERROR(__xludf.DUMMYFUNCTION("""COMPUTED_VALUE"""),2.0)</f>
        <v>2</v>
      </c>
      <c r="C446" s="8" t="str">
        <f>IFERROR(__xludf.DUMMYFUNCTION("IF(A446="""","""",TEXTJOIN(CHAR(10),TRUE,FILTER('Tổng hợp 75 trang đích'!$B$2:$B$2505,'Tổng hợp 75 trang đích'!$I$2:$I$2505=A446)))"),"https://techcombank.com/thong-tin/blog/thue-thu-nhap-doanh-nghiep
https://techcombank.com/thong-tin/blog/ho-kinh-doanh-dong-thue-nhu-nao")</f>
        <v>https://techcombank.com/thong-tin/blog/thue-thu-nhap-doanh-nghiep
https://techcombank.com/thong-tin/blog/ho-kinh-doanh-dong-thue-nhu-nao</v>
      </c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</row>
    <row r="447">
      <c r="A447" s="27" t="str">
        <f>IFERROR(__xludf.DUMMYFUNCTION("""COMPUTED_VALUE"""),"https://techcombank.com/thong-tin/blog/doi-tien-do-o-dau")</f>
        <v>https://techcombank.com/thong-tin/blog/doi-tien-do-o-dau</v>
      </c>
      <c r="B447" s="11">
        <f>IFERROR(__xludf.DUMMYFUNCTION("""COMPUTED_VALUE"""),2.0)</f>
        <v>2</v>
      </c>
      <c r="C447" s="8" t="str">
        <f>IFERROR(__xludf.DUMMYFUNCTION("IF(A447="""","""",TEXTJOIN(CHAR(10),TRUE,FILTER('Tổng hợp 75 trang đích'!$B$2:$B$2505,'Tổng hợp 75 trang đích'!$I$2:$I$2505=A447)))"),"https://techcombank.com/thong-tin/blog/1-dong-do-la-my-bang-bao-nhieu-tien-viet-nam
https://techcombank.com/thong-tin/blog/1-trieu-do-bang-bao-nhieu-tien-viet")</f>
        <v>https://techcombank.com/thong-tin/blog/1-dong-do-la-my-bang-bao-nhieu-tien-viet-nam
https://techcombank.com/thong-tin/blog/1-trieu-do-bang-bao-nhieu-tien-viet</v>
      </c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</row>
    <row r="448">
      <c r="A448" s="27" t="str">
        <f>IFERROR(__xludf.DUMMYFUNCTION("""COMPUTED_VALUE"""),"https://techcombank.com/thong-tin/blog/dong-tai-khoan-ngan-hang-cong-ty")</f>
        <v>https://techcombank.com/thong-tin/blog/dong-tai-khoan-ngan-hang-cong-ty</v>
      </c>
      <c r="B448" s="11">
        <f>IFERROR(__xludf.DUMMYFUNCTION("""COMPUTED_VALUE"""),2.0)</f>
        <v>2</v>
      </c>
      <c r="C448" s="8" t="str">
        <f>IFERROR(__xludf.DUMMYFUNCTION("IF(A448="""","""",TEXTJOIN(CHAR(10),TRUE,FILTER('Tổng hợp 75 trang đích'!$B$2:$B$2505,'Tổng hợp 75 trang đích'!$I$2:$I$2505=A448)))"),"https://techcombank.com/thong-tin/blog/cong-ty-su-dung-tai-khoan-ca-nhan
https://techcombank.com/thong-tin/blog/cach-mo-tai-khoan")</f>
        <v>https://techcombank.com/thong-tin/blog/cong-ty-su-dung-tai-khoan-ca-nhan
https://techcombank.com/thong-tin/blog/cach-mo-tai-khoan</v>
      </c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</row>
    <row r="449">
      <c r="A449" s="27" t="str">
        <f>IFERROR(__xludf.DUMMYFUNCTION("""COMPUTED_VALUE"""),"https://techcombank.com/thong-tin/blog/ghi-chep-chi-tieu")</f>
        <v>https://techcombank.com/thong-tin/blog/ghi-chep-chi-tieu</v>
      </c>
      <c r="B449" s="11">
        <f>IFERROR(__xludf.DUMMYFUNCTION("""COMPUTED_VALUE"""),2.0)</f>
        <v>2</v>
      </c>
      <c r="C449" s="8" t="str">
        <f>IFERROR(__xludf.DUMMYFUNCTION("IF(A449="""","""",TEXTJOIN(CHAR(10),TRUE,FILTER('Tổng hợp 75 trang đích'!$B$2:$B$2505,'Tổng hợp 75 trang đích'!$I$2:$I$2505=A449)))"),"https://techcombank.com/thong-tin/blog/cach-sao-ke-tai-khoan-ngan-hang
https://techcombank.com/thong-tin/blog/cach-tiet-kiem-tien")</f>
        <v>https://techcombank.com/thong-tin/blog/cach-sao-ke-tai-khoan-ngan-hang
https://techcombank.com/thong-tin/blog/cach-tiet-kiem-tien</v>
      </c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</row>
    <row r="450">
      <c r="A450" s="27" t="str">
        <f>IFERROR(__xludf.DUMMYFUNCTION("""COMPUTED_VALUE"""),"https://techcombank.com/thong-tin/blog/gia-ca-phe-hom-nay")</f>
        <v>https://techcombank.com/thong-tin/blog/gia-ca-phe-hom-nay</v>
      </c>
      <c r="B450" s="11">
        <f>IFERROR(__xludf.DUMMYFUNCTION("""COMPUTED_VALUE"""),2.0)</f>
        <v>2</v>
      </c>
      <c r="C450" s="8" t="str">
        <f>IFERROR(__xludf.DUMMYFUNCTION("IF(A450="""","""",TEXTJOIN(CHAR(10),TRUE,FILTER('Tổng hợp 75 trang đích'!$B$2:$B$2505,'Tổng hợp 75 trang đích'!$I$2:$I$2505=A450)))"),"https://techcombank.com/thong-tin/blog/cach-nhan-tien-tu-nuoc-ngoai-ve-viet-nam
https://techcombank.com/thong-tin/blog/doi-tien-do-o-dau")</f>
        <v>https://techcombank.com/thong-tin/blog/cach-nhan-tien-tu-nuoc-ngoai-ve-viet-nam
https://techcombank.com/thong-tin/blog/doi-tien-do-o-dau</v>
      </c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</row>
    <row r="451">
      <c r="A451" s="27" t="str">
        <f>IFERROR(__xludf.DUMMYFUNCTION("""COMPUTED_VALUE"""),"https://techcombank.com/thong-tin/blog/gia-tri-tai-san-rong")</f>
        <v>https://techcombank.com/thong-tin/blog/gia-tri-tai-san-rong</v>
      </c>
      <c r="B451" s="11">
        <f>IFERROR(__xludf.DUMMYFUNCTION("""COMPUTED_VALUE"""),2.0)</f>
        <v>2</v>
      </c>
      <c r="C451" s="8" t="str">
        <f>IFERROR(__xludf.DUMMYFUNCTION("IF(A451="""","""",TEXTJOIN(CHAR(10),TRUE,FILTER('Tổng hợp 75 trang đích'!$B$2:$B$2505,'Tổng hợp 75 trang đích'!$I$2:$I$2505=A451)))"),"https://techcombank.com/thong-tin/blog/eco-card
https://techcombank.com/thong-tin/blog/1-trieu-do-bang-bao-nhieu-tien-viet")</f>
        <v>https://techcombank.com/thong-tin/blog/eco-card
https://techcombank.com/thong-tin/blog/1-trieu-do-bang-bao-nhieu-tien-viet</v>
      </c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</row>
    <row r="452">
      <c r="A452" s="27" t="str">
        <f>IFERROR(__xludf.DUMMYFUNCTION("""COMPUTED_VALUE"""),"https://techcombank.com/thong-tin/blog/giao-thong-xanh")</f>
        <v>https://techcombank.com/thong-tin/blog/giao-thong-xanh</v>
      </c>
      <c r="B452" s="11">
        <f>IFERROR(__xludf.DUMMYFUNCTION("""COMPUTED_VALUE"""),2.0)</f>
        <v>2</v>
      </c>
      <c r="C452" s="8" t="str">
        <f>IFERROR(__xludf.DUMMYFUNCTION("IF(A452="""","""",TEXTJOIN(CHAR(10),TRUE,FILTER('Tổng hợp 75 trang đích'!$B$2:$B$2505,'Tổng hợp 75 trang đích'!$I$2:$I$2505=A452)))"),"https://techcombank.com/thong-tin/blog/eco-card
https://techcombank.com/thong-tin/blog/traveloka-voucher")</f>
        <v>https://techcombank.com/thong-tin/blog/eco-card
https://techcombank.com/thong-tin/blog/traveloka-voucher</v>
      </c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</row>
    <row r="453">
      <c r="A453" s="27" t="str">
        <f>IFERROR(__xludf.DUMMYFUNCTION("""COMPUTED_VALUE"""),"https://techcombank.com/thong-tin/blog/gui-ma-qr-ngan-hang")</f>
        <v>https://techcombank.com/thong-tin/blog/gui-ma-qr-ngan-hang</v>
      </c>
      <c r="B453" s="11">
        <f>IFERROR(__xludf.DUMMYFUNCTION("""COMPUTED_VALUE"""),2.0)</f>
        <v>2</v>
      </c>
      <c r="C453" s="8" t="str">
        <f>IFERROR(__xludf.DUMMYFUNCTION("IF(A453="""","""",TEXTJOIN(CHAR(10),TRUE,FILTER('Tổng hợp 75 trang đích'!$B$2:$B$2505,'Tổng hợp 75 trang đích'!$I$2:$I$2505=A453)))"),"https://techcombank.com/thong-tin/blog/ten-dang-nhap-tai-khoan-ngan-hang-la-gi
https://techcombank.com/thong-tin/blog/rut-tien-bang-ma-qr-la-gi-cach-thuc-hien-nhu-the-nao")</f>
        <v>https://techcombank.com/thong-tin/blog/ten-dang-nhap-tai-khoan-ngan-hang-la-gi
https://techcombank.com/thong-tin/blog/rut-tien-bang-ma-qr-la-gi-cach-thuc-hien-nhu-the-nao</v>
      </c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</row>
    <row r="454">
      <c r="A454" s="27" t="str">
        <f>IFERROR(__xludf.DUMMYFUNCTION("""COMPUTED_VALUE"""),"https://techcombank.com/thong-tin/blog/gui-them-tien-vao-so-tiet-kiem")</f>
        <v>https://techcombank.com/thong-tin/blog/gui-them-tien-vao-so-tiet-kiem</v>
      </c>
      <c r="B454" s="11">
        <f>IFERROR(__xludf.DUMMYFUNCTION("""COMPUTED_VALUE"""),2.0)</f>
        <v>2</v>
      </c>
      <c r="C454" s="8" t="str">
        <f>IFERROR(__xludf.DUMMYFUNCTION("IF(A454="""","""",TEXTJOIN(CHAR(10),TRUE,FILTER('Tổng hợp 75 trang đích'!$B$2:$B$2505,'Tổng hợp 75 trang đích'!$I$2:$I$2505=A454)))"),"https://techcombank.com/thong-tin/blog/rut-tien-tiet-kiem-truoc-thoi-han
https://techcombank.com/thong-tin/blog/so-tiet-kiem-ngan-hang")</f>
        <v>https://techcombank.com/thong-tin/blog/rut-tien-tiet-kiem-truoc-thoi-han
https://techcombank.com/thong-tin/blog/so-tiet-kiem-ngan-hang</v>
      </c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</row>
    <row r="455">
      <c r="A455" s="27" t="str">
        <f>IFERROR(__xludf.DUMMYFUNCTION("""COMPUTED_VALUE"""),"https://techcombank.com/thong-tin/blog/gui-tien-du-hoc")</f>
        <v>https://techcombank.com/thong-tin/blog/gui-tien-du-hoc</v>
      </c>
      <c r="B455" s="11">
        <f>IFERROR(__xludf.DUMMYFUNCTION("""COMPUTED_VALUE"""),2.0)</f>
        <v>2</v>
      </c>
      <c r="C455" s="8" t="str">
        <f>IFERROR(__xludf.DUMMYFUNCTION("IF(A455="""","""",TEXTJOIN(CHAR(10),TRUE,FILTER('Tổng hợp 75 trang đích'!$B$2:$B$2505,'Tổng hợp 75 trang đích'!$I$2:$I$2505=A455)))"),"https://techcombank.com/thong-tin/blog/cach-nhan-tien-tu-nuoc-ngoai-ve-viet-nam
https://techcombank.com/thong-tin/blog/doi-tien-do-o-dau")</f>
        <v>https://techcombank.com/thong-tin/blog/cach-nhan-tien-tu-nuoc-ngoai-ve-viet-nam
https://techcombank.com/thong-tin/blog/doi-tien-do-o-dau</v>
      </c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</row>
    <row r="456">
      <c r="A456" s="27" t="str">
        <f>IFERROR(__xludf.DUMMYFUNCTION("""COMPUTED_VALUE"""),"https://techcombank.com/thong-tin/blog/ho-so-thu-tuc-xoa-the-chap")</f>
        <v>https://techcombank.com/thong-tin/blog/ho-so-thu-tuc-xoa-the-chap</v>
      </c>
      <c r="B456" s="11">
        <f>IFERROR(__xludf.DUMMYFUNCTION("""COMPUTED_VALUE"""),2.0)</f>
        <v>2</v>
      </c>
      <c r="C456" s="8" t="str">
        <f>IFERROR(__xludf.DUMMYFUNCTION("IF(A456="""","""",TEXTJOIN(CHAR(10),TRUE,FILTER('Tổng hợp 75 trang đích'!$B$2:$B$2505,'Tổng hợp 75 trang đích'!$I$2:$I$2505=A456)))"),"https://techcombank.com/thong-tin/blog/nop-thue-dat-qua-ngan-hang
https://techcombank.com/thong-tin/blog/lai-suat-vay-the-chap-so-do")</f>
        <v>https://techcombank.com/thong-tin/blog/nop-thue-dat-qua-ngan-hang
https://techcombank.com/thong-tin/blog/lai-suat-vay-the-chap-so-do</v>
      </c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</row>
    <row r="457">
      <c r="A457" s="27" t="str">
        <f>IFERROR(__xludf.DUMMYFUNCTION("""COMPUTED_VALUE"""),"https://techcombank.com/thong-tin/blog/ho-so-vay-tin-chap")</f>
        <v>https://techcombank.com/thong-tin/blog/ho-so-vay-tin-chap</v>
      </c>
      <c r="B457" s="11">
        <f>IFERROR(__xludf.DUMMYFUNCTION("""COMPUTED_VALUE"""),2.0)</f>
        <v>2</v>
      </c>
      <c r="C457" s="8" t="str">
        <f>IFERROR(__xludf.DUMMYFUNCTION("IF(A457="""","""",TEXTJOIN(CHAR(10),TRUE,FILTER('Tổng hợp 75 trang đích'!$B$2:$B$2505,'Tổng hợp 75 trang đích'!$I$2:$I$2505=A457)))"),"https://techcombank.com/thong-tin/blog/nen-vay-tin-chap-o-dau
https://techcombank.com/thong-tin/blog/vay-tin-chap-khong-tra-duoc-co-sao-khong")</f>
        <v>https://techcombank.com/thong-tin/blog/nen-vay-tin-chap-o-dau
https://techcombank.com/thong-tin/blog/vay-tin-chap-khong-tra-duoc-co-sao-khong</v>
      </c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</row>
    <row r="458">
      <c r="A458" s="27" t="str">
        <f>IFERROR(__xludf.DUMMYFUNCTION("""COMPUTED_VALUE"""),"https://techcombank.com/thong-tin/blog/hu-chi-tieu")</f>
        <v>https://techcombank.com/thong-tin/blog/hu-chi-tieu</v>
      </c>
      <c r="B458" s="11">
        <f>IFERROR(__xludf.DUMMYFUNCTION("""COMPUTED_VALUE"""),2.0)</f>
        <v>2</v>
      </c>
      <c r="C458" s="8" t="str">
        <f>IFERROR(__xludf.DUMMYFUNCTION("IF(A458="""","""",TEXTJOIN(CHAR(10),TRUE,FILTER('Tổng hợp 75 trang đích'!$B$2:$B$2505,'Tổng hợp 75 trang đích'!$I$2:$I$2505=A458)))"),"https://techcombank.com/thong-tin/blog/cach-sao-ke-tai-khoan-ngan-hang
https://techcombank.com/thong-tin/blog/cach-tiet-kiem-tien")</f>
        <v>https://techcombank.com/thong-tin/blog/cach-sao-ke-tai-khoan-ngan-hang
https://techcombank.com/thong-tin/blog/cach-tiet-kiem-tien</v>
      </c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</row>
    <row r="459">
      <c r="A459" s="27" t="str">
        <f>IFERROR(__xludf.DUMMYFUNCTION("""COMPUTED_VALUE"""),"https://techcombank.com/thong-tin/blog/huong-dan-dang-ky-thanh-lap-doanh-nghiep")</f>
        <v>https://techcombank.com/thong-tin/blog/huong-dan-dang-ky-thanh-lap-doanh-nghiep</v>
      </c>
      <c r="B459" s="11">
        <f>IFERROR(__xludf.DUMMYFUNCTION("""COMPUTED_VALUE"""),2.0)</f>
        <v>2</v>
      </c>
      <c r="C459" s="8" t="str">
        <f>IFERROR(__xludf.DUMMYFUNCTION("IF(A459="""","""",TEXTJOIN(CHAR(10),TRUE,FILTER('Tổng hợp 75 trang đích'!$B$2:$B$2505,'Tổng hợp 75 trang đích'!$I$2:$I$2505=A459)))"),"https://techcombank.com/thong-tin/blog/thue-doanh-nghiep
https://techcombank.com/thong-tin/blog/mo-hinh-kinh-doanh-la-gi")</f>
        <v>https://techcombank.com/thong-tin/blog/thue-doanh-nghiep
https://techcombank.com/thong-tin/blog/mo-hinh-kinh-doanh-la-gi</v>
      </c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</row>
    <row r="460">
      <c r="A460" s="27" t="str">
        <f>IFERROR(__xludf.DUMMYFUNCTION("""COMPUTED_VALUE"""),"https://techcombank.com/thong-tin/blog/iban-la-gi")</f>
        <v>https://techcombank.com/thong-tin/blog/iban-la-gi</v>
      </c>
      <c r="B460" s="11">
        <f>IFERROR(__xludf.DUMMYFUNCTION("""COMPUTED_VALUE"""),2.0)</f>
        <v>2</v>
      </c>
      <c r="C460" s="8" t="str">
        <f>IFERROR(__xludf.DUMMYFUNCTION("IF(A460="""","""",TEXTJOIN(CHAR(10),TRUE,FILTER('Tổng hợp 75 trang đích'!$B$2:$B$2505,'Tổng hợp 75 trang đích'!$I$2:$I$2505=A460)))"),"https://techcombank.com/thong-tin/blog/chuyen-khoan-thanh-cong-nhung-khong-nhan-duoc-tien
https://techcombank.com/thong-tin/blog/cach-nhan-tien-tu-nuoc-ngoai-ve-viet-nam")</f>
        <v>https://techcombank.com/thong-tin/blog/chuyen-khoan-thanh-cong-nhung-khong-nhan-duoc-tien
https://techcombank.com/thong-tin/blog/cach-nhan-tien-tu-nuoc-ngoai-ve-viet-nam</v>
      </c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</row>
    <row r="461">
      <c r="A461" s="27" t="str">
        <f>IFERROR(__xludf.DUMMYFUNCTION("""COMPUTED_VALUE"""),"https://techcombank.com/thong-tin/blog/in-ma-qr-ngan-hang")</f>
        <v>https://techcombank.com/thong-tin/blog/in-ma-qr-ngan-hang</v>
      </c>
      <c r="B461" s="11">
        <f>IFERROR(__xludf.DUMMYFUNCTION("""COMPUTED_VALUE"""),2.0)</f>
        <v>2</v>
      </c>
      <c r="C461" s="8" t="str">
        <f>IFERROR(__xludf.DUMMYFUNCTION("IF(A461="""","""",TEXTJOIN(CHAR(10),TRUE,FILTER('Tổng hợp 75 trang đích'!$B$2:$B$2505,'Tổng hợp 75 trang đích'!$I$2:$I$2505=A461)))"),"https://techcombank.com/thong-tin/blog/rut-tien-bang-ma-qr-la-gi-cach-thuc-hien-nhu-the-nao
https://techcombank.com/thong-tin/blog/gui-ma-qr-ngan-hang")</f>
        <v>https://techcombank.com/thong-tin/blog/rut-tien-bang-ma-qr-la-gi-cach-thuc-hien-nhu-the-nao
https://techcombank.com/thong-tin/blog/gui-ma-qr-ngan-hang</v>
      </c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</row>
    <row r="462">
      <c r="A462" s="27" t="str">
        <f>IFERROR(__xludf.DUMMYFUNCTION("""COMPUTED_VALUE"""),"https://techcombank.com/thong-tin/blog/khau-vi-nha-dau-tu-tpdn-thay-doi-the-nao-sau-nhung-bien-dong-vua-qua")</f>
        <v>https://techcombank.com/thong-tin/blog/khau-vi-nha-dau-tu-tpdn-thay-doi-the-nao-sau-nhung-bien-dong-vua-qua</v>
      </c>
      <c r="B462" s="11">
        <f>IFERROR(__xludf.DUMMYFUNCTION("""COMPUTED_VALUE"""),2.0)</f>
        <v>2</v>
      </c>
      <c r="C462" s="8" t="str">
        <f>IFERROR(__xludf.DUMMYFUNCTION("IF(A462="""","""",TEXTJOIN(CHAR(10),TRUE,FILTER('Tổng hợp 75 trang đích'!$B$2:$B$2505,'Tổng hợp 75 trang đích'!$I$2:$I$2505=A462)))"),"https://techcombank.com/thong-tin/blog/eco-card
https://techcombank.com/thong-tin/blog/phuong-phap-dau-tu-chung-chi-quy")</f>
        <v>https://techcombank.com/thong-tin/blog/eco-card
https://techcombank.com/thong-tin/blog/phuong-phap-dau-tu-chung-chi-quy</v>
      </c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</row>
    <row r="463">
      <c r="A463" s="27" t="str">
        <f>IFERROR(__xludf.DUMMYFUNCTION("""COMPUTED_VALUE"""),"https://techcombank.com/thong-tin/blog/khoi-nghiep-truoc-chinh-sach-thue-moi")</f>
        <v>https://techcombank.com/thong-tin/blog/khoi-nghiep-truoc-chinh-sach-thue-moi</v>
      </c>
      <c r="B463" s="11">
        <f>IFERROR(__xludf.DUMMYFUNCTION("""COMPUTED_VALUE"""),2.0)</f>
        <v>2</v>
      </c>
      <c r="C463" s="8" t="str">
        <f>IFERROR(__xludf.DUMMYFUNCTION("IF(A463="""","""",TEXTJOIN(CHAR(10),TRUE,FILTER('Tổng hợp 75 trang đích'!$B$2:$B$2505,'Tổng hợp 75 trang đích'!$I$2:$I$2505=A463)))"),"https://techcombank.com/thong-tin/blog/ho-kinh-doanh-dong-thue-nhu-nao
https://techcombank.com/thong-tin/blog/mo-hinh-kinh-doanh-la-gi")</f>
        <v>https://techcombank.com/thong-tin/blog/ho-kinh-doanh-dong-thue-nhu-nao
https://techcombank.com/thong-tin/blog/mo-hinh-kinh-doanh-la-gi</v>
      </c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</row>
    <row r="464">
      <c r="A464" s="27" t="str">
        <f>IFERROR(__xludf.DUMMYFUNCTION("""COMPUTED_VALUE"""),"https://techcombank.com/thong-tin/blog/lai-kep-ngan-hang")</f>
        <v>https://techcombank.com/thong-tin/blog/lai-kep-ngan-hang</v>
      </c>
      <c r="B464" s="11">
        <f>IFERROR(__xludf.DUMMYFUNCTION("""COMPUTED_VALUE"""),2.0)</f>
        <v>2</v>
      </c>
      <c r="C464" s="8" t="str">
        <f>IFERROR(__xludf.DUMMYFUNCTION("IF(A464="""","""",TEXTJOIN(CHAR(10),TRUE,FILTER('Tổng hợp 75 trang đích'!$B$2:$B$2505,'Tổng hợp 75 trang đích'!$I$2:$I$2505=A464)))"),"https://techcombank.com/thong-tin/blog/cach-tinh-lai-suat-tien-gui-tiet-kiem
https://techcombank.com/cong-cu-tien-ich/cong-cu-tinh-toan/bang-tinh-lai-suat-tiet-kiem")</f>
        <v>https://techcombank.com/thong-tin/blog/cach-tinh-lai-suat-tien-gui-tiet-kiem
https://techcombank.com/cong-cu-tien-ich/cong-cu-tinh-toan/bang-tinh-lai-suat-tiet-kiem</v>
      </c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</row>
    <row r="465">
      <c r="A465" s="27" t="str">
        <f>IFERROR(__xludf.DUMMYFUNCTION("""COMPUTED_VALUE"""),"https://techcombank.com/thong-tin/blog/lai-suat-chung-chi-tien-gui-cac-ngan-hang")</f>
        <v>https://techcombank.com/thong-tin/blog/lai-suat-chung-chi-tien-gui-cac-ngan-hang</v>
      </c>
      <c r="B465" s="11">
        <f>IFERROR(__xludf.DUMMYFUNCTION("""COMPUTED_VALUE"""),2.0)</f>
        <v>2</v>
      </c>
      <c r="C465" s="8" t="str">
        <f>IFERROR(__xludf.DUMMYFUNCTION("IF(A465="""","""",TEXTJOIN(CHAR(10),TRUE,FILTER('Tổng hợp 75 trang đích'!$B$2:$B$2505,'Tổng hợp 75 trang đích'!$I$2:$I$2505=A465)))"),"https://techcombank.com/thong-tin/blog/ngan-hang-uy-tin
https://techcombank.com/thong-tin/blog/chung-chi-tien-gui-la-gi")</f>
        <v>https://techcombank.com/thong-tin/blog/ngan-hang-uy-tin
https://techcombank.com/thong-tin/blog/chung-chi-tien-gui-la-gi</v>
      </c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</row>
    <row r="466">
      <c r="A466" s="27" t="str">
        <f>IFERROR(__xludf.DUMMYFUNCTION("""COMPUTED_VALUE"""),"https://techcombank.com/thong-tin/blog/lam-ma-qr-ngan-hang-co-mat-phi-khong")</f>
        <v>https://techcombank.com/thong-tin/blog/lam-ma-qr-ngan-hang-co-mat-phi-khong</v>
      </c>
      <c r="B466" s="11">
        <f>IFERROR(__xludf.DUMMYFUNCTION("""COMPUTED_VALUE"""),2.0)</f>
        <v>2</v>
      </c>
      <c r="C466" s="8" t="str">
        <f>IFERROR(__xludf.DUMMYFUNCTION("IF(A466="""","""",TEXTJOIN(CHAR(10),TRUE,FILTER('Tổng hợp 75 trang đích'!$B$2:$B$2505,'Tổng hợp 75 trang đích'!$I$2:$I$2505=A466)))"),"https://techcombank.com/thong-tin/blog/rut-tien-bang-ma-qr-la-gi-cach-thuc-hien-nhu-the-nao
https://techcombank.com/thong-tin/blog/gui-ma-qr-ngan-hang")</f>
        <v>https://techcombank.com/thong-tin/blog/rut-tien-bang-ma-qr-la-gi-cach-thuc-hien-nhu-the-nao
https://techcombank.com/thong-tin/blog/gui-ma-qr-ngan-hang</v>
      </c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</row>
    <row r="467">
      <c r="A467" s="27" t="str">
        <f>IFERROR(__xludf.DUMMYFUNCTION("""COMPUTED_VALUE"""),"https://techcombank.com/thong-tin/blog/lam-the-visa-mat-bao-lau")</f>
        <v>https://techcombank.com/thong-tin/blog/lam-the-visa-mat-bao-lau</v>
      </c>
      <c r="B467" s="11">
        <f>IFERROR(__xludf.DUMMYFUNCTION("""COMPUTED_VALUE"""),2.0)</f>
        <v>2</v>
      </c>
      <c r="C467" s="8" t="str">
        <f>IFERROR(__xludf.DUMMYFUNCTION("IF(A467="""","""",TEXTJOIN(CHAR(10),TRUE,FILTER('Tổng hợp 75 trang đích'!$B$2:$B$2505,'Tổng hợp 75 trang đích'!$I$2:$I$2505=A467)))"),"https://techcombank.com/thong-tin/blog/bao-nhieu-tuoi-duoc-mo-tai-khoan-ngan-hang
https://techcombank.com/thong-tin/blog/lam-the-tin-dung")</f>
        <v>https://techcombank.com/thong-tin/blog/bao-nhieu-tuoi-duoc-mo-tai-khoan-ngan-hang
https://techcombank.com/thong-tin/blog/lam-the-tin-dung</v>
      </c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</row>
    <row r="468">
      <c r="A468" s="27" t="str">
        <f>IFERROR(__xludf.DUMMYFUNCTION("""COMPUTED_VALUE"""),"https://techcombank.com/thong-tin/blog/lam-the-visa-online")</f>
        <v>https://techcombank.com/thong-tin/blog/lam-the-visa-online</v>
      </c>
      <c r="B468" s="11">
        <f>IFERROR(__xludf.DUMMYFUNCTION("""COMPUTED_VALUE"""),2.0)</f>
        <v>2</v>
      </c>
      <c r="C468" s="8" t="str">
        <f>IFERROR(__xludf.DUMMYFUNCTION("IF(A468="""","""",TEXTJOIN(CHAR(10),TRUE,FILTER('Tổng hợp 75 trang đích'!$B$2:$B$2505,'Tổng hợp 75 trang đích'!$I$2:$I$2505=A468)))"),"https://techcombank.com/thong-tin/blog/bao-nhieu-tuoi-duoc-mo-tai-khoan-ngan-hang
https://techcombank.com/thong-tin/blog/lam-the-tin-dung")</f>
        <v>https://techcombank.com/thong-tin/blog/bao-nhieu-tuoi-duoc-mo-tai-khoan-ngan-hang
https://techcombank.com/thong-tin/blog/lam-the-tin-dung</v>
      </c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</row>
    <row r="469">
      <c r="A469" s="27" t="str">
        <f>IFERROR(__xludf.DUMMYFUNCTION("""COMPUTED_VALUE"""),"https://techcombank.com/thong-tin/blog/lap-ke-hoach-chi-tieu-ca-nhan")</f>
        <v>https://techcombank.com/thong-tin/blog/lap-ke-hoach-chi-tieu-ca-nhan</v>
      </c>
      <c r="B469" s="11">
        <f>IFERROR(__xludf.DUMMYFUNCTION("""COMPUTED_VALUE"""),2.0)</f>
        <v>2</v>
      </c>
      <c r="C469" s="8" t="str">
        <f>IFERROR(__xludf.DUMMYFUNCTION("IF(A469="""","""",TEXTJOIN(CHAR(10),TRUE,FILTER('Tổng hợp 75 trang đích'!$B$2:$B$2505,'Tổng hợp 75 trang đích'!$I$2:$I$2505=A469)))"),"https://techcombank.com/thong-tin/blog/eco-card
https://techcombank.com/thong-tin/blog/cach-tiet-kiem-tien")</f>
        <v>https://techcombank.com/thong-tin/blog/eco-card
https://techcombank.com/thong-tin/blog/cach-tiet-kiem-tien</v>
      </c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</row>
    <row r="470">
      <c r="A470" s="27" t="str">
        <f>IFERROR(__xludf.DUMMYFUNCTION("""COMPUTED_VALUE"""),"https://techcombank.com/thong-tin/blog/lap-ke-hoach-tai-chinh-ca-nhan")</f>
        <v>https://techcombank.com/thong-tin/blog/lap-ke-hoach-tai-chinh-ca-nhan</v>
      </c>
      <c r="B470" s="11">
        <f>IFERROR(__xludf.DUMMYFUNCTION("""COMPUTED_VALUE"""),2.0)</f>
        <v>2</v>
      </c>
      <c r="C470" s="8" t="str">
        <f>IFERROR(__xludf.DUMMYFUNCTION("IF(A470="""","""",TEXTJOIN(CHAR(10),TRUE,FILTER('Tổng hợp 75 trang đích'!$B$2:$B$2505,'Tổng hợp 75 trang đích'!$I$2:$I$2505=A470)))"),"https://techcombank.com/thong-tin/blog/cach-tiet-kiem-tien
https://techcombank.com/thong-tin/blog/phuong-phap-dau-tu-chung-chi-quy")</f>
        <v>https://techcombank.com/thong-tin/blog/cach-tiet-kiem-tien
https://techcombank.com/thong-tin/blog/phuong-phap-dau-tu-chung-chi-quy</v>
      </c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</row>
    <row r="471">
      <c r="A471" s="27" t="str">
        <f>IFERROR(__xludf.DUMMYFUNCTION("""COMPUTED_VALUE"""),"https://techcombank.com/thong-tin/blog/li-xi-so-dep")</f>
        <v>https://techcombank.com/thong-tin/blog/li-xi-so-dep</v>
      </c>
      <c r="B471" s="11">
        <f>IFERROR(__xludf.DUMMYFUNCTION("""COMPUTED_VALUE"""),2.0)</f>
        <v>2</v>
      </c>
      <c r="C471" s="8" t="str">
        <f>IFERROR(__xludf.DUMMYFUNCTION("IF(A471="""","""",TEXTJOIN(CHAR(10),TRUE,FILTER('Tổng hợp 75 trang đích'!$B$2:$B$2505,'Tổng hợp 75 trang đích'!$I$2:$I$2505=A471)))"),"https://techcombank.com/thong-tin/blog/bao-nhieu-tuoi-duoc-mo-tai-khoan-ngan-hang
https://techcombank.com/thong-tin/blog/day-so-phat-tai-phat-loc")</f>
        <v>https://techcombank.com/thong-tin/blog/bao-nhieu-tuoi-duoc-mo-tai-khoan-ngan-hang
https://techcombank.com/thong-tin/blog/day-so-phat-tai-phat-loc</v>
      </c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</row>
    <row r="472">
      <c r="A472" s="27" t="str">
        <f>IFERROR(__xludf.DUMMYFUNCTION("""COMPUTED_VALUE"""),"https://techcombank.com/thong-tin/blog/loi-ich-cua-viec-tiet-kiem-tien")</f>
        <v>https://techcombank.com/thong-tin/blog/loi-ich-cua-viec-tiet-kiem-tien</v>
      </c>
      <c r="B472" s="11">
        <f>IFERROR(__xludf.DUMMYFUNCTION("""COMPUTED_VALUE"""),2.0)</f>
        <v>2</v>
      </c>
      <c r="C472" s="8" t="str">
        <f>IFERROR(__xludf.DUMMYFUNCTION("IF(A472="""","""",TEXTJOIN(CHAR(10),TRUE,FILTER('Tổng hợp 75 trang đích'!$B$2:$B$2505,'Tổng hợp 75 trang đích'!$I$2:$I$2505=A472)))"),"https://techcombank.com/thong-tin/blog/cach-sao-ke-tai-khoan-ngan-hang
https://techcombank.com/thong-tin/blog/cach-tiet-kiem-tien")</f>
        <v>https://techcombank.com/thong-tin/blog/cach-sao-ke-tai-khoan-ngan-hang
https://techcombank.com/thong-tin/blog/cach-tiet-kiem-tien</v>
      </c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</row>
    <row r="473">
      <c r="A473" s="27" t="str">
        <f>IFERROR(__xludf.DUMMYFUNCTION("""COMPUTED_VALUE"""),"https://techcombank.com/thong-tin/blog/luong-huu")</f>
        <v>https://techcombank.com/thong-tin/blog/luong-huu</v>
      </c>
      <c r="B473" s="11">
        <f>IFERROR(__xludf.DUMMYFUNCTION("""COMPUTED_VALUE"""),2.0)</f>
        <v>2</v>
      </c>
      <c r="C473" s="8" t="str">
        <f>IFERROR(__xludf.DUMMYFUNCTION("IF(A473="""","""",TEXTJOIN(CHAR(10),TRUE,FILTER('Tổng hợp 75 trang đích'!$B$2:$B$2505,'Tổng hợp 75 trang đích'!$I$2:$I$2505=A473)))"),"https://techcombank.com/thong-tin/blog/cach-tinh-thue-thu-nhap-ca-nhan-2025
https://techcombank.com/thong-tin/blog/thue-thu-nhap-ca-nhan")</f>
        <v>https://techcombank.com/thong-tin/blog/cach-tinh-thue-thu-nhap-ca-nhan-2025
https://techcombank.com/thong-tin/blog/thue-thu-nhap-ca-nhan</v>
      </c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</row>
    <row r="474">
      <c r="A474" s="27" t="str">
        <f>IFERROR(__xludf.DUMMYFUNCTION("""COMPUTED_VALUE"""),"https://techcombank.com/thong-tin/blog/luu-y-khi-chuyen-tien-vao-tai-khoan-cong-ty")</f>
        <v>https://techcombank.com/thong-tin/blog/luu-y-khi-chuyen-tien-vao-tai-khoan-cong-ty</v>
      </c>
      <c r="B474" s="11">
        <f>IFERROR(__xludf.DUMMYFUNCTION("""COMPUTED_VALUE"""),2.0)</f>
        <v>2</v>
      </c>
      <c r="C474" s="8" t="str">
        <f>IFERROR(__xludf.DUMMYFUNCTION("IF(A474="""","""",TEXTJOIN(CHAR(10),TRUE,FILTER('Tổng hợp 75 trang đích'!$B$2:$B$2505,'Tổng hợp 75 trang đích'!$I$2:$I$2505=A474)))"),"https://techcombank.com/thong-tin/blog/cong-ty-su-dung-tai-khoan-ca-nhan
https://techcombank.com/thong-tin/blog/chuyen-khoan-thanh-cong-nhung-khong-nhan-duoc-tien")</f>
        <v>https://techcombank.com/thong-tin/blog/cong-ty-su-dung-tai-khoan-ca-nhan
https://techcombank.com/thong-tin/blog/chuyen-khoan-thanh-cong-nhung-khong-nhan-duoc-tien</v>
      </c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</row>
    <row r="475">
      <c r="A475" s="27" t="str">
        <f>IFERROR(__xludf.DUMMYFUNCTION("""COMPUTED_VALUE"""),"https://techcombank.com/thong-tin/blog/ma-giao-dich-la-gi")</f>
        <v>https://techcombank.com/thong-tin/blog/ma-giao-dich-la-gi</v>
      </c>
      <c r="B475" s="11">
        <f>IFERROR(__xludf.DUMMYFUNCTION("""COMPUTED_VALUE"""),2.0)</f>
        <v>2</v>
      </c>
      <c r="C475" s="8" t="str">
        <f>IFERROR(__xludf.DUMMYFUNCTION("IF(A475="""","""",TEXTJOIN(CHAR(10),TRUE,FILTER('Tổng hợp 75 trang đích'!$B$2:$B$2505,'Tổng hợp 75 trang đích'!$I$2:$I$2505=A475)))"),"https://techcombank.com/thong-tin/blog/cach-kiem-tra-tai-khoan-ngan-hang
https://techcombank.com/thong-tin/blog/chuyen-khoan-thanh-cong-nhung-khong-nhan-duoc-tien")</f>
        <v>https://techcombank.com/thong-tin/blog/cach-kiem-tra-tai-khoan-ngan-hang
https://techcombank.com/thong-tin/blog/chuyen-khoan-thanh-cong-nhung-khong-nhan-duoc-tien</v>
      </c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</row>
    <row r="476">
      <c r="A476" s="27" t="str">
        <f>IFERROR(__xludf.DUMMYFUNCTION("""COMPUTED_VALUE"""),"https://techcombank.com/thong-tin/blog/ma-mcc")</f>
        <v>https://techcombank.com/thong-tin/blog/ma-mcc</v>
      </c>
      <c r="B476" s="11">
        <f>IFERROR(__xludf.DUMMYFUNCTION("""COMPUTED_VALUE"""),2.0)</f>
        <v>2</v>
      </c>
      <c r="C476" s="8" t="str">
        <f>IFERROR(__xludf.DUMMYFUNCTION("IF(A476="""","""",TEXTJOIN(CHAR(10),TRUE,FILTER('Tổng hợp 75 trang đích'!$B$2:$B$2505,'Tổng hợp 75 trang đích'!$I$2:$I$2505=A476)))"),"https://techcombank.com/thong-tin/blog/cach-sao-ke-tai-khoan-ngan-hang
https://techcombank.com/thong-tin/blog/cach-tiet-kiem-tien")</f>
        <v>https://techcombank.com/thong-tin/blog/cach-sao-ke-tai-khoan-ngan-hang
https://techcombank.com/thong-tin/blog/cach-tiet-kiem-tien</v>
      </c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</row>
    <row r="477">
      <c r="A477" s="27" t="str">
        <f>IFERROR(__xludf.DUMMYFUNCTION("""COMPUTED_VALUE"""),"https://techcombank.com/thong-tin/blog/ma-pin-the-atm")</f>
        <v>https://techcombank.com/thong-tin/blog/ma-pin-the-atm</v>
      </c>
      <c r="B477" s="11">
        <f>IFERROR(__xludf.DUMMYFUNCTION("""COMPUTED_VALUE"""),2.0)</f>
        <v>2</v>
      </c>
      <c r="C477" s="8" t="str">
        <f>IFERROR(__xludf.DUMMYFUNCTION("IF(A477="""","""",TEXTJOIN(CHAR(10),TRUE,FILTER('Tổng hợp 75 trang đích'!$B$2:$B$2505,'Tổng hợp 75 trang đích'!$I$2:$I$2505=A477)))"),"https://techcombank.com/thong-tin/blog/nap-tien-vao-tai-khoan-ngan-hang
https://techcombank.com/thong-tin/blog/rut-tien-bang-ma-qr-la-gi-cach-thuc-hien-nhu-the-nao")</f>
        <v>https://techcombank.com/thong-tin/blog/nap-tien-vao-tai-khoan-ngan-hang
https://techcombank.com/thong-tin/blog/rut-tien-bang-ma-qr-la-gi-cach-thuc-hien-nhu-the-nao</v>
      </c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</row>
    <row r="478">
      <c r="A478" s="27" t="str">
        <f>IFERROR(__xludf.DUMMYFUNCTION("""COMPUTED_VALUE"""),"https://techcombank.com/thong-tin/blog/ma-qr-lam-gia-duoc-khong")</f>
        <v>https://techcombank.com/thong-tin/blog/ma-qr-lam-gia-duoc-khong</v>
      </c>
      <c r="B478" s="11">
        <f>IFERROR(__xludf.DUMMYFUNCTION("""COMPUTED_VALUE"""),2.0)</f>
        <v>2</v>
      </c>
      <c r="C478" s="8" t="str">
        <f>IFERROR(__xludf.DUMMYFUNCTION("IF(A478="""","""",TEXTJOIN(CHAR(10),TRUE,FILTER('Tổng hợp 75 trang đích'!$B$2:$B$2505,'Tổng hợp 75 trang đích'!$I$2:$I$2505=A478)))"),"https://techcombank.com/thong-tin/blog/rut-tien-bang-ma-qr-la-gi-cach-thuc-hien-nhu-the-nao
https://techcombank.com/thong-tin/blog/gui-ma-qr-ngan-hang")</f>
        <v>https://techcombank.com/thong-tin/blog/rut-tien-bang-ma-qr-la-gi-cach-thuc-hien-nhu-the-nao
https://techcombank.com/thong-tin/blog/gui-ma-qr-ngan-hang</v>
      </c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</row>
    <row r="479">
      <c r="A479" s="27" t="str">
        <f>IFERROR(__xludf.DUMMYFUNCTION("""COMPUTED_VALUE"""),"https://techcombank.com/thong-tin/blog/ma-qr-techcombank")</f>
        <v>https://techcombank.com/thong-tin/blog/ma-qr-techcombank</v>
      </c>
      <c r="B479" s="11">
        <f>IFERROR(__xludf.DUMMYFUNCTION("""COMPUTED_VALUE"""),2.0)</f>
        <v>2</v>
      </c>
      <c r="C479" s="8" t="str">
        <f>IFERROR(__xludf.DUMMYFUNCTION("IF(A479="""","""",TEXTJOIN(CHAR(10),TRUE,FILTER('Tổng hợp 75 trang đích'!$B$2:$B$2505,'Tổng hợp 75 trang đích'!$I$2:$I$2505=A479)))"),"https://techcombank.com/thong-tin/blog/rut-tien-bang-ma-qr-la-gi-cach-thuc-hien-nhu-the-nao
https://techcombank.com/thong-tin/blog/gui-ma-qr-ngan-hang")</f>
        <v>https://techcombank.com/thong-tin/blog/rut-tien-bang-ma-qr-la-gi-cach-thuc-hien-nhu-the-nao
https://techcombank.com/thong-tin/blog/gui-ma-qr-ngan-hang</v>
      </c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</row>
    <row r="480">
      <c r="A480" s="27" t="str">
        <f>IFERROR(__xludf.DUMMYFUNCTION("""COMPUTED_VALUE"""),"https://techcombank.com/thong-tin/blog/ma-swift-ngan-hang")</f>
        <v>https://techcombank.com/thong-tin/blog/ma-swift-ngan-hang</v>
      </c>
      <c r="B480" s="11">
        <f>IFERROR(__xludf.DUMMYFUNCTION("""COMPUTED_VALUE"""),2.0)</f>
        <v>2</v>
      </c>
      <c r="C480" s="8" t="str">
        <f>IFERROR(__xludf.DUMMYFUNCTION("IF(A480="""","""",TEXTJOIN(CHAR(10),TRUE,FILTER('Tổng hợp 75 trang đích'!$B$2:$B$2505,'Tổng hợp 75 trang đích'!$I$2:$I$2505=A480)))"),"https://techcombank.com/thong-tin/blog/chuyen-khoan-thanh-cong-nhung-khong-nhan-duoc-tien
https://techcombank.com/thong-tin/blog/cach-nhan-tien-tu-nuoc-ngoai-ve-viet-nam")</f>
        <v>https://techcombank.com/thong-tin/blog/chuyen-khoan-thanh-cong-nhung-khong-nhan-duoc-tien
https://techcombank.com/thong-tin/blog/cach-nhan-tien-tu-nuoc-ngoai-ve-viet-nam</v>
      </c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</row>
    <row r="481">
      <c r="A481" s="27" t="str">
        <f>IFERROR(__xludf.DUMMYFUNCTION("""COMPUTED_VALUE"""),"https://techcombank.com/thong-tin/blog/mat-so-tiet-kiem")</f>
        <v>https://techcombank.com/thong-tin/blog/mat-so-tiet-kiem</v>
      </c>
      <c r="B481" s="11">
        <f>IFERROR(__xludf.DUMMYFUNCTION("""COMPUTED_VALUE"""),2.0)</f>
        <v>2</v>
      </c>
      <c r="C481" s="8" t="str">
        <f>IFERROR(__xludf.DUMMYFUNCTION("IF(A481="""","""",TEXTJOIN(CHAR(10),TRUE,FILTER('Tổng hợp 75 trang đích'!$B$2:$B$2505,'Tổng hợp 75 trang đích'!$I$2:$I$2505=A481)))"),"https://techcombank.com/thong-tin/blog/rut-tien-tiet-kiem-truoc-thoi-han
https://techcombank.com/thong-tin/blog/so-tiet-kiem-ngan-hang")</f>
        <v>https://techcombank.com/thong-tin/blog/rut-tien-tiet-kiem-truoc-thoi-han
https://techcombank.com/thong-tin/blog/so-tiet-kiem-ngan-hang</v>
      </c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</row>
    <row r="482">
      <c r="A482" s="27" t="str">
        <f>IFERROR(__xludf.DUMMYFUNCTION("""COMPUTED_VALUE"""),"https://techcombank.com/thong-tin/blog/mau-mo-tai-khoan-doanh-nghiep-techcombank")</f>
        <v>https://techcombank.com/thong-tin/blog/mau-mo-tai-khoan-doanh-nghiep-techcombank</v>
      </c>
      <c r="B482" s="11">
        <f>IFERROR(__xludf.DUMMYFUNCTION("""COMPUTED_VALUE"""),2.0)</f>
        <v>2</v>
      </c>
      <c r="C482" s="8" t="str">
        <f>IFERROR(__xludf.DUMMYFUNCTION("IF(A482="""","""",TEXTJOIN(CHAR(10),TRUE,FILTER('Tổng hợp 75 trang đích'!$B$2:$B$2505,'Tổng hợp 75 trang đích'!$I$2:$I$2505=A482)))"),"https://techcombank.com/thong-tin/blog/cong-ty-su-dung-tai-khoan-ca-nhan
https://techcombank.com/thong-tin/blog/cach-mo-tai-khoan")</f>
        <v>https://techcombank.com/thong-tin/blog/cong-ty-su-dung-tai-khoan-ca-nhan
https://techcombank.com/thong-tin/blog/cach-mo-tai-khoan</v>
      </c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</row>
    <row r="483">
      <c r="A483" s="27" t="str">
        <f>IFERROR(__xludf.DUMMYFUNCTION("""COMPUTED_VALUE"""),"https://techcombank.com/thong-tin/blog/merchant-la-gi")</f>
        <v>https://techcombank.com/thong-tin/blog/merchant-la-gi</v>
      </c>
      <c r="B483" s="11">
        <f>IFERROR(__xludf.DUMMYFUNCTION("""COMPUTED_VALUE"""),2.0)</f>
        <v>2</v>
      </c>
      <c r="C483" s="8" t="str">
        <f>IFERROR(__xludf.DUMMYFUNCTION("IF(A483="""","""",TEXTJOIN(CHAR(10),TRUE,FILTER('Tổng hợp 75 trang đích'!$B$2:$B$2505,'Tổng hợp 75 trang đích'!$I$2:$I$2505=A483)))"),"https://techcombank.com/thong-tin/blog/mo-hinh-kinh-doanh-la-gi
https://techcombank.com/thong-tin/blog/gui-ma-qr-ngan-hang")</f>
        <v>https://techcombank.com/thong-tin/blog/mo-hinh-kinh-doanh-la-gi
https://techcombank.com/thong-tin/blog/gui-ma-qr-ngan-hang</v>
      </c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</row>
    <row r="484">
      <c r="A484" s="27" t="str">
        <f>IFERROR(__xludf.DUMMYFUNCTION("""COMPUTED_VALUE"""),"https://techcombank.com/thong-tin/blog/mo-tai-khoan-ngan-hang-co-mat-phi-khong")</f>
        <v>https://techcombank.com/thong-tin/blog/mo-tai-khoan-ngan-hang-co-mat-phi-khong</v>
      </c>
      <c r="B484" s="11">
        <f>IFERROR(__xludf.DUMMYFUNCTION("""COMPUTED_VALUE"""),2.0)</f>
        <v>2</v>
      </c>
      <c r="C484" s="8" t="str">
        <f>IFERROR(__xludf.DUMMYFUNCTION("IF(A484="""","""",TEXTJOIN(CHAR(10),TRUE,FILTER('Tổng hợp 75 trang đích'!$B$2:$B$2505,'Tổng hợp 75 trang đích'!$I$2:$I$2505=A484)))"),"https://techcombank.com/thong-tin/blog/cach-mo-tai-khoan
https://techcombank.com/thong-tin/blog/chuyen-khoan-thanh-cong-nhung-khong-nhan-duoc-tien")</f>
        <v>https://techcombank.com/thong-tin/blog/cach-mo-tai-khoan
https://techcombank.com/thong-tin/blog/chuyen-khoan-thanh-cong-nhung-khong-nhan-duoc-tien</v>
      </c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</row>
    <row r="485">
      <c r="A485" s="27" t="str">
        <f>IFERROR(__xludf.DUMMYFUNCTION("""COMPUTED_VALUE"""),"https://techcombank.com/thong-tin/blog/mo-tai-khoan-ngan-hang-duoi-18-tuoi")</f>
        <v>https://techcombank.com/thong-tin/blog/mo-tai-khoan-ngan-hang-duoi-18-tuoi</v>
      </c>
      <c r="B485" s="11">
        <f>IFERROR(__xludf.DUMMYFUNCTION("""COMPUTED_VALUE"""),2.0)</f>
        <v>2</v>
      </c>
      <c r="C485" s="8" t="str">
        <f>IFERROR(__xludf.DUMMYFUNCTION("IF(A485="""","""",TEXTJOIN(CHAR(10),TRUE,FILTER('Tổng hợp 75 trang đích'!$B$2:$B$2505,'Tổng hợp 75 trang đích'!$I$2:$I$2505=A485)))"),"https://techcombank.com/thong-tin/blog/cach-mo-tai-khoan
https://techcombank.com/thong-tin/blog/bao-nhieu-tuoi-duoc-mo-tai-khoan-ngan-hang")</f>
        <v>https://techcombank.com/thong-tin/blog/cach-mo-tai-khoan
https://techcombank.com/thong-tin/blog/bao-nhieu-tuoi-duoc-mo-tai-khoan-ngan-hang</v>
      </c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</row>
    <row r="486">
      <c r="A486" s="27" t="str">
        <f>IFERROR(__xludf.DUMMYFUNCTION("""COMPUTED_VALUE"""),"https://techcombank.com/thong-tin/blog/mo-tai-khoan-ngan-hang-online-co-an-toan-khong")</f>
        <v>https://techcombank.com/thong-tin/blog/mo-tai-khoan-ngan-hang-online-co-an-toan-khong</v>
      </c>
      <c r="B486" s="11">
        <f>IFERROR(__xludf.DUMMYFUNCTION("""COMPUTED_VALUE"""),2.0)</f>
        <v>2</v>
      </c>
      <c r="C486" s="8" t="str">
        <f>IFERROR(__xludf.DUMMYFUNCTION("IF(A486="""","""",TEXTJOIN(CHAR(10),TRUE,FILTER('Tổng hợp 75 trang đích'!$B$2:$B$2505,'Tổng hợp 75 trang đích'!$I$2:$I$2505=A486)))"),"https://techcombank.com/thong-tin/blog/cach-mo-tai-khoan
https://techcombank.com/thong-tin/blog/rui-ro-khi-gui-tiet-kiem-online")</f>
        <v>https://techcombank.com/thong-tin/blog/cach-mo-tai-khoan
https://techcombank.com/thong-tin/blog/rui-ro-khi-gui-tiet-kiem-online</v>
      </c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</row>
    <row r="487">
      <c r="A487" s="27" t="str">
        <f>IFERROR(__xludf.DUMMYFUNCTION("""COMPUTED_VALUE"""),"https://techcombank.com/thong-tin/blog/mo-the-ghi-no")</f>
        <v>https://techcombank.com/thong-tin/blog/mo-the-ghi-no</v>
      </c>
      <c r="B487" s="11">
        <f>IFERROR(__xludf.DUMMYFUNCTION("""COMPUTED_VALUE"""),2.0)</f>
        <v>2</v>
      </c>
      <c r="C487" s="8" t="str">
        <f>IFERROR(__xludf.DUMMYFUNCTION("IF(A487="""","""",TEXTJOIN(CHAR(10),TRUE,FILTER('Tổng hợp 75 trang đích'!$B$2:$B$2505,'Tổng hợp 75 trang đích'!$I$2:$I$2505=A487)))"),"https://techcombank.com/thong-tin/blog/eco-card
https://techcombank.com/thong-tin/blog/lam-the-tin-dung")</f>
        <v>https://techcombank.com/thong-tin/blog/eco-card
https://techcombank.com/thong-tin/blog/lam-the-tin-dung</v>
      </c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</row>
    <row r="488">
      <c r="A488" s="27" t="str">
        <f>IFERROR(__xludf.DUMMYFUNCTION("""COMPUTED_VALUE"""),"https://techcombank.com/thong-tin/blog/mr-eco")</f>
        <v>https://techcombank.com/thong-tin/blog/mr-eco</v>
      </c>
      <c r="B488" s="11">
        <f>IFERROR(__xludf.DUMMYFUNCTION("""COMPUTED_VALUE"""),2.0)</f>
        <v>2</v>
      </c>
      <c r="C488" s="8" t="str">
        <f>IFERROR(__xludf.DUMMYFUNCTION("IF(A488="""","""",TEXTJOIN(CHAR(10),TRUE,FILTER('Tổng hợp 75 trang đích'!$B$2:$B$2505,'Tổng hợp 75 trang đích'!$I$2:$I$2505=A488)))"),"https://techcombank.com/thong-tin/blog/eco-card
https://techcombank.com/thong-tin/blog/traveloka-voucher")</f>
        <v>https://techcombank.com/thong-tin/blog/eco-card
https://techcombank.com/thong-tin/blog/traveloka-voucher</v>
      </c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</row>
    <row r="489">
      <c r="A489" s="27" t="str">
        <f>IFERROR(__xludf.DUMMYFUNCTION("""COMPUTED_VALUE"""),"https://techcombank.com/thong-tin/blog/nap-tien-vao-tai-khoan-ngan-hang")</f>
        <v>https://techcombank.com/thong-tin/blog/nap-tien-vao-tai-khoan-ngan-hang</v>
      </c>
      <c r="B489" s="11">
        <f>IFERROR(__xludf.DUMMYFUNCTION("""COMPUTED_VALUE"""),2.0)</f>
        <v>2</v>
      </c>
      <c r="C489" s="8" t="str">
        <f>IFERROR(__xludf.DUMMYFUNCTION("IF(A489="""","""",TEXTJOIN(CHAR(10),TRUE,FILTER('Tổng hợp 75 trang đích'!$B$2:$B$2505,'Tổng hợp 75 trang đích'!$I$2:$I$2505=A489)))"),"https://techcombank.com/thong-tin/blog/cach-mo-tai-khoan
https://techcombank.com/thong-tin/blog/rut-tien-bang-ma-qr-la-gi-cach-thuc-hien-nhu-the-nao")</f>
        <v>https://techcombank.com/thong-tin/blog/cach-mo-tai-khoan
https://techcombank.com/thong-tin/blog/rut-tien-bang-ma-qr-la-gi-cach-thuc-hien-nhu-the-nao</v>
      </c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</row>
    <row r="490">
      <c r="A490" s="27" t="str">
        <f>IFERROR(__xludf.DUMMYFUNCTION("""COMPUTED_VALUE"""),"https://techcombank.com/thong-tin/blog/nen-mo-tai-khoan-ngan-hang-nao-cho-doanh-nghiep")</f>
        <v>https://techcombank.com/thong-tin/blog/nen-mo-tai-khoan-ngan-hang-nao-cho-doanh-nghiep</v>
      </c>
      <c r="B490" s="11">
        <f>IFERROR(__xludf.DUMMYFUNCTION("""COMPUTED_VALUE"""),2.0)</f>
        <v>2</v>
      </c>
      <c r="C490" s="8" t="str">
        <f>IFERROR(__xludf.DUMMYFUNCTION("IF(A490="""","""",TEXTJOIN(CHAR(10),TRUE,FILTER('Tổng hợp 75 trang đích'!$B$2:$B$2505,'Tổng hợp 75 trang đích'!$I$2:$I$2505=A490)))"),"https://techcombank.com/thong-tin/blog/cach-mo-tai-khoan
https://techcombank.com/thong-tin/blog/ngan-hang-uy-tin")</f>
        <v>https://techcombank.com/thong-tin/blog/cach-mo-tai-khoan
https://techcombank.com/thong-tin/blog/ngan-hang-uy-tin</v>
      </c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</row>
    <row r="491">
      <c r="A491" s="27" t="str">
        <f>IFERROR(__xludf.DUMMYFUNCTION("""COMPUTED_VALUE"""),"https://techcombank.com/thong-tin/blog/nen-vay-tin-chap-o-dau")</f>
        <v>https://techcombank.com/thong-tin/blog/nen-vay-tin-chap-o-dau</v>
      </c>
      <c r="B491" s="11">
        <f>IFERROR(__xludf.DUMMYFUNCTION("""COMPUTED_VALUE"""),2.0)</f>
        <v>2</v>
      </c>
      <c r="C491" s="8" t="str">
        <f>IFERROR(__xludf.DUMMYFUNCTION("IF(A491="""","""",TEXTJOIN(CHAR(10),TRUE,FILTER('Tổng hợp 75 trang đích'!$B$2:$B$2505,'Tổng hợp 75 trang đích'!$I$2:$I$2505=A491)))"),"https://techcombank.com/thong-tin/blog/ngan-hang-uy-tin
https://techcombank.com/thong-tin/blog/vay-tin-chap-khong-tra-duoc-co-sao-khong")</f>
        <v>https://techcombank.com/thong-tin/blog/ngan-hang-uy-tin
https://techcombank.com/thong-tin/blog/vay-tin-chap-khong-tra-duoc-co-sao-khong</v>
      </c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</row>
    <row r="492">
      <c r="A492" s="27" t="str">
        <f>IFERROR(__xludf.DUMMYFUNCTION("""COMPUTED_VALUE"""),"https://techcombank.com/thong-tin/blog/ngan-hang-so-cho-doanh-nghiep")</f>
        <v>https://techcombank.com/thong-tin/blog/ngan-hang-so-cho-doanh-nghiep</v>
      </c>
      <c r="B492" s="11">
        <f>IFERROR(__xludf.DUMMYFUNCTION("""COMPUTED_VALUE"""),2.0)</f>
        <v>2</v>
      </c>
      <c r="C492" s="8" t="str">
        <f>IFERROR(__xludf.DUMMYFUNCTION("IF(A492="""","""",TEXTJOIN(CHAR(10),TRUE,FILTER('Tổng hợp 75 trang đích'!$B$2:$B$2505,'Tổng hợp 75 trang đích'!$I$2:$I$2505=A492)))"),"https://techcombank.com/thong-tin/blog/eco-card
https://techcombank.com/thong-tin/blog/cach-tiet-kiem-tien")</f>
        <v>https://techcombank.com/thong-tin/blog/eco-card
https://techcombank.com/thong-tin/blog/cach-tiet-kiem-tien</v>
      </c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</row>
    <row r="493">
      <c r="A493" s="27" t="str">
        <f>IFERROR(__xludf.DUMMYFUNCTION("""COMPUTED_VALUE"""),"https://techcombank.com/thong-tin/blog/ngan-hang-thu-huong-la-gi")</f>
        <v>https://techcombank.com/thong-tin/blog/ngan-hang-thu-huong-la-gi</v>
      </c>
      <c r="B493" s="11">
        <f>IFERROR(__xludf.DUMMYFUNCTION("""COMPUTED_VALUE"""),2.0)</f>
        <v>2</v>
      </c>
      <c r="C493" s="8" t="str">
        <f>IFERROR(__xludf.DUMMYFUNCTION("IF(A493="""","""",TEXTJOIN(CHAR(10),TRUE,FILTER('Tổng hợp 75 trang đích'!$B$2:$B$2505,'Tổng hợp 75 trang đích'!$I$2:$I$2505=A493)))"),"https://techcombank.com/thong-tin/blog/chuyen-khoan-thanh-cong-nhung-khong-nhan-duoc-tien
https://techcombank.com/thong-tin/blog/ten-dang-nhap-tai-khoan-ngan-hang-la-gi")</f>
        <v>https://techcombank.com/thong-tin/blog/chuyen-khoan-thanh-cong-nhung-khong-nhan-duoc-tien
https://techcombank.com/thong-tin/blog/ten-dang-nhap-tai-khoan-ngan-hang-la-gi</v>
      </c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</row>
    <row r="494">
      <c r="A494" s="27" t="str">
        <f>IFERROR(__xludf.DUMMYFUNCTION("""COMPUTED_VALUE"""),"https://techcombank.com/thong-tin/blog/ngan-hang-xanh")</f>
        <v>https://techcombank.com/thong-tin/blog/ngan-hang-xanh</v>
      </c>
      <c r="B494" s="11">
        <f>IFERROR(__xludf.DUMMYFUNCTION("""COMPUTED_VALUE"""),2.0)</f>
        <v>2</v>
      </c>
      <c r="C494" s="8" t="str">
        <f>IFERROR(__xludf.DUMMYFUNCTION("IF(A494="""","""",TEXTJOIN(CHAR(10),TRUE,FILTER('Tổng hợp 75 trang đích'!$B$2:$B$2505,'Tổng hợp 75 trang đích'!$I$2:$I$2505=A494)))"),"https://techcombank.com/thong-tin/blog/eco-card
https://techcombank.com/thong-tin/blog/phuong-phap-dau-tu-chung-chi-quy")</f>
        <v>https://techcombank.com/thong-tin/blog/eco-card
https://techcombank.com/thong-tin/blog/phuong-phap-dau-tu-chung-chi-quy</v>
      </c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</row>
    <row r="495">
      <c r="A495" s="27" t="str">
        <f>IFERROR(__xludf.DUMMYFUNCTION("""COMPUTED_VALUE"""),"https://techcombank.com/thong-tin/blog/npv-la-gi")</f>
        <v>https://techcombank.com/thong-tin/blog/npv-la-gi</v>
      </c>
      <c r="B495" s="11">
        <f>IFERROR(__xludf.DUMMYFUNCTION("""COMPUTED_VALUE"""),2.0)</f>
        <v>2</v>
      </c>
      <c r="C495" s="8" t="str">
        <f>IFERROR(__xludf.DUMMYFUNCTION("IF(A495="""","""",TEXTJOIN(CHAR(10),TRUE,FILTER('Tổng hợp 75 trang đích'!$B$2:$B$2505,'Tổng hợp 75 trang đích'!$I$2:$I$2505=A495)))"),"https://techcombank.com/thong-tin/blog/cach-tiet-kiem-tien
https://techcombank.com/thong-tin/blog/phuong-phap-dau-tu-chung-chi-quy")</f>
        <v>https://techcombank.com/thong-tin/blog/cach-tiet-kiem-tien
https://techcombank.com/thong-tin/blog/phuong-phap-dau-tu-chung-chi-quy</v>
      </c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</row>
    <row r="496">
      <c r="A496" s="27" t="str">
        <f>IFERROR(__xludf.DUMMYFUNCTION("""COMPUTED_VALUE"""),"https://techcombank.com/thong-tin/blog/phan-bo-tai-san")</f>
        <v>https://techcombank.com/thong-tin/blog/phan-bo-tai-san</v>
      </c>
      <c r="B496" s="11">
        <f>IFERROR(__xludf.DUMMYFUNCTION("""COMPUTED_VALUE"""),2.0)</f>
        <v>2</v>
      </c>
      <c r="C496" s="8" t="str">
        <f>IFERROR(__xludf.DUMMYFUNCTION("IF(A496="""","""",TEXTJOIN(CHAR(10),TRUE,FILTER('Tổng hợp 75 trang đích'!$B$2:$B$2505,'Tổng hợp 75 trang đích'!$I$2:$I$2505=A496)))"),"https://techcombank.com/thong-tin/blog/eco-card
https://techcombank.com/thong-tin/blog/rui-ro-khi-gui-tiet-kiem-online")</f>
        <v>https://techcombank.com/thong-tin/blog/eco-card
https://techcombank.com/thong-tin/blog/rui-ro-khi-gui-tiet-kiem-online</v>
      </c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</row>
    <row r="497">
      <c r="A497" s="27" t="str">
        <f>IFERROR(__xludf.DUMMYFUNCTION("""COMPUTED_VALUE"""),"https://techcombank.com/thong-tin/blog/phi-chuyen-doi-ngoai-te")</f>
        <v>https://techcombank.com/thong-tin/blog/phi-chuyen-doi-ngoai-te</v>
      </c>
      <c r="B497" s="11">
        <f>IFERROR(__xludf.DUMMYFUNCTION("""COMPUTED_VALUE"""),2.0)</f>
        <v>2</v>
      </c>
      <c r="C497" s="8" t="str">
        <f>IFERROR(__xludf.DUMMYFUNCTION("IF(A497="""","""",TEXTJOIN(CHAR(10),TRUE,FILTER('Tổng hợp 75 trang đích'!$B$2:$B$2505,'Tổng hợp 75 trang đích'!$I$2:$I$2505=A497)))"),"https://techcombank.com/thong-tin/blog/1-te-bang-bao-nhieu-tien-viet-nam
https://techcombank.com/thong-tin/blog/doi-tien-do-o-dau")</f>
        <v>https://techcombank.com/thong-tin/blog/1-te-bang-bao-nhieu-tien-viet-nam
https://techcombank.com/thong-tin/blog/doi-tien-do-o-dau</v>
      </c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</row>
    <row r="498">
      <c r="A498" s="27" t="str">
        <f>IFERROR(__xludf.DUMMYFUNCTION("""COMPUTED_VALUE"""),"https://techcombank.com/thong-tin/blog/pos")</f>
        <v>https://techcombank.com/thong-tin/blog/pos</v>
      </c>
      <c r="B498" s="11">
        <f>IFERROR(__xludf.DUMMYFUNCTION("""COMPUTED_VALUE"""),2.0)</f>
        <v>2</v>
      </c>
      <c r="C498" s="8" t="str">
        <f>IFERROR(__xludf.DUMMYFUNCTION("IF(A498="""","""",TEXTJOIN(CHAR(10),TRUE,FILTER('Tổng hợp 75 trang đích'!$B$2:$B$2505,'Tổng hợp 75 trang đích'!$I$2:$I$2505=A498)))"),"https://techcombank.com/thong-tin/blog/rut-tien-bang-ma-qr-la-gi-cach-thuc-hien-nhu-the-nao
https://techcombank.com/thong-tin/blog/gui-ma-qr-ngan-hang")</f>
        <v>https://techcombank.com/thong-tin/blog/rut-tien-bang-ma-qr-la-gi-cach-thuc-hien-nhu-the-nao
https://techcombank.com/thong-tin/blog/gui-ma-qr-ngan-hang</v>
      </c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</row>
    <row r="499">
      <c r="A499" s="27" t="str">
        <f>IFERROR(__xludf.DUMMYFUNCTION("""COMPUTED_VALUE"""),"https://techcombank.com/thong-tin/blog/qr-code-doanh-nghiep")</f>
        <v>https://techcombank.com/thong-tin/blog/qr-code-doanh-nghiep</v>
      </c>
      <c r="B499" s="11">
        <f>IFERROR(__xludf.DUMMYFUNCTION("""COMPUTED_VALUE"""),2.0)</f>
        <v>2</v>
      </c>
      <c r="C499" s="8" t="str">
        <f>IFERROR(__xludf.DUMMYFUNCTION("IF(A499="""","""",TEXTJOIN(CHAR(10),TRUE,FILTER('Tổng hợp 75 trang đích'!$B$2:$B$2505,'Tổng hợp 75 trang đích'!$I$2:$I$2505=A499)))"),"https://techcombank.com/thong-tin/blog/rut-tien-bang-ma-qr-la-gi-cach-thuc-hien-nhu-the-nao
https://techcombank.com/thong-tin/blog/gui-ma-qr-ngan-hang")</f>
        <v>https://techcombank.com/thong-tin/blog/rut-tien-bang-ma-qr-la-gi-cach-thuc-hien-nhu-the-nao
https://techcombank.com/thong-tin/blog/gui-ma-qr-ngan-hang</v>
      </c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</row>
    <row r="500">
      <c r="A500" s="27" t="str">
        <f>IFERROR(__xludf.DUMMYFUNCTION("""COMPUTED_VALUE"""),"https://techcombank.com/thong-tin/blog/qr-code-phuong-thuc-thanh-toan-toi-uu-trong-ky-nguyen-so")</f>
        <v>https://techcombank.com/thong-tin/blog/qr-code-phuong-thuc-thanh-toan-toi-uu-trong-ky-nguyen-so</v>
      </c>
      <c r="B500" s="11">
        <f>IFERROR(__xludf.DUMMYFUNCTION("""COMPUTED_VALUE"""),2.0)</f>
        <v>2</v>
      </c>
      <c r="C500" s="8" t="str">
        <f>IFERROR(__xludf.DUMMYFUNCTION("IF(A500="""","""",TEXTJOIN(CHAR(10),TRUE,FILTER('Tổng hợp 75 trang đích'!$B$2:$B$2505,'Tổng hợp 75 trang đích'!$I$2:$I$2505=A500)))"),"https://techcombank.com/thong-tin/blog/rut-tien-bang-ma-qr-la-gi-cach-thuc-hien-nhu-the-nao
https://techcombank.com/thong-tin/blog/gui-ma-qr-ngan-hang")</f>
        <v>https://techcombank.com/thong-tin/blog/rut-tien-bang-ma-qr-la-gi-cach-thuc-hien-nhu-the-nao
https://techcombank.com/thong-tin/blog/gui-ma-qr-ngan-hang</v>
      </c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</row>
    <row r="501">
      <c r="A501" s="27" t="str">
        <f>IFERROR(__xludf.DUMMYFUNCTION("""COMPUTED_VALUE"""),"https://techcombank.com/thong-tin/blog/qr-dong")</f>
        <v>https://techcombank.com/thong-tin/blog/qr-dong</v>
      </c>
      <c r="B501" s="11">
        <f>IFERROR(__xludf.DUMMYFUNCTION("""COMPUTED_VALUE"""),2.0)</f>
        <v>2</v>
      </c>
      <c r="C501" s="8" t="str">
        <f>IFERROR(__xludf.DUMMYFUNCTION("IF(A501="""","""",TEXTJOIN(CHAR(10),TRUE,FILTER('Tổng hợp 75 trang đích'!$B$2:$B$2505,'Tổng hợp 75 trang đích'!$I$2:$I$2505=A501)))"),"https://techcombank.com/thong-tin/blog/rut-tien-bang-ma-qr-la-gi-cach-thuc-hien-nhu-the-nao
https://techcombank.com/thong-tin/blog/gui-ma-qr-ngan-hang")</f>
        <v>https://techcombank.com/thong-tin/blog/rut-tien-bang-ma-qr-la-gi-cach-thuc-hien-nhu-the-nao
https://techcombank.com/thong-tin/blog/gui-ma-qr-ngan-hang</v>
      </c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</row>
    <row r="502">
      <c r="A502" s="27" t="str">
        <f>IFERROR(__xludf.DUMMYFUNCTION("""COMPUTED_VALUE"""),"https://techcombank.com/thong-tin/blog/quan-ly-tai-chinh-cho-dan-van-phong")</f>
        <v>https://techcombank.com/thong-tin/blog/quan-ly-tai-chinh-cho-dan-van-phong</v>
      </c>
      <c r="B502" s="11">
        <f>IFERROR(__xludf.DUMMYFUNCTION("""COMPUTED_VALUE"""),2.0)</f>
        <v>2</v>
      </c>
      <c r="C502" s="8" t="str">
        <f>IFERROR(__xludf.DUMMYFUNCTION("IF(A502="""","""",TEXTJOIN(CHAR(10),TRUE,FILTER('Tổng hợp 75 trang đích'!$B$2:$B$2505,'Tổng hợp 75 trang đích'!$I$2:$I$2505=A502)))"),"https://techcombank.com/thong-tin/blog/chung-chi-tien-gui-la-gi
https://techcombank.com/thong-tin/blog/cach-tiet-kiem-tien")</f>
        <v>https://techcombank.com/thong-tin/blog/chung-chi-tien-gui-la-gi
https://techcombank.com/thong-tin/blog/cach-tiet-kiem-tien</v>
      </c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</row>
    <row r="503">
      <c r="A503" s="27" t="str">
        <f>IFERROR(__xludf.DUMMYFUNCTION("""COMPUTED_VALUE"""),"https://techcombank.com/thong-tin/blog/quet-ma-qr-techcombank")</f>
        <v>https://techcombank.com/thong-tin/blog/quet-ma-qr-techcombank</v>
      </c>
      <c r="B503" s="11">
        <f>IFERROR(__xludf.DUMMYFUNCTION("""COMPUTED_VALUE"""),2.0)</f>
        <v>2</v>
      </c>
      <c r="C503" s="8" t="str">
        <f>IFERROR(__xludf.DUMMYFUNCTION("IF(A503="""","""",TEXTJOIN(CHAR(10),TRUE,FILTER('Tổng hợp 75 trang đích'!$B$2:$B$2505,'Tổng hợp 75 trang đích'!$I$2:$I$2505=A503)))"),"https://techcombank.com/thong-tin/blog/rut-tien-bang-ma-qr-la-gi-cach-thuc-hien-nhu-the-nao
https://techcombank.com/thong-tin/blog/gui-ma-qr-ngan-hang")</f>
        <v>https://techcombank.com/thong-tin/blog/rut-tien-bang-ma-qr-la-gi-cach-thuc-hien-nhu-the-nao
https://techcombank.com/thong-tin/blog/gui-ma-qr-ngan-hang</v>
      </c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</row>
    <row r="504">
      <c r="A504" s="27" t="str">
        <f>IFERROR(__xludf.DUMMYFUNCTION("""COMPUTED_VALUE"""),"https://techcombank.com/thong-tin/blog/quy-dinh-ve-mua-ban-ngoai-te-cua-doanh-nghiep")</f>
        <v>https://techcombank.com/thong-tin/blog/quy-dinh-ve-mua-ban-ngoai-te-cua-doanh-nghiep</v>
      </c>
      <c r="B504" s="11">
        <f>IFERROR(__xludf.DUMMYFUNCTION("""COMPUTED_VALUE"""),2.0)</f>
        <v>2</v>
      </c>
      <c r="C504" s="8" t="str">
        <f>IFERROR(__xludf.DUMMYFUNCTION("IF(A504="""","""",TEXTJOIN(CHAR(10),TRUE,FILTER('Tổng hợp 75 trang đích'!$B$2:$B$2505,'Tổng hợp 75 trang đích'!$I$2:$I$2505=A504)))"),"https://techcombank.com/thong-tin/blog/1-te-bang-bao-nhieu-tien-viet-nam
https://techcombank.com/thong-tin/blog/doi-tien-do-o-dau")</f>
        <v>https://techcombank.com/thong-tin/blog/1-te-bang-bao-nhieu-tien-viet-nam
https://techcombank.com/thong-tin/blog/doi-tien-do-o-dau</v>
      </c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</row>
    <row r="505">
      <c r="A505" s="27" t="str">
        <f>IFERROR(__xludf.DUMMYFUNCTION("""COMPUTED_VALUE"""),"https://techcombank.com/thong-tin/blog/quy-gia-dinh")</f>
        <v>https://techcombank.com/thong-tin/blog/quy-gia-dinh</v>
      </c>
      <c r="B505" s="11">
        <f>IFERROR(__xludf.DUMMYFUNCTION("""COMPUTED_VALUE"""),2.0)</f>
        <v>2</v>
      </c>
      <c r="C505" s="8" t="str">
        <f>IFERROR(__xludf.DUMMYFUNCTION("IF(A505="""","""",TEXTJOIN(CHAR(10),TRUE,FILTER('Tổng hợp 75 trang đích'!$B$2:$B$2505,'Tổng hợp 75 trang đích'!$I$2:$I$2505=A505)))"),"https://techcombank.com/thong-tin/blog/mo-tai-khoan-ngan-hang-duoi-18-tuoi
https://techcombank.com/cong-cu-tien-ich/cong-cu-tinh-toan/bang-tinh-lai-suat-tiet-kiem")</f>
        <v>https://techcombank.com/thong-tin/blog/mo-tai-khoan-ngan-hang-duoi-18-tuoi
https://techcombank.com/cong-cu-tien-ich/cong-cu-tinh-toan/bang-tinh-lai-suat-tiet-kiem</v>
      </c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</row>
    <row r="506">
      <c r="A506" s="27" t="str">
        <f>IFERROR(__xludf.DUMMYFUNCTION("""COMPUTED_VALUE"""),"https://techcombank.com/thong-tin/blog/remittance-la-gi")</f>
        <v>https://techcombank.com/thong-tin/blog/remittance-la-gi</v>
      </c>
      <c r="B506" s="11">
        <f>IFERROR(__xludf.DUMMYFUNCTION("""COMPUTED_VALUE"""),2.0)</f>
        <v>2</v>
      </c>
      <c r="C506" s="8" t="str">
        <f>IFERROR(__xludf.DUMMYFUNCTION("IF(A506="""","""",TEXTJOIN(CHAR(10),TRUE,FILTER('Tổng hợp 75 trang đích'!$B$2:$B$2505,'Tổng hợp 75 trang đích'!$I$2:$I$2505=A506)))"),"https://techcombank.com/thong-tin/blog/chuyen-khoan-thanh-cong-nhung-khong-nhan-duoc-tien
https://techcombank.com/thong-tin/blog/cach-nhan-tien-tu-nuoc-ngoai-ve-viet-nam")</f>
        <v>https://techcombank.com/thong-tin/blog/chuyen-khoan-thanh-cong-nhung-khong-nhan-duoc-tien
https://techcombank.com/thong-tin/blog/cach-nhan-tien-tu-nuoc-ngoai-ve-viet-nam</v>
      </c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</row>
    <row r="507">
      <c r="A507" s="27" t="str">
        <f>IFERROR(__xludf.DUMMYFUNCTION("""COMPUTED_VALUE"""),"https://techcombank.com/thong-tin/blog/rut-tien-tiet-kiem-truoc-thoi-han")</f>
        <v>https://techcombank.com/thong-tin/blog/rut-tien-tiet-kiem-truoc-thoi-han</v>
      </c>
      <c r="B507" s="11">
        <f>IFERROR(__xludf.DUMMYFUNCTION("""COMPUTED_VALUE"""),2.0)</f>
        <v>2</v>
      </c>
      <c r="C507" s="8" t="str">
        <f>IFERROR(__xludf.DUMMYFUNCTION("IF(A507="""","""",TEXTJOIN(CHAR(10),TRUE,FILTER('Tổng hợp 75 trang đích'!$B$2:$B$2505,'Tổng hợp 75 trang đích'!$I$2:$I$2505=A507)))"),"https://techcombank.com/thong-tin/blog/rut-tien-bang-ma-qr-la-gi-cach-thuc-hien-nhu-the-nao
https://techcombank.com/thong-tin/blog/rut-tien-mat-tu-the-tin-dung")</f>
        <v>https://techcombank.com/thong-tin/blog/rut-tien-bang-ma-qr-la-gi-cach-thuc-hien-nhu-the-nao
https://techcombank.com/thong-tin/blog/rut-tien-mat-tu-the-tin-dung</v>
      </c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</row>
    <row r="508">
      <c r="A508" s="27" t="str">
        <f>IFERROR(__xludf.DUMMYFUNCTION("""COMPUTED_VALUE"""),"https://techcombank.com/thong-tin/blog/sai-lam-ve-tai-chinh-ca-nhan")</f>
        <v>https://techcombank.com/thong-tin/blog/sai-lam-ve-tai-chinh-ca-nhan</v>
      </c>
      <c r="B508" s="11">
        <f>IFERROR(__xludf.DUMMYFUNCTION("""COMPUTED_VALUE"""),2.0)</f>
        <v>2</v>
      </c>
      <c r="C508" s="8" t="str">
        <f>IFERROR(__xludf.DUMMYFUNCTION("IF(A508="""","""",TEXTJOIN(CHAR(10),TRUE,FILTER('Tổng hợp 75 trang đích'!$B$2:$B$2505,'Tổng hợp 75 trang đích'!$I$2:$I$2505=A508)))"),"https://techcombank.com/thong-tin/blog/bao-nhieu-tuoi-duoc-mo-tai-khoan-ngan-hang
https://techcombank.com/thong-tin/blog/cach-tiet-kiem-tien")</f>
        <v>https://techcombank.com/thong-tin/blog/bao-nhieu-tuoi-duoc-mo-tai-khoan-ngan-hang
https://techcombank.com/thong-tin/blog/cach-tiet-kiem-tien</v>
      </c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</row>
    <row r="509">
      <c r="A509" s="27" t="str">
        <f>IFERROR(__xludf.DUMMYFUNCTION("""COMPUTED_VALUE"""),"https://techcombank.com/thong-tin/blog/shang-chi")</f>
        <v>https://techcombank.com/thong-tin/blog/shang-chi</v>
      </c>
      <c r="B509" s="11">
        <f>IFERROR(__xludf.DUMMYFUNCTION("""COMPUTED_VALUE"""),2.0)</f>
        <v>2</v>
      </c>
      <c r="C509" s="8" t="str">
        <f>IFERROR(__xludf.DUMMYFUNCTION("IF(A509="""","""",TEXTJOIN(CHAR(10),TRUE,FILTER('Tổng hợp 75 trang đích'!$B$2:$B$2505,'Tổng hợp 75 trang đích'!$I$2:$I$2505=A509)))"),"https://techcombank.com/thong-tin/blog/tien-dai-loan
https://techcombank.com/thong-tin/blog/traveloka-voucher")</f>
        <v>https://techcombank.com/thong-tin/blog/tien-dai-loan
https://techcombank.com/thong-tin/blog/traveloka-voucher</v>
      </c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</row>
    <row r="510">
      <c r="A510" s="27" t="str">
        <f>IFERROR(__xludf.DUMMYFUNCTION("""COMPUTED_VALUE"""),"https://techcombank.com/thong-tin/blog/sms-banking")</f>
        <v>https://techcombank.com/thong-tin/blog/sms-banking</v>
      </c>
      <c r="B510" s="11">
        <f>IFERROR(__xludf.DUMMYFUNCTION("""COMPUTED_VALUE"""),2.0)</f>
        <v>2</v>
      </c>
      <c r="C510" s="8" t="str">
        <f>IFERROR(__xludf.DUMMYFUNCTION("IF(A510="""","""",TEXTJOIN(CHAR(10),TRUE,FILTER('Tổng hợp 75 trang đích'!$B$2:$B$2505,'Tổng hợp 75 trang đích'!$I$2:$I$2505=A510)))"),"https://techcombank.com/thong-tin/blog/cach-kiem-tra-tai-khoan-ngan-hang
https://techcombank.com/thong-tin/blog/ten-dang-nhap-tai-khoan-ngan-hang-la-gi")</f>
        <v>https://techcombank.com/thong-tin/blog/cach-kiem-tra-tai-khoan-ngan-hang
https://techcombank.com/thong-tin/blog/ten-dang-nhap-tai-khoan-ngan-hang-la-gi</v>
      </c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</row>
    <row r="511">
      <c r="A511" s="27" t="str">
        <f>IFERROR(__xludf.DUMMYFUNCTION("""COMPUTED_VALUE"""),"https://techcombank.com/thong-tin/blog/so-6868")</f>
        <v>https://techcombank.com/thong-tin/blog/so-6868</v>
      </c>
      <c r="B511" s="11">
        <f>IFERROR(__xludf.DUMMYFUNCTION("""COMPUTED_VALUE"""),2.0)</f>
        <v>2</v>
      </c>
      <c r="C511" s="8" t="str">
        <f>IFERROR(__xludf.DUMMYFUNCTION("IF(A511="""","""",TEXTJOIN(CHAR(10),TRUE,FILTER('Tổng hợp 75 trang đích'!$B$2:$B$2505,'Tổng hợp 75 trang đích'!$I$2:$I$2505=A511)))"),"https://techcombank.com/thong-tin/blog/cach-kiem-tra-tai-khoan-ngan-hang
https://techcombank.com/thong-tin/blog/day-so-phat-tai-phat-loc")</f>
        <v>https://techcombank.com/thong-tin/blog/cach-kiem-tra-tai-khoan-ngan-hang
https://techcombank.com/thong-tin/blog/day-so-phat-tai-phat-loc</v>
      </c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</row>
    <row r="512">
      <c r="A512" s="27" t="str">
        <f>IFERROR(__xludf.DUMMYFUNCTION("""COMPUTED_VALUE"""),"https://techcombank.com/thong-tin/blog/so-8386")</f>
        <v>https://techcombank.com/thong-tin/blog/so-8386</v>
      </c>
      <c r="B512" s="11">
        <f>IFERROR(__xludf.DUMMYFUNCTION("""COMPUTED_VALUE"""),2.0)</f>
        <v>2</v>
      </c>
      <c r="C512" s="8" t="str">
        <f>IFERROR(__xludf.DUMMYFUNCTION("IF(A512="""","""",TEXTJOIN(CHAR(10),TRUE,FILTER('Tổng hợp 75 trang đích'!$B$2:$B$2505,'Tổng hợp 75 trang đích'!$I$2:$I$2505=A512)))"),"https://techcombank.com/thong-tin/blog/cach-kiem-tra-tai-khoan-ngan-hang
https://techcombank.com/thong-tin/blog/day-so-phat-tai-phat-loc")</f>
        <v>https://techcombank.com/thong-tin/blog/cach-kiem-tra-tai-khoan-ngan-hang
https://techcombank.com/thong-tin/blog/day-so-phat-tai-phat-loc</v>
      </c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</row>
    <row r="513">
      <c r="A513" s="27" t="str">
        <f>IFERROR(__xludf.DUMMYFUNCTION("""COMPUTED_VALUE"""),"https://techcombank.com/thong-tin/blog/so-du-kha-dung")</f>
        <v>https://techcombank.com/thong-tin/blog/so-du-kha-dung</v>
      </c>
      <c r="B513" s="11">
        <f>IFERROR(__xludf.DUMMYFUNCTION("""COMPUTED_VALUE"""),2.0)</f>
        <v>2</v>
      </c>
      <c r="C513" s="8" t="str">
        <f>IFERROR(__xludf.DUMMYFUNCTION("IF(A513="""","""",TEXTJOIN(CHAR(10),TRUE,FILTER('Tổng hợp 75 trang đích'!$B$2:$B$2505,'Tổng hợp 75 trang đích'!$I$2:$I$2505=A513)))"),"https://techcombank.com/thong-tin/blog/cach-kiem-tra-tai-khoan-ngan-hang
https://techcombank.com/thong-tin/blog/ten-dang-nhap-tai-khoan-ngan-hang-la-gi")</f>
        <v>https://techcombank.com/thong-tin/blog/cach-kiem-tra-tai-khoan-ngan-hang
https://techcombank.com/thong-tin/blog/ten-dang-nhap-tai-khoan-ngan-hang-la-gi</v>
      </c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</row>
    <row r="514">
      <c r="A514" s="27" t="str">
        <f>IFERROR(__xludf.DUMMYFUNCTION("""COMPUTED_VALUE"""),"https://techcombank.com/thong-tin/blog/so-du-tai-khoan-thanh-toan")</f>
        <v>https://techcombank.com/thong-tin/blog/so-du-tai-khoan-thanh-toan</v>
      </c>
      <c r="B514" s="11">
        <f>IFERROR(__xludf.DUMMYFUNCTION("""COMPUTED_VALUE"""),2.0)</f>
        <v>2</v>
      </c>
      <c r="C514" s="8" t="str">
        <f>IFERROR(__xludf.DUMMYFUNCTION("IF(A514="""","""",TEXTJOIN(CHAR(10),TRUE,FILTER('Tổng hợp 75 trang đích'!$B$2:$B$2505,'Tổng hợp 75 trang đích'!$I$2:$I$2505=A514)))"),"https://techcombank.com/thong-tin/blog/cach-kiem-tra-tai-khoan-ngan-hang
https://techcombank.com/thong-tin/blog/cach-mo-tai-khoan")</f>
        <v>https://techcombank.com/thong-tin/blog/cach-kiem-tra-tai-khoan-ngan-hang
https://techcombank.com/thong-tin/blog/cach-mo-tai-khoan</v>
      </c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</row>
    <row r="515">
      <c r="A515" s="27" t="str">
        <f>IFERROR(__xludf.DUMMYFUNCTION("""COMPUTED_VALUE"""),"https://techcombank.com/thong-tin/blog/so-sanh-ma-qr-va-ma-vach")</f>
        <v>https://techcombank.com/thong-tin/blog/so-sanh-ma-qr-va-ma-vach</v>
      </c>
      <c r="B515" s="11">
        <f>IFERROR(__xludf.DUMMYFUNCTION("""COMPUTED_VALUE"""),2.0)</f>
        <v>2</v>
      </c>
      <c r="C515" s="8" t="str">
        <f>IFERROR(__xludf.DUMMYFUNCTION("IF(A515="""","""",TEXTJOIN(CHAR(10),TRUE,FILTER('Tổng hợp 75 trang đích'!$B$2:$B$2505,'Tổng hợp 75 trang đích'!$I$2:$I$2505=A515)))"),"https://techcombank.com/thong-tin/blog/rut-tien-bang-ma-qr-la-gi-cach-thuc-hien-nhu-the-nao
https://techcombank.com/thong-tin/blog/gui-ma-qr-ngan-hang")</f>
        <v>https://techcombank.com/thong-tin/blog/rut-tien-bang-ma-qr-la-gi-cach-thuc-hien-nhu-the-nao
https://techcombank.com/thong-tin/blog/gui-ma-qr-ngan-hang</v>
      </c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</row>
    <row r="516">
      <c r="A516" s="27" t="str">
        <f>IFERROR(__xludf.DUMMYFUNCTION("""COMPUTED_VALUE"""),"https://techcombank.com/thong-tin/blog/so-tai-khoan-dep")</f>
        <v>https://techcombank.com/thong-tin/blog/so-tai-khoan-dep</v>
      </c>
      <c r="B516" s="11">
        <f>IFERROR(__xludf.DUMMYFUNCTION("""COMPUTED_VALUE"""),2.0)</f>
        <v>2</v>
      </c>
      <c r="C516" s="8" t="str">
        <f>IFERROR(__xludf.DUMMYFUNCTION("IF(A516="""","""",TEXTJOIN(CHAR(10),TRUE,FILTER('Tổng hợp 75 trang đích'!$B$2:$B$2505,'Tổng hợp 75 trang đích'!$I$2:$I$2505=A516)))"),"https://techcombank.com/thong-tin/blog/cach-kiem-tra-tai-khoan-ngan-hang
https://techcombank.com/thong-tin/blog/day-so-phat-tai-phat-loc")</f>
        <v>https://techcombank.com/thong-tin/blog/cach-kiem-tra-tai-khoan-ngan-hang
https://techcombank.com/thong-tin/blog/day-so-phat-tai-phat-loc</v>
      </c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</row>
    <row r="517">
      <c r="A517" s="27" t="str">
        <f>IFERROR(__xludf.DUMMYFUNCTION("""COMPUTED_VALUE"""),"https://techcombank.com/thong-tin/blog/so-tai-khoan-ngan-hang")</f>
        <v>https://techcombank.com/thong-tin/blog/so-tai-khoan-ngan-hang</v>
      </c>
      <c r="B517" s="11">
        <f>IFERROR(__xludf.DUMMYFUNCTION("""COMPUTED_VALUE"""),2.0)</f>
        <v>2</v>
      </c>
      <c r="C517" s="8" t="str">
        <f>IFERROR(__xludf.DUMMYFUNCTION("IF(A517="""","""",TEXTJOIN(CHAR(10),TRUE,FILTER('Tổng hợp 75 trang đích'!$B$2:$B$2505,'Tổng hợp 75 trang đích'!$I$2:$I$2505=A517)))"),"https://techcombank.com/thong-tin/blog/cach-kiem-tra-tai-khoan-ngan-hang
https://techcombank.com/thong-tin/blog/cach-mo-tai-khoan")</f>
        <v>https://techcombank.com/thong-tin/blog/cach-kiem-tra-tai-khoan-ngan-hang
https://techcombank.com/thong-tin/blog/cach-mo-tai-khoan</v>
      </c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</row>
    <row r="518">
      <c r="A518" s="27" t="str">
        <f>IFERROR(__xludf.DUMMYFUNCTION("""COMPUTED_VALUE"""),"https://techcombank.com/thong-tin/blog/so-the-ngan-hang")</f>
        <v>https://techcombank.com/thong-tin/blog/so-the-ngan-hang</v>
      </c>
      <c r="B518" s="11">
        <f>IFERROR(__xludf.DUMMYFUNCTION("""COMPUTED_VALUE"""),2.0)</f>
        <v>2</v>
      </c>
      <c r="C518" s="8" t="str">
        <f>IFERROR(__xludf.DUMMYFUNCTION("IF(A518="""","""",TEXTJOIN(CHAR(10),TRUE,FILTER('Tổng hợp 75 trang đích'!$B$2:$B$2505,'Tổng hợp 75 trang đích'!$I$2:$I$2505=A518)))"),"https://techcombank.com/thong-tin/blog/cach-kiem-tra-tai-khoan-ngan-hang
https://techcombank.com/thong-tin/blog/cach-mo-tai-khoan")</f>
        <v>https://techcombank.com/thong-tin/blog/cach-kiem-tra-tai-khoan-ngan-hang
https://techcombank.com/thong-tin/blog/cach-mo-tai-khoan</v>
      </c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</row>
    <row r="519">
      <c r="A519" s="27" t="str">
        <f>IFERROR(__xludf.DUMMYFUNCTION("""COMPUTED_VALUE"""),"https://techcombank.com/thong-tin/blog/so-tiet-kiem-ngan-hang")</f>
        <v>https://techcombank.com/thong-tin/blog/so-tiet-kiem-ngan-hang</v>
      </c>
      <c r="B519" s="11">
        <f>IFERROR(__xludf.DUMMYFUNCTION("""COMPUTED_VALUE"""),2.0)</f>
        <v>2</v>
      </c>
      <c r="C519" s="8" t="str">
        <f>IFERROR(__xludf.DUMMYFUNCTION("IF(A519="""","""",TEXTJOIN(CHAR(10),TRUE,FILTER('Tổng hợp 75 trang đích'!$B$2:$B$2505,'Tổng hợp 75 trang đích'!$I$2:$I$2505=A519)))"),"https://techcombank.com/thong-tin/blog/lai-suat-tiet-kiem
https://techcombank.com/thong-tin/blog/rut-tien-tiet-kiem-truoc-thoi-han")</f>
        <v>https://techcombank.com/thong-tin/blog/lai-suat-tiet-kiem
https://techcombank.com/thong-tin/blog/rut-tien-tiet-kiem-truoc-thoi-han</v>
      </c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</row>
    <row r="520">
      <c r="A520" s="27" t="str">
        <f>IFERROR(__xludf.DUMMYFUNCTION("""COMPUTED_VALUE"""),"https://techcombank.com/thong-tin/blog/tactical-asset-allocation")</f>
        <v>https://techcombank.com/thong-tin/blog/tactical-asset-allocation</v>
      </c>
      <c r="B520" s="11">
        <f>IFERROR(__xludf.DUMMYFUNCTION("""COMPUTED_VALUE"""),2.0)</f>
        <v>2</v>
      </c>
      <c r="C520" s="8" t="str">
        <f>IFERROR(__xludf.DUMMYFUNCTION("IF(A520="""","""",TEXTJOIN(CHAR(10),TRUE,FILTER('Tổng hợp 75 trang đích'!$B$2:$B$2505,'Tổng hợp 75 trang đích'!$I$2:$I$2505=A520)))"),"https://techcombank.com/thong-tin/blog/rui-ro-khi-gui-tiet-kiem-online
https://techcombank.com/thong-tin/blog/phuong-phap-dau-tu-chung-chi-quy")</f>
        <v>https://techcombank.com/thong-tin/blog/rui-ro-khi-gui-tiet-kiem-online
https://techcombank.com/thong-tin/blog/phuong-phap-dau-tu-chung-chi-quy</v>
      </c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</row>
    <row r="521">
      <c r="A521" s="27" t="str">
        <f>IFERROR(__xludf.DUMMYFUNCTION("""COMPUTED_VALUE"""),"https://techcombank.com/thong-tin/blog/tai-khoan-cong-ty-co-chuyen-online-duoc-khong")</f>
        <v>https://techcombank.com/thong-tin/blog/tai-khoan-cong-ty-co-chuyen-online-duoc-khong</v>
      </c>
      <c r="B521" s="11">
        <f>IFERROR(__xludf.DUMMYFUNCTION("""COMPUTED_VALUE"""),2.0)</f>
        <v>2</v>
      </c>
      <c r="C521" s="8" t="str">
        <f>IFERROR(__xludf.DUMMYFUNCTION("IF(A521="""","""",TEXTJOIN(CHAR(10),TRUE,FILTER('Tổng hợp 75 trang đích'!$B$2:$B$2505,'Tổng hợp 75 trang đích'!$I$2:$I$2505=A521)))"),"https://techcombank.com/thong-tin/blog/cong-ty-su-dung-tai-khoan-ca-nhan
https://techcombank.com/thong-tin/blog/chuyen-khoan-thanh-cong-nhung-khong-nhan-duoc-tien")</f>
        <v>https://techcombank.com/thong-tin/blog/cong-ty-su-dung-tai-khoan-ca-nhan
https://techcombank.com/thong-tin/blog/chuyen-khoan-thanh-cong-nhung-khong-nhan-duoc-tien</v>
      </c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</row>
    <row r="522">
      <c r="A522" s="27" t="str">
        <f>IFERROR(__xludf.DUMMYFUNCTION("""COMPUTED_VALUE"""),"https://techcombank.com/thong-tin/blog/tai-khoan-ngan-hang-bi-khoa")</f>
        <v>https://techcombank.com/thong-tin/blog/tai-khoan-ngan-hang-bi-khoa</v>
      </c>
      <c r="B522" s="11">
        <f>IFERROR(__xludf.DUMMYFUNCTION("""COMPUTED_VALUE"""),2.0)</f>
        <v>2</v>
      </c>
      <c r="C522" s="8" t="str">
        <f>IFERROR(__xludf.DUMMYFUNCTION("IF(A522="""","""",TEXTJOIN(CHAR(10),TRUE,FILTER('Tổng hợp 75 trang đích'!$B$2:$B$2505,'Tổng hợp 75 trang đích'!$I$2:$I$2505=A522)))"),"https://techcombank.com/thong-tin/blog/cach-mo-tai-khoan
https://techcombank.com/thong-tin/blog/ten-dang-nhap-tai-khoan-ngan-hang-la-gi")</f>
        <v>https://techcombank.com/thong-tin/blog/cach-mo-tai-khoan
https://techcombank.com/thong-tin/blog/ten-dang-nhap-tai-khoan-ngan-hang-la-gi</v>
      </c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</row>
    <row r="523">
      <c r="A523" s="27" t="str">
        <f>IFERROR(__xludf.DUMMYFUNCTION("""COMPUTED_VALUE"""),"https://techcombank.com/thong-tin/blog/tai-khoan-ngan-hang-con-0-dong-co-sao-khong")</f>
        <v>https://techcombank.com/thong-tin/blog/tai-khoan-ngan-hang-con-0-dong-co-sao-khong</v>
      </c>
      <c r="B523" s="11">
        <f>IFERROR(__xludf.DUMMYFUNCTION("""COMPUTED_VALUE"""),2.0)</f>
        <v>2</v>
      </c>
      <c r="C523" s="8" t="str">
        <f>IFERROR(__xludf.DUMMYFUNCTION("IF(A523="""","""",TEXTJOIN(CHAR(10),TRUE,FILTER('Tổng hợp 75 trang đích'!$B$2:$B$2505,'Tổng hợp 75 trang đích'!$I$2:$I$2505=A523)))"),"https://techcombank.com/thong-tin/blog/cach-mo-tai-khoan
https://techcombank.com/thong-tin/blog/nap-tien-vao-tai-khoan-ngan-hang")</f>
        <v>https://techcombank.com/thong-tin/blog/cach-mo-tai-khoan
https://techcombank.com/thong-tin/blog/nap-tien-vao-tai-khoan-ngan-hang</v>
      </c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</row>
    <row r="524">
      <c r="A524" s="27" t="str">
        <f>IFERROR(__xludf.DUMMYFUNCTION("""COMPUTED_VALUE"""),"https://techcombank.com/thong-tin/blog/tai-khoan-thanh-toan-la-gi")</f>
        <v>https://techcombank.com/thong-tin/blog/tai-khoan-thanh-toan-la-gi</v>
      </c>
      <c r="B524" s="11">
        <f>IFERROR(__xludf.DUMMYFUNCTION("""COMPUTED_VALUE"""),2.0)</f>
        <v>2</v>
      </c>
      <c r="C524" s="8" t="str">
        <f>IFERROR(__xludf.DUMMYFUNCTION("IF(A524="""","""",TEXTJOIN(CHAR(10),TRUE,FILTER('Tổng hợp 75 trang đích'!$B$2:$B$2505,'Tổng hợp 75 trang đích'!$I$2:$I$2505=A524)))"),"https://techcombank.com/thong-tin/blog/cach-mo-tai-khoan
https://techcombank.com/thong-tin/blog/so-tiet-kiem-ngan-hang")</f>
        <v>https://techcombank.com/thong-tin/blog/cach-mo-tai-khoan
https://techcombank.com/thong-tin/blog/so-tiet-kiem-ngan-hang</v>
      </c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</row>
    <row r="525">
      <c r="A525" s="27" t="str">
        <f>IFERROR(__xludf.DUMMYFUNCTION("""COMPUTED_VALUE"""),"https://techcombank.com/thong-tin/blog/tai-khoan-tiet-kiem")</f>
        <v>https://techcombank.com/thong-tin/blog/tai-khoan-tiet-kiem</v>
      </c>
      <c r="B525" s="11">
        <f>IFERROR(__xludf.DUMMYFUNCTION("""COMPUTED_VALUE"""),2.0)</f>
        <v>2</v>
      </c>
      <c r="C525" s="8" t="str">
        <f>IFERROR(__xludf.DUMMYFUNCTION("IF(A525="""","""",TEXTJOIN(CHAR(10),TRUE,FILTER('Tổng hợp 75 trang đích'!$B$2:$B$2505,'Tổng hợp 75 trang đích'!$I$2:$I$2505=A525)))"),"https://techcombank.com/thong-tin/blog/cach-mo-tai-khoan
https://techcombank.com/thong-tin/blog/so-tiet-kiem-ngan-hang")</f>
        <v>https://techcombank.com/thong-tin/blog/cach-mo-tai-khoan
https://techcombank.com/thong-tin/blog/so-tiet-kiem-ngan-hang</v>
      </c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</row>
    <row r="526">
      <c r="A526" s="27" t="str">
        <f>IFERROR(__xludf.DUMMYFUNCTION("""COMPUTED_VALUE"""),"https://techcombank.com/thong-tin/blog/tao-ma-qr-thanh-toan-cho-cua-hang")</f>
        <v>https://techcombank.com/thong-tin/blog/tao-ma-qr-thanh-toan-cho-cua-hang</v>
      </c>
      <c r="B526" s="11">
        <f>IFERROR(__xludf.DUMMYFUNCTION("""COMPUTED_VALUE"""),2.0)</f>
        <v>2</v>
      </c>
      <c r="C526" s="8" t="str">
        <f>IFERROR(__xludf.DUMMYFUNCTION("IF(A526="""","""",TEXTJOIN(CHAR(10),TRUE,FILTER('Tổng hợp 75 trang đích'!$B$2:$B$2505,'Tổng hợp 75 trang đích'!$I$2:$I$2505=A526)))"),"https://techcombank.com/thong-tin/blog/rut-tien-bang-ma-qr-la-gi-cach-thuc-hien-nhu-the-nao
https://techcombank.com/thong-tin/blog/gui-ma-qr-ngan-hang")</f>
        <v>https://techcombank.com/thong-tin/blog/rut-tien-bang-ma-qr-la-gi-cach-thuc-hien-nhu-the-nao
https://techcombank.com/thong-tin/blog/gui-ma-qr-ngan-hang</v>
      </c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</row>
    <row r="527">
      <c r="A527" s="27" t="str">
        <f>IFERROR(__xludf.DUMMYFUNCTION("""COMPUTED_VALUE"""),"https://techcombank.com/thong-tin/blog/techcombank-oneu")</f>
        <v>https://techcombank.com/thong-tin/blog/techcombank-oneu</v>
      </c>
      <c r="B527" s="11">
        <f>IFERROR(__xludf.DUMMYFUNCTION("""COMPUTED_VALUE"""),2.0)</f>
        <v>2</v>
      </c>
      <c r="C527" s="8" t="str">
        <f>IFERROR(__xludf.DUMMYFUNCTION("IF(A527="""","""",TEXTJOIN(CHAR(10),TRUE,FILTER('Tổng hợp 75 trang đích'!$B$2:$B$2505,'Tổng hợp 75 trang đích'!$I$2:$I$2505=A527)))"),"https://techcombank.com/thong-tin/blog/traveloka-voucher
https://techcombank.com/cong-cu-tien-ich/cong-cu-tinh-toan/bang-tinh-lai-suat-tiet-kiem")</f>
        <v>https://techcombank.com/thong-tin/blog/traveloka-voucher
https://techcombank.com/cong-cu-tien-ich/cong-cu-tinh-toan/bang-tinh-lai-suat-tiet-kiem</v>
      </c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</row>
    <row r="528">
      <c r="A528" s="27" t="str">
        <f>IFERROR(__xludf.DUMMYFUNCTION("""COMPUTED_VALUE"""),"https://techcombank.com/thong-tin/blog/thanh-toan-bang-ma-qr")</f>
        <v>https://techcombank.com/thong-tin/blog/thanh-toan-bang-ma-qr</v>
      </c>
      <c r="B528" s="11">
        <f>IFERROR(__xludf.DUMMYFUNCTION("""COMPUTED_VALUE"""),2.0)</f>
        <v>2</v>
      </c>
      <c r="C528" s="8" t="str">
        <f>IFERROR(__xludf.DUMMYFUNCTION("IF(A528="""","""",TEXTJOIN(CHAR(10),TRUE,FILTER('Tổng hợp 75 trang đích'!$B$2:$B$2505,'Tổng hợp 75 trang đích'!$I$2:$I$2505=A528)))"),"https://techcombank.com/thong-tin/blog/rut-tien-bang-ma-qr-la-gi-cach-thuc-hien-nhu-the-nao
https://techcombank.com/thong-tin/blog/gui-ma-qr-ngan-hang")</f>
        <v>https://techcombank.com/thong-tin/blog/rut-tien-bang-ma-qr-la-gi-cach-thuc-hien-nhu-the-nao
https://techcombank.com/thong-tin/blog/gui-ma-qr-ngan-hang</v>
      </c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</row>
    <row r="529">
      <c r="A529" s="27" t="str">
        <f>IFERROR(__xludf.DUMMYFUNCTION("""COMPUTED_VALUE"""),"https://techcombank.com/thong-tin/blog/thanh-toan-hoc-phi-online")</f>
        <v>https://techcombank.com/thong-tin/blog/thanh-toan-hoc-phi-online</v>
      </c>
      <c r="B529" s="11">
        <f>IFERROR(__xludf.DUMMYFUNCTION("""COMPUTED_VALUE"""),2.0)</f>
        <v>2</v>
      </c>
      <c r="C529" s="8" t="str">
        <f>IFERROR(__xludf.DUMMYFUNCTION("IF(A529="""","""",TEXTJOIN(CHAR(10),TRUE,FILTER('Tổng hợp 75 trang đích'!$B$2:$B$2505,'Tổng hợp 75 trang đích'!$I$2:$I$2505=A529)))"),"https://techcombank.com/thong-tin/blog/bao-nhieu-tuoi-duoc-mo-tai-khoan-ngan-hang
https://techcombank.com/thong-tin/blog/mo-tai-khoan-ngan-hang-duoi-18-tuoi")</f>
        <v>https://techcombank.com/thong-tin/blog/bao-nhieu-tuoi-duoc-mo-tai-khoan-ngan-hang
https://techcombank.com/thong-tin/blog/mo-tai-khoan-ngan-hang-duoi-18-tuoi</v>
      </c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</row>
    <row r="530">
      <c r="A530" s="27" t="str">
        <f>IFERROR(__xludf.DUMMYFUNCTION("""COMPUTED_VALUE"""),"https://techcombank.com/thong-tin/blog/thanh-toan-khi-du-lich-thai-lan")</f>
        <v>https://techcombank.com/thong-tin/blog/thanh-toan-khi-du-lich-thai-lan</v>
      </c>
      <c r="B530" s="11">
        <f>IFERROR(__xludf.DUMMYFUNCTION("""COMPUTED_VALUE"""),2.0)</f>
        <v>2</v>
      </c>
      <c r="C530" s="8" t="str">
        <f>IFERROR(__xludf.DUMMYFUNCTION("IF(A530="""","""",TEXTJOIN(CHAR(10),TRUE,FILTER('Tổng hợp 75 trang đích'!$B$2:$B$2505,'Tổng hợp 75 trang đích'!$I$2:$I$2505=A530)))"),"https://techcombank.com/thong-tin/blog/tien-thai-lan
https://techcombank.com/thong-tin/blog/traveloka-voucher")</f>
        <v>https://techcombank.com/thong-tin/blog/tien-thai-lan
https://techcombank.com/thong-tin/blog/traveloka-voucher</v>
      </c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</row>
    <row r="531">
      <c r="A531" s="27" t="str">
        <f>IFERROR(__xludf.DUMMYFUNCTION("""COMPUTED_VALUE"""),"https://techcombank.com/thong-tin/blog/thanh-toan-khi-du-lich-trung-quoc")</f>
        <v>https://techcombank.com/thong-tin/blog/thanh-toan-khi-du-lich-trung-quoc</v>
      </c>
      <c r="B531" s="11">
        <f>IFERROR(__xludf.DUMMYFUNCTION("""COMPUTED_VALUE"""),2.0)</f>
        <v>2</v>
      </c>
      <c r="C531" s="8" t="str">
        <f>IFERROR(__xludf.DUMMYFUNCTION("IF(A531="""","""",TEXTJOIN(CHAR(10),TRUE,FILTER('Tổng hợp 75 trang đích'!$B$2:$B$2505,'Tổng hợp 75 trang đích'!$I$2:$I$2505=A531)))"),"https://techcombank.com/thong-tin/blog/1-te-bang-bao-nhieu-tien-viet-nam
https://techcombank.com/thong-tin/blog/traveloka-voucher")</f>
        <v>https://techcombank.com/thong-tin/blog/1-te-bang-bao-nhieu-tien-viet-nam
https://techcombank.com/thong-tin/blog/traveloka-voucher</v>
      </c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</row>
    <row r="532">
      <c r="A532" s="27" t="str">
        <f>IFERROR(__xludf.DUMMYFUNCTION("""COMPUTED_VALUE"""),"https://techcombank.com/thong-tin/blog/thanh-toan-khoan-vay")</f>
        <v>https://techcombank.com/thong-tin/blog/thanh-toan-khoan-vay</v>
      </c>
      <c r="B532" s="11">
        <f>IFERROR(__xludf.DUMMYFUNCTION("""COMPUTED_VALUE"""),2.0)</f>
        <v>2</v>
      </c>
      <c r="C532" s="8" t="str">
        <f>IFERROR(__xludf.DUMMYFUNCTION("IF(A532="""","""",TEXTJOIN(CHAR(10),TRUE,FILTER('Tổng hợp 75 trang đích'!$B$2:$B$2505,'Tổng hợp 75 trang đích'!$I$2:$I$2505=A532)))"),"https://techcombank.com/thong-tin/blog/cach-tinh-lai-vay-ngan-hang
https://techcombank.com/cong-cu-tien-ich/cong-cu-tinh-toan/bang-tinh-lai-suat-vay")</f>
        <v>https://techcombank.com/thong-tin/blog/cach-tinh-lai-vay-ngan-hang
https://techcombank.com/cong-cu-tien-ich/cong-cu-tinh-toan/bang-tinh-lai-suat-vay</v>
      </c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</row>
    <row r="533">
      <c r="A533" s="27" t="str">
        <f>IFERROR(__xludf.DUMMYFUNCTION("""COMPUTED_VALUE"""),"https://techcombank.com/thong-tin/blog/thanh-toan-ma-qr-tro-thanh-phuong-thuc-duoc-ua-chuong-va-trien-khai-manh-me")</f>
        <v>https://techcombank.com/thong-tin/blog/thanh-toan-ma-qr-tro-thanh-phuong-thuc-duoc-ua-chuong-va-trien-khai-manh-me</v>
      </c>
      <c r="B533" s="11">
        <f>IFERROR(__xludf.DUMMYFUNCTION("""COMPUTED_VALUE"""),2.0)</f>
        <v>2</v>
      </c>
      <c r="C533" s="8" t="str">
        <f>IFERROR(__xludf.DUMMYFUNCTION("IF(A533="""","""",TEXTJOIN(CHAR(10),TRUE,FILTER('Tổng hợp 75 trang đích'!$B$2:$B$2505,'Tổng hợp 75 trang đích'!$I$2:$I$2505=A533)))"),"https://techcombank.com/thong-tin/blog/rut-tien-bang-ma-qr-la-gi-cach-thuc-hien-nhu-the-nao
https://techcombank.com/thong-tin/blog/gui-ma-qr-ngan-hang")</f>
        <v>https://techcombank.com/thong-tin/blog/rut-tien-bang-ma-qr-la-gi-cach-thuc-hien-nhu-the-nao
https://techcombank.com/thong-tin/blog/gui-ma-qr-ngan-hang</v>
      </c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</row>
    <row r="534">
      <c r="A534" s="27" t="str">
        <f>IFERROR(__xludf.DUMMYFUNCTION("""COMPUTED_VALUE"""),"https://techcombank.com/thong-tin/blog/thanh-toan-qr-thai-lan")</f>
        <v>https://techcombank.com/thong-tin/blog/thanh-toan-qr-thai-lan</v>
      </c>
      <c r="B534" s="11">
        <f>IFERROR(__xludf.DUMMYFUNCTION("""COMPUTED_VALUE"""),2.0)</f>
        <v>2</v>
      </c>
      <c r="C534" s="8" t="str">
        <f>IFERROR(__xludf.DUMMYFUNCTION("IF(A534="""","""",TEXTJOIN(CHAR(10),TRUE,FILTER('Tổng hợp 75 trang đích'!$B$2:$B$2505,'Tổng hợp 75 trang đích'!$I$2:$I$2505=A534)))"),"https://techcombank.com/thong-tin/blog/tien-thai-lan
https://techcombank.com/thong-tin/blog/gui-ma-qr-ngan-hang")</f>
        <v>https://techcombank.com/thong-tin/blog/tien-thai-lan
https://techcombank.com/thong-tin/blog/gui-ma-qr-ngan-hang</v>
      </c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</row>
    <row r="535">
      <c r="A535" s="27" t="str">
        <f>IFERROR(__xludf.DUMMYFUNCTION("""COMPUTED_VALUE"""),"https://techcombank.com/thong-tin/blog/thanh-toan-ve-may-bay-online")</f>
        <v>https://techcombank.com/thong-tin/blog/thanh-toan-ve-may-bay-online</v>
      </c>
      <c r="B535" s="11">
        <f>IFERROR(__xludf.DUMMYFUNCTION("""COMPUTED_VALUE"""),2.0)</f>
        <v>2</v>
      </c>
      <c r="C535" s="8" t="str">
        <f>IFERROR(__xludf.DUMMYFUNCTION("IF(A535="""","""",TEXTJOIN(CHAR(10),TRUE,FILTER('Tổng hợp 75 trang đích'!$B$2:$B$2505,'Tổng hợp 75 trang đích'!$I$2:$I$2505=A535)))"),"https://techcombank.com/thong-tin/blog/ten-dang-nhap-tai-khoan-ngan-hang-la-gi
https://techcombank.com/thong-tin/blog/traveloka-voucher")</f>
        <v>https://techcombank.com/thong-tin/blog/ten-dang-nhap-tai-khoan-ngan-hang-la-gi
https://techcombank.com/thong-tin/blog/traveloka-voucher</v>
      </c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</row>
    <row r="536">
      <c r="A536" s="27" t="str">
        <f>IFERROR(__xludf.DUMMYFUNCTION("""COMPUTED_VALUE"""),"https://techcombank.com/thong-tin/blog/the-atm-gan-chip")</f>
        <v>https://techcombank.com/thong-tin/blog/the-atm-gan-chip</v>
      </c>
      <c r="B536" s="11">
        <f>IFERROR(__xludf.DUMMYFUNCTION("""COMPUTED_VALUE"""),2.0)</f>
        <v>2</v>
      </c>
      <c r="C536" s="8" t="str">
        <f>IFERROR(__xludf.DUMMYFUNCTION("IF(A536="""","""",TEXTJOIN(CHAR(10),TRUE,FILTER('Tổng hợp 75 trang đích'!$B$2:$B$2505,'Tổng hợp 75 trang đích'!$I$2:$I$2505=A536)))"),"https://techcombank.com/thong-tin/blog/nap-tien-vao-tai-khoan-ngan-hang
https://techcombank.com/thong-tin/blog/rut-tien-bang-ma-qr-la-gi-cach-thuc-hien-nhu-the-nao")</f>
        <v>https://techcombank.com/thong-tin/blog/nap-tien-vao-tai-khoan-ngan-hang
https://techcombank.com/thong-tin/blog/rut-tien-bang-ma-qr-la-gi-cach-thuc-hien-nhu-the-nao</v>
      </c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</row>
    <row r="537">
      <c r="A537" s="27" t="str">
        <f>IFERROR(__xludf.DUMMYFUNCTION("""COMPUTED_VALUE"""),"https://techcombank.com/thong-tin/blog/the-atm-tu")</f>
        <v>https://techcombank.com/thong-tin/blog/the-atm-tu</v>
      </c>
      <c r="B537" s="11">
        <f>IFERROR(__xludf.DUMMYFUNCTION("""COMPUTED_VALUE"""),2.0)</f>
        <v>2</v>
      </c>
      <c r="C537" s="8" t="str">
        <f>IFERROR(__xludf.DUMMYFUNCTION("IF(A537="""","""",TEXTJOIN(CHAR(10),TRUE,FILTER('Tổng hợp 75 trang đích'!$B$2:$B$2505,'Tổng hợp 75 trang đích'!$I$2:$I$2505=A537)))"),"https://techcombank.com/thong-tin/blog/nap-tien-vao-tai-khoan-ngan-hang
https://techcombank.com/thong-tin/blog/rut-tien-bang-ma-qr-la-gi-cach-thuc-hien-nhu-the-nao")</f>
        <v>https://techcombank.com/thong-tin/blog/nap-tien-vao-tai-khoan-ngan-hang
https://techcombank.com/thong-tin/blog/rut-tien-bang-ma-qr-la-gi-cach-thuc-hien-nhu-the-nao</v>
      </c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</row>
    <row r="538">
      <c r="A538" s="27" t="str">
        <f>IFERROR(__xludf.DUMMYFUNCTION("""COMPUTED_VALUE"""),"https://techcombank.com/thong-tin/blog/the-debit")</f>
        <v>https://techcombank.com/thong-tin/blog/the-debit</v>
      </c>
      <c r="B538" s="11">
        <f>IFERROR(__xludf.DUMMYFUNCTION("""COMPUTED_VALUE"""),2.0)</f>
        <v>2</v>
      </c>
      <c r="C538" s="8" t="str">
        <f>IFERROR(__xludf.DUMMYFUNCTION("IF(A538="""","""",TEXTJOIN(CHAR(10),TRUE,FILTER('Tổng hợp 75 trang đích'!$B$2:$B$2505,'Tổng hợp 75 trang đích'!$I$2:$I$2505=A538)))"),"https://techcombank.com/thong-tin/blog/cach-sao-ke-tai-khoan-ngan-hang
https://techcombank.com/thong-tin/blog/cach-tiet-kiem-tien")</f>
        <v>https://techcombank.com/thong-tin/blog/cach-sao-ke-tai-khoan-ngan-hang
https://techcombank.com/thong-tin/blog/cach-tiet-kiem-tien</v>
      </c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</row>
    <row r="539">
      <c r="A539" s="27" t="str">
        <f>IFERROR(__xludf.DUMMYFUNCTION("""COMPUTED_VALUE"""),"https://techcombank.com/thong-tin/blog/the-ghi-no-la-gi")</f>
        <v>https://techcombank.com/thong-tin/blog/the-ghi-no-la-gi</v>
      </c>
      <c r="B539" s="11">
        <f>IFERROR(__xludf.DUMMYFUNCTION("""COMPUTED_VALUE"""),2.0)</f>
        <v>2</v>
      </c>
      <c r="C539" s="8" t="str">
        <f>IFERROR(__xludf.DUMMYFUNCTION("IF(A539="""","""",TEXTJOIN(CHAR(10),TRUE,FILTER('Tổng hợp 75 trang đích'!$B$2:$B$2505,'Tổng hợp 75 trang đích'!$I$2:$I$2505=A539)))"),"https://techcombank.com/thong-tin/blog/eco-card
https://techcombank.com/thong-tin/blog/lam-the-tin-dung")</f>
        <v>https://techcombank.com/thong-tin/blog/eco-card
https://techcombank.com/thong-tin/blog/lam-the-tin-dung</v>
      </c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</row>
    <row r="540">
      <c r="A540" s="27" t="str">
        <f>IFERROR(__xludf.DUMMYFUNCTION("""COMPUTED_VALUE"""),"https://techcombank.com/thong-tin/blog/the-ghi-no-noi-dia")</f>
        <v>https://techcombank.com/thong-tin/blog/the-ghi-no-noi-dia</v>
      </c>
      <c r="B540" s="11">
        <f>IFERROR(__xludf.DUMMYFUNCTION("""COMPUTED_VALUE"""),2.0)</f>
        <v>2</v>
      </c>
      <c r="C540" s="8" t="str">
        <f>IFERROR(__xludf.DUMMYFUNCTION("IF(A540="""","""",TEXTJOIN(CHAR(10),TRUE,FILTER('Tổng hợp 75 trang đích'!$B$2:$B$2505,'Tổng hợp 75 trang đích'!$I$2:$I$2505=A540)))"),"https://techcombank.com/thong-tin/blog/eco-card
https://techcombank.com/thong-tin/blog/cach-nhan-tien-tu-nuoc-ngoai-ve-viet-nam")</f>
        <v>https://techcombank.com/thong-tin/blog/eco-card
https://techcombank.com/thong-tin/blog/cach-nhan-tien-tu-nuoc-ngoai-ve-viet-nam</v>
      </c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</row>
    <row r="541">
      <c r="A541" s="27" t="str">
        <f>IFERROR(__xludf.DUMMYFUNCTION("""COMPUTED_VALUE"""),"https://techcombank.com/thong-tin/blog/the-he-ke-can")</f>
        <v>https://techcombank.com/thong-tin/blog/the-he-ke-can</v>
      </c>
      <c r="B541" s="11">
        <f>IFERROR(__xludf.DUMMYFUNCTION("""COMPUTED_VALUE"""),2.0)</f>
        <v>2</v>
      </c>
      <c r="C541" s="8" t="str">
        <f>IFERROR(__xludf.DUMMYFUNCTION("IF(A541="""","""",TEXTJOIN(CHAR(10),TRUE,FILTER('Tổng hợp 75 trang đích'!$B$2:$B$2505,'Tổng hợp 75 trang đích'!$I$2:$I$2505=A541)))"),"https://techcombank.com/thong-tin/blog/bao-nhieu-tuoi-duoc-mo-tai-khoan-ngan-hang
https://techcombank.com/thong-tin/blog/mo-tai-khoan-ngan-hang-duoi-18-tuoi")</f>
        <v>https://techcombank.com/thong-tin/blog/bao-nhieu-tuoi-duoc-mo-tai-khoan-ngan-hang
https://techcombank.com/thong-tin/blog/mo-tai-khoan-ngan-hang-duoi-18-tuoi</v>
      </c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</row>
    <row r="542">
      <c r="A542" s="27" t="str">
        <f>IFERROR(__xludf.DUMMYFUNCTION("""COMPUTED_VALUE"""),"https://techcombank.com/thong-tin/blog/the-mastercard-la-gi")</f>
        <v>https://techcombank.com/thong-tin/blog/the-mastercard-la-gi</v>
      </c>
      <c r="B542" s="11">
        <f>IFERROR(__xludf.DUMMYFUNCTION("""COMPUTED_VALUE"""),2.0)</f>
        <v>2</v>
      </c>
      <c r="C542" s="8" t="str">
        <f>IFERROR(__xludf.DUMMYFUNCTION("IF(A542="""","""",TEXTJOIN(CHAR(10),TRUE,FILTER('Tổng hợp 75 trang đích'!$B$2:$B$2505,'Tổng hợp 75 trang đích'!$I$2:$I$2505=A542)))"),"https://techcombank.com/thong-tin/blog/bao-nhieu-tuoi-duoc-mo-tai-khoan-ngan-hang
https://techcombank.com/thong-tin/blog/lam-the-tin-dung")</f>
        <v>https://techcombank.com/thong-tin/blog/bao-nhieu-tuoi-duoc-mo-tai-khoan-ngan-hang
https://techcombank.com/thong-tin/blog/lam-the-tin-dung</v>
      </c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</row>
    <row r="543">
      <c r="A543" s="27" t="str">
        <f>IFERROR(__xludf.DUMMYFUNCTION("""COMPUTED_VALUE"""),"https://techcombank.com/thong-tin/blog/the-nao-la-tiet-kiem")</f>
        <v>https://techcombank.com/thong-tin/blog/the-nao-la-tiet-kiem</v>
      </c>
      <c r="B543" s="11">
        <f>IFERROR(__xludf.DUMMYFUNCTION("""COMPUTED_VALUE"""),2.0)</f>
        <v>2</v>
      </c>
      <c r="C543" s="8" t="str">
        <f>IFERROR(__xludf.DUMMYFUNCTION("IF(A543="""","""",TEXTJOIN(CHAR(10),TRUE,FILTER('Tổng hợp 75 trang đích'!$B$2:$B$2505,'Tổng hợp 75 trang đích'!$I$2:$I$2505=A543)))"),"https://techcombank.com/thong-tin/blog/eco-card
https://techcombank.com/thong-tin/blog/cach-tiet-kiem-tien")</f>
        <v>https://techcombank.com/thong-tin/blog/eco-card
https://techcombank.com/thong-tin/blog/cach-tiet-kiem-tien</v>
      </c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</row>
    <row r="544">
      <c r="A544" s="27" t="str">
        <f>IFERROR(__xludf.DUMMYFUNCTION("""COMPUTED_VALUE"""),"https://techcombank.com/thong-tin/blog/the-visa-ao-la-gi")</f>
        <v>https://techcombank.com/thong-tin/blog/the-visa-ao-la-gi</v>
      </c>
      <c r="B544" s="11">
        <f>IFERROR(__xludf.DUMMYFUNCTION("""COMPUTED_VALUE"""),2.0)</f>
        <v>2</v>
      </c>
      <c r="C544" s="8" t="str">
        <f>IFERROR(__xludf.DUMMYFUNCTION("IF(A544="""","""",TEXTJOIN(CHAR(10),TRUE,FILTER('Tổng hợp 75 trang đích'!$B$2:$B$2505,'Tổng hợp 75 trang đích'!$I$2:$I$2505=A544)))"),"https://techcombank.com/thong-tin/blog/nap-tien-vao-tai-khoan-ngan-hang
https://techcombank.com/thong-tin/blog/lam-the-tin-dung")</f>
        <v>https://techcombank.com/thong-tin/blog/nap-tien-vao-tai-khoan-ngan-hang
https://techcombank.com/thong-tin/blog/lam-the-tin-dung</v>
      </c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</row>
    <row r="545">
      <c r="A545" s="27" t="str">
        <f>IFERROR(__xludf.DUMMYFUNCTION("""COMPUTED_VALUE"""),"https://techcombank.com/thong-tin/blog/the-visa-co-may-loai")</f>
        <v>https://techcombank.com/thong-tin/blog/the-visa-co-may-loai</v>
      </c>
      <c r="B545" s="11">
        <f>IFERROR(__xludf.DUMMYFUNCTION("""COMPUTED_VALUE"""),2.0)</f>
        <v>2</v>
      </c>
      <c r="C545" s="8" t="str">
        <f>IFERROR(__xludf.DUMMYFUNCTION("IF(A545="""","""",TEXTJOIN(CHAR(10),TRUE,FILTER('Tổng hợp 75 trang đích'!$B$2:$B$2505,'Tổng hợp 75 trang đích'!$I$2:$I$2505=A545)))"),"https://techcombank.com/thong-tin/blog/cach-sao-ke-tai-khoan-ngan-hang
https://techcombank.com/thong-tin/blog/cach-tiet-kiem-tien")</f>
        <v>https://techcombank.com/thong-tin/blog/cach-sao-ke-tai-khoan-ngan-hang
https://techcombank.com/thong-tin/blog/cach-tiet-kiem-tien</v>
      </c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</row>
    <row r="546">
      <c r="A546" s="27" t="str">
        <f>IFERROR(__xludf.DUMMYFUNCTION("""COMPUTED_VALUE"""),"https://techcombank.com/thong-tin/blog/thu-tuc-chuyen-tien-ra-nuoc-ngoai")</f>
        <v>https://techcombank.com/thong-tin/blog/thu-tuc-chuyen-tien-ra-nuoc-ngoai</v>
      </c>
      <c r="B546" s="11">
        <f>IFERROR(__xludf.DUMMYFUNCTION("""COMPUTED_VALUE"""),2.0)</f>
        <v>2</v>
      </c>
      <c r="C546" s="8" t="str">
        <f>IFERROR(__xludf.DUMMYFUNCTION("IF(A546="""","""",TEXTJOIN(CHAR(10),TRUE,FILTER('Tổng hợp 75 trang đích'!$B$2:$B$2505,'Tổng hợp 75 trang đích'!$I$2:$I$2505=A546)))"),"https://techcombank.com/thong-tin/blog/chuyen-khoan-thanh-cong-nhung-khong-nhan-duoc-tien
https://techcombank.com/thong-tin/blog/cach-nhan-tien-tu-nuoc-ngoai-ve-viet-nam")</f>
        <v>https://techcombank.com/thong-tin/blog/chuyen-khoan-thanh-cong-nhung-khong-nhan-duoc-tien
https://techcombank.com/thong-tin/blog/cach-nhan-tien-tu-nuoc-ngoai-ve-viet-nam</v>
      </c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</row>
    <row r="547">
      <c r="A547" s="27" t="str">
        <f>IFERROR(__xludf.DUMMYFUNCTION("""COMPUTED_VALUE"""),"https://techcombank.com/thong-tin/blog/thu-tuc-vay-ngan-hang-mua-nha")</f>
        <v>https://techcombank.com/thong-tin/blog/thu-tuc-vay-ngan-hang-mua-nha</v>
      </c>
      <c r="B547" s="11">
        <f>IFERROR(__xludf.DUMMYFUNCTION("""COMPUTED_VALUE"""),2.0)</f>
        <v>2</v>
      </c>
      <c r="C547" s="8" t="str">
        <f>IFERROR(__xludf.DUMMYFUNCTION("IF(A547="""","""",TEXTJOIN(CHAR(10),TRUE,FILTER('Tổng hợp 75 trang đích'!$B$2:$B$2505,'Tổng hợp 75 trang đích'!$I$2:$I$2505=A547)))"),"https://techcombank.com/thong-tin/blog/xep-hang-tin-dung
https://techcombank.com/thong-tin/blog/vay-ngan-hang-1-ty-moi-thang-tra-bao-nhieu")</f>
        <v>https://techcombank.com/thong-tin/blog/xep-hang-tin-dung
https://techcombank.com/thong-tin/blog/vay-ngan-hang-1-ty-moi-thang-tra-bao-nhieu</v>
      </c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</row>
    <row r="548">
      <c r="A548" s="27" t="str">
        <f>IFERROR(__xludf.DUMMYFUNCTION("""COMPUTED_VALUE"""),"https://techcombank.com/thong-tin/blog/thu-tuc-vay-von-ngan-hang-de-xay-nha")</f>
        <v>https://techcombank.com/thong-tin/blog/thu-tuc-vay-von-ngan-hang-de-xay-nha</v>
      </c>
      <c r="B548" s="11">
        <f>IFERROR(__xludf.DUMMYFUNCTION("""COMPUTED_VALUE"""),2.0)</f>
        <v>2</v>
      </c>
      <c r="C548" s="8" t="str">
        <f>IFERROR(__xludf.DUMMYFUNCTION("IF(A548="""","""",TEXTJOIN(CHAR(10),TRUE,FILTER('Tổng hợp 75 trang đích'!$B$2:$B$2505,'Tổng hợp 75 trang đích'!$I$2:$I$2505=A548)))"),"https://techcombank.com/thong-tin/blog/cach-tinh-lai-vay-ngan-hang
https://techcombank.com/cong-cu-tien-ich/cong-cu-tinh-toan/bang-tinh-lai-suat-vay")</f>
        <v>https://techcombank.com/thong-tin/blog/cach-tinh-lai-vay-ngan-hang
https://techcombank.com/cong-cu-tien-ich/cong-cu-tinh-toan/bang-tinh-lai-suat-vay</v>
      </c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</row>
    <row r="549">
      <c r="A549" s="27" t="str">
        <f>IFERROR(__xludf.DUMMYFUNCTION("""COMPUTED_VALUE"""),"https://techcombank.com/thong-tin/blog/thue-doanh-nghiep-2025")</f>
        <v>https://techcombank.com/thong-tin/blog/thue-doanh-nghiep-2025</v>
      </c>
      <c r="B549" s="11">
        <f>IFERROR(__xludf.DUMMYFUNCTION("""COMPUTED_VALUE"""),2.0)</f>
        <v>2</v>
      </c>
      <c r="C549" s="8" t="str">
        <f>IFERROR(__xludf.DUMMYFUNCTION("IF(A549="""","""",TEXTJOIN(CHAR(10),TRUE,FILTER('Tổng hợp 75 trang đích'!$B$2:$B$2505,'Tổng hợp 75 trang đích'!$I$2:$I$2505=A549)))"),"https://techcombank.com/thong-tin/blog/thue-doanh-nghiep
https://techcombank.com/thong-tin/blog/ho-kinh-doanh-dong-thue-nhu-nao")</f>
        <v>https://techcombank.com/thong-tin/blog/thue-doanh-nghiep
https://techcombank.com/thong-tin/blog/ho-kinh-doanh-dong-thue-nhu-nao</v>
      </c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</row>
    <row r="550">
      <c r="A550" s="27" t="str">
        <f>IFERROR(__xludf.DUMMYFUNCTION("""COMPUTED_VALUE"""),"https://techcombank.com/thong-tin/blog/tich-diem-doi-qua")</f>
        <v>https://techcombank.com/thong-tin/blog/tich-diem-doi-qua</v>
      </c>
      <c r="B550" s="11">
        <f>IFERROR(__xludf.DUMMYFUNCTION("""COMPUTED_VALUE"""),2.0)</f>
        <v>2</v>
      </c>
      <c r="C550" s="8" t="str">
        <f>IFERROR(__xludf.DUMMYFUNCTION("IF(A550="""","""",TEXTJOIN(CHAR(10),TRUE,FILTER('Tổng hợp 75 trang đích'!$B$2:$B$2505,'Tổng hợp 75 trang đích'!$I$2:$I$2505=A550)))"),"https://techcombank.com/thong-tin/blog/traveloka-voucher
https://techcombank.com/cong-cu-tien-ich/cong-cu-tinh-toan/bang-tinh-lai-suat-tiet-kiem")</f>
        <v>https://techcombank.com/thong-tin/blog/traveloka-voucher
https://techcombank.com/cong-cu-tien-ich/cong-cu-tinh-toan/bang-tinh-lai-suat-tiet-kiem</v>
      </c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</row>
    <row r="551">
      <c r="A551" s="27" t="str">
        <f>IFERROR(__xludf.DUMMYFUNCTION("""COMPUTED_VALUE"""),"https://techcombank.com/thong-tin/blog/tien-dai-loan")</f>
        <v>https://techcombank.com/thong-tin/blog/tien-dai-loan</v>
      </c>
      <c r="B551" s="11">
        <f>IFERROR(__xludf.DUMMYFUNCTION("""COMPUTED_VALUE"""),2.0)</f>
        <v>2</v>
      </c>
      <c r="C551" s="8" t="str">
        <f>IFERROR(__xludf.DUMMYFUNCTION("IF(A551="""","""",TEXTJOIN(CHAR(10),TRUE,FILTER('Tổng hợp 75 trang đích'!$B$2:$B$2505,'Tổng hợp 75 trang đích'!$I$2:$I$2505=A551)))"),"https://techcombank.com/thong-tin/blog/1-te-bang-bao-nhieu-tien-viet-nam
https://techcombank.com/thong-tin/blog/doi-tien-do-o-dau")</f>
        <v>https://techcombank.com/thong-tin/blog/1-te-bang-bao-nhieu-tien-viet-nam
https://techcombank.com/thong-tin/blog/doi-tien-do-o-dau</v>
      </c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</row>
    <row r="552">
      <c r="A552" s="27" t="str">
        <f>IFERROR(__xludf.DUMMYFUNCTION("""COMPUTED_VALUE"""),"https://techcombank.com/thong-tin/blog/tien-indonesia")</f>
        <v>https://techcombank.com/thong-tin/blog/tien-indonesia</v>
      </c>
      <c r="B552" s="11">
        <f>IFERROR(__xludf.DUMMYFUNCTION("""COMPUTED_VALUE"""),2.0)</f>
        <v>2</v>
      </c>
      <c r="C552" s="8" t="str">
        <f>IFERROR(__xludf.DUMMYFUNCTION("IF(A552="""","""",TEXTJOIN(CHAR(10),TRUE,FILTER('Tổng hợp 75 trang đích'!$B$2:$B$2505,'Tổng hợp 75 trang đích'!$I$2:$I$2505=A552)))"),"https://techcombank.com/thong-tin/blog/doi-tien-do-o-dau
https://techcombank.com/thong-tin/blog/traveloka-voucher")</f>
        <v>https://techcombank.com/thong-tin/blog/doi-tien-do-o-dau
https://techcombank.com/thong-tin/blog/traveloka-voucher</v>
      </c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</row>
    <row r="553">
      <c r="A553" s="27" t="str">
        <f>IFERROR(__xludf.DUMMYFUNCTION("""COMPUTED_VALUE"""),"https://techcombank.com/thong-tin/blog/tien-lao")</f>
        <v>https://techcombank.com/thong-tin/blog/tien-lao</v>
      </c>
      <c r="B553" s="11">
        <f>IFERROR(__xludf.DUMMYFUNCTION("""COMPUTED_VALUE"""),2.0)</f>
        <v>2</v>
      </c>
      <c r="C553" s="8" t="str">
        <f>IFERROR(__xludf.DUMMYFUNCTION("IF(A553="""","""",TEXTJOIN(CHAR(10),TRUE,FILTER('Tổng hợp 75 trang đích'!$B$2:$B$2505,'Tổng hợp 75 trang đích'!$I$2:$I$2505=A553)))"),"https://techcombank.com/thong-tin/blog/chuyen-khoan-thanh-cong-nhung-khong-nhan-duoc-tien
https://techcombank.com/thong-tin/blog/doi-tien-do-o-dau")</f>
        <v>https://techcombank.com/thong-tin/blog/chuyen-khoan-thanh-cong-nhung-khong-nhan-duoc-tien
https://techcombank.com/thong-tin/blog/doi-tien-do-o-dau</v>
      </c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</row>
    <row r="554">
      <c r="A554" s="27" t="str">
        <f>IFERROR(__xludf.DUMMYFUNCTION("""COMPUTED_VALUE"""),"https://techcombank.com/thong-tin/blog/tien-thai-lan")</f>
        <v>https://techcombank.com/thong-tin/blog/tien-thai-lan</v>
      </c>
      <c r="B554" s="11">
        <f>IFERROR(__xludf.DUMMYFUNCTION("""COMPUTED_VALUE"""),2.0)</f>
        <v>2</v>
      </c>
      <c r="C554" s="8" t="str">
        <f>IFERROR(__xludf.DUMMYFUNCTION("IF(A554="""","""",TEXTJOIN(CHAR(10),TRUE,FILTER('Tổng hợp 75 trang đích'!$B$2:$B$2505,'Tổng hợp 75 trang đích'!$I$2:$I$2505=A554)))"),"https://techcombank.com/thong-tin/blog/chuyen-khoan-thanh-cong-nhung-khong-nhan-duoc-tien
https://techcombank.com/thong-tin/blog/doi-tien-do-o-dau")</f>
        <v>https://techcombank.com/thong-tin/blog/chuyen-khoan-thanh-cong-nhung-khong-nhan-duoc-tien
https://techcombank.com/thong-tin/blog/doi-tien-do-o-dau</v>
      </c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</row>
    <row r="555">
      <c r="A555" s="27" t="str">
        <f>IFERROR(__xludf.DUMMYFUNCTION("""COMPUTED_VALUE"""),"https://techcombank.com/thong-tin/blog/tieu-dung-ben-vung")</f>
        <v>https://techcombank.com/thong-tin/blog/tieu-dung-ben-vung</v>
      </c>
      <c r="B555" s="11">
        <f>IFERROR(__xludf.DUMMYFUNCTION("""COMPUTED_VALUE"""),2.0)</f>
        <v>2</v>
      </c>
      <c r="C555" s="8" t="str">
        <f>IFERROR(__xludf.DUMMYFUNCTION("IF(A555="""","""",TEXTJOIN(CHAR(10),TRUE,FILTER('Tổng hợp 75 trang đích'!$B$2:$B$2505,'Tổng hợp 75 trang đích'!$I$2:$I$2505=A555)))"),"https://techcombank.com/thong-tin/blog/eco-card
https://techcombank.com/thong-tin/blog/mo-hinh-kinh-doanh-la-gi")</f>
        <v>https://techcombank.com/thong-tin/blog/eco-card
https://techcombank.com/thong-tin/blog/mo-hinh-kinh-doanh-la-gi</v>
      </c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</row>
    <row r="556">
      <c r="A556" s="27" t="str">
        <f>IFERROR(__xludf.DUMMYFUNCTION("""COMPUTED_VALUE"""),"https://techcombank.com/thong-tin/blog/tin-chap-doanh-nghiep")</f>
        <v>https://techcombank.com/thong-tin/blog/tin-chap-doanh-nghiep</v>
      </c>
      <c r="B556" s="11">
        <f>IFERROR(__xludf.DUMMYFUNCTION("""COMPUTED_VALUE"""),2.0)</f>
        <v>2</v>
      </c>
      <c r="C556" s="8" t="str">
        <f>IFERROR(__xludf.DUMMYFUNCTION("IF(A556="""","""",TEXTJOIN(CHAR(10),TRUE,FILTER('Tổng hợp 75 trang đích'!$B$2:$B$2505,'Tổng hợp 75 trang đích'!$I$2:$I$2505=A556)))"),"https://techcombank.com/thong-tin/blog/nen-vay-tin-chap-o-dau
https://techcombank.com/thong-tin/blog/vay-tin-chap-khong-tra-duoc-co-sao-khong")</f>
        <v>https://techcombank.com/thong-tin/blog/nen-vay-tin-chap-o-dau
https://techcombank.com/thong-tin/blog/vay-tin-chap-khong-tra-duoc-co-sao-khong</v>
      </c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</row>
    <row r="557">
      <c r="A557" s="27" t="str">
        <f>IFERROR(__xludf.DUMMYFUNCTION("""COMPUTED_VALUE"""),"https://techcombank.com/thong-tin/blog/tra-cuu-hoa-don-tien-dien")</f>
        <v>https://techcombank.com/thong-tin/blog/tra-cuu-hoa-don-tien-dien</v>
      </c>
      <c r="B557" s="11">
        <f>IFERROR(__xludf.DUMMYFUNCTION("""COMPUTED_VALUE"""),2.0)</f>
        <v>2</v>
      </c>
      <c r="C557" s="8" t="str">
        <f>IFERROR(__xludf.DUMMYFUNCTION("IF(A557="""","""",TEXTJOIN(CHAR(10),TRUE,FILTER('Tổng hợp 75 trang đích'!$B$2:$B$2505,'Tổng hợp 75 trang đích'!$I$2:$I$2505=A557)))"),"https://techcombank.com/thong-tin/blog/thue-vat-la-gi
https://techcombank.com/thong-tin/blog/cach-tinh-tien-dien-sinh-hoat")</f>
        <v>https://techcombank.com/thong-tin/blog/thue-vat-la-gi
https://techcombank.com/thong-tin/blog/cach-tinh-tien-dien-sinh-hoat</v>
      </c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</row>
    <row r="558">
      <c r="A558" s="27" t="str">
        <f>IFERROR(__xludf.DUMMYFUNCTION("""COMPUTED_VALUE"""),"https://techcombank.com/thong-tin/blog/ung-dung-cong-nghe")</f>
        <v>https://techcombank.com/thong-tin/blog/ung-dung-cong-nghe</v>
      </c>
      <c r="B558" s="11">
        <f>IFERROR(__xludf.DUMMYFUNCTION("""COMPUTED_VALUE"""),2.0)</f>
        <v>2</v>
      </c>
      <c r="C558" s="8" t="str">
        <f>IFERROR(__xludf.DUMMYFUNCTION("IF(A558="""","""",TEXTJOIN(CHAR(10),TRUE,FILTER('Tổng hợp 75 trang đích'!$B$2:$B$2505,'Tổng hợp 75 trang đích'!$I$2:$I$2505=A558)))"),"https://techcombank.com/thong-tin/blog/cach-sao-ke-tai-khoan-ngan-hang
https://techcombank.com/thong-tin/blog/cach-tiet-kiem-tien")</f>
        <v>https://techcombank.com/thong-tin/blog/cach-sao-ke-tai-khoan-ngan-hang
https://techcombank.com/thong-tin/blog/cach-tiet-kiem-tien</v>
      </c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</row>
    <row r="559">
      <c r="A559" s="27" t="str">
        <f>IFERROR(__xludf.DUMMYFUNCTION("""COMPUTED_VALUE"""),"https://techcombank.com/thong-tin/blog/vay-50-trieu")</f>
        <v>https://techcombank.com/thong-tin/blog/vay-50-trieu</v>
      </c>
      <c r="B559" s="11">
        <f>IFERROR(__xludf.DUMMYFUNCTION("""COMPUTED_VALUE"""),2.0)</f>
        <v>2</v>
      </c>
      <c r="C559" s="8" t="str">
        <f>IFERROR(__xludf.DUMMYFUNCTION("IF(A559="""","""",TEXTJOIN(CHAR(10),TRUE,FILTER('Tổng hợp 75 trang đích'!$B$2:$B$2505,'Tổng hợp 75 trang đích'!$I$2:$I$2505=A559)))"),"https://techcombank.com/thong-tin/blog/cach-quet-nfc-cccd-tren-iphone
https://techcombank.com/thong-tin/blog/app-vay-tien-nhanh")</f>
        <v>https://techcombank.com/thong-tin/blog/cach-quet-nfc-cccd-tren-iphone
https://techcombank.com/thong-tin/blog/app-vay-tien-nhanh</v>
      </c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</row>
    <row r="560">
      <c r="A560" s="27" t="str">
        <f>IFERROR(__xludf.DUMMYFUNCTION("""COMPUTED_VALUE"""),"https://techcombank.com/thong-tin/blog/vay-kinh-doanh-online")</f>
        <v>https://techcombank.com/thong-tin/blog/vay-kinh-doanh-online</v>
      </c>
      <c r="B560" s="11">
        <f>IFERROR(__xludf.DUMMYFUNCTION("""COMPUTED_VALUE"""),2.0)</f>
        <v>2</v>
      </c>
      <c r="C560" s="8" t="str">
        <f>IFERROR(__xludf.DUMMYFUNCTION("IF(A560="""","""",TEXTJOIN(CHAR(10),TRUE,FILTER('Tổng hợp 75 trang đích'!$B$2:$B$2505,'Tổng hợp 75 trang đích'!$I$2:$I$2505=A560)))"),"https://techcombank.com/thong-tin/blog/mo-hinh-kinh-doanh-la-gi
https://techcombank.com/thong-tin/blog/app-vay-tien-nhanh")</f>
        <v>https://techcombank.com/thong-tin/blog/mo-hinh-kinh-doanh-la-gi
https://techcombank.com/thong-tin/blog/app-vay-tien-nhanh</v>
      </c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</row>
    <row r="561">
      <c r="A561" s="27" t="str">
        <f>IFERROR(__xludf.DUMMYFUNCTION("""COMPUTED_VALUE"""),"https://techcombank.com/thong-tin/blog/vay-ngan-han")</f>
        <v>https://techcombank.com/thong-tin/blog/vay-ngan-han</v>
      </c>
      <c r="B561" s="11">
        <f>IFERROR(__xludf.DUMMYFUNCTION("""COMPUTED_VALUE"""),2.0)</f>
        <v>2</v>
      </c>
      <c r="C561" s="8" t="str">
        <f>IFERROR(__xludf.DUMMYFUNCTION("IF(A561="""","""",TEXTJOIN(CHAR(10),TRUE,FILTER('Tổng hợp 75 trang đích'!$B$2:$B$2505,'Tổng hợp 75 trang đích'!$I$2:$I$2505=A561)))"),"https://techcombank.com/thong-tin/blog/lai-suat-vay-the-chap-so-do
https://techcombank.com/thong-tin/blog/ho-so-thu-tuc-xoa-the-chap")</f>
        <v>https://techcombank.com/thong-tin/blog/lai-suat-vay-the-chap-so-do
https://techcombank.com/thong-tin/blog/ho-so-thu-tuc-xoa-the-chap</v>
      </c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</row>
    <row r="562">
      <c r="A562" s="27" t="str">
        <f>IFERROR(__xludf.DUMMYFUNCTION("""COMPUTED_VALUE"""),"https://techcombank.com/thong-tin/blog/vay-sinh-vien")</f>
        <v>https://techcombank.com/thong-tin/blog/vay-sinh-vien</v>
      </c>
      <c r="B562" s="11">
        <f>IFERROR(__xludf.DUMMYFUNCTION("""COMPUTED_VALUE"""),2.0)</f>
        <v>2</v>
      </c>
      <c r="C562" s="8" t="str">
        <f>IFERROR(__xludf.DUMMYFUNCTION("IF(A562="""","""",TEXTJOIN(CHAR(10),TRUE,FILTER('Tổng hợp 75 trang đích'!$B$2:$B$2505,'Tổng hợp 75 trang đích'!$I$2:$I$2505=A562)))"),"https://techcombank.com/thong-tin/blog/ngan-hang-uy-tin
https://techcombank.com/thong-tin/blog/bao-nhieu-tuoi-duoc-mo-tai-khoan-ngan-hang")</f>
        <v>https://techcombank.com/thong-tin/blog/ngan-hang-uy-tin
https://techcombank.com/thong-tin/blog/bao-nhieu-tuoi-duoc-mo-tai-khoan-ngan-hang</v>
      </c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</row>
    <row r="563">
      <c r="A563" s="27" t="str">
        <f>IFERROR(__xludf.DUMMYFUNCTION("""COMPUTED_VALUE"""),"https://techcombank.com/thong-tin/blog/vay-tin-chap-cho-doanh-nghiep-moi-thanh-lap")</f>
        <v>https://techcombank.com/thong-tin/blog/vay-tin-chap-cho-doanh-nghiep-moi-thanh-lap</v>
      </c>
      <c r="B563" s="11">
        <f>IFERROR(__xludf.DUMMYFUNCTION("""COMPUTED_VALUE"""),2.0)</f>
        <v>2</v>
      </c>
      <c r="C563" s="8" t="str">
        <f>IFERROR(__xludf.DUMMYFUNCTION("IF(A563="""","""",TEXTJOIN(CHAR(10),TRUE,FILTER('Tổng hợp 75 trang đích'!$B$2:$B$2505,'Tổng hợp 75 trang đích'!$I$2:$I$2505=A563)))"),"https://techcombank.com/thong-tin/blog/nen-vay-tin-chap-o-dau
https://techcombank.com/thong-tin/blog/vay-tin-chap-khong-tra-duoc-co-sao-khong")</f>
        <v>https://techcombank.com/thong-tin/blog/nen-vay-tin-chap-o-dau
https://techcombank.com/thong-tin/blog/vay-tin-chap-khong-tra-duoc-co-sao-khong</v>
      </c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</row>
    <row r="564">
      <c r="A564" s="27" t="str">
        <f>IFERROR(__xludf.DUMMYFUNCTION("""COMPUTED_VALUE"""),"https://techcombank.com/thong-tin/blog/vay-tin-chap-khong-tra-duoc-co-sao-khong")</f>
        <v>https://techcombank.com/thong-tin/blog/vay-tin-chap-khong-tra-duoc-co-sao-khong</v>
      </c>
      <c r="B564" s="11">
        <f>IFERROR(__xludf.DUMMYFUNCTION("""COMPUTED_VALUE"""),2.0)</f>
        <v>2</v>
      </c>
      <c r="C564" s="8" t="str">
        <f>IFERROR(__xludf.DUMMYFUNCTION("IF(A564="""","""",TEXTJOIN(CHAR(10),TRUE,FILTER('Tổng hợp 75 trang đích'!$B$2:$B$2505,'Tổng hợp 75 trang đích'!$I$2:$I$2505=A564)))"),"https://techcombank.com/thong-tin/blog/rui-ro-khi-gui-tiet-kiem-online
https://techcombank.com/thong-tin/blog/nen-vay-tin-chap-o-dau")</f>
        <v>https://techcombank.com/thong-tin/blog/rui-ro-khi-gui-tiet-kiem-online
https://techcombank.com/thong-tin/blog/nen-vay-tin-chap-o-dau</v>
      </c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</row>
    <row r="565">
      <c r="A565" s="27" t="str">
        <f>IFERROR(__xludf.DUMMYFUNCTION("""COMPUTED_VALUE"""),"https://techcombank.com/thong-tin/blog/vay-von-doanh-nghiep-khong-the-chap")</f>
        <v>https://techcombank.com/thong-tin/blog/vay-von-doanh-nghiep-khong-the-chap</v>
      </c>
      <c r="B565" s="11">
        <f>IFERROR(__xludf.DUMMYFUNCTION("""COMPUTED_VALUE"""),2.0)</f>
        <v>2</v>
      </c>
      <c r="C565" s="8" t="str">
        <f>IFERROR(__xludf.DUMMYFUNCTION("IF(A565="""","""",TEXTJOIN(CHAR(10),TRUE,FILTER('Tổng hợp 75 trang đích'!$B$2:$B$2505,'Tổng hợp 75 trang đích'!$I$2:$I$2505=A565)))"),"https://techcombank.com/thong-tin/blog/lai-suat-vay-the-chap-so-do
https://techcombank.com/thong-tin/blog/ho-so-thu-tuc-xoa-the-chap")</f>
        <v>https://techcombank.com/thong-tin/blog/lai-suat-vay-the-chap-so-do
https://techcombank.com/thong-tin/blog/ho-so-thu-tuc-xoa-the-chap</v>
      </c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</row>
    <row r="566">
      <c r="A566" s="27" t="str">
        <f>IFERROR(__xludf.DUMMYFUNCTION("""COMPUTED_VALUE"""),"https://techcombank.com/thong-tin/blog/vi-dien-tu")</f>
        <v>https://techcombank.com/thong-tin/blog/vi-dien-tu</v>
      </c>
      <c r="B566" s="11">
        <f>IFERROR(__xludf.DUMMYFUNCTION("""COMPUTED_VALUE"""),2.0)</f>
        <v>2</v>
      </c>
      <c r="C566" s="8" t="str">
        <f>IFERROR(__xludf.DUMMYFUNCTION("IF(A566="""","""",TEXTJOIN(CHAR(10),TRUE,FILTER('Tổng hợp 75 trang đích'!$B$2:$B$2505,'Tổng hợp 75 trang đích'!$I$2:$I$2505=A566)))"),"https://techcombank.com/thong-tin/blog/rut-tien-mat-tu-the-tin-dung
https://techcombank.com/thong-tin/blog/cach-tiet-kiem-tien")</f>
        <v>https://techcombank.com/thong-tin/blog/rut-tien-mat-tu-the-tin-dung
https://techcombank.com/thong-tin/blog/cach-tiet-kiem-tien</v>
      </c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</row>
    <row r="567">
      <c r="A567" s="27" t="str">
        <f>IFERROR(__xludf.DUMMYFUNCTION("""COMPUTED_VALUE"""),"https://techcombank.com/thong-tin/blog/vi-tra-sau")</f>
        <v>https://techcombank.com/thong-tin/blog/vi-tra-sau</v>
      </c>
      <c r="B567" s="11">
        <f>IFERROR(__xludf.DUMMYFUNCTION("""COMPUTED_VALUE"""),2.0)</f>
        <v>2</v>
      </c>
      <c r="C567" s="8" t="str">
        <f>IFERROR(__xludf.DUMMYFUNCTION("IF(A567="""","""",TEXTJOIN(CHAR(10),TRUE,FILTER('Tổng hợp 75 trang đích'!$B$2:$B$2505,'Tổng hợp 75 trang đích'!$I$2:$I$2505=A567)))"),"https://techcombank.com/thong-tin/blog/cach-sao-ke-tai-khoan-ngan-hang
https://techcombank.com/thong-tin/blog/cach-tiet-kiem-tien")</f>
        <v>https://techcombank.com/thong-tin/blog/cach-sao-ke-tai-khoan-ngan-hang
https://techcombank.com/thong-tin/blog/cach-tiet-kiem-tien</v>
      </c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</row>
    <row r="568">
      <c r="A568" s="27" t="str">
        <f>IFERROR(__xludf.DUMMYFUNCTION("""COMPUTED_VALUE"""),"https://techcombank.com/thong-tin/blog/viet-kieu-co-mo-duoc-tai-khoan-ngan-hang-khong")</f>
        <v>https://techcombank.com/thong-tin/blog/viet-kieu-co-mo-duoc-tai-khoan-ngan-hang-khong</v>
      </c>
      <c r="B568" s="11">
        <f>IFERROR(__xludf.DUMMYFUNCTION("""COMPUTED_VALUE"""),2.0)</f>
        <v>2</v>
      </c>
      <c r="C568" s="8" t="str">
        <f>IFERROR(__xludf.DUMMYFUNCTION("IF(A568="""","""",TEXTJOIN(CHAR(10),TRUE,FILTER('Tổng hợp 75 trang đích'!$B$2:$B$2505,'Tổng hợp 75 trang đích'!$I$2:$I$2505=A568)))"),"https://techcombank.com/thong-tin/blog/cach-mo-tai-khoan
https://techcombank.com/thong-tin/blog/ngan-hang-uy-tin")</f>
        <v>https://techcombank.com/thong-tin/blog/cach-mo-tai-khoan
https://techcombank.com/thong-tin/blog/ngan-hang-uy-tin</v>
      </c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</row>
    <row r="569">
      <c r="A569" s="27" t="str">
        <f>IFERROR(__xludf.DUMMYFUNCTION("""COMPUTED_VALUE"""),"https://techcombank.com/thong-tin/blog/voucher-phuc-long")</f>
        <v>https://techcombank.com/thong-tin/blog/voucher-phuc-long</v>
      </c>
      <c r="B569" s="11">
        <f>IFERROR(__xludf.DUMMYFUNCTION("""COMPUTED_VALUE"""),2.0)</f>
        <v>2</v>
      </c>
      <c r="C569" s="8" t="str">
        <f>IFERROR(__xludf.DUMMYFUNCTION("IF(A569="""","""",TEXTJOIN(CHAR(10),TRUE,FILTER('Tổng hợp 75 trang đích'!$B$2:$B$2505,'Tổng hợp 75 trang đích'!$I$2:$I$2505=A569)))"),"https://techcombank.com/thong-tin/blog/thue-vat-la-gi
https://techcombank.com/thong-tin/blog/traveloka-voucher")</f>
        <v>https://techcombank.com/thong-tin/blog/thue-vat-la-gi
https://techcombank.com/thong-tin/blog/traveloka-voucher</v>
      </c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</row>
    <row r="570">
      <c r="A570" s="27" t="str">
        <f>IFERROR(__xludf.DUMMYFUNCTION("""COMPUTED_VALUE"""),"https://techcombank.com/thong-tin/blog/voucher-xanh-sm")</f>
        <v>https://techcombank.com/thong-tin/blog/voucher-xanh-sm</v>
      </c>
      <c r="B570" s="11">
        <f>IFERROR(__xludf.DUMMYFUNCTION("""COMPUTED_VALUE"""),2.0)</f>
        <v>2</v>
      </c>
      <c r="C570" s="8" t="str">
        <f>IFERROR(__xludf.DUMMYFUNCTION("IF(A570="""","""",TEXTJOIN(CHAR(10),TRUE,FILTER('Tổng hợp 75 trang đích'!$B$2:$B$2505,'Tổng hợp 75 trang đích'!$I$2:$I$2505=A570)))"),"https://techcombank.com/thong-tin/blog/eco-card
https://techcombank.com/thong-tin/blog/traveloka-voucher")</f>
        <v>https://techcombank.com/thong-tin/blog/eco-card
https://techcombank.com/thong-tin/blog/traveloka-voucher</v>
      </c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</row>
    <row r="571">
      <c r="A571" s="27" t="str">
        <f>IFERROR(__xludf.DUMMYFUNCTION("""COMPUTED_VALUE"""),"https://techcombank.com/thong-tin/blog/xac-thuc-sinh-trac-hoc-khi-chuyen-tien")</f>
        <v>https://techcombank.com/thong-tin/blog/xac-thuc-sinh-trac-hoc-khi-chuyen-tien</v>
      </c>
      <c r="B571" s="11">
        <f>IFERROR(__xludf.DUMMYFUNCTION("""COMPUTED_VALUE"""),2.0)</f>
        <v>2</v>
      </c>
      <c r="C571" s="8" t="str">
        <f>IFERROR(__xludf.DUMMYFUNCTION("IF(A571="""","""",TEXTJOIN(CHAR(10),TRUE,FILTER('Tổng hợp 75 trang đích'!$B$2:$B$2505,'Tổng hợp 75 trang đích'!$I$2:$I$2505=A571)))"),"https://techcombank.com/thong-tin/blog/chuyen-khoan-thanh-cong-nhung-khong-nhan-duoc-tien
https://techcombank.com/thong-tin/blog/cach-quet-nfc-cccd-tren-iphone")</f>
        <v>https://techcombank.com/thong-tin/blog/chuyen-khoan-thanh-cong-nhung-khong-nhan-duoc-tien
https://techcombank.com/thong-tin/blog/cach-quet-nfc-cccd-tren-iphone</v>
      </c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</row>
    <row r="572">
      <c r="A572" s="27" t="str">
        <f>IFERROR(__xludf.DUMMYFUNCTION("""COMPUTED_VALUE"""),"https://techcombank.com/thong-tin/blog/xu-huong-dau-tu-trai-phieu-ky-han-duoi-mot-nam-lua-chon-an-toan-khi-thi-truong-bien-dong")</f>
        <v>https://techcombank.com/thong-tin/blog/xu-huong-dau-tu-trai-phieu-ky-han-duoi-mot-nam-lua-chon-an-toan-khi-thi-truong-bien-dong</v>
      </c>
      <c r="B572" s="11">
        <f>IFERROR(__xludf.DUMMYFUNCTION("""COMPUTED_VALUE"""),2.0)</f>
        <v>2</v>
      </c>
      <c r="C572" s="8" t="str">
        <f>IFERROR(__xludf.DUMMYFUNCTION("IF(A572="""","""",TEXTJOIN(CHAR(10),TRUE,FILTER('Tổng hợp 75 trang đích'!$B$2:$B$2505,'Tổng hợp 75 trang đích'!$I$2:$I$2505=A572)))"),"https://techcombank.com/thong-tin/blog/lai-suat-tiet-kiem
https://techcombank.com/thong-tin/blog/phuong-phap-dau-tu-chung-chi-quy")</f>
        <v>https://techcombank.com/thong-tin/blog/lai-suat-tiet-kiem
https://techcombank.com/thong-tin/blog/phuong-phap-dau-tu-chung-chi-quy</v>
      </c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</row>
    <row r="573">
      <c r="A573" s="27" t="str">
        <f>IFERROR(__xludf.DUMMYFUNCTION("""COMPUTED_VALUE"""),"https://techcombank.com/thong-tin/blog/y-nghia-so-68")</f>
        <v>https://techcombank.com/thong-tin/blog/y-nghia-so-68</v>
      </c>
      <c r="B573" s="11">
        <f>IFERROR(__xludf.DUMMYFUNCTION("""COMPUTED_VALUE"""),2.0)</f>
        <v>2</v>
      </c>
      <c r="C573" s="8" t="str">
        <f>IFERROR(__xludf.DUMMYFUNCTION("IF(A573="""","""",TEXTJOIN(CHAR(10),TRUE,FILTER('Tổng hợp 75 trang đích'!$B$2:$B$2505,'Tổng hợp 75 trang đích'!$I$2:$I$2505=A573)))"),"https://techcombank.com/thong-tin/blog/cach-kiem-tra-tai-khoan-ngan-hang
https://techcombank.com/thong-tin/blog/day-so-phat-tai-phat-loc")</f>
        <v>https://techcombank.com/thong-tin/blog/cach-kiem-tra-tai-khoan-ngan-hang
https://techcombank.com/thong-tin/blog/day-so-phat-tai-phat-loc</v>
      </c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</row>
    <row r="574">
      <c r="A574" s="27" t="str">
        <f>IFERROR(__xludf.DUMMYFUNCTION("""COMPUTED_VALUE"""),"https://techcombank.com/thong-tin/blog/1-euro-bang-bao-nhieu-tien-viet")</f>
        <v>https://techcombank.com/thong-tin/blog/1-euro-bang-bao-nhieu-tien-viet</v>
      </c>
      <c r="B574" s="11">
        <f>IFERROR(__xludf.DUMMYFUNCTION("""COMPUTED_VALUE"""),1.0)</f>
        <v>1</v>
      </c>
      <c r="C574" s="27" t="str">
        <f>IFERROR(__xludf.DUMMYFUNCTION("IF(A574="""","""",TEXTJOIN(CHAR(10),TRUE,FILTER('Tổng hợp 75 trang đích'!$B$2:$B$2505,'Tổng hợp 75 trang đích'!$I$2:$I$2505=A574)))"),"https://techcombank.com/thong-tin/blog/doi-tien-do-o-dau")</f>
        <v>https://techcombank.com/thong-tin/blog/doi-tien-do-o-dau</v>
      </c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</row>
    <row r="575">
      <c r="A575" s="27" t="str">
        <f>IFERROR(__xludf.DUMMYFUNCTION("""COMPUTED_VALUE"""),"https://techcombank.com/thong-tin/blog/1-te-bang-bao-nhieu-tien-viet-nam")</f>
        <v>https://techcombank.com/thong-tin/blog/1-te-bang-bao-nhieu-tien-viet-nam</v>
      </c>
      <c r="B575" s="11">
        <f>IFERROR(__xludf.DUMMYFUNCTION("""COMPUTED_VALUE"""),1.0)</f>
        <v>1</v>
      </c>
      <c r="C575" s="27" t="str">
        <f>IFERROR(__xludf.DUMMYFUNCTION("IF(A575="""","""",TEXTJOIN(CHAR(10),TRUE,FILTER('Tổng hợp 75 trang đích'!$B$2:$B$2505,'Tổng hợp 75 trang đích'!$I$2:$I$2505=A575)))"),"https://techcombank.com/thong-tin/blog/doi-tien-do-o-dau")</f>
        <v>https://techcombank.com/thong-tin/blog/doi-tien-do-o-dau</v>
      </c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</row>
    <row r="576">
      <c r="A576" s="27" t="str">
        <f>IFERROR(__xludf.DUMMYFUNCTION("""COMPUTED_VALUE"""),"https://techcombank.com/thong-tin/blog/4p-pizza")</f>
        <v>https://techcombank.com/thong-tin/blog/4p-pizza</v>
      </c>
      <c r="B576" s="11">
        <f>IFERROR(__xludf.DUMMYFUNCTION("""COMPUTED_VALUE"""),1.0)</f>
        <v>1</v>
      </c>
      <c r="C576" s="27" t="str">
        <f>IFERROR(__xludf.DUMMYFUNCTION("IF(A576="""","""",TEXTJOIN(CHAR(10),TRUE,FILTER('Tổng hợp 75 trang đích'!$B$2:$B$2505,'Tổng hợp 75 trang đích'!$I$2:$I$2505=A576)))"),"https://techcombank.com/thong-tin/blog/traveloka-voucher")</f>
        <v>https://techcombank.com/thong-tin/blog/traveloka-voucher</v>
      </c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</row>
    <row r="577">
      <c r="A577" s="27" t="str">
        <f>IFERROR(__xludf.DUMMYFUNCTION("""COMPUTED_VALUE"""),"https://techcombank.com/thong-tin/blog/5-trieu-mua-duoc-bao-nhieu-vang")</f>
        <v>https://techcombank.com/thong-tin/blog/5-trieu-mua-duoc-bao-nhieu-vang</v>
      </c>
      <c r="B577" s="11">
        <f>IFERROR(__xludf.DUMMYFUNCTION("""COMPUTED_VALUE"""),1.0)</f>
        <v>1</v>
      </c>
      <c r="C577" s="27" t="str">
        <f>IFERROR(__xludf.DUMMYFUNCTION("IF(A577="""","""",TEXTJOIN(CHAR(10),TRUE,FILTER('Tổng hợp 75 trang đích'!$B$2:$B$2505,'Tổng hợp 75 trang đích'!$I$2:$I$2505=A577)))"),"https://techcombank.com/thong-tin/blog/phuong-phap-dau-tu-chung-chi-quy")</f>
        <v>https://techcombank.com/thong-tin/blog/phuong-phap-dau-tu-chung-chi-quy</v>
      </c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</row>
    <row r="578">
      <c r="A578" s="27" t="str">
        <f>IFERROR(__xludf.DUMMYFUNCTION("""COMPUTED_VALUE"""),"https://techcombank.com/thong-tin/blog/an-han-no-goc-la-gi")</f>
        <v>https://techcombank.com/thong-tin/blog/an-han-no-goc-la-gi</v>
      </c>
      <c r="B578" s="11">
        <f>IFERROR(__xludf.DUMMYFUNCTION("""COMPUTED_VALUE"""),1.0)</f>
        <v>1</v>
      </c>
      <c r="C578" s="27" t="str">
        <f>IFERROR(__xludf.DUMMYFUNCTION("IF(A578="""","""",TEXTJOIN(CHAR(10),TRUE,FILTER('Tổng hợp 75 trang đích'!$B$2:$B$2505,'Tổng hợp 75 trang đích'!$I$2:$I$2505=A578)))"),"https://techcombank.com/thong-tin/blog/cach-tinh-lai-vay-ngan-hang")</f>
        <v>https://techcombank.com/thong-tin/blog/cach-tinh-lai-vay-ngan-hang</v>
      </c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</row>
    <row r="579">
      <c r="A579" s="27" t="str">
        <f>IFERROR(__xludf.DUMMYFUNCTION("""COMPUTED_VALUE"""),"https://techcombank.com/thong-tin/blog/anh-sang-cuoi-duong-ham-xuat-hien-trai-phieu-doanh-nghiep-tot-va-an-toan-se-duoc-nha-dau-tu-chon")</f>
        <v>https://techcombank.com/thong-tin/blog/anh-sang-cuoi-duong-ham-xuat-hien-trai-phieu-doanh-nghiep-tot-va-an-toan-se-duoc-nha-dau-tu-chon</v>
      </c>
      <c r="B579" s="11">
        <f>IFERROR(__xludf.DUMMYFUNCTION("""COMPUTED_VALUE"""),1.0)</f>
        <v>1</v>
      </c>
      <c r="C579" s="27" t="str">
        <f>IFERROR(__xludf.DUMMYFUNCTION("IF(A579="""","""",TEXTJOIN(CHAR(10),TRUE,FILTER('Tổng hợp 75 trang đích'!$B$2:$B$2505,'Tổng hợp 75 trang đích'!$I$2:$I$2505=A579)))"),"https://techcombank.com/thong-tin/blog/phuong-phap-dau-tu-chung-chi-quy")</f>
        <v>https://techcombank.com/thong-tin/blog/phuong-phap-dau-tu-chung-chi-quy</v>
      </c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</row>
    <row r="580">
      <c r="A580" s="27" t="str">
        <f>IFERROR(__xludf.DUMMYFUNCTION("""COMPUTED_VALUE"""),"https://techcombank.com/thong-tin/blog/app-chia-tien")</f>
        <v>https://techcombank.com/thong-tin/blog/app-chia-tien</v>
      </c>
      <c r="B580" s="11">
        <f>IFERROR(__xludf.DUMMYFUNCTION("""COMPUTED_VALUE"""),1.0)</f>
        <v>1</v>
      </c>
      <c r="C580" s="27" t="str">
        <f>IFERROR(__xludf.DUMMYFUNCTION("IF(A580="""","""",TEXTJOIN(CHAR(10),TRUE,FILTER('Tổng hợp 75 trang đích'!$B$2:$B$2505,'Tổng hợp 75 trang đích'!$I$2:$I$2505=A580)))"),"https://techcombank.com/thong-tin/blog/thue-vat-la-gi")</f>
        <v>https://techcombank.com/thong-tin/blog/thue-vat-la-gi</v>
      </c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</row>
    <row r="581">
      <c r="A581" s="27" t="str">
        <f>IFERROR(__xludf.DUMMYFUNCTION("""COMPUTED_VALUE"""),"https://techcombank.com/thong-tin/blog/app-ngan-hang-co-dung-duoc-o-nuoc-ngoai")</f>
        <v>https://techcombank.com/thong-tin/blog/app-ngan-hang-co-dung-duoc-o-nuoc-ngoai</v>
      </c>
      <c r="B581" s="11">
        <f>IFERROR(__xludf.DUMMYFUNCTION("""COMPUTED_VALUE"""),1.0)</f>
        <v>1</v>
      </c>
      <c r="C581" s="27" t="str">
        <f>IFERROR(__xludf.DUMMYFUNCTION("IF(A581="""","""",TEXTJOIN(CHAR(10),TRUE,FILTER('Tổng hợp 75 trang đích'!$B$2:$B$2505,'Tổng hợp 75 trang đích'!$I$2:$I$2505=A581)))"),"https://techcombank.com/thong-tin/blog/cach-nhan-tien-tu-nuoc-ngoai-ve-viet-nam")</f>
        <v>https://techcombank.com/thong-tin/blog/cach-nhan-tien-tu-nuoc-ngoai-ve-viet-nam</v>
      </c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</row>
    <row r="582">
      <c r="A582" s="27" t="str">
        <f>IFERROR(__xludf.DUMMYFUNCTION("""COMPUTED_VALUE"""),"https://techcombank.com/thong-tin/blog/app-ngan-hang-uy-tin")</f>
        <v>https://techcombank.com/thong-tin/blog/app-ngan-hang-uy-tin</v>
      </c>
      <c r="B582" s="11">
        <f>IFERROR(__xludf.DUMMYFUNCTION("""COMPUTED_VALUE"""),1.0)</f>
        <v>1</v>
      </c>
      <c r="C582" s="27" t="str">
        <f>IFERROR(__xludf.DUMMYFUNCTION("IF(A582="""","""",TEXTJOIN(CHAR(10),TRUE,FILTER('Tổng hợp 75 trang đích'!$B$2:$B$2505,'Tổng hợp 75 trang đích'!$I$2:$I$2505=A582)))"),"https://techcombank.com/thong-tin/blog/ngan-hang-uy-tin")</f>
        <v>https://techcombank.com/thong-tin/blog/ngan-hang-uy-tin</v>
      </c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</row>
    <row r="583">
      <c r="A583" s="27" t="str">
        <f>IFERROR(__xludf.DUMMYFUNCTION("""COMPUTED_VALUE"""),"https://techcombank.com/thong-tin/blog/app-theo-doi-chung-chi-quy")</f>
        <v>https://techcombank.com/thong-tin/blog/app-theo-doi-chung-chi-quy</v>
      </c>
      <c r="B583" s="11">
        <f>IFERROR(__xludf.DUMMYFUNCTION("""COMPUTED_VALUE"""),1.0)</f>
        <v>1</v>
      </c>
      <c r="C583" s="27" t="str">
        <f>IFERROR(__xludf.DUMMYFUNCTION("IF(A583="""","""",TEXTJOIN(CHAR(10),TRUE,FILTER('Tổng hợp 75 trang đích'!$B$2:$B$2505,'Tổng hợp 75 trang đích'!$I$2:$I$2505=A583)))"),"https://techcombank.com/thong-tin/blog/phuong-phap-dau-tu-chung-chi-quy")</f>
        <v>https://techcombank.com/thong-tin/blog/phuong-phap-dau-tu-chung-chi-quy</v>
      </c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</row>
    <row r="584">
      <c r="A584" s="27" t="str">
        <f>IFERROR(__xludf.DUMMYFUNCTION("""COMPUTED_VALUE"""),"https://techcombank.com/thong-tin/blog/ban-do-du-lich")</f>
        <v>https://techcombank.com/thong-tin/blog/ban-do-du-lich</v>
      </c>
      <c r="B584" s="11">
        <f>IFERROR(__xludf.DUMMYFUNCTION("""COMPUTED_VALUE"""),1.0)</f>
        <v>1</v>
      </c>
      <c r="C584" s="27" t="str">
        <f>IFERROR(__xludf.DUMMYFUNCTION("IF(A584="""","""",TEXTJOIN(CHAR(10),TRUE,FILTER('Tổng hợp 75 trang đích'!$B$2:$B$2505,'Tổng hợp 75 trang đích'!$I$2:$I$2505=A584)))"),"https://techcombank.com/thong-tin/blog/traveloka-voucher")</f>
        <v>https://techcombank.com/thong-tin/blog/traveloka-voucher</v>
      </c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</row>
    <row r="585">
      <c r="A585" s="27" t="str">
        <f>IFERROR(__xludf.DUMMYFUNCTION("""COMPUTED_VALUE"""),"https://techcombank.com/thong-tin/blog/bang-can-doi-tai-chinh")</f>
        <v>https://techcombank.com/thong-tin/blog/bang-can-doi-tai-chinh</v>
      </c>
      <c r="B585" s="11">
        <f>IFERROR(__xludf.DUMMYFUNCTION("""COMPUTED_VALUE"""),1.0)</f>
        <v>1</v>
      </c>
      <c r="C585" s="27" t="str">
        <f>IFERROR(__xludf.DUMMYFUNCTION("IF(A585="""","""",TEXTJOIN(CHAR(10),TRUE,FILTER('Tổng hợp 75 trang đích'!$B$2:$B$2505,'Tổng hợp 75 trang đích'!$I$2:$I$2505=A585)))"),"https://techcombank.com/thong-tin/blog/cach-tiet-kiem-tien")</f>
        <v>https://techcombank.com/thong-tin/blog/cach-tiet-kiem-tien</v>
      </c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</row>
    <row r="586">
      <c r="A586" s="27" t="str">
        <f>IFERROR(__xludf.DUMMYFUNCTION("""COMPUTED_VALUE"""),"https://techcombank.com/thong-tin/blog/bang-gia-chung-chi-quy")</f>
        <v>https://techcombank.com/thong-tin/blog/bang-gia-chung-chi-quy</v>
      </c>
      <c r="B586" s="11">
        <f>IFERROR(__xludf.DUMMYFUNCTION("""COMPUTED_VALUE"""),1.0)</f>
        <v>1</v>
      </c>
      <c r="C586" s="27" t="str">
        <f>IFERROR(__xludf.DUMMYFUNCTION("IF(A586="""","""",TEXTJOIN(CHAR(10),TRUE,FILTER('Tổng hợp 75 trang đích'!$B$2:$B$2505,'Tổng hợp 75 trang đích'!$I$2:$I$2505=A586)))"),"https://techcombank.com/thong-tin/blog/phuong-phap-dau-tu-chung-chi-quy")</f>
        <v>https://techcombank.com/thong-tin/blog/phuong-phap-dau-tu-chung-chi-quy</v>
      </c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</row>
    <row r="587">
      <c r="A587" s="27" t="str">
        <f>IFERROR(__xludf.DUMMYFUNCTION("""COMPUTED_VALUE"""),"https://techcombank.com/thong-tin/blog/bao-hiem-hanh-ly")</f>
        <v>https://techcombank.com/thong-tin/blog/bao-hiem-hanh-ly</v>
      </c>
      <c r="B587" s="11">
        <f>IFERROR(__xludf.DUMMYFUNCTION("""COMPUTED_VALUE"""),1.0)</f>
        <v>1</v>
      </c>
      <c r="C587" s="27" t="str">
        <f>IFERROR(__xludf.DUMMYFUNCTION("IF(A587="""","""",TEXTJOIN(CHAR(10),TRUE,FILTER('Tổng hợp 75 trang đích'!$B$2:$B$2505,'Tổng hợp 75 trang đích'!$I$2:$I$2505=A587)))"),"https://techcombank.com/thong-tin/blog/traveloka-voucher")</f>
        <v>https://techcombank.com/thong-tin/blog/traveloka-voucher</v>
      </c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</row>
    <row r="588">
      <c r="A588" s="27" t="str">
        <f>IFERROR(__xludf.DUMMYFUNCTION("""COMPUTED_VALUE"""),"https://techcombank.com/thong-tin/blog/bao-hiem-lien-ket-dau-tu")</f>
        <v>https://techcombank.com/thong-tin/blog/bao-hiem-lien-ket-dau-tu</v>
      </c>
      <c r="B588" s="11">
        <f>IFERROR(__xludf.DUMMYFUNCTION("""COMPUTED_VALUE"""),1.0)</f>
        <v>1</v>
      </c>
      <c r="C588" s="27" t="str">
        <f>IFERROR(__xludf.DUMMYFUNCTION("IF(A588="""","""",TEXTJOIN(CHAR(10),TRUE,FILTER('Tổng hợp 75 trang đích'!$B$2:$B$2505,'Tổng hợp 75 trang đích'!$I$2:$I$2505=A588)))"),"https://techcombank.com/thong-tin/blog/phuong-phap-dau-tu-chung-chi-quy")</f>
        <v>https://techcombank.com/thong-tin/blog/phuong-phap-dau-tu-chung-chi-quy</v>
      </c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</row>
    <row r="589">
      <c r="A589" s="27" t="str">
        <f>IFERROR(__xludf.DUMMYFUNCTION("""COMPUTED_VALUE"""),"https://techcombank.com/thong-tin/blog/bao-hiem-nhan-tho-la-gi")</f>
        <v>https://techcombank.com/thong-tin/blog/bao-hiem-nhan-tho-la-gi</v>
      </c>
      <c r="B589" s="11">
        <f>IFERROR(__xludf.DUMMYFUNCTION("""COMPUTED_VALUE"""),1.0)</f>
        <v>1</v>
      </c>
      <c r="C589" s="27" t="str">
        <f>IFERROR(__xludf.DUMMYFUNCTION("IF(A589="""","""",TEXTJOIN(CHAR(10),TRUE,FILTER('Tổng hợp 75 trang đích'!$B$2:$B$2505,'Tổng hợp 75 trang đích'!$I$2:$I$2505=A589)))"),"https://techcombank.com/thong-tin/blog/mo-tai-khoan-ngan-hang-duoi-18-tuoi")</f>
        <v>https://techcombank.com/thong-tin/blog/mo-tai-khoan-ngan-hang-duoi-18-tuoi</v>
      </c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</row>
    <row r="590">
      <c r="A590" s="27" t="str">
        <f>IFERROR(__xludf.DUMMYFUNCTION("""COMPUTED_VALUE"""),"https://techcombank.com/thong-tin/blog/bao-hiem-pin-xe-dien")</f>
        <v>https://techcombank.com/thong-tin/blog/bao-hiem-pin-xe-dien</v>
      </c>
      <c r="B590" s="11">
        <f>IFERROR(__xludf.DUMMYFUNCTION("""COMPUTED_VALUE"""),1.0)</f>
        <v>1</v>
      </c>
      <c r="C590" s="27" t="str">
        <f>IFERROR(__xludf.DUMMYFUNCTION("IF(A590="""","""",TEXTJOIN(CHAR(10),TRUE,FILTER('Tổng hợp 75 trang đích'!$B$2:$B$2505,'Tổng hợp 75 trang đích'!$I$2:$I$2505=A590)))"),"https://techcombank.com/thong-tin/blog/eco-card")</f>
        <v>https://techcombank.com/thong-tin/blog/eco-card</v>
      </c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</row>
    <row r="591">
      <c r="A591" s="27" t="str">
        <f>IFERROR(__xludf.DUMMYFUNCTION("""COMPUTED_VALUE"""),"https://techcombank.com/thong-tin/blog/bao-hiem-sinh-ky-la-gi")</f>
        <v>https://techcombank.com/thong-tin/blog/bao-hiem-sinh-ky-la-gi</v>
      </c>
      <c r="B591" s="11">
        <f>IFERROR(__xludf.DUMMYFUNCTION("""COMPUTED_VALUE"""),1.0)</f>
        <v>1</v>
      </c>
      <c r="C591" s="27" t="str">
        <f>IFERROR(__xludf.DUMMYFUNCTION("IF(A591="""","""",TEXTJOIN(CHAR(10),TRUE,FILTER('Tổng hợp 75 trang đích'!$B$2:$B$2505,'Tổng hợp 75 trang đích'!$I$2:$I$2505=A591)))"),"https://techcombank.com/thong-tin/blog/phuong-phap-dau-tu-chung-chi-quy")</f>
        <v>https://techcombank.com/thong-tin/blog/phuong-phap-dau-tu-chung-chi-quy</v>
      </c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</row>
    <row r="592">
      <c r="A592" s="27" t="str">
        <f>IFERROR(__xludf.DUMMYFUNCTION("""COMPUTED_VALUE"""),"https://techcombank.com/thong-tin/blog/bao-hiem-suc-khoe-la-gi")</f>
        <v>https://techcombank.com/thong-tin/blog/bao-hiem-suc-khoe-la-gi</v>
      </c>
      <c r="B592" s="11">
        <f>IFERROR(__xludf.DUMMYFUNCTION("""COMPUTED_VALUE"""),1.0)</f>
        <v>1</v>
      </c>
      <c r="C592" s="27" t="str">
        <f>IFERROR(__xludf.DUMMYFUNCTION("IF(A592="""","""",TEXTJOIN(CHAR(10),TRUE,FILTER('Tổng hợp 75 trang đích'!$B$2:$B$2505,'Tổng hợp 75 trang đích'!$I$2:$I$2505=A592)))"),"https://techcombank.com/thong-tin/blog/mo-tai-khoan-ngan-hang-duoi-18-tuoi")</f>
        <v>https://techcombank.com/thong-tin/blog/mo-tai-khoan-ngan-hang-duoi-18-tuoi</v>
      </c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</row>
    <row r="593">
      <c r="A593" s="27" t="str">
        <f>IFERROR(__xludf.DUMMYFUNCTION("""COMPUTED_VALUE"""),"https://techcombank.com/thong-tin/blog/bao-hiem-tu-ky-la-gi")</f>
        <v>https://techcombank.com/thong-tin/blog/bao-hiem-tu-ky-la-gi</v>
      </c>
      <c r="B593" s="11">
        <f>IFERROR(__xludf.DUMMYFUNCTION("""COMPUTED_VALUE"""),1.0)</f>
        <v>1</v>
      </c>
      <c r="C593" s="27" t="str">
        <f>IFERROR(__xludf.DUMMYFUNCTION("IF(A593="""","""",TEXTJOIN(CHAR(10),TRUE,FILTER('Tổng hợp 75 trang đích'!$B$2:$B$2505,'Tổng hợp 75 trang đích'!$I$2:$I$2505=A593)))"),"https://techcombank.com/thong-tin/blog/phuong-phap-dau-tu-chung-chi-quy")</f>
        <v>https://techcombank.com/thong-tin/blog/phuong-phap-dau-tu-chung-chi-quy</v>
      </c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</row>
    <row r="594">
      <c r="A594" s="27" t="str">
        <f>IFERROR(__xludf.DUMMYFUNCTION("""COMPUTED_VALUE"""),"https://techcombank.com/thong-tin/blog/bao-nhieu-tuoi-duoc-mo-tai-khoan-ngan-hang")</f>
        <v>https://techcombank.com/thong-tin/blog/bao-nhieu-tuoi-duoc-mo-tai-khoan-ngan-hang</v>
      </c>
      <c r="B594" s="11">
        <f>IFERROR(__xludf.DUMMYFUNCTION("""COMPUTED_VALUE"""),1.0)</f>
        <v>1</v>
      </c>
      <c r="C594" s="27" t="str">
        <f>IFERROR(__xludf.DUMMYFUNCTION("IF(A594="""","""",TEXTJOIN(CHAR(10),TRUE,FILTER('Tổng hợp 75 trang đích'!$B$2:$B$2505,'Tổng hợp 75 trang đích'!$I$2:$I$2505=A594)))"),"https://techcombank.com/thong-tin/blog/cach-mo-tai-khoan")</f>
        <v>https://techcombank.com/thong-tin/blog/cach-mo-tai-khoan</v>
      </c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</row>
    <row r="595">
      <c r="A595" s="27" t="str">
        <f>IFERROR(__xludf.DUMMYFUNCTION("""COMPUTED_VALUE"""),"https://techcombank.com/thong-tin/blog/bi-quyet-lua-chon-trai-phieu-an-toan-cho-nha-dau-tu")</f>
        <v>https://techcombank.com/thong-tin/blog/bi-quyet-lua-chon-trai-phieu-an-toan-cho-nha-dau-tu</v>
      </c>
      <c r="B595" s="11">
        <f>IFERROR(__xludf.DUMMYFUNCTION("""COMPUTED_VALUE"""),1.0)</f>
        <v>1</v>
      </c>
      <c r="C595" s="27" t="str">
        <f>IFERROR(__xludf.DUMMYFUNCTION("IF(A595="""","""",TEXTJOIN(CHAR(10),TRUE,FILTER('Tổng hợp 75 trang đích'!$B$2:$B$2505,'Tổng hợp 75 trang đích'!$I$2:$I$2505=A595)))"),"https://techcombank.com/thong-tin/blog/phuong-phap-dau-tu-chung-chi-quy")</f>
        <v>https://techcombank.com/thong-tin/blog/phuong-phap-dau-tu-chung-chi-quy</v>
      </c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</row>
    <row r="596">
      <c r="A596" s="27" t="str">
        <f>IFERROR(__xludf.DUMMYFUNCTION("""COMPUTED_VALUE"""),"https://techcombank.com/thong-tin/blog/cac-loai-hinh-doanh-nghiep")</f>
        <v>https://techcombank.com/thong-tin/blog/cac-loai-hinh-doanh-nghiep</v>
      </c>
      <c r="B596" s="11">
        <f>IFERROR(__xludf.DUMMYFUNCTION("""COMPUTED_VALUE"""),1.0)</f>
        <v>1</v>
      </c>
      <c r="C596" s="27" t="str">
        <f>IFERROR(__xludf.DUMMYFUNCTION("IF(A596="""","""",TEXTJOIN(CHAR(10),TRUE,FILTER('Tổng hợp 75 trang đích'!$B$2:$B$2505,'Tổng hợp 75 trang đích'!$I$2:$I$2505=A596)))"),"https://techcombank.com/thong-tin/blog/mo-hinh-kinh-doanh-la-gi")</f>
        <v>https://techcombank.com/thong-tin/blog/mo-hinh-kinh-doanh-la-gi</v>
      </c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</row>
    <row r="597">
      <c r="A597" s="27" t="str">
        <f>IFERROR(__xludf.DUMMYFUNCTION("""COMPUTED_VALUE"""),"https://techcombank.com/thong-tin/blog/cach-dang-ky-dinh-danh-muc-2")</f>
        <v>https://techcombank.com/thong-tin/blog/cach-dang-ky-dinh-danh-muc-2</v>
      </c>
      <c r="B597" s="11">
        <f>IFERROR(__xludf.DUMMYFUNCTION("""COMPUTED_VALUE"""),1.0)</f>
        <v>1</v>
      </c>
      <c r="C597" s="27" t="str">
        <f>IFERROR(__xludf.DUMMYFUNCTION("IF(A597="""","""",TEXTJOIN(CHAR(10),TRUE,FILTER('Tổng hợp 75 trang đích'!$B$2:$B$2505,'Tổng hợp 75 trang đích'!$I$2:$I$2505=A597)))"),"https://techcombank.com/thong-tin/blog/cach-quet-nfc-cccd-tren-iphone")</f>
        <v>https://techcombank.com/thong-tin/blog/cach-quet-nfc-cccd-tren-iphone</v>
      </c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</row>
    <row r="598">
      <c r="A598" s="27" t="str">
        <f>IFERROR(__xludf.DUMMYFUNCTION("""COMPUTED_VALUE"""),"https://techcombank.com/thong-tin/blog/cach-dang-ky-the-visa")</f>
        <v>https://techcombank.com/thong-tin/blog/cach-dang-ky-the-visa</v>
      </c>
      <c r="B598" s="11">
        <f>IFERROR(__xludf.DUMMYFUNCTION("""COMPUTED_VALUE"""),1.0)</f>
        <v>1</v>
      </c>
      <c r="C598" s="27" t="str">
        <f>IFERROR(__xludf.DUMMYFUNCTION("IF(A598="""","""",TEXTJOIN(CHAR(10),TRUE,FILTER('Tổng hợp 75 trang đích'!$B$2:$B$2505,'Tổng hợp 75 trang đích'!$I$2:$I$2505=A598)))"),"https://techcombank.com/thong-tin/blog/lam-the-tin-dung")</f>
        <v>https://techcombank.com/thong-tin/blog/lam-the-tin-dung</v>
      </c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</row>
    <row r="599">
      <c r="A599" s="27" t="str">
        <f>IFERROR(__xludf.DUMMYFUNCTION("""COMPUTED_VALUE"""),"https://techcombank.com/thong-tin/blog/cach-dau-tu")</f>
        <v>https://techcombank.com/thong-tin/blog/cach-dau-tu</v>
      </c>
      <c r="B599" s="11">
        <f>IFERROR(__xludf.DUMMYFUNCTION("""COMPUTED_VALUE"""),1.0)</f>
        <v>1</v>
      </c>
      <c r="C599" s="27" t="str">
        <f>IFERROR(__xludf.DUMMYFUNCTION("IF(A599="""","""",TEXTJOIN(CHAR(10),TRUE,FILTER('Tổng hợp 75 trang đích'!$B$2:$B$2505,'Tổng hợp 75 trang đích'!$I$2:$I$2505=A599)))"),"https://techcombank.com/thong-tin/blog/phuong-phap-dau-tu-chung-chi-quy")</f>
        <v>https://techcombank.com/thong-tin/blog/phuong-phap-dau-tu-chung-chi-quy</v>
      </c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</row>
    <row r="600">
      <c r="A600" s="27" t="str">
        <f>IFERROR(__xludf.DUMMYFUNCTION("""COMPUTED_VALUE"""),"https://techcombank.com/thong-tin/blog/cach-doc-bao-cao-tai-chinh")</f>
        <v>https://techcombank.com/thong-tin/blog/cach-doc-bao-cao-tai-chinh</v>
      </c>
      <c r="B600" s="11">
        <f>IFERROR(__xludf.DUMMYFUNCTION("""COMPUTED_VALUE"""),1.0)</f>
        <v>1</v>
      </c>
      <c r="C600" s="27" t="str">
        <f>IFERROR(__xludf.DUMMYFUNCTION("IF(A600="""","""",TEXTJOIN(CHAR(10),TRUE,FILTER('Tổng hợp 75 trang đích'!$B$2:$B$2505,'Tổng hợp 75 trang đích'!$I$2:$I$2505=A600)))"),"https://techcombank.com/thong-tin/blog/cach-tinh-thue-thu-nhap-doanh-nghiep")</f>
        <v>https://techcombank.com/thong-tin/blog/cach-tinh-thue-thu-nhap-doanh-nghiep</v>
      </c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</row>
    <row r="601">
      <c r="A601" s="27" t="str">
        <f>IFERROR(__xludf.DUMMYFUNCTION("""COMPUTED_VALUE"""),"https://techcombank.com/thong-tin/blog/cach-lay-lai-tien-da-chuyen-khoan-khi-bi-lua")</f>
        <v>https://techcombank.com/thong-tin/blog/cach-lay-lai-tien-da-chuyen-khoan-khi-bi-lua</v>
      </c>
      <c r="B601" s="11">
        <f>IFERROR(__xludf.DUMMYFUNCTION("""COMPUTED_VALUE"""),1.0)</f>
        <v>1</v>
      </c>
      <c r="C601" s="27" t="str">
        <f>IFERROR(__xludf.DUMMYFUNCTION("IF(A601="""","""",TEXTJOIN(CHAR(10),TRUE,FILTER('Tổng hợp 75 trang đích'!$B$2:$B$2505,'Tổng hợp 75 trang đích'!$I$2:$I$2505=A601)))"),"https://techcombank.com/thong-tin/blog/chuyen-khoan-thanh-cong-nhung-khong-nhan-duoc-tien")</f>
        <v>https://techcombank.com/thong-tin/blog/chuyen-khoan-thanh-cong-nhung-khong-nhan-duoc-tien</v>
      </c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</row>
    <row r="602">
      <c r="A602" s="27" t="str">
        <f>IFERROR(__xludf.DUMMYFUNCTION("""COMPUTED_VALUE"""),"https://techcombank.com/thong-tin/blog/cach-lien-ket-epass-voi-tai-khoan-ngan-hang")</f>
        <v>https://techcombank.com/thong-tin/blog/cach-lien-ket-epass-voi-tai-khoan-ngan-hang</v>
      </c>
      <c r="B602" s="11">
        <f>IFERROR(__xludf.DUMMYFUNCTION("""COMPUTED_VALUE"""),1.0)</f>
        <v>1</v>
      </c>
      <c r="C602" s="27" t="str">
        <f>IFERROR(__xludf.DUMMYFUNCTION("IF(A602="""","""",TEXTJOIN(CHAR(10),TRUE,FILTER('Tổng hợp 75 trang đích'!$B$2:$B$2505,'Tổng hợp 75 trang đích'!$I$2:$I$2505=A602)))"),"https://techcombank.com/thong-tin/blog/cach-mo-tai-khoan")</f>
        <v>https://techcombank.com/thong-tin/blog/cach-mo-tai-khoan</v>
      </c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</row>
    <row r="603">
      <c r="A603" s="27" t="str">
        <f>IFERROR(__xludf.DUMMYFUNCTION("""COMPUTED_VALUE"""),"https://techcombank.com/thong-tin/blog/cach-nap-the-mobi")</f>
        <v>https://techcombank.com/thong-tin/blog/cach-nap-the-mobi</v>
      </c>
      <c r="B603" s="11">
        <f>IFERROR(__xludf.DUMMYFUNCTION("""COMPUTED_VALUE"""),1.0)</f>
        <v>1</v>
      </c>
      <c r="C603" s="27" t="str">
        <f>IFERROR(__xludf.DUMMYFUNCTION("IF(A603="""","""",TEXTJOIN(CHAR(10),TRUE,FILTER('Tổng hợp 75 trang đích'!$B$2:$B$2505,'Tổng hợp 75 trang đích'!$I$2:$I$2505=A603)))"),"https://techcombank.com/thong-tin/blog/cach-nap-the-viettel")</f>
        <v>https://techcombank.com/thong-tin/blog/cach-nap-the-viettel</v>
      </c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</row>
    <row r="604">
      <c r="A604" s="27" t="str">
        <f>IFERROR(__xludf.DUMMYFUNCTION("""COMPUTED_VALUE"""),"https://techcombank.com/thong-tin/blog/cach-nap-the-vina")</f>
        <v>https://techcombank.com/thong-tin/blog/cach-nap-the-vina</v>
      </c>
      <c r="B604" s="11">
        <f>IFERROR(__xludf.DUMMYFUNCTION("""COMPUTED_VALUE"""),1.0)</f>
        <v>1</v>
      </c>
      <c r="C604" s="27" t="str">
        <f>IFERROR(__xludf.DUMMYFUNCTION("IF(A604="""","""",TEXTJOIN(CHAR(10),TRUE,FILTER('Tổng hợp 75 trang đích'!$B$2:$B$2505,'Tổng hợp 75 trang đích'!$I$2:$I$2505=A604)))"),"https://techcombank.com/thong-tin/blog/cach-nap-the-viettel")</f>
        <v>https://techcombank.com/thong-tin/blog/cach-nap-the-viettel</v>
      </c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</row>
    <row r="605">
      <c r="A605" s="27" t="str">
        <f>IFERROR(__xludf.DUMMYFUNCTION("""COMPUTED_VALUE"""),"https://techcombank.com/thong-tin/blog/cach-quan-ly-tai-chinh-kinh-doanh")</f>
        <v>https://techcombank.com/thong-tin/blog/cach-quan-ly-tai-chinh-kinh-doanh</v>
      </c>
      <c r="B605" s="11">
        <f>IFERROR(__xludf.DUMMYFUNCTION("""COMPUTED_VALUE"""),1.0)</f>
        <v>1</v>
      </c>
      <c r="C605" s="27" t="str">
        <f>IFERROR(__xludf.DUMMYFUNCTION("IF(A605="""","""",TEXTJOIN(CHAR(10),TRUE,FILTER('Tổng hợp 75 trang đích'!$B$2:$B$2505,'Tổng hợp 75 trang đích'!$I$2:$I$2505=A605)))"),"https://techcombank.com/thong-tin/blog/cach-tiet-kiem-tien")</f>
        <v>https://techcombank.com/thong-tin/blog/cach-tiet-kiem-tien</v>
      </c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</row>
    <row r="606">
      <c r="A606" s="27" t="str">
        <f>IFERROR(__xludf.DUMMYFUNCTION("""COMPUTED_VALUE"""),"https://techcombank.com/thong-tin/blog/cach-tiet-kiem-100-trieu-1-nam")</f>
        <v>https://techcombank.com/thong-tin/blog/cach-tiet-kiem-100-trieu-1-nam</v>
      </c>
      <c r="B606" s="11">
        <f>IFERROR(__xludf.DUMMYFUNCTION("""COMPUTED_VALUE"""),1.0)</f>
        <v>1</v>
      </c>
      <c r="C606" s="27" t="str">
        <f>IFERROR(__xludf.DUMMYFUNCTION("IF(A606="""","""",TEXTJOIN(CHAR(10),TRUE,FILTER('Tổng hợp 75 trang đích'!$B$2:$B$2505,'Tổng hợp 75 trang đích'!$I$2:$I$2505=A606)))"),"https://techcombank.com/cong-cu-tien-ich/cong-cu-tinh-toan/bang-tinh-lai-suat-tiet-kiem")</f>
        <v>https://techcombank.com/cong-cu-tien-ich/cong-cu-tinh-toan/bang-tinh-lai-suat-tiet-kiem</v>
      </c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</row>
    <row r="607">
      <c r="A607" s="27" t="str">
        <f>IFERROR(__xludf.DUMMYFUNCTION("""COMPUTED_VALUE"""),"https://techcombank.com/thong-tin/blog/cach-tiet-kiem-tien-theo-tuan")</f>
        <v>https://techcombank.com/thong-tin/blog/cach-tiet-kiem-tien-theo-tuan</v>
      </c>
      <c r="B607" s="11">
        <f>IFERROR(__xludf.DUMMYFUNCTION("""COMPUTED_VALUE"""),1.0)</f>
        <v>1</v>
      </c>
      <c r="C607" s="27" t="str">
        <f>IFERROR(__xludf.DUMMYFUNCTION("IF(A607="""","""",TEXTJOIN(CHAR(10),TRUE,FILTER('Tổng hợp 75 trang đích'!$B$2:$B$2505,'Tổng hợp 75 trang đích'!$I$2:$I$2505=A607)))"),"https://techcombank.com/thong-tin/blog/cach-tiet-kiem-tien")</f>
        <v>https://techcombank.com/thong-tin/blog/cach-tiet-kiem-tien</v>
      </c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</row>
    <row r="608">
      <c r="A608" s="27" t="str">
        <f>IFERROR(__xludf.DUMMYFUNCTION("""COMPUTED_VALUE"""),"https://techcombank.com/thong-tin/blog/casa-la-gi")</f>
        <v>https://techcombank.com/thong-tin/blog/casa-la-gi</v>
      </c>
      <c r="B608" s="11">
        <f>IFERROR(__xludf.DUMMYFUNCTION("""COMPUTED_VALUE"""),1.0)</f>
        <v>1</v>
      </c>
      <c r="C608" s="27" t="str">
        <f>IFERROR(__xludf.DUMMYFUNCTION("IF(A608="""","""",TEXTJOIN(CHAR(10),TRUE,FILTER('Tổng hợp 75 trang đích'!$B$2:$B$2505,'Tổng hợp 75 trang đích'!$I$2:$I$2505=A608)))"),"https://techcombank.com/thong-tin/blog/lai-suat-tiet-kiem")</f>
        <v>https://techcombank.com/thong-tin/blog/lai-suat-tiet-kiem</v>
      </c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</row>
    <row r="609">
      <c r="A609" s="27" t="str">
        <f>IFERROR(__xludf.DUMMYFUNCTION("""COMPUTED_VALUE"""),"https://techcombank.com/thong-tin/blog/chien-luoc-dau-tu")</f>
        <v>https://techcombank.com/thong-tin/blog/chien-luoc-dau-tu</v>
      </c>
      <c r="B609" s="11">
        <f>IFERROR(__xludf.DUMMYFUNCTION("""COMPUTED_VALUE"""),1.0)</f>
        <v>1</v>
      </c>
      <c r="C609" s="27" t="str">
        <f>IFERROR(__xludf.DUMMYFUNCTION("IF(A609="""","""",TEXTJOIN(CHAR(10),TRUE,FILTER('Tổng hợp 75 trang đích'!$B$2:$B$2505,'Tổng hợp 75 trang đích'!$I$2:$I$2505=A609)))"),"https://techcombank.com/thong-tin/blog/phuong-phap-dau-tu-chung-chi-quy")</f>
        <v>https://techcombank.com/thong-tin/blog/phuong-phap-dau-tu-chung-chi-quy</v>
      </c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</row>
    <row r="610">
      <c r="A610" s="27" t="str">
        <f>IFERROR(__xludf.DUMMYFUNCTION("""COMPUTED_VALUE"""),"https://techcombank.com/thong-tin/blog/cho-vay-hop-von-la-gi")</f>
        <v>https://techcombank.com/thong-tin/blog/cho-vay-hop-von-la-gi</v>
      </c>
      <c r="B610" s="11">
        <f>IFERROR(__xludf.DUMMYFUNCTION("""COMPUTED_VALUE"""),1.0)</f>
        <v>1</v>
      </c>
      <c r="C610" s="27" t="str">
        <f>IFERROR(__xludf.DUMMYFUNCTION("IF(A610="""","""",TEXTJOIN(CHAR(10),TRUE,FILTER('Tổng hợp 75 trang đích'!$B$2:$B$2505,'Tổng hợp 75 trang đích'!$I$2:$I$2505=A610)))"),"https://techcombank.com/thong-tin/blog/rui-ro-khi-gui-tiet-kiem-online")</f>
        <v>https://techcombank.com/thong-tin/blog/rui-ro-khi-gui-tiet-kiem-online</v>
      </c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</row>
    <row r="611">
      <c r="A611" s="27" t="str">
        <f>IFERROR(__xludf.DUMMYFUNCTION("""COMPUTED_VALUE"""),"https://techcombank.com/thong-tin/blog/cho-vay-kinh-doanh-ho-gia-dinh")</f>
        <v>https://techcombank.com/thong-tin/blog/cho-vay-kinh-doanh-ho-gia-dinh</v>
      </c>
      <c r="B611" s="11">
        <f>IFERROR(__xludf.DUMMYFUNCTION("""COMPUTED_VALUE"""),1.0)</f>
        <v>1</v>
      </c>
      <c r="C611" s="27" t="str">
        <f>IFERROR(__xludf.DUMMYFUNCTION("IF(A611="""","""",TEXTJOIN(CHAR(10),TRUE,FILTER('Tổng hợp 75 trang đích'!$B$2:$B$2505,'Tổng hợp 75 trang đích'!$I$2:$I$2505=A611)))"),"https://techcombank.com/thong-tin/blog/mo-tai-khoan-ngan-hang-duoi-18-tuoi")</f>
        <v>https://techcombank.com/thong-tin/blog/mo-tai-khoan-ngan-hang-duoi-18-tuoi</v>
      </c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</row>
    <row r="612">
      <c r="A612" s="27" t="str">
        <f>IFERROR(__xludf.DUMMYFUNCTION("""COMPUTED_VALUE"""),"https://techcombank.com/thong-tin/blog/chung-chi-quy")</f>
        <v>https://techcombank.com/thong-tin/blog/chung-chi-quy</v>
      </c>
      <c r="B612" s="11">
        <f>IFERROR(__xludf.DUMMYFUNCTION("""COMPUTED_VALUE"""),1.0)</f>
        <v>1</v>
      </c>
      <c r="C612" s="27" t="str">
        <f>IFERROR(__xludf.DUMMYFUNCTION("IF(A612="""","""",TEXTJOIN(CHAR(10),TRUE,FILTER('Tổng hợp 75 trang đích'!$B$2:$B$2505,'Tổng hợp 75 trang đích'!$I$2:$I$2505=A612)))"),"https://techcombank.com/thong-tin/blog/phuong-phap-dau-tu-chung-chi-quy")</f>
        <v>https://techcombank.com/thong-tin/blog/phuong-phap-dau-tu-chung-chi-quy</v>
      </c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</row>
    <row r="613">
      <c r="A613" s="27" t="str">
        <f>IFERROR(__xludf.DUMMYFUNCTION("""COMPUTED_VALUE"""),"https://techcombank.com/thong-tin/blog/chung-chi-quy-dong")</f>
        <v>https://techcombank.com/thong-tin/blog/chung-chi-quy-dong</v>
      </c>
      <c r="B613" s="11">
        <f>IFERROR(__xludf.DUMMYFUNCTION("""COMPUTED_VALUE"""),1.0)</f>
        <v>1</v>
      </c>
      <c r="C613" s="27" t="str">
        <f>IFERROR(__xludf.DUMMYFUNCTION("IF(A613="""","""",TEXTJOIN(CHAR(10),TRUE,FILTER('Tổng hợp 75 trang đích'!$B$2:$B$2505,'Tổng hợp 75 trang đích'!$I$2:$I$2505=A613)))"),"https://techcombank.com/thong-tin/blog/phuong-phap-dau-tu-chung-chi-quy")</f>
        <v>https://techcombank.com/thong-tin/blog/phuong-phap-dau-tu-chung-chi-quy</v>
      </c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</row>
    <row r="614">
      <c r="A614" s="27" t="str">
        <f>IFERROR(__xludf.DUMMYFUNCTION("""COMPUTED_VALUE"""),"https://techcombank.com/thong-tin/blog/chung-chi-quy-mo-va-dong")</f>
        <v>https://techcombank.com/thong-tin/blog/chung-chi-quy-mo-va-dong</v>
      </c>
      <c r="B614" s="11">
        <f>IFERROR(__xludf.DUMMYFUNCTION("""COMPUTED_VALUE"""),1.0)</f>
        <v>1</v>
      </c>
      <c r="C614" s="27" t="str">
        <f>IFERROR(__xludf.DUMMYFUNCTION("IF(A614="""","""",TEXTJOIN(CHAR(10),TRUE,FILTER('Tổng hợp 75 trang đích'!$B$2:$B$2505,'Tổng hợp 75 trang đích'!$I$2:$I$2505=A614)))"),"https://techcombank.com/thong-tin/blog/phuong-phap-dau-tu-chung-chi-quy")</f>
        <v>https://techcombank.com/thong-tin/blog/phuong-phap-dau-tu-chung-chi-quy</v>
      </c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</row>
    <row r="615">
      <c r="A615" s="27" t="str">
        <f>IFERROR(__xludf.DUMMYFUNCTION("""COMPUTED_VALUE"""),"https://techcombank.com/thong-tin/blog/chung-chi-tien-gui-la-gi")</f>
        <v>https://techcombank.com/thong-tin/blog/chung-chi-tien-gui-la-gi</v>
      </c>
      <c r="B615" s="11">
        <f>IFERROR(__xludf.DUMMYFUNCTION("""COMPUTED_VALUE"""),1.0)</f>
        <v>1</v>
      </c>
      <c r="C615" s="27" t="str">
        <f>IFERROR(__xludf.DUMMYFUNCTION("IF(A615="""","""",TEXTJOIN(CHAR(10),TRUE,FILTER('Tổng hợp 75 trang đích'!$B$2:$B$2505,'Tổng hợp 75 trang đích'!$I$2:$I$2505=A615)))"),"https://techcombank.com/thong-tin/blog/lai-suat-chung-chi-tien-gui-cac-ngan-hang")</f>
        <v>https://techcombank.com/thong-tin/blog/lai-suat-chung-chi-tien-gui-cac-ngan-hang</v>
      </c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</row>
    <row r="616">
      <c r="A616" s="27" t="str">
        <f>IFERROR(__xludf.DUMMYFUNCTION("""COMPUTED_VALUE"""),"https://techcombank.com/thong-tin/blog/chuong-trinh-khach-hang-than-thiet")</f>
        <v>https://techcombank.com/thong-tin/blog/chuong-trinh-khach-hang-than-thiet</v>
      </c>
      <c r="B616" s="11">
        <f>IFERROR(__xludf.DUMMYFUNCTION("""COMPUTED_VALUE"""),1.0)</f>
        <v>1</v>
      </c>
      <c r="C616" s="27" t="str">
        <f>IFERROR(__xludf.DUMMYFUNCTION("IF(A616="""","""",TEXTJOIN(CHAR(10),TRUE,FILTER('Tổng hợp 75 trang đích'!$B$2:$B$2505,'Tổng hợp 75 trang đích'!$I$2:$I$2505=A616)))"),"https://techcombank.com/thong-tin/blog/traveloka-voucher")</f>
        <v>https://techcombank.com/thong-tin/blog/traveloka-voucher</v>
      </c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</row>
    <row r="617">
      <c r="A617" s="27" t="str">
        <f>IFERROR(__xludf.DUMMYFUNCTION("""COMPUTED_VALUE"""),"https://techcombank.com/thong-tin/blog/chuyen-doi-xanh")</f>
        <v>https://techcombank.com/thong-tin/blog/chuyen-doi-xanh</v>
      </c>
      <c r="B617" s="11">
        <f>IFERROR(__xludf.DUMMYFUNCTION("""COMPUTED_VALUE"""),1.0)</f>
        <v>1</v>
      </c>
      <c r="C617" s="27" t="str">
        <f>IFERROR(__xludf.DUMMYFUNCTION("IF(A617="""","""",TEXTJOIN(CHAR(10),TRUE,FILTER('Tổng hợp 75 trang đích'!$B$2:$B$2505,'Tổng hợp 75 trang đích'!$I$2:$I$2505=A617)))"),"https://techcombank.com/thong-tin/blog/eco-card")</f>
        <v>https://techcombank.com/thong-tin/blog/eco-card</v>
      </c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</row>
    <row r="618">
      <c r="A618" s="27" t="str">
        <f>IFERROR(__xludf.DUMMYFUNCTION("""COMPUTED_VALUE"""),"https://techcombank.com/thong-tin/blog/chuyen-gia-du-doan-gia-bat-dong-san-2025-va-cac-no-luc-tu-ngan-hang")</f>
        <v>https://techcombank.com/thong-tin/blog/chuyen-gia-du-doan-gia-bat-dong-san-2025-va-cac-no-luc-tu-ngan-hang</v>
      </c>
      <c r="B618" s="11">
        <f>IFERROR(__xludf.DUMMYFUNCTION("""COMPUTED_VALUE"""),1.0)</f>
        <v>1</v>
      </c>
      <c r="C618" s="27" t="str">
        <f>IFERROR(__xludf.DUMMYFUNCTION("IF(A618="""","""",TEXTJOIN(CHAR(10),TRUE,FILTER('Tổng hợp 75 trang đích'!$B$2:$B$2505,'Tổng hợp 75 trang đích'!$I$2:$I$2505=A618)))"),"https://techcombank.com/thong-tin/blog/vay-ngan-hang-1-ty-moi-thang-tra-bao-nhieu")</f>
        <v>https://techcombank.com/thong-tin/blog/vay-ngan-hang-1-ty-moi-thang-tra-bao-nhieu</v>
      </c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</row>
    <row r="619">
      <c r="A619" s="27" t="str">
        <f>IFERROR(__xludf.DUMMYFUNCTION("""COMPUTED_VALUE"""),"https://techcombank.com/thong-tin/blog/chuyen-khoan-lien-ngan-hang")</f>
        <v>https://techcombank.com/thong-tin/blog/chuyen-khoan-lien-ngan-hang</v>
      </c>
      <c r="B619" s="11">
        <f>IFERROR(__xludf.DUMMYFUNCTION("""COMPUTED_VALUE"""),1.0)</f>
        <v>1</v>
      </c>
      <c r="C619" s="27" t="str">
        <f>IFERROR(__xludf.DUMMYFUNCTION("IF(A619="""","""",TEXTJOIN(CHAR(10),TRUE,FILTER('Tổng hợp 75 trang đích'!$B$2:$B$2505,'Tổng hợp 75 trang đích'!$I$2:$I$2505=A619)))"),"https://techcombank.com/thong-tin/blog/chuyen-khoan-thanh-cong-nhung-khong-nhan-duoc-tien")</f>
        <v>https://techcombank.com/thong-tin/blog/chuyen-khoan-thanh-cong-nhung-khong-nhan-duoc-tien</v>
      </c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</row>
    <row r="620">
      <c r="A620" s="27" t="str">
        <f>IFERROR(__xludf.DUMMYFUNCTION("""COMPUTED_VALUE"""),"https://techcombank.com/thong-tin/blog/chuyen-nham-tien-co-lay-lai-duoc-khong")</f>
        <v>https://techcombank.com/thong-tin/blog/chuyen-nham-tien-co-lay-lai-duoc-khong</v>
      </c>
      <c r="B620" s="11">
        <f>IFERROR(__xludf.DUMMYFUNCTION("""COMPUTED_VALUE"""),1.0)</f>
        <v>1</v>
      </c>
      <c r="C620" s="27" t="str">
        <f>IFERROR(__xludf.DUMMYFUNCTION("IF(A620="""","""",TEXTJOIN(CHAR(10),TRUE,FILTER('Tổng hợp 75 trang đích'!$B$2:$B$2505,'Tổng hợp 75 trang đích'!$I$2:$I$2505=A620)))"),"https://techcombank.com/thong-tin/blog/chuyen-khoan-thanh-cong-nhung-khong-nhan-duoc-tien")</f>
        <v>https://techcombank.com/thong-tin/blog/chuyen-khoan-thanh-cong-nhung-khong-nhan-duoc-tien</v>
      </c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</row>
    <row r="621">
      <c r="A621" s="27" t="str">
        <f>IFERROR(__xludf.DUMMYFUNCTION("""COMPUTED_VALUE"""),"https://techcombank.com/thong-tin/blog/co-nen-vay-ngan-hang-mua-nha")</f>
        <v>https://techcombank.com/thong-tin/blog/co-nen-vay-ngan-hang-mua-nha</v>
      </c>
      <c r="B621" s="11">
        <f>IFERROR(__xludf.DUMMYFUNCTION("""COMPUTED_VALUE"""),1.0)</f>
        <v>1</v>
      </c>
      <c r="C621" s="27" t="str">
        <f>IFERROR(__xludf.DUMMYFUNCTION("IF(A621="""","""",TEXTJOIN(CHAR(10),TRUE,FILTER('Tổng hợp 75 trang đích'!$B$2:$B$2505,'Tổng hợp 75 trang đích'!$I$2:$I$2505=A621)))"),"https://techcombank.com/thong-tin/blog/vay-ngan-hang-1-ty-moi-thang-tra-bao-nhieu")</f>
        <v>https://techcombank.com/thong-tin/blog/vay-ngan-hang-1-ty-moi-thang-tra-bao-nhieu</v>
      </c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</row>
    <row r="622">
      <c r="A622" s="27" t="str">
        <f>IFERROR(__xludf.DUMMYFUNCTION("""COMPUTED_VALUE"""),"https://techcombank.com/thong-tin/blog/dac-san-da-nang")</f>
        <v>https://techcombank.com/thong-tin/blog/dac-san-da-nang</v>
      </c>
      <c r="B622" s="11">
        <f>IFERROR(__xludf.DUMMYFUNCTION("""COMPUTED_VALUE"""),1.0)</f>
        <v>1</v>
      </c>
      <c r="C622" s="27" t="str">
        <f>IFERROR(__xludf.DUMMYFUNCTION("IF(A622="""","""",TEXTJOIN(CHAR(10),TRUE,FILTER('Tổng hợp 75 trang đích'!$B$2:$B$2505,'Tổng hợp 75 trang đích'!$I$2:$I$2505=A622)))"),"https://techcombank.com/thong-tin/blog/traveloka-voucher")</f>
        <v>https://techcombank.com/thong-tin/blog/traveloka-voucher</v>
      </c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</row>
    <row r="623">
      <c r="A623" s="27" t="str">
        <f>IFERROR(__xludf.DUMMYFUNCTION("""COMPUTED_VALUE"""),"https://techcombank.com/thong-tin/blog/dac-san-ha-long")</f>
        <v>https://techcombank.com/thong-tin/blog/dac-san-ha-long</v>
      </c>
      <c r="B623" s="11">
        <f>IFERROR(__xludf.DUMMYFUNCTION("""COMPUTED_VALUE"""),1.0)</f>
        <v>1</v>
      </c>
      <c r="C623" s="27" t="str">
        <f>IFERROR(__xludf.DUMMYFUNCTION("IF(A623="""","""",TEXTJOIN(CHAR(10),TRUE,FILTER('Tổng hợp 75 trang đích'!$B$2:$B$2505,'Tổng hợp 75 trang đích'!$I$2:$I$2505=A623)))"),"https://techcombank.com/thong-tin/blog/traveloka-voucher")</f>
        <v>https://techcombank.com/thong-tin/blog/traveloka-voucher</v>
      </c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</row>
    <row r="624">
      <c r="A624" s="27" t="str">
        <f>IFERROR(__xludf.DUMMYFUNCTION("""COMPUTED_VALUE"""),"https://techcombank.com/thong-tin/blog/dac-san-hai-phong")</f>
        <v>https://techcombank.com/thong-tin/blog/dac-san-hai-phong</v>
      </c>
      <c r="B624" s="11">
        <f>IFERROR(__xludf.DUMMYFUNCTION("""COMPUTED_VALUE"""),1.0)</f>
        <v>1</v>
      </c>
      <c r="C624" s="27" t="str">
        <f>IFERROR(__xludf.DUMMYFUNCTION("IF(A624="""","""",TEXTJOIN(CHAR(10),TRUE,FILTER('Tổng hợp 75 trang đích'!$B$2:$B$2505,'Tổng hợp 75 trang đích'!$I$2:$I$2505=A624)))"),"https://techcombank.com/thong-tin/blog/traveloka-voucher")</f>
        <v>https://techcombank.com/thong-tin/blog/traveloka-voucher</v>
      </c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</row>
    <row r="625">
      <c r="A625" s="27" t="str">
        <f>IFERROR(__xludf.DUMMYFUNCTION("""COMPUTED_VALUE"""),"https://techcombank.com/thong-tin/blog/dac-san-nha-trang")</f>
        <v>https://techcombank.com/thong-tin/blog/dac-san-nha-trang</v>
      </c>
      <c r="B625" s="11">
        <f>IFERROR(__xludf.DUMMYFUNCTION("""COMPUTED_VALUE"""),1.0)</f>
        <v>1</v>
      </c>
      <c r="C625" s="27" t="str">
        <f>IFERROR(__xludf.DUMMYFUNCTION("IF(A625="""","""",TEXTJOIN(CHAR(10),TRUE,FILTER('Tổng hợp 75 trang đích'!$B$2:$B$2505,'Tổng hợp 75 trang đích'!$I$2:$I$2505=A625)))"),"https://techcombank.com/thong-tin/blog/traveloka-voucher")</f>
        <v>https://techcombank.com/thong-tin/blog/traveloka-voucher</v>
      </c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</row>
    <row r="626">
      <c r="A626" s="27" t="str">
        <f>IFERROR(__xludf.DUMMYFUNCTION("""COMPUTED_VALUE"""),"https://techcombank.com/thong-tin/blog/dang-ky-nhieu-tai-khoan-ngan-hang-co-sao-khong")</f>
        <v>https://techcombank.com/thong-tin/blog/dang-ky-nhieu-tai-khoan-ngan-hang-co-sao-khong</v>
      </c>
      <c r="B626" s="11">
        <f>IFERROR(__xludf.DUMMYFUNCTION("""COMPUTED_VALUE"""),1.0)</f>
        <v>1</v>
      </c>
      <c r="C626" s="27" t="str">
        <f>IFERROR(__xludf.DUMMYFUNCTION("IF(A626="""","""",TEXTJOIN(CHAR(10),TRUE,FILTER('Tổng hợp 75 trang đích'!$B$2:$B$2505,'Tổng hợp 75 trang đích'!$I$2:$I$2505=A626)))"),"https://techcombank.com/thong-tin/blog/cach-mo-tai-khoan")</f>
        <v>https://techcombank.com/thong-tin/blog/cach-mo-tai-khoan</v>
      </c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</row>
    <row r="627">
      <c r="A627" s="27" t="str">
        <f>IFERROR(__xludf.DUMMYFUNCTION("""COMPUTED_VALUE"""),"https://techcombank.com/thong-tin/blog/dang-ky-thanh-lap-doanh-nghiep")</f>
        <v>https://techcombank.com/thong-tin/blog/dang-ky-thanh-lap-doanh-nghiep</v>
      </c>
      <c r="B627" s="11">
        <f>IFERROR(__xludf.DUMMYFUNCTION("""COMPUTED_VALUE"""),1.0)</f>
        <v>1</v>
      </c>
      <c r="C627" s="27" t="str">
        <f>IFERROR(__xludf.DUMMYFUNCTION("IF(A627="""","""",TEXTJOIN(CHAR(10),TRUE,FILTER('Tổng hợp 75 trang đích'!$B$2:$B$2505,'Tổng hợp 75 trang đích'!$I$2:$I$2505=A627)))"),"https://techcombank.com/thong-tin/blog/thue-doanh-nghiep")</f>
        <v>https://techcombank.com/thong-tin/blog/thue-doanh-nghiep</v>
      </c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</row>
    <row r="628">
      <c r="A628" s="27" t="str">
        <f>IFERROR(__xludf.DUMMYFUNCTION("""COMPUTED_VALUE"""),"https://techcombank.com/thong-tin/blog/dang-ky-thanh-lap-doanh-nghiep-online")</f>
        <v>https://techcombank.com/thong-tin/blog/dang-ky-thanh-lap-doanh-nghiep-online</v>
      </c>
      <c r="B628" s="11">
        <f>IFERROR(__xludf.DUMMYFUNCTION("""COMPUTED_VALUE"""),1.0)</f>
        <v>1</v>
      </c>
      <c r="C628" s="27" t="str">
        <f>IFERROR(__xludf.DUMMYFUNCTION("IF(A628="""","""",TEXTJOIN(CHAR(10),TRUE,FILTER('Tổng hợp 75 trang đích'!$B$2:$B$2505,'Tổng hợp 75 trang đích'!$I$2:$I$2505=A628)))"),"https://techcombank.com/thong-tin/blog/thue-doanh-nghiep")</f>
        <v>https://techcombank.com/thong-tin/blog/thue-doanh-nghiep</v>
      </c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</row>
    <row r="629">
      <c r="A629" s="27" t="str">
        <f>IFERROR(__xludf.DUMMYFUNCTION("""COMPUTED_VALUE"""),"https://techcombank.com/thong-tin/blog/dao-tao-the-he-ke-can")</f>
        <v>https://techcombank.com/thong-tin/blog/dao-tao-the-he-ke-can</v>
      </c>
      <c r="B629" s="11">
        <f>IFERROR(__xludf.DUMMYFUNCTION("""COMPUTED_VALUE"""),1.0)</f>
        <v>1</v>
      </c>
      <c r="C629" s="27" t="str">
        <f>IFERROR(__xludf.DUMMYFUNCTION("IF(A629="""","""",TEXTJOIN(CHAR(10),TRUE,FILTER('Tổng hợp 75 trang đích'!$B$2:$B$2505,'Tổng hợp 75 trang đích'!$I$2:$I$2505=A629)))"),"https://techcombank.com/thong-tin/blog/mo-tai-khoan-ngan-hang-duoi-18-tuoi")</f>
        <v>https://techcombank.com/thong-tin/blog/mo-tai-khoan-ngan-hang-duoi-18-tuoi</v>
      </c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</row>
    <row r="630">
      <c r="A630" s="27" t="str">
        <f>IFERROR(__xludf.DUMMYFUNCTION("""COMPUTED_VALUE"""),"https://techcombank.com/thong-tin/blog/dat-ve-may-bay")</f>
        <v>https://techcombank.com/thong-tin/blog/dat-ve-may-bay</v>
      </c>
      <c r="B630" s="11">
        <f>IFERROR(__xludf.DUMMYFUNCTION("""COMPUTED_VALUE"""),1.0)</f>
        <v>1</v>
      </c>
      <c r="C630" s="27" t="str">
        <f>IFERROR(__xludf.DUMMYFUNCTION("IF(A630="""","""",TEXTJOIN(CHAR(10),TRUE,FILTER('Tổng hợp 75 trang đích'!$B$2:$B$2505,'Tổng hợp 75 trang đích'!$I$2:$I$2505=A630)))"),"https://techcombank.com/thong-tin/blog/traveloka-voucher")</f>
        <v>https://techcombank.com/thong-tin/blog/traveloka-voucher</v>
      </c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</row>
    <row r="631">
      <c r="A631" s="27" t="str">
        <f>IFERROR(__xludf.DUMMYFUNCTION("""COMPUTED_VALUE"""),"https://techcombank.com/thong-tin/blog/dau-tu-quy-mo")</f>
        <v>https://techcombank.com/thong-tin/blog/dau-tu-quy-mo</v>
      </c>
      <c r="B631" s="11">
        <f>IFERROR(__xludf.DUMMYFUNCTION("""COMPUTED_VALUE"""),1.0)</f>
        <v>1</v>
      </c>
      <c r="C631" s="27" t="str">
        <f>IFERROR(__xludf.DUMMYFUNCTION("IF(A631="""","""",TEXTJOIN(CHAR(10),TRUE,FILTER('Tổng hợp 75 trang đích'!$B$2:$B$2505,'Tổng hợp 75 trang đích'!$I$2:$I$2505=A631)))"),"https://techcombank.com/thong-tin/blog/phuong-phap-dau-tu-chung-chi-quy")</f>
        <v>https://techcombank.com/thong-tin/blog/phuong-phap-dau-tu-chung-chi-quy</v>
      </c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</row>
    <row r="632">
      <c r="A632" s="27" t="str">
        <f>IFERROR(__xludf.DUMMYFUNCTION("""COMPUTED_VALUE"""),"https://techcombank.com/thong-tin/blog/day-so-phat-tai-phat-loc")</f>
        <v>https://techcombank.com/thong-tin/blog/day-so-phat-tai-phat-loc</v>
      </c>
      <c r="B632" s="11">
        <f>IFERROR(__xludf.DUMMYFUNCTION("""COMPUTED_VALUE"""),1.0)</f>
        <v>1</v>
      </c>
      <c r="C632" s="27" t="str">
        <f>IFERROR(__xludf.DUMMYFUNCTION("IF(A632="""","""",TEXTJOIN(CHAR(10),TRUE,FILTER('Tổng hợp 75 trang đích'!$B$2:$B$2505,'Tổng hợp 75 trang đích'!$I$2:$I$2505=A632)))"),"https://techcombank.com/thong-tin/blog/cach-kiem-tra-tai-khoan-ngan-hang")</f>
        <v>https://techcombank.com/thong-tin/blog/cach-kiem-tra-tai-khoan-ngan-hang</v>
      </c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</row>
    <row r="633">
      <c r="A633" s="27" t="str">
        <f>IFERROR(__xludf.DUMMYFUNCTION("""COMPUTED_VALUE"""),"https://techcombank.com/thong-tin/blog/dieu-kien-thanh-lap-doanh-nghiep")</f>
        <v>https://techcombank.com/thong-tin/blog/dieu-kien-thanh-lap-doanh-nghiep</v>
      </c>
      <c r="B633" s="11">
        <f>IFERROR(__xludf.DUMMYFUNCTION("""COMPUTED_VALUE"""),1.0)</f>
        <v>1</v>
      </c>
      <c r="C633" s="27" t="str">
        <f>IFERROR(__xludf.DUMMYFUNCTION("IF(A633="""","""",TEXTJOIN(CHAR(10),TRUE,FILTER('Tổng hợp 75 trang đích'!$B$2:$B$2505,'Tổng hợp 75 trang đích'!$I$2:$I$2505=A633)))"),"https://techcombank.com/thong-tin/blog/thue-doanh-nghiep")</f>
        <v>https://techcombank.com/thong-tin/blog/thue-doanh-nghiep</v>
      </c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</row>
    <row r="634">
      <c r="A634" s="27" t="str">
        <f>IFERROR(__xludf.DUMMYFUNCTION("""COMPUTED_VALUE"""),"https://techcombank.com/thong-tin/blog/dinar-kuwait")</f>
        <v>https://techcombank.com/thong-tin/blog/dinar-kuwait</v>
      </c>
      <c r="B634" s="11">
        <f>IFERROR(__xludf.DUMMYFUNCTION("""COMPUTED_VALUE"""),1.0)</f>
        <v>1</v>
      </c>
      <c r="C634" s="27" t="str">
        <f>IFERROR(__xludf.DUMMYFUNCTION("IF(A634="""","""",TEXTJOIN(CHAR(10),TRUE,FILTER('Tổng hợp 75 trang đích'!$B$2:$B$2505,'Tổng hợp 75 trang đích'!$I$2:$I$2505=A634)))"),"https://techcombank.com/thong-tin/blog/doi-tien-do-o-dau")</f>
        <v>https://techcombank.com/thong-tin/blog/doi-tien-do-o-dau</v>
      </c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</row>
    <row r="635">
      <c r="A635" s="27" t="str">
        <f>IFERROR(__xludf.DUMMYFUNCTION("""COMPUTED_VALUE"""),"https://techcombank.com/thong-tin/blog/doi-dam-bay")</f>
        <v>https://techcombank.com/thong-tin/blog/doi-dam-bay</v>
      </c>
      <c r="B635" s="11">
        <f>IFERROR(__xludf.DUMMYFUNCTION("""COMPUTED_VALUE"""),1.0)</f>
        <v>1</v>
      </c>
      <c r="C635" s="27" t="str">
        <f>IFERROR(__xludf.DUMMYFUNCTION("IF(A635="""","""",TEXTJOIN(CHAR(10),TRUE,FILTER('Tổng hợp 75 trang đích'!$B$2:$B$2505,'Tổng hợp 75 trang đích'!$I$2:$I$2505=A635)))"),"https://techcombank.com/thong-tin/blog/traveloka-voucher")</f>
        <v>https://techcombank.com/thong-tin/blog/traveloka-voucher</v>
      </c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</row>
    <row r="636">
      <c r="A636" s="27" t="str">
        <f>IFERROR(__xludf.DUMMYFUNCTION("""COMPUTED_VALUE"""),"https://techcombank.com/thong-tin/blog/du-bao-gia-vang")</f>
        <v>https://techcombank.com/thong-tin/blog/du-bao-gia-vang</v>
      </c>
      <c r="B636" s="11">
        <f>IFERROR(__xludf.DUMMYFUNCTION("""COMPUTED_VALUE"""),1.0)</f>
        <v>1</v>
      </c>
      <c r="C636" s="27" t="str">
        <f>IFERROR(__xludf.DUMMYFUNCTION("IF(A636="""","""",TEXTJOIN(CHAR(10),TRUE,FILTER('Tổng hợp 75 trang đích'!$B$2:$B$2505,'Tổng hợp 75 trang đích'!$I$2:$I$2505=A636)))"),"https://techcombank.com/thong-tin/blog/phuong-phap-dau-tu-chung-chi-quy")</f>
        <v>https://techcombank.com/thong-tin/blog/phuong-phap-dau-tu-chung-chi-quy</v>
      </c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</row>
    <row r="637">
      <c r="A637" s="27" t="str">
        <f>IFERROR(__xludf.DUMMYFUNCTION("""COMPUTED_VALUE"""),"https://techcombank.com/thong-tin/blog/eco-card")</f>
        <v>https://techcombank.com/thong-tin/blog/eco-card</v>
      </c>
      <c r="B637" s="11">
        <f>IFERROR(__xludf.DUMMYFUNCTION("""COMPUTED_VALUE"""),1.0)</f>
        <v>1</v>
      </c>
      <c r="C637" s="27" t="str">
        <f>IFERROR(__xludf.DUMMYFUNCTION("IF(A637="""","""",TEXTJOIN(CHAR(10),TRUE,FILTER('Tổng hợp 75 trang đích'!$B$2:$B$2505,'Tổng hợp 75 trang đích'!$I$2:$I$2505=A637)))"),"https://techcombank.com/thong-tin/blog/lam-the-tin-dung")</f>
        <v>https://techcombank.com/thong-tin/blog/lam-the-tin-dung</v>
      </c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</row>
    <row r="638">
      <c r="A638" s="27" t="str">
        <f>IFERROR(__xludf.DUMMYFUNCTION("""COMPUTED_VALUE"""),"https://techcombank.com/thong-tin/blog/ekyc-la-gi")</f>
        <v>https://techcombank.com/thong-tin/blog/ekyc-la-gi</v>
      </c>
      <c r="B638" s="11">
        <f>IFERROR(__xludf.DUMMYFUNCTION("""COMPUTED_VALUE"""),1.0)</f>
        <v>1</v>
      </c>
      <c r="C638" s="27" t="str">
        <f>IFERROR(__xludf.DUMMYFUNCTION("IF(A638="""","""",TEXTJOIN(CHAR(10),TRUE,FILTER('Tổng hợp 75 trang đích'!$B$2:$B$2505,'Tổng hợp 75 trang đích'!$I$2:$I$2505=A638)))"),"https://techcombank.com/thong-tin/blog/cach-quet-nfc-cccd-tren-iphone")</f>
        <v>https://techcombank.com/thong-tin/blog/cach-quet-nfc-cccd-tren-iphone</v>
      </c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</row>
    <row r="639">
      <c r="A639" s="27" t="str">
        <f>IFERROR(__xludf.DUMMYFUNCTION("""COMPUTED_VALUE"""),"https://techcombank.com/thong-tin/blog/esg")</f>
        <v>https://techcombank.com/thong-tin/blog/esg</v>
      </c>
      <c r="B639" s="11">
        <f>IFERROR(__xludf.DUMMYFUNCTION("""COMPUTED_VALUE"""),1.0)</f>
        <v>1</v>
      </c>
      <c r="C639" s="27" t="str">
        <f>IFERROR(__xludf.DUMMYFUNCTION("IF(A639="""","""",TEXTJOIN(CHAR(10),TRUE,FILTER('Tổng hợp 75 trang đích'!$B$2:$B$2505,'Tổng hợp 75 trang đích'!$I$2:$I$2505=A639)))"),"https://techcombank.com/thong-tin/blog/eco-card")</f>
        <v>https://techcombank.com/thong-tin/blog/eco-card</v>
      </c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</row>
    <row r="640">
      <c r="A640" s="27" t="str">
        <f>IFERROR(__xludf.DUMMYFUNCTION("""COMPUTED_VALUE"""),"https://techcombank.com/thong-tin/blog/fdi")</f>
        <v>https://techcombank.com/thong-tin/blog/fdi</v>
      </c>
      <c r="B640" s="11">
        <f>IFERROR(__xludf.DUMMYFUNCTION("""COMPUTED_VALUE"""),1.0)</f>
        <v>1</v>
      </c>
      <c r="C640" s="27" t="str">
        <f>IFERROR(__xludf.DUMMYFUNCTION("IF(A640="""","""",TEXTJOIN(CHAR(10),TRUE,FILTER('Tổng hợp 75 trang đích'!$B$2:$B$2505,'Tổng hợp 75 trang đích'!$I$2:$I$2505=A640)))"),"https://techcombank.com/thong-tin/blog/phuong-phap-dau-tu-chung-chi-quy")</f>
        <v>https://techcombank.com/thong-tin/blog/phuong-phap-dau-tu-chung-chi-quy</v>
      </c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</row>
    <row r="641">
      <c r="A641" s="27" t="str">
        <f>IFERROR(__xludf.DUMMYFUNCTION("""COMPUTED_VALUE"""),"https://techcombank.com/thong-tin/blog/gia-cao-su")</f>
        <v>https://techcombank.com/thong-tin/blog/gia-cao-su</v>
      </c>
      <c r="B641" s="11">
        <f>IFERROR(__xludf.DUMMYFUNCTION("""COMPUTED_VALUE"""),1.0)</f>
        <v>1</v>
      </c>
      <c r="C641" s="27" t="str">
        <f>IFERROR(__xludf.DUMMYFUNCTION("IF(A641="""","""",TEXTJOIN(CHAR(10),TRUE,FILTER('Tổng hợp 75 trang đích'!$B$2:$B$2505,'Tổng hợp 75 trang đích'!$I$2:$I$2505=A641)))"),"https://techcombank.com/thong-tin/blog/lai-suat-tiet-kiem")</f>
        <v>https://techcombank.com/thong-tin/blog/lai-suat-tiet-kiem</v>
      </c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</row>
    <row r="642">
      <c r="A642" s="27" t="str">
        <f>IFERROR(__xludf.DUMMYFUNCTION("""COMPUTED_VALUE"""),"https://techcombank.com/thong-tin/blog/gia-dien-sinh-hoat")</f>
        <v>https://techcombank.com/thong-tin/blog/gia-dien-sinh-hoat</v>
      </c>
      <c r="B642" s="11">
        <f>IFERROR(__xludf.DUMMYFUNCTION("""COMPUTED_VALUE"""),1.0)</f>
        <v>1</v>
      </c>
      <c r="C642" s="27" t="str">
        <f>IFERROR(__xludf.DUMMYFUNCTION("IF(A642="""","""",TEXTJOIN(CHAR(10),TRUE,FILTER('Tổng hợp 75 trang đích'!$B$2:$B$2505,'Tổng hợp 75 trang đích'!$I$2:$I$2505=A642)))"),"https://techcombank.com/thong-tin/blog/cach-tinh-tien-dien-sinh-hoat")</f>
        <v>https://techcombank.com/thong-tin/blog/cach-tinh-tien-dien-sinh-hoat</v>
      </c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</row>
    <row r="643">
      <c r="A643" s="27" t="str">
        <f>IFERROR(__xludf.DUMMYFUNCTION("""COMPUTED_VALUE"""),"https://techcombank.com/thong-tin/blog/gia-tri-thuong-hieu")</f>
        <v>https://techcombank.com/thong-tin/blog/gia-tri-thuong-hieu</v>
      </c>
      <c r="B643" s="11">
        <f>IFERROR(__xludf.DUMMYFUNCTION("""COMPUTED_VALUE"""),1.0)</f>
        <v>1</v>
      </c>
      <c r="C643" s="27" t="str">
        <f>IFERROR(__xludf.DUMMYFUNCTION("IF(A643="""","""",TEXTJOIN(CHAR(10),TRUE,FILTER('Tổng hợp 75 trang đích'!$B$2:$B$2505,'Tổng hợp 75 trang đích'!$I$2:$I$2505=A643)))"),"https://techcombank.com/thong-tin/blog/ngan-hang-uy-tin")</f>
        <v>https://techcombank.com/thong-tin/blog/ngan-hang-uy-tin</v>
      </c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</row>
    <row r="644">
      <c r="A644" s="27" t="str">
        <f>IFERROR(__xludf.DUMMYFUNCTION("""COMPUTED_VALUE"""),"https://techcombank.com/thong-tin/blog/giai-phap-quan-ly-chuoi-cua-hang")</f>
        <v>https://techcombank.com/thong-tin/blog/giai-phap-quan-ly-chuoi-cua-hang</v>
      </c>
      <c r="B644" s="11">
        <f>IFERROR(__xludf.DUMMYFUNCTION("""COMPUTED_VALUE"""),1.0)</f>
        <v>1</v>
      </c>
      <c r="C644" s="27" t="str">
        <f>IFERROR(__xludf.DUMMYFUNCTION("IF(A644="""","""",TEXTJOIN(CHAR(10),TRUE,FILTER('Tổng hợp 75 trang đích'!$B$2:$B$2505,'Tổng hợp 75 trang đích'!$I$2:$I$2505=A644)))"),"https://techcombank.com/thong-tin/blog/mo-hinh-kinh-doanh-la-gi")</f>
        <v>https://techcombank.com/thong-tin/blog/mo-hinh-kinh-doanh-la-gi</v>
      </c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</row>
    <row r="645">
      <c r="A645" s="27" t="str">
        <f>IFERROR(__xludf.DUMMYFUNCTION("""COMPUTED_VALUE"""),"https://techcombank.com/thong-tin/blog/giam-gia-be")</f>
        <v>https://techcombank.com/thong-tin/blog/giam-gia-be</v>
      </c>
      <c r="B645" s="11">
        <f>IFERROR(__xludf.DUMMYFUNCTION("""COMPUTED_VALUE"""),1.0)</f>
        <v>1</v>
      </c>
      <c r="C645" s="27" t="str">
        <f>IFERROR(__xludf.DUMMYFUNCTION("IF(A645="""","""",TEXTJOIN(CHAR(10),TRUE,FILTER('Tổng hợp 75 trang đích'!$B$2:$B$2505,'Tổng hợp 75 trang đích'!$I$2:$I$2505=A645)))"),"https://techcombank.com/thong-tin/blog/traveloka-voucher")</f>
        <v>https://techcombank.com/thong-tin/blog/traveloka-voucher</v>
      </c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</row>
    <row r="646">
      <c r="A646" s="27" t="str">
        <f>IFERROR(__xludf.DUMMYFUNCTION("""COMPUTED_VALUE"""),"https://techcombank.com/thong-tin/blog/gio-lam-viec-ngan-hang")</f>
        <v>https://techcombank.com/thong-tin/blog/gio-lam-viec-ngan-hang</v>
      </c>
      <c r="B646" s="11">
        <f>IFERROR(__xludf.DUMMYFUNCTION("""COMPUTED_VALUE"""),1.0)</f>
        <v>1</v>
      </c>
      <c r="C646" s="27" t="str">
        <f>IFERROR(__xludf.DUMMYFUNCTION("IF(A646="""","""",TEXTJOIN(CHAR(10),TRUE,FILTER('Tổng hợp 75 trang đích'!$B$2:$B$2505,'Tổng hợp 75 trang đích'!$I$2:$I$2505=A646)))"),"https://techcombank.com/thong-tin/blog/ngan-hang-uy-tin")</f>
        <v>https://techcombank.com/thong-tin/blog/ngan-hang-uy-tin</v>
      </c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</row>
    <row r="647">
      <c r="A647" s="27" t="str">
        <f>IFERROR(__xludf.DUMMYFUNCTION("""COMPUTED_VALUE"""),"https://techcombank.com/thong-tin/blog/high-net-worth-client-va-ultra-high-net-worth-client")</f>
        <v>https://techcombank.com/thong-tin/blog/high-net-worth-client-va-ultra-high-net-worth-client</v>
      </c>
      <c r="B647" s="11">
        <f>IFERROR(__xludf.DUMMYFUNCTION("""COMPUTED_VALUE"""),1.0)</f>
        <v>1</v>
      </c>
      <c r="C647" s="27" t="str">
        <f>IFERROR(__xludf.DUMMYFUNCTION("IF(A647="""","""",TEXTJOIN(CHAR(10),TRUE,FILTER('Tổng hợp 75 trang đích'!$B$2:$B$2505,'Tổng hợp 75 trang đích'!$I$2:$I$2505=A647)))"),"https://techcombank.com/thong-tin/blog/1-trieu-do-bang-bao-nhieu-tien-viet")</f>
        <v>https://techcombank.com/thong-tin/blog/1-trieu-do-bang-bao-nhieu-tien-viet</v>
      </c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</row>
    <row r="648">
      <c r="A648" s="27" t="str">
        <f>IFERROR(__xludf.DUMMYFUNCTION("""COMPUTED_VALUE"""),"https://techcombank.com/thong-tin/blog/ho-so-dang-ky-thanh-lap-doanh-nghiep")</f>
        <v>https://techcombank.com/thong-tin/blog/ho-so-dang-ky-thanh-lap-doanh-nghiep</v>
      </c>
      <c r="B648" s="11">
        <f>IFERROR(__xludf.DUMMYFUNCTION("""COMPUTED_VALUE"""),1.0)</f>
        <v>1</v>
      </c>
      <c r="C648" s="27" t="str">
        <f>IFERROR(__xludf.DUMMYFUNCTION("IF(A648="""","""",TEXTJOIN(CHAR(10),TRUE,FILTER('Tổng hợp 75 trang đích'!$B$2:$B$2505,'Tổng hợp 75 trang đích'!$I$2:$I$2505=A648)))"),"https://techcombank.com/thong-tin/blog/thue-doanh-nghiep")</f>
        <v>https://techcombank.com/thong-tin/blog/thue-doanh-nghiep</v>
      </c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</row>
    <row r="649">
      <c r="A649" s="27" t="str">
        <f>IFERROR(__xludf.DUMMYFUNCTION("""COMPUTED_VALUE"""),"https://techcombank.com/thong-tin/blog/internet-banking")</f>
        <v>https://techcombank.com/thong-tin/blog/internet-banking</v>
      </c>
      <c r="B649" s="11">
        <f>IFERROR(__xludf.DUMMYFUNCTION("""COMPUTED_VALUE"""),1.0)</f>
        <v>1</v>
      </c>
      <c r="C649" s="27" t="str">
        <f>IFERROR(__xludf.DUMMYFUNCTION("IF(A649="""","""",TEXTJOIN(CHAR(10),TRUE,FILTER('Tổng hợp 75 trang đích'!$B$2:$B$2505,'Tổng hợp 75 trang đích'!$I$2:$I$2505=A649)))"),"https://techcombank.com/thong-tin/blog/ten-dang-nhap-tai-khoan-ngan-hang-la-gi")</f>
        <v>https://techcombank.com/thong-tin/blog/ten-dang-nhap-tai-khoan-ngan-hang-la-gi</v>
      </c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</row>
    <row r="650">
      <c r="A650" s="27" t="str">
        <f>IFERROR(__xludf.DUMMYFUNCTION("""COMPUTED_VALUE"""),"https://techcombank.com/thong-tin/blog/ke-hoach-huu-tri")</f>
        <v>https://techcombank.com/thong-tin/blog/ke-hoach-huu-tri</v>
      </c>
      <c r="B650" s="11">
        <f>IFERROR(__xludf.DUMMYFUNCTION("""COMPUTED_VALUE"""),1.0)</f>
        <v>1</v>
      </c>
      <c r="C650" s="27" t="str">
        <f>IFERROR(__xludf.DUMMYFUNCTION("IF(A650="""","""",TEXTJOIN(CHAR(10),TRUE,FILTER('Tổng hợp 75 trang đích'!$B$2:$B$2505,'Tổng hợp 75 trang đích'!$I$2:$I$2505=A650)))"),"https://techcombank.com/thong-tin/blog/eco-card")</f>
        <v>https://techcombank.com/thong-tin/blog/eco-card</v>
      </c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</row>
    <row r="651">
      <c r="A651" s="27" t="str">
        <f>IFERROR(__xludf.DUMMYFUNCTION("""COMPUTED_VALUE"""),"https://techcombank.com/thong-tin/blog/ke-hoach-tai-chinh")</f>
        <v>https://techcombank.com/thong-tin/blog/ke-hoach-tai-chinh</v>
      </c>
      <c r="B651" s="11">
        <f>IFERROR(__xludf.DUMMYFUNCTION("""COMPUTED_VALUE"""),1.0)</f>
        <v>1</v>
      </c>
      <c r="C651" s="27" t="str">
        <f>IFERROR(__xludf.DUMMYFUNCTION("IF(A651="""","""",TEXTJOIN(CHAR(10),TRUE,FILTER('Tổng hợp 75 trang đích'!$B$2:$B$2505,'Tổng hợp 75 trang đích'!$I$2:$I$2505=A651)))"),"https://techcombank.com/thong-tin/blog/cach-tiet-kiem-tien")</f>
        <v>https://techcombank.com/thong-tin/blog/cach-tiet-kiem-tien</v>
      </c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</row>
    <row r="652">
      <c r="A652" s="27" t="str">
        <f>IFERROR(__xludf.DUMMYFUNCTION("""COMPUTED_VALUE"""),"https://techcombank.com/thong-tin/blog/khau-hao")</f>
        <v>https://techcombank.com/thong-tin/blog/khau-hao</v>
      </c>
      <c r="B652" s="11">
        <f>IFERROR(__xludf.DUMMYFUNCTION("""COMPUTED_VALUE"""),1.0)</f>
        <v>1</v>
      </c>
      <c r="C652" s="27" t="str">
        <f>IFERROR(__xludf.DUMMYFUNCTION("IF(A652="""","""",TEXTJOIN(CHAR(10),TRUE,FILTER('Tổng hợp 75 trang đích'!$B$2:$B$2505,'Tổng hợp 75 trang đích'!$I$2:$I$2505=A652)))"),"https://techcombank.com/thong-tin/blog/cach-tinh-thue-thu-nhap-doanh-nghiep")</f>
        <v>https://techcombank.com/thong-tin/blog/cach-tinh-thue-thu-nhap-doanh-nghiep</v>
      </c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</row>
    <row r="653">
      <c r="A653" s="27" t="str">
        <f>IFERROR(__xludf.DUMMYFUNCTION("""COMPUTED_VALUE"""),"https://techcombank.com/thong-tin/blog/khau-hao-la-gi")</f>
        <v>https://techcombank.com/thong-tin/blog/khau-hao-la-gi</v>
      </c>
      <c r="B653" s="11">
        <f>IFERROR(__xludf.DUMMYFUNCTION("""COMPUTED_VALUE"""),1.0)</f>
        <v>1</v>
      </c>
      <c r="C653" s="27" t="str">
        <f>IFERROR(__xludf.DUMMYFUNCTION("IF(A653="""","""",TEXTJOIN(CHAR(10),TRUE,FILTER('Tổng hợp 75 trang đích'!$B$2:$B$2505,'Tổng hợp 75 trang đích'!$I$2:$I$2505=A653)))"),"https://techcombank.com/thong-tin/blog/cach-tinh-thue-thu-nhap-doanh-nghiep")</f>
        <v>https://techcombank.com/thong-tin/blog/cach-tinh-thue-thu-nhap-doanh-nghiep</v>
      </c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</row>
    <row r="654">
      <c r="A654" s="27" t="str">
        <f>IFERROR(__xludf.DUMMYFUNCTION("""COMPUTED_VALUE"""),"https://techcombank.com/thong-tin/blog/kichi-kichi")</f>
        <v>https://techcombank.com/thong-tin/blog/kichi-kichi</v>
      </c>
      <c r="B654" s="11">
        <f>IFERROR(__xludf.DUMMYFUNCTION("""COMPUTED_VALUE"""),1.0)</f>
        <v>1</v>
      </c>
      <c r="C654" s="27" t="str">
        <f>IFERROR(__xludf.DUMMYFUNCTION("IF(A654="""","""",TEXTJOIN(CHAR(10),TRUE,FILTER('Tổng hợp 75 trang đích'!$B$2:$B$2505,'Tổng hợp 75 trang đích'!$I$2:$I$2505=A654)))"),"https://techcombank.com/thong-tin/blog/traveloka-voucher")</f>
        <v>https://techcombank.com/thong-tin/blog/traveloka-voucher</v>
      </c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</row>
    <row r="655">
      <c r="A655" s="27" t="str">
        <f>IFERROR(__xludf.DUMMYFUNCTION("""COMPUTED_VALUE"""),"https://techcombank.com/thong-tin/blog/kieu-hoi-la-gi")</f>
        <v>https://techcombank.com/thong-tin/blog/kieu-hoi-la-gi</v>
      </c>
      <c r="B655" s="11">
        <f>IFERROR(__xludf.DUMMYFUNCTION("""COMPUTED_VALUE"""),1.0)</f>
        <v>1</v>
      </c>
      <c r="C655" s="27" t="str">
        <f>IFERROR(__xludf.DUMMYFUNCTION("IF(A655="""","""",TEXTJOIN(CHAR(10),TRUE,FILTER('Tổng hợp 75 trang đích'!$B$2:$B$2505,'Tổng hợp 75 trang đích'!$I$2:$I$2505=A655)))"),"https://techcombank.com/thong-tin/blog/cach-nhan-tien-tu-nuoc-ngoai-ve-viet-nam")</f>
        <v>https://techcombank.com/thong-tin/blog/cach-nhan-tien-tu-nuoc-ngoai-ve-viet-nam</v>
      </c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</row>
    <row r="656">
      <c r="A656" s="27" t="str">
        <f>IFERROR(__xludf.DUMMYFUNCTION("""COMPUTED_VALUE"""),"https://techcombank.com/thong-tin/blog/kinh-doanh-online")</f>
        <v>https://techcombank.com/thong-tin/blog/kinh-doanh-online</v>
      </c>
      <c r="B656" s="11">
        <f>IFERROR(__xludf.DUMMYFUNCTION("""COMPUTED_VALUE"""),1.0)</f>
        <v>1</v>
      </c>
      <c r="C656" s="27" t="str">
        <f>IFERROR(__xludf.DUMMYFUNCTION("IF(A656="""","""",TEXTJOIN(CHAR(10),TRUE,FILTER('Tổng hợp 75 trang đích'!$B$2:$B$2505,'Tổng hợp 75 trang đích'!$I$2:$I$2505=A656)))"),"https://techcombank.com/thong-tin/blog/mo-hinh-kinh-doanh-la-gi")</f>
        <v>https://techcombank.com/thong-tin/blog/mo-hinh-kinh-doanh-la-gi</v>
      </c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</row>
    <row r="657">
      <c r="A657" s="27" t="str">
        <f>IFERROR(__xludf.DUMMYFUNCTION("""COMPUTED_VALUE"""),"https://techcombank.com/thong-tin/blog/lai-suat-la-gi")</f>
        <v>https://techcombank.com/thong-tin/blog/lai-suat-la-gi</v>
      </c>
      <c r="B657" s="11">
        <f>IFERROR(__xludf.DUMMYFUNCTION("""COMPUTED_VALUE"""),1.0)</f>
        <v>1</v>
      </c>
      <c r="C657" s="27" t="str">
        <f>IFERROR(__xludf.DUMMYFUNCTION("IF(A657="""","""",TEXTJOIN(CHAR(10),TRUE,FILTER('Tổng hợp 75 trang đích'!$B$2:$B$2505,'Tổng hợp 75 trang đích'!$I$2:$I$2505=A657)))"),"https://techcombank.com/thong-tin/blog/lai-suat-vay-ngan-hang")</f>
        <v>https://techcombank.com/thong-tin/blog/lai-suat-vay-ngan-hang</v>
      </c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</row>
    <row r="658">
      <c r="A658" s="27" t="str">
        <f>IFERROR(__xludf.DUMMYFUNCTION("""COMPUTED_VALUE"""),"https://techcombank.com/thong-tin/blog/lam-phat-la-gi")</f>
        <v>https://techcombank.com/thong-tin/blog/lam-phat-la-gi</v>
      </c>
      <c r="B658" s="11">
        <f>IFERROR(__xludf.DUMMYFUNCTION("""COMPUTED_VALUE"""),1.0)</f>
        <v>1</v>
      </c>
      <c r="C658" s="27" t="str">
        <f>IFERROR(__xludf.DUMMYFUNCTION("IF(A658="""","""",TEXTJOIN(CHAR(10),TRUE,FILTER('Tổng hợp 75 trang đích'!$B$2:$B$2505,'Tổng hợp 75 trang đích'!$I$2:$I$2505=A658)))"),"https://techcombank.com/thong-tin/blog/cach-tiet-kiem-tien")</f>
        <v>https://techcombank.com/thong-tin/blog/cach-tiet-kiem-tien</v>
      </c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</row>
    <row r="659">
      <c r="A659" s="27" t="str">
        <f>IFERROR(__xludf.DUMMYFUNCTION("""COMPUTED_VALUE"""),"https://techcombank.com/thong-tin/blog/li-xi-tet")</f>
        <v>https://techcombank.com/thong-tin/blog/li-xi-tet</v>
      </c>
      <c r="B659" s="11">
        <f>IFERROR(__xludf.DUMMYFUNCTION("""COMPUTED_VALUE"""),1.0)</f>
        <v>1</v>
      </c>
      <c r="C659" s="27" t="str">
        <f>IFERROR(__xludf.DUMMYFUNCTION("IF(A659="""","""",TEXTJOIN(CHAR(10),TRUE,FILTER('Tổng hợp 75 trang đích'!$B$2:$B$2505,'Tổng hợp 75 trang đích'!$I$2:$I$2505=A659)))"),"https://techcombank.com/thong-tin/blog/day-so-phat-tai-phat-loc")</f>
        <v>https://techcombank.com/thong-tin/blog/day-so-phat-tai-phat-loc</v>
      </c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</row>
    <row r="660">
      <c r="A660" s="27" t="str">
        <f>IFERROR(__xludf.DUMMYFUNCTION("""COMPUTED_VALUE"""),"https://techcombank.com/thong-tin/blog/loa-thong-bao-chuyen-khoan")</f>
        <v>https://techcombank.com/thong-tin/blog/loa-thong-bao-chuyen-khoan</v>
      </c>
      <c r="B660" s="11">
        <f>IFERROR(__xludf.DUMMYFUNCTION("""COMPUTED_VALUE"""),1.0)</f>
        <v>1</v>
      </c>
      <c r="C660" s="27" t="str">
        <f>IFERROR(__xludf.DUMMYFUNCTION("IF(A660="""","""",TEXTJOIN(CHAR(10),TRUE,FILTER('Tổng hợp 75 trang đích'!$B$2:$B$2505,'Tổng hợp 75 trang đích'!$I$2:$I$2505=A660)))"),"https://techcombank.com/thong-tin/blog/chuyen-khoan-thanh-cong-nhung-khong-nhan-duoc-tien")</f>
        <v>https://techcombank.com/thong-tin/blog/chuyen-khoan-thanh-cong-nhung-khong-nhan-duoc-tien</v>
      </c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</row>
    <row r="661">
      <c r="A661" s="27" t="str">
        <f>IFERROR(__xludf.DUMMYFUNCTION("""COMPUTED_VALUE"""),"https://techcombank.com/thong-tin/blog/loa-ting-ting")</f>
        <v>https://techcombank.com/thong-tin/blog/loa-ting-ting</v>
      </c>
      <c r="B661" s="11">
        <f>IFERROR(__xludf.DUMMYFUNCTION("""COMPUTED_VALUE"""),1.0)</f>
        <v>1</v>
      </c>
      <c r="C661" s="27" t="str">
        <f>IFERROR(__xludf.DUMMYFUNCTION("IF(A661="""","""",TEXTJOIN(CHAR(10),TRUE,FILTER('Tổng hợp 75 trang đích'!$B$2:$B$2505,'Tổng hợp 75 trang đích'!$I$2:$I$2505=A661)))"),"https://techcombank.com/thong-tin/blog/chuyen-khoan-thanh-cong-nhung-khong-nhan-duoc-tien")</f>
        <v>https://techcombank.com/thong-tin/blog/chuyen-khoan-thanh-cong-nhung-khong-nhan-duoc-tien</v>
      </c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</row>
    <row r="662">
      <c r="A662" s="27" t="str">
        <f>IFERROR(__xludf.DUMMYFUNCTION("""COMPUTED_VALUE"""),"https://techcombank.com/thong-tin/blog/loi-ich-cua-ngan-hang-so-voi-sme")</f>
        <v>https://techcombank.com/thong-tin/blog/loi-ich-cua-ngan-hang-so-voi-sme</v>
      </c>
      <c r="B662" s="11">
        <f>IFERROR(__xludf.DUMMYFUNCTION("""COMPUTED_VALUE"""),1.0)</f>
        <v>1</v>
      </c>
      <c r="C662" s="27" t="str">
        <f>IFERROR(__xludf.DUMMYFUNCTION("IF(A662="""","""",TEXTJOIN(CHAR(10),TRUE,FILTER('Tổng hợp 75 trang đích'!$B$2:$B$2505,'Tổng hợp 75 trang đích'!$I$2:$I$2505=A662)))"),"https://techcombank.com/thong-tin/blog/cach-tiet-kiem-tien")</f>
        <v>https://techcombank.com/thong-tin/blog/cach-tiet-kiem-tien</v>
      </c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</row>
    <row r="663">
      <c r="A663" s="27" t="str">
        <f>IFERROR(__xludf.DUMMYFUNCTION("""COMPUTED_VALUE"""),"https://techcombank.com/thong-tin/blog/ly-do-ngan-hang-so-tro-thanh-cong-cu-tai-chinh-hang-dau-cua-gioi-tre")</f>
        <v>https://techcombank.com/thong-tin/blog/ly-do-ngan-hang-so-tro-thanh-cong-cu-tai-chinh-hang-dau-cua-gioi-tre</v>
      </c>
      <c r="B663" s="11">
        <f>IFERROR(__xludf.DUMMYFUNCTION("""COMPUTED_VALUE"""),1.0)</f>
        <v>1</v>
      </c>
      <c r="C663" s="27" t="str">
        <f>IFERROR(__xludf.DUMMYFUNCTION("IF(A663="""","""",TEXTJOIN(CHAR(10),TRUE,FILTER('Tổng hợp 75 trang đích'!$B$2:$B$2505,'Tổng hợp 75 trang đích'!$I$2:$I$2505=A663)))"),"https://techcombank.com/thong-tin/blog/cach-tiet-kiem-tien")</f>
        <v>https://techcombank.com/thong-tin/blog/cach-tiet-kiem-tien</v>
      </c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</row>
    <row r="664">
      <c r="A664" s="27" t="str">
        <f>IFERROR(__xludf.DUMMYFUNCTION("""COMPUTED_VALUE"""),"https://techcombank.com/thong-tin/blog/ma-giam-gia-al-frescos")</f>
        <v>https://techcombank.com/thong-tin/blog/ma-giam-gia-al-frescos</v>
      </c>
      <c r="B664" s="11">
        <f>IFERROR(__xludf.DUMMYFUNCTION("""COMPUTED_VALUE"""),1.0)</f>
        <v>1</v>
      </c>
      <c r="C664" s="27" t="str">
        <f>IFERROR(__xludf.DUMMYFUNCTION("IF(A664="""","""",TEXTJOIN(CHAR(10),TRUE,FILTER('Tổng hợp 75 trang đích'!$B$2:$B$2505,'Tổng hợp 75 trang đích'!$I$2:$I$2505=A664)))"),"https://techcombank.com/thong-tin/blog/traveloka-voucher")</f>
        <v>https://techcombank.com/thong-tin/blog/traveloka-voucher</v>
      </c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</row>
    <row r="665">
      <c r="A665" s="27" t="str">
        <f>IFERROR(__xludf.DUMMYFUNCTION("""COMPUTED_VALUE"""),"https://techcombank.com/thong-tin/blog/ma-giam-gia-phela")</f>
        <v>https://techcombank.com/thong-tin/blog/ma-giam-gia-phela</v>
      </c>
      <c r="B665" s="11">
        <f>IFERROR(__xludf.DUMMYFUNCTION("""COMPUTED_VALUE"""),1.0)</f>
        <v>1</v>
      </c>
      <c r="C665" s="27" t="str">
        <f>IFERROR(__xludf.DUMMYFUNCTION("IF(A665="""","""",TEXTJOIN(CHAR(10),TRUE,FILTER('Tổng hợp 75 trang đích'!$B$2:$B$2505,'Tổng hợp 75 trang đích'!$I$2:$I$2505=A665)))"),"https://techcombank.com/thong-tin/blog/traveloka-voucher")</f>
        <v>https://techcombank.com/thong-tin/blog/traveloka-voucher</v>
      </c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</row>
    <row r="666">
      <c r="A666" s="27" t="str">
        <f>IFERROR(__xludf.DUMMYFUNCTION("""COMPUTED_VALUE"""),"https://techcombank.com/thong-tin/blog/ma-giam-gia-shopee")</f>
        <v>https://techcombank.com/thong-tin/blog/ma-giam-gia-shopee</v>
      </c>
      <c r="B666" s="11">
        <f>IFERROR(__xludf.DUMMYFUNCTION("""COMPUTED_VALUE"""),1.0)</f>
        <v>1</v>
      </c>
      <c r="C666" s="27" t="str">
        <f>IFERROR(__xludf.DUMMYFUNCTION("IF(A666="""","""",TEXTJOIN(CHAR(10),TRUE,FILTER('Tổng hợp 75 trang đích'!$B$2:$B$2505,'Tổng hợp 75 trang đích'!$I$2:$I$2505=A666)))"),"https://techcombank.com/thong-tin/blog/traveloka-voucher")</f>
        <v>https://techcombank.com/thong-tin/blog/traveloka-voucher</v>
      </c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</row>
    <row r="667">
      <c r="A667" s="27" t="str">
        <f>IFERROR(__xludf.DUMMYFUNCTION("""COMPUTED_VALUE"""),"https://techcombank.com/thong-tin/blog/ma-giam-xanh-sm")</f>
        <v>https://techcombank.com/thong-tin/blog/ma-giam-xanh-sm</v>
      </c>
      <c r="B667" s="11">
        <f>IFERROR(__xludf.DUMMYFUNCTION("""COMPUTED_VALUE"""),1.0)</f>
        <v>1</v>
      </c>
      <c r="C667" s="27" t="str">
        <f>IFERROR(__xludf.DUMMYFUNCTION("IF(A667="""","""",TEXTJOIN(CHAR(10),TRUE,FILTER('Tổng hợp 75 trang đích'!$B$2:$B$2505,'Tổng hợp 75 trang đích'!$I$2:$I$2505=A667)))"),"https://techcombank.com/thong-tin/blog/traveloka-voucher")</f>
        <v>https://techcombank.com/thong-tin/blog/traveloka-voucher</v>
      </c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</row>
    <row r="668">
      <c r="A668" s="27" t="str">
        <f>IFERROR(__xludf.DUMMYFUNCTION("""COMPUTED_VALUE"""),"https://techcombank.com/thong-tin/blog/ma-otp-la-gi")</f>
        <v>https://techcombank.com/thong-tin/blog/ma-otp-la-gi</v>
      </c>
      <c r="B668" s="11">
        <f>IFERROR(__xludf.DUMMYFUNCTION("""COMPUTED_VALUE"""),1.0)</f>
        <v>1</v>
      </c>
      <c r="C668" s="27" t="str">
        <f>IFERROR(__xludf.DUMMYFUNCTION("IF(A668="""","""",TEXTJOIN(CHAR(10),TRUE,FILTER('Tổng hợp 75 trang đích'!$B$2:$B$2505,'Tổng hợp 75 trang đích'!$I$2:$I$2505=A668)))"),"https://techcombank.com/thong-tin/blog/ten-dang-nhap-tai-khoan-ngan-hang-la-gi")</f>
        <v>https://techcombank.com/thong-tin/blog/ten-dang-nhap-tai-khoan-ngan-hang-la-gi</v>
      </c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</row>
    <row r="669">
      <c r="A669" s="27" t="str">
        <f>IFERROR(__xludf.DUMMYFUNCTION("""COMPUTED_VALUE"""),"https://techcombank.com/thong-tin/blog/minigame-world-cup")</f>
        <v>https://techcombank.com/thong-tin/blog/minigame-world-cup</v>
      </c>
      <c r="B669" s="11">
        <f>IFERROR(__xludf.DUMMYFUNCTION("""COMPUTED_VALUE"""),1.0)</f>
        <v>1</v>
      </c>
      <c r="C669" s="27" t="str">
        <f>IFERROR(__xludf.DUMMYFUNCTION("IF(A669="""","""",TEXTJOIN(CHAR(10),TRUE,FILTER('Tổng hợp 75 trang đích'!$B$2:$B$2505,'Tổng hợp 75 trang đích'!$I$2:$I$2505=A669)))"),"https://techcombank.com/thong-tin/blog/traveloka-voucher")</f>
        <v>https://techcombank.com/thong-tin/blog/traveloka-voucher</v>
      </c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</row>
    <row r="670">
      <c r="A670" s="27" t="str">
        <f>IFERROR(__xludf.DUMMYFUNCTION("""COMPUTED_VALUE"""),"https://techcombank.com/thong-tin/blog/mo-tai-khoan-ngan-hang-trung-so-dien-thoai")</f>
        <v>https://techcombank.com/thong-tin/blog/mo-tai-khoan-ngan-hang-trung-so-dien-thoai</v>
      </c>
      <c r="B670" s="11">
        <f>IFERROR(__xludf.DUMMYFUNCTION("""COMPUTED_VALUE"""),1.0)</f>
        <v>1</v>
      </c>
      <c r="C670" s="27" t="str">
        <f>IFERROR(__xludf.DUMMYFUNCTION("IF(A670="""","""",TEXTJOIN(CHAR(10),TRUE,FILTER('Tổng hợp 75 trang đích'!$B$2:$B$2505,'Tổng hợp 75 trang đích'!$I$2:$I$2505=A670)))"),"https://techcombank.com/thong-tin/blog/cach-mo-tai-khoan")</f>
        <v>https://techcombank.com/thong-tin/blog/cach-mo-tai-khoan</v>
      </c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</row>
    <row r="671">
      <c r="A671" s="27" t="str">
        <f>IFERROR(__xludf.DUMMYFUNCTION("""COMPUTED_VALUE"""),"https://techcombank.com/thong-tin/blog/mo-them-tai-khoan-ngan-hang-cho-cong-ty")</f>
        <v>https://techcombank.com/thong-tin/blog/mo-them-tai-khoan-ngan-hang-cho-cong-ty</v>
      </c>
      <c r="B671" s="11">
        <f>IFERROR(__xludf.DUMMYFUNCTION("""COMPUTED_VALUE"""),1.0)</f>
        <v>1</v>
      </c>
      <c r="C671" s="27" t="str">
        <f>IFERROR(__xludf.DUMMYFUNCTION("IF(A671="""","""",TEXTJOIN(CHAR(10),TRUE,FILTER('Tổng hợp 75 trang đích'!$B$2:$B$2505,'Tổng hợp 75 trang đích'!$I$2:$I$2505=A671)))"),"https://techcombank.com/thong-tin/blog/cach-mo-tai-khoan")</f>
        <v>https://techcombank.com/thong-tin/blog/cach-mo-tai-khoan</v>
      </c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</row>
    <row r="672">
      <c r="A672" s="27" t="str">
        <f>IFERROR(__xludf.DUMMYFUNCTION("""COMPUTED_VALUE"""),"https://techcombank.com/thong-tin/blog/mobile-banking-la-gi")</f>
        <v>https://techcombank.com/thong-tin/blog/mobile-banking-la-gi</v>
      </c>
      <c r="B672" s="11">
        <f>IFERROR(__xludf.DUMMYFUNCTION("""COMPUTED_VALUE"""),1.0)</f>
        <v>1</v>
      </c>
      <c r="C672" s="27" t="str">
        <f>IFERROR(__xludf.DUMMYFUNCTION("IF(A672="""","""",TEXTJOIN(CHAR(10),TRUE,FILTER('Tổng hợp 75 trang đích'!$B$2:$B$2505,'Tổng hợp 75 trang đích'!$I$2:$I$2505=A672)))"),"https://techcombank.com/thong-tin/blog/ten-dang-nhap-tai-khoan-ngan-hang-la-gi")</f>
        <v>https://techcombank.com/thong-tin/blog/ten-dang-nhap-tai-khoan-ngan-hang-la-gi</v>
      </c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</row>
    <row r="673">
      <c r="A673" s="27" t="str">
        <f>IFERROR(__xludf.DUMMYFUNCTION("""COMPUTED_VALUE"""),"https://techcombank.com/thong-tin/blog/mua-bao-hiem-o-to")</f>
        <v>https://techcombank.com/thong-tin/blog/mua-bao-hiem-o-to</v>
      </c>
      <c r="B673" s="11">
        <f>IFERROR(__xludf.DUMMYFUNCTION("""COMPUTED_VALUE"""),1.0)</f>
        <v>1</v>
      </c>
      <c r="C673" s="27" t="str">
        <f>IFERROR(__xludf.DUMMYFUNCTION("IF(A673="""","""",TEXTJOIN(CHAR(10),TRUE,FILTER('Tổng hợp 75 trang đích'!$B$2:$B$2505,'Tổng hợp 75 trang đích'!$I$2:$I$2505=A673)))"),"https://techcombank.com/thong-tin/blog/lai-suat-vay-mua-o-to")</f>
        <v>https://techcombank.com/thong-tin/blog/lai-suat-vay-mua-o-to</v>
      </c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</row>
    <row r="674">
      <c r="A674" s="27" t="str">
        <f>IFERROR(__xludf.DUMMYFUNCTION("""COMPUTED_VALUE"""),"https://techcombank.com/thong-tin/blog/mua-bao-hiem-o-to-dien")</f>
        <v>https://techcombank.com/thong-tin/blog/mua-bao-hiem-o-to-dien</v>
      </c>
      <c r="B674" s="11">
        <f>IFERROR(__xludf.DUMMYFUNCTION("""COMPUTED_VALUE"""),1.0)</f>
        <v>1</v>
      </c>
      <c r="C674" s="27" t="str">
        <f>IFERROR(__xludf.DUMMYFUNCTION("IF(A674="""","""",TEXTJOIN(CHAR(10),TRUE,FILTER('Tổng hợp 75 trang đích'!$B$2:$B$2505,'Tổng hợp 75 trang đích'!$I$2:$I$2505=A674)))"),"https://techcombank.com/thong-tin/blog/lai-suat-vay-mua-o-to")</f>
        <v>https://techcombank.com/thong-tin/blog/lai-suat-vay-mua-o-to</v>
      </c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</row>
    <row r="675">
      <c r="A675" s="27" t="str">
        <f>IFERROR(__xludf.DUMMYFUNCTION("""COMPUTED_VALUE"""),"https://techcombank.com/thong-tin/blog/mua-ve-may-bay-gia-re")</f>
        <v>https://techcombank.com/thong-tin/blog/mua-ve-may-bay-gia-re</v>
      </c>
      <c r="B675" s="11">
        <f>IFERROR(__xludf.DUMMYFUNCTION("""COMPUTED_VALUE"""),1.0)</f>
        <v>1</v>
      </c>
      <c r="C675" s="27" t="str">
        <f>IFERROR(__xludf.DUMMYFUNCTION("IF(A675="""","""",TEXTJOIN(CHAR(10),TRUE,FILTER('Tổng hợp 75 trang đích'!$B$2:$B$2505,'Tổng hợp 75 trang đích'!$I$2:$I$2505=A675)))"),"https://techcombank.com/thong-tin/blog/traveloka-voucher")</f>
        <v>https://techcombank.com/thong-tin/blog/traveloka-voucher</v>
      </c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</row>
    <row r="676">
      <c r="A676" s="27" t="str">
        <f>IFERROR(__xludf.DUMMYFUNCTION("""COMPUTED_VALUE"""),"https://techcombank.com/thong-tin/blog/nen-lam-the-visa-hay-noi-dia")</f>
        <v>https://techcombank.com/thong-tin/blog/nen-lam-the-visa-hay-noi-dia</v>
      </c>
      <c r="B676" s="11">
        <f>IFERROR(__xludf.DUMMYFUNCTION("""COMPUTED_VALUE"""),1.0)</f>
        <v>1</v>
      </c>
      <c r="C676" s="27" t="str">
        <f>IFERROR(__xludf.DUMMYFUNCTION("IF(A676="""","""",TEXTJOIN(CHAR(10),TRUE,FILTER('Tổng hợp 75 trang đích'!$B$2:$B$2505,'Tổng hợp 75 trang đích'!$I$2:$I$2505=A676)))"),"https://techcombank.com/thong-tin/blog/cach-nhan-tien-tu-nuoc-ngoai-ve-viet-nam")</f>
        <v>https://techcombank.com/thong-tin/blog/cach-nhan-tien-tu-nuoc-ngoai-ve-viet-nam</v>
      </c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</row>
    <row r="677">
      <c r="A677" s="27" t="str">
        <f>IFERROR(__xludf.DUMMYFUNCTION("""COMPUTED_VALUE"""),"https://techcombank.com/thong-tin/blog/nghich-ly-nha-dau-tu-che-trai-phieu-lai-suat-cao-ua-ma-an-toan-du-lai-suat-thap-hon-05-1")</f>
        <v>https://techcombank.com/thong-tin/blog/nghich-ly-nha-dau-tu-che-trai-phieu-lai-suat-cao-ua-ma-an-toan-du-lai-suat-thap-hon-05-1</v>
      </c>
      <c r="B677" s="11">
        <f>IFERROR(__xludf.DUMMYFUNCTION("""COMPUTED_VALUE"""),1.0)</f>
        <v>1</v>
      </c>
      <c r="C677" s="27" t="str">
        <f>IFERROR(__xludf.DUMMYFUNCTION("IF(A677="""","""",TEXTJOIN(CHAR(10),TRUE,FILTER('Tổng hợp 75 trang đích'!$B$2:$B$2505,'Tổng hợp 75 trang đích'!$I$2:$I$2505=A677)))"),"https://techcombank.com/thong-tin/blog/phuong-phap-dau-tu-chung-chi-quy")</f>
        <v>https://techcombank.com/thong-tin/blog/phuong-phap-dau-tu-chung-chi-quy</v>
      </c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</row>
    <row r="678">
      <c r="A678" s="27" t="str">
        <f>IFERROR(__xludf.DUMMYFUNCTION("""COMPUTED_VALUE"""),"https://techcombank.com/thong-tin/blog/nguoi-duoc-bao-hiem-la-gi")</f>
        <v>https://techcombank.com/thong-tin/blog/nguoi-duoc-bao-hiem-la-gi</v>
      </c>
      <c r="B678" s="11">
        <f>IFERROR(__xludf.DUMMYFUNCTION("""COMPUTED_VALUE"""),1.0)</f>
        <v>1</v>
      </c>
      <c r="C678" s="27" t="str">
        <f>IFERROR(__xludf.DUMMYFUNCTION("IF(A678="""","""",TEXTJOIN(CHAR(10),TRUE,FILTER('Tổng hợp 75 trang đích'!$B$2:$B$2505,'Tổng hợp 75 trang đích'!$I$2:$I$2505=A678)))"),"https://techcombank.com/thong-tin/blog/chuyen-khoan-thanh-cong-nhung-khong-nhan-duoc-tien")</f>
        <v>https://techcombank.com/thong-tin/blog/chuyen-khoan-thanh-cong-nhung-khong-nhan-duoc-tien</v>
      </c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</row>
    <row r="679">
      <c r="A679" s="27" t="str">
        <f>IFERROR(__xludf.DUMMYFUNCTION("""COMPUTED_VALUE"""),"https://techcombank.com/thong-tin/blog/nguyen-tac-quan-ly-tai-chinh-ca-nhan")</f>
        <v>https://techcombank.com/thong-tin/blog/nguyen-tac-quan-ly-tai-chinh-ca-nhan</v>
      </c>
      <c r="B679" s="11">
        <f>IFERROR(__xludf.DUMMYFUNCTION("""COMPUTED_VALUE"""),1.0)</f>
        <v>1</v>
      </c>
      <c r="C679" s="27" t="str">
        <f>IFERROR(__xludf.DUMMYFUNCTION("IF(A679="""","""",TEXTJOIN(CHAR(10),TRUE,FILTER('Tổng hợp 75 trang đích'!$B$2:$B$2505,'Tổng hợp 75 trang đích'!$I$2:$I$2505=A679)))"),"https://techcombank.com/thong-tin/blog/cach-tiet-kiem-tien")</f>
        <v>https://techcombank.com/thong-tin/blog/cach-tiet-kiem-tien</v>
      </c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</row>
    <row r="680">
      <c r="A680" s="27" t="str">
        <f>IFERROR(__xludf.DUMMYFUNCTION("""COMPUTED_VALUE"""),"https://techcombank.com/thong-tin/blog/nhan-tien-western-union")</f>
        <v>https://techcombank.com/thong-tin/blog/nhan-tien-western-union</v>
      </c>
      <c r="B680" s="11">
        <f>IFERROR(__xludf.DUMMYFUNCTION("""COMPUTED_VALUE"""),1.0)</f>
        <v>1</v>
      </c>
      <c r="C680" s="27" t="str">
        <f>IFERROR(__xludf.DUMMYFUNCTION("IF(A680="""","""",TEXTJOIN(CHAR(10),TRUE,FILTER('Tổng hợp 75 trang đích'!$B$2:$B$2505,'Tổng hợp 75 trang đích'!$I$2:$I$2505=A680)))"),"https://techcombank.com/thong-tin/blog/cach-nhan-tien-tu-nuoc-ngoai-ve-viet-nam")</f>
        <v>https://techcombank.com/thong-tin/blog/cach-nhan-tien-tu-nuoc-ngoai-ve-viet-nam</v>
      </c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</row>
    <row r="681">
      <c r="A681" s="27" t="str">
        <f>IFERROR(__xludf.DUMMYFUNCTION("""COMPUTED_VALUE"""),"https://techcombank.com/thong-tin/blog/nho-nguoi-than-mo-tai-khoan-ngan-hang")</f>
        <v>https://techcombank.com/thong-tin/blog/nho-nguoi-than-mo-tai-khoan-ngan-hang</v>
      </c>
      <c r="B681" s="11">
        <f>IFERROR(__xludf.DUMMYFUNCTION("""COMPUTED_VALUE"""),1.0)</f>
        <v>1</v>
      </c>
      <c r="C681" s="27" t="str">
        <f>IFERROR(__xludf.DUMMYFUNCTION("IF(A681="""","""",TEXTJOIN(CHAR(10),TRUE,FILTER('Tổng hợp 75 trang đích'!$B$2:$B$2505,'Tổng hợp 75 trang đích'!$I$2:$I$2505=A681)))"),"https://techcombank.com/thong-tin/blog/cach-mo-tai-khoan")</f>
        <v>https://techcombank.com/thong-tin/blog/cach-mo-tai-khoan</v>
      </c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</row>
    <row r="682">
      <c r="A682" s="27" t="str">
        <f>IFERROR(__xludf.DUMMYFUNCTION("""COMPUTED_VALUE"""),"https://techcombank.com/thong-tin/blog/nhu-cau-vay-tieu-dung-cua-nguoi-viet-du-kien-tang-manh-trong-thoi-gian-toi")</f>
        <v>https://techcombank.com/thong-tin/blog/nhu-cau-vay-tieu-dung-cua-nguoi-viet-du-kien-tang-manh-trong-thoi-gian-toi</v>
      </c>
      <c r="B682" s="11">
        <f>IFERROR(__xludf.DUMMYFUNCTION("""COMPUTED_VALUE"""),1.0)</f>
        <v>1</v>
      </c>
      <c r="C682" s="27" t="str">
        <f>IFERROR(__xludf.DUMMYFUNCTION("IF(A682="""","""",TEXTJOIN(CHAR(10),TRUE,FILTER('Tổng hợp 75 trang đích'!$B$2:$B$2505,'Tổng hợp 75 trang đích'!$I$2:$I$2505=A682)))"),"https://techcombank.com/thong-tin/blog/nen-vay-tin-chap-o-dau")</f>
        <v>https://techcombank.com/thong-tin/blog/nen-vay-tin-chap-o-dau</v>
      </c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</row>
    <row r="683">
      <c r="A683" s="27" t="str">
        <f>IFERROR(__xludf.DUMMYFUNCTION("""COMPUTED_VALUE"""),"https://techcombank.com/thong-tin/blog/nhung-kho-khan-khi-tiet-kiem-tien")</f>
        <v>https://techcombank.com/thong-tin/blog/nhung-kho-khan-khi-tiet-kiem-tien</v>
      </c>
      <c r="B683" s="11">
        <f>IFERROR(__xludf.DUMMYFUNCTION("""COMPUTED_VALUE"""),1.0)</f>
        <v>1</v>
      </c>
      <c r="C683" s="27" t="str">
        <f>IFERROR(__xludf.DUMMYFUNCTION("IF(A683="""","""",TEXTJOIN(CHAR(10),TRUE,FILTER('Tổng hợp 75 trang đích'!$B$2:$B$2505,'Tổng hợp 75 trang đích'!$I$2:$I$2505=A683)))"),"https://techcombank.com/thong-tin/blog/cach-tiet-kiem-tien")</f>
        <v>https://techcombank.com/thong-tin/blog/cach-tiet-kiem-tien</v>
      </c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</row>
    <row r="684">
      <c r="A684" s="27" t="str">
        <f>IFERROR(__xludf.DUMMYFUNCTION("""COMPUTED_VALUE"""),"https://techcombank.com/thong-tin/blog/nhuong-quyen-la-gi")</f>
        <v>https://techcombank.com/thong-tin/blog/nhuong-quyen-la-gi</v>
      </c>
      <c r="B684" s="11">
        <f>IFERROR(__xludf.DUMMYFUNCTION("""COMPUTED_VALUE"""),1.0)</f>
        <v>1</v>
      </c>
      <c r="C684" s="27" t="str">
        <f>IFERROR(__xludf.DUMMYFUNCTION("IF(A684="""","""",TEXTJOIN(CHAR(10),TRUE,FILTER('Tổng hợp 75 trang đích'!$B$2:$B$2505,'Tổng hợp 75 trang đích'!$I$2:$I$2505=A684)))"),"https://techcombank.com/thong-tin/blog/mo-hinh-kinh-doanh-la-gi")</f>
        <v>https://techcombank.com/thong-tin/blog/mo-hinh-kinh-doanh-la-gi</v>
      </c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</row>
    <row r="685">
      <c r="A685" s="27" t="str">
        <f>IFERROR(__xludf.DUMMYFUNCTION("""COMPUTED_VALUE"""),"https://techcombank.com/thong-tin/blog/oneu")</f>
        <v>https://techcombank.com/thong-tin/blog/oneu</v>
      </c>
      <c r="B685" s="11">
        <f>IFERROR(__xludf.DUMMYFUNCTION("""COMPUTED_VALUE"""),1.0)</f>
        <v>1</v>
      </c>
      <c r="C685" s="27" t="str">
        <f>IFERROR(__xludf.DUMMYFUNCTION("IF(A685="""","""",TEXTJOIN(CHAR(10),TRUE,FILTER('Tổng hợp 75 trang đích'!$B$2:$B$2505,'Tổng hợp 75 trang đích'!$I$2:$I$2505=A685)))"),"https://techcombank.com/thong-tin/blog/traveloka-voucher")</f>
        <v>https://techcombank.com/thong-tin/blog/traveloka-voucher</v>
      </c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</row>
    <row r="686">
      <c r="A686" s="27" t="str">
        <f>IFERROR(__xludf.DUMMYFUNCTION("""COMPUTED_VALUE"""),"https://techcombank.com/thong-tin/blog/phan-mem-quan-ly-tai-chinh-doanh-nghiep")</f>
        <v>https://techcombank.com/thong-tin/blog/phan-mem-quan-ly-tai-chinh-doanh-nghiep</v>
      </c>
      <c r="B686" s="11">
        <f>IFERROR(__xludf.DUMMYFUNCTION("""COMPUTED_VALUE"""),1.0)</f>
        <v>1</v>
      </c>
      <c r="C686" s="27" t="str">
        <f>IFERROR(__xludf.DUMMYFUNCTION("IF(A686="""","""",TEXTJOIN(CHAR(10),TRUE,FILTER('Tổng hợp 75 trang đích'!$B$2:$B$2505,'Tổng hợp 75 trang đích'!$I$2:$I$2505=A686)))"),"https://techcombank.com/thong-tin/blog/cach-tiet-kiem-tien")</f>
        <v>https://techcombank.com/thong-tin/blog/cach-tiet-kiem-tien</v>
      </c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</row>
    <row r="687">
      <c r="A687" s="27" t="str">
        <f>IFERROR(__xludf.DUMMYFUNCTION("""COMPUTED_VALUE"""),"https://techcombank.com/thong-tin/blog/phi-thuong-nien-la-gi")</f>
        <v>https://techcombank.com/thong-tin/blog/phi-thuong-nien-la-gi</v>
      </c>
      <c r="B687" s="11">
        <f>IFERROR(__xludf.DUMMYFUNCTION("""COMPUTED_VALUE"""),1.0)</f>
        <v>1</v>
      </c>
      <c r="C687" s="27" t="str">
        <f>IFERROR(__xludf.DUMMYFUNCTION("IF(A687="""","""",TEXTJOIN(CHAR(10),TRUE,FILTER('Tổng hợp 75 trang đích'!$B$2:$B$2505,'Tổng hợp 75 trang đích'!$I$2:$I$2505=A687)))"),"https://techcombank.com/thong-tin/blog/cach-huy-the-tin-dung")</f>
        <v>https://techcombank.com/thong-tin/blog/cach-huy-the-tin-dung</v>
      </c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</row>
    <row r="688">
      <c r="A688" s="27" t="str">
        <f>IFERROR(__xludf.DUMMYFUNCTION("""COMPUTED_VALUE"""),"https://techcombank.com/thong-tin/blog/phuong-phap-dau-tu-chung-chi-quy")</f>
        <v>https://techcombank.com/thong-tin/blog/phuong-phap-dau-tu-chung-chi-quy</v>
      </c>
      <c r="B688" s="11">
        <f>IFERROR(__xludf.DUMMYFUNCTION("""COMPUTED_VALUE"""),1.0)</f>
        <v>1</v>
      </c>
      <c r="C688" s="27" t="str">
        <f>IFERROR(__xludf.DUMMYFUNCTION("IF(A688="""","""",TEXTJOIN(CHAR(10),TRUE,FILTER('Tổng hợp 75 trang đích'!$B$2:$B$2505,'Tổng hợp 75 trang đích'!$I$2:$I$2505=A688)))"),"https://techcombank.com/thong-tin/blog/rui-ro-khi-gui-tiet-kiem-online")</f>
        <v>https://techcombank.com/thong-tin/blog/rui-ro-khi-gui-tiet-kiem-online</v>
      </c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</row>
    <row r="689">
      <c r="A689" s="27" t="str">
        <f>IFERROR(__xludf.DUMMYFUNCTION("""COMPUTED_VALUE"""),"https://techcombank.com/thong-tin/blog/quan-ly-chi-phi-doanh-nghiep")</f>
        <v>https://techcombank.com/thong-tin/blog/quan-ly-chi-phi-doanh-nghiep</v>
      </c>
      <c r="B689" s="11">
        <f>IFERROR(__xludf.DUMMYFUNCTION("""COMPUTED_VALUE"""),1.0)</f>
        <v>1</v>
      </c>
      <c r="C689" s="27" t="str">
        <f>IFERROR(__xludf.DUMMYFUNCTION("IF(A689="""","""",TEXTJOIN(CHAR(10),TRUE,FILTER('Tổng hợp 75 trang đích'!$B$2:$B$2505,'Tổng hợp 75 trang đích'!$I$2:$I$2505=A689)))"),"https://techcombank.com/thong-tin/blog/mo-hinh-kinh-doanh-la-gi")</f>
        <v>https://techcombank.com/thong-tin/blog/mo-hinh-kinh-doanh-la-gi</v>
      </c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</row>
    <row r="690">
      <c r="A690" s="27" t="str">
        <f>IFERROR(__xludf.DUMMYFUNCTION("""COMPUTED_VALUE"""),"https://techcombank.com/thong-tin/blog/quan-ly-chuoi-cua-hang")</f>
        <v>https://techcombank.com/thong-tin/blog/quan-ly-chuoi-cua-hang</v>
      </c>
      <c r="B690" s="11">
        <f>IFERROR(__xludf.DUMMYFUNCTION("""COMPUTED_VALUE"""),1.0)</f>
        <v>1</v>
      </c>
      <c r="C690" s="27" t="str">
        <f>IFERROR(__xludf.DUMMYFUNCTION("IF(A690="""","""",TEXTJOIN(CHAR(10),TRUE,FILTER('Tổng hợp 75 trang đích'!$B$2:$B$2505,'Tổng hợp 75 trang đích'!$I$2:$I$2505=A690)))"),"https://techcombank.com/thong-tin/blog/mo-hinh-kinh-doanh-la-gi")</f>
        <v>https://techcombank.com/thong-tin/blog/mo-hinh-kinh-doanh-la-gi</v>
      </c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</row>
    <row r="691">
      <c r="A691" s="27" t="str">
        <f>IFERROR(__xludf.DUMMYFUNCTION("""COMPUTED_VALUE"""),"https://techcombank.com/thong-tin/blog/quan-ly-danh-muc-dau-tu")</f>
        <v>https://techcombank.com/thong-tin/blog/quan-ly-danh-muc-dau-tu</v>
      </c>
      <c r="B691" s="11">
        <f>IFERROR(__xludf.DUMMYFUNCTION("""COMPUTED_VALUE"""),1.0)</f>
        <v>1</v>
      </c>
      <c r="C691" s="27" t="str">
        <f>IFERROR(__xludf.DUMMYFUNCTION("IF(A691="""","""",TEXTJOIN(CHAR(10),TRUE,FILTER('Tổng hợp 75 trang đích'!$B$2:$B$2505,'Tổng hợp 75 trang đích'!$I$2:$I$2505=A691)))"),"https://techcombank.com/thong-tin/blog/phuong-phap-dau-tu-chung-chi-quy")</f>
        <v>https://techcombank.com/thong-tin/blog/phuong-phap-dau-tu-chung-chi-quy</v>
      </c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</row>
    <row r="692">
      <c r="A692" s="27" t="str">
        <f>IFERROR(__xludf.DUMMYFUNCTION("""COMPUTED_VALUE"""),"https://techcombank.com/thong-tin/blog/quan-ly-tai-chinh-doanh-nghiep-nho")</f>
        <v>https://techcombank.com/thong-tin/blog/quan-ly-tai-chinh-doanh-nghiep-nho</v>
      </c>
      <c r="B692" s="11">
        <f>IFERROR(__xludf.DUMMYFUNCTION("""COMPUTED_VALUE"""),1.0)</f>
        <v>1</v>
      </c>
      <c r="C692" s="27" t="str">
        <f>IFERROR(__xludf.DUMMYFUNCTION("IF(A692="""","""",TEXTJOIN(CHAR(10),TRUE,FILTER('Tổng hợp 75 trang đích'!$B$2:$B$2505,'Tổng hợp 75 trang đích'!$I$2:$I$2505=A692)))"),"https://techcombank.com/thong-tin/blog/cach-tiet-kiem-tien")</f>
        <v>https://techcombank.com/thong-tin/blog/cach-tiet-kiem-tien</v>
      </c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</row>
    <row r="693">
      <c r="A693" s="27" t="str">
        <f>IFERROR(__xludf.DUMMYFUNCTION("""COMPUTED_VALUE"""),"https://techcombank.com/thong-tin/blog/quy-du-phong-tai-chinh-la-gi")</f>
        <v>https://techcombank.com/thong-tin/blog/quy-du-phong-tai-chinh-la-gi</v>
      </c>
      <c r="B693" s="11">
        <f>IFERROR(__xludf.DUMMYFUNCTION("""COMPUTED_VALUE"""),1.0)</f>
        <v>1</v>
      </c>
      <c r="C693" s="27" t="str">
        <f>IFERROR(__xludf.DUMMYFUNCTION("IF(A693="""","""",TEXTJOIN(CHAR(10),TRUE,FILTER('Tổng hợp 75 trang đích'!$B$2:$B$2505,'Tổng hợp 75 trang đích'!$I$2:$I$2505=A693)))"),"https://techcombank.com/thong-tin/blog/cach-tiet-kiem-tien")</f>
        <v>https://techcombank.com/thong-tin/blog/cach-tiet-kiem-tien</v>
      </c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</row>
    <row r="694">
      <c r="A694" s="27" t="str">
        <f>IFERROR(__xludf.DUMMYFUNCTION("""COMPUTED_VALUE"""),"https://techcombank.com/thong-tin/blog/san-pham-xanh")</f>
        <v>https://techcombank.com/thong-tin/blog/san-pham-xanh</v>
      </c>
      <c r="B694" s="11">
        <f>IFERROR(__xludf.DUMMYFUNCTION("""COMPUTED_VALUE"""),1.0)</f>
        <v>1</v>
      </c>
      <c r="C694" s="27" t="str">
        <f>IFERROR(__xludf.DUMMYFUNCTION("IF(A694="""","""",TEXTJOIN(CHAR(10),TRUE,FILTER('Tổng hợp 75 trang đích'!$B$2:$B$2505,'Tổng hợp 75 trang đích'!$I$2:$I$2505=A694)))"),"https://techcombank.com/thong-tin/blog/eco-card")</f>
        <v>https://techcombank.com/thong-tin/blog/eco-card</v>
      </c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</row>
    <row r="695">
      <c r="A695" s="27" t="str">
        <f>IFERROR(__xludf.DUMMYFUNCTION("""COMPUTED_VALUE"""),"https://techcombank.com/thong-tin/blog/shopeepay-la-gi")</f>
        <v>https://techcombank.com/thong-tin/blog/shopeepay-la-gi</v>
      </c>
      <c r="B695" s="11">
        <f>IFERROR(__xludf.DUMMYFUNCTION("""COMPUTED_VALUE"""),1.0)</f>
        <v>1</v>
      </c>
      <c r="C695" s="27" t="str">
        <f>IFERROR(__xludf.DUMMYFUNCTION("IF(A695="""","""",TEXTJOIN(CHAR(10),TRUE,FILTER('Tổng hợp 75 trang đích'!$B$2:$B$2505,'Tổng hợp 75 trang đích'!$I$2:$I$2505=A695)))"),"https://techcombank.com/thong-tin/blog/bao-nhieu-tuoi-duoc-mo-tai-khoan-ngan-hang")</f>
        <v>https://techcombank.com/thong-tin/blog/bao-nhieu-tuoi-duoc-mo-tai-khoan-ngan-hang</v>
      </c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</row>
    <row r="696">
      <c r="A696" s="27" t="str">
        <f>IFERROR(__xludf.DUMMYFUNCTION("""COMPUTED_VALUE"""),"https://techcombank.com/thong-tin/blog/sinh-loi-rinh-loc")</f>
        <v>https://techcombank.com/thong-tin/blog/sinh-loi-rinh-loc</v>
      </c>
      <c r="B696" s="11">
        <f>IFERROR(__xludf.DUMMYFUNCTION("""COMPUTED_VALUE"""),1.0)</f>
        <v>1</v>
      </c>
      <c r="C696" s="27" t="str">
        <f>IFERROR(__xludf.DUMMYFUNCTION("IF(A696="""","""",TEXTJOIN(CHAR(10),TRUE,FILTER('Tổng hợp 75 trang đích'!$B$2:$B$2505,'Tổng hợp 75 trang đích'!$I$2:$I$2505=A696)))"),"https://techcombank.com/thong-tin/blog/day-so-phat-tai-phat-loc")</f>
        <v>https://techcombank.com/thong-tin/blog/day-so-phat-tai-phat-loc</v>
      </c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</row>
    <row r="697">
      <c r="A697" s="27" t="str">
        <f>IFERROR(__xludf.DUMMYFUNCTION("""COMPUTED_VALUE"""),"https://techcombank.com/thong-tin/blog/smart-otp-la-gi")</f>
        <v>https://techcombank.com/thong-tin/blog/smart-otp-la-gi</v>
      </c>
      <c r="B697" s="11">
        <f>IFERROR(__xludf.DUMMYFUNCTION("""COMPUTED_VALUE"""),1.0)</f>
        <v>1</v>
      </c>
      <c r="C697" s="27" t="str">
        <f>IFERROR(__xludf.DUMMYFUNCTION("IF(A697="""","""",TEXTJOIN(CHAR(10),TRUE,FILTER('Tổng hợp 75 trang đích'!$B$2:$B$2505,'Tổng hợp 75 trang đích'!$I$2:$I$2505=A697)))"),"https://techcombank.com/thong-tin/blog/ten-dang-nhap-tai-khoan-ngan-hang-la-gi")</f>
        <v>https://techcombank.com/thong-tin/blog/ten-dang-nhap-tai-khoan-ngan-hang-la-gi</v>
      </c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</row>
    <row r="698">
      <c r="A698" s="27" t="str">
        <f>IFERROR(__xludf.DUMMYFUNCTION("""COMPUTED_VALUE"""),"https://techcombank.com/thong-tin/blog/su-hop-tac-cua-ngan-hang-va-fintech-tren-hanh-trinh-chuyen-doi-so")</f>
        <v>https://techcombank.com/thong-tin/blog/su-hop-tac-cua-ngan-hang-va-fintech-tren-hanh-trinh-chuyen-doi-so</v>
      </c>
      <c r="B698" s="11">
        <f>IFERROR(__xludf.DUMMYFUNCTION("""COMPUTED_VALUE"""),1.0)</f>
        <v>1</v>
      </c>
      <c r="C698" s="27" t="str">
        <f>IFERROR(__xludf.DUMMYFUNCTION("IF(A698="""","""",TEXTJOIN(CHAR(10),TRUE,FILTER('Tổng hợp 75 trang đích'!$B$2:$B$2505,'Tổng hợp 75 trang đích'!$I$2:$I$2505=A698)))"),"https://techcombank.com/thong-tin/blog/ngan-hang-uy-tin")</f>
        <v>https://techcombank.com/thong-tin/blog/ngan-hang-uy-tin</v>
      </c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</row>
    <row r="699">
      <c r="A699" s="27" t="str">
        <f>IFERROR(__xludf.DUMMYFUNCTION("""COMPUTED_VALUE"""),"https://techcombank.com/thong-tin/blog/tai-khoan-ngan-hang-chua-toi-da-bao-nhieu-tien")</f>
        <v>https://techcombank.com/thong-tin/blog/tai-khoan-ngan-hang-chua-toi-da-bao-nhieu-tien</v>
      </c>
      <c r="B699" s="11">
        <f>IFERROR(__xludf.DUMMYFUNCTION("""COMPUTED_VALUE"""),1.0)</f>
        <v>1</v>
      </c>
      <c r="C699" s="27" t="str">
        <f>IFERROR(__xludf.DUMMYFUNCTION("IF(A699="""","""",TEXTJOIN(CHAR(10),TRUE,FILTER('Tổng hợp 75 trang đích'!$B$2:$B$2505,'Tổng hợp 75 trang đích'!$I$2:$I$2505=A699)))"),"https://techcombank.com/thong-tin/blog/cach-mo-tai-khoan")</f>
        <v>https://techcombank.com/thong-tin/blog/cach-mo-tai-khoan</v>
      </c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</row>
    <row r="700">
      <c r="A700" s="27" t="str">
        <f>IFERROR(__xludf.DUMMYFUNCTION("""COMPUTED_VALUE"""),"https://techcombank.com/thong-tin/blog/tai-khoan-ngan-hang-duoi-50k-co-bi-khoa-khong")</f>
        <v>https://techcombank.com/thong-tin/blog/tai-khoan-ngan-hang-duoi-50k-co-bi-khoa-khong</v>
      </c>
      <c r="B700" s="11">
        <f>IFERROR(__xludf.DUMMYFUNCTION("""COMPUTED_VALUE"""),1.0)</f>
        <v>1</v>
      </c>
      <c r="C700" s="27" t="str">
        <f>IFERROR(__xludf.DUMMYFUNCTION("IF(A700="""","""",TEXTJOIN(CHAR(10),TRUE,FILTER('Tổng hợp 75 trang đích'!$B$2:$B$2505,'Tổng hợp 75 trang đích'!$I$2:$I$2505=A700)))"),"https://techcombank.com/thong-tin/blog/cach-mo-tai-khoan")</f>
        <v>https://techcombank.com/thong-tin/blog/cach-mo-tai-khoan</v>
      </c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</row>
    <row r="701">
      <c r="A701" s="27" t="str">
        <f>IFERROR(__xludf.DUMMYFUNCTION("""COMPUTED_VALUE"""),"https://techcombank.com/thong-tin/blog/tai-san-va-tieu-san-la-gi")</f>
        <v>https://techcombank.com/thong-tin/blog/tai-san-va-tieu-san-la-gi</v>
      </c>
      <c r="B701" s="11">
        <f>IFERROR(__xludf.DUMMYFUNCTION("""COMPUTED_VALUE"""),1.0)</f>
        <v>1</v>
      </c>
      <c r="C701" s="27" t="str">
        <f>IFERROR(__xludf.DUMMYFUNCTION("IF(A701="""","""",TEXTJOIN(CHAR(10),TRUE,FILTER('Tổng hợp 75 trang đích'!$B$2:$B$2505,'Tổng hợp 75 trang đích'!$I$2:$I$2505=A701)))"),"https://techcombank.com/thong-tin/blog/cach-tiet-kiem-tien")</f>
        <v>https://techcombank.com/thong-tin/blog/cach-tiet-kiem-tien</v>
      </c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</row>
    <row r="702">
      <c r="A702" s="27" t="str">
        <f>IFERROR(__xludf.DUMMYFUNCTION("""COMPUTED_VALUE"""),"https://techcombank.com/thong-tin/blog/techcom-securities-nhung-buoc-tien-phong-tren-san-thu-cap")</f>
        <v>https://techcombank.com/thong-tin/blog/techcom-securities-nhung-buoc-tien-phong-tren-san-thu-cap</v>
      </c>
      <c r="B702" s="11">
        <f>IFERROR(__xludf.DUMMYFUNCTION("""COMPUTED_VALUE"""),1.0)</f>
        <v>1</v>
      </c>
      <c r="C702" s="27" t="str">
        <f>IFERROR(__xludf.DUMMYFUNCTION("IF(A702="""","""",TEXTJOIN(CHAR(10),TRUE,FILTER('Tổng hợp 75 trang đích'!$B$2:$B$2505,'Tổng hợp 75 trang đích'!$I$2:$I$2505=A702)))"),"https://techcombank.com/thong-tin/blog/phuong-phap-dau-tu-chung-chi-quy")</f>
        <v>https://techcombank.com/thong-tin/blog/phuong-phap-dau-tu-chung-chi-quy</v>
      </c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</row>
    <row r="703">
      <c r="A703" s="27" t="str">
        <f>IFERROR(__xludf.DUMMYFUNCTION("""COMPUTED_VALUE"""),"https://techcombank.com/thong-tin/blog/techcombank-sinh-loi-tu-dong")</f>
        <v>https://techcombank.com/thong-tin/blog/techcombank-sinh-loi-tu-dong</v>
      </c>
      <c r="B703" s="11">
        <f>IFERROR(__xludf.DUMMYFUNCTION("""COMPUTED_VALUE"""),1.0)</f>
        <v>1</v>
      </c>
      <c r="C703" s="27" t="str">
        <f>IFERROR(__xludf.DUMMYFUNCTION("IF(A703="""","""",TEXTJOIN(CHAR(10),TRUE,FILTER('Tổng hợp 75 trang đích'!$B$2:$B$2505,'Tổng hợp 75 trang đích'!$I$2:$I$2505=A703)))"),"https://techcombank.com/thong-tin/blog/cach-mo-tai-khoan")</f>
        <v>https://techcombank.com/thong-tin/blog/cach-mo-tai-khoan</v>
      </c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</row>
    <row r="704">
      <c r="A704" s="27" t="str">
        <f>IFERROR(__xludf.DUMMYFUNCTION("""COMPUTED_VALUE"""),"https://techcombank.com/thong-tin/blog/ten-dang-nhap-tai-khoan-ngan-hang-la-gi")</f>
        <v>https://techcombank.com/thong-tin/blog/ten-dang-nhap-tai-khoan-ngan-hang-la-gi</v>
      </c>
      <c r="B704" s="11">
        <f>IFERROR(__xludf.DUMMYFUNCTION("""COMPUTED_VALUE"""),1.0)</f>
        <v>1</v>
      </c>
      <c r="C704" s="27" t="str">
        <f>IFERROR(__xludf.DUMMYFUNCTION("IF(A704="""","""",TEXTJOIN(CHAR(10),TRUE,FILTER('Tổng hợp 75 trang đích'!$B$2:$B$2505,'Tổng hợp 75 trang đích'!$I$2:$I$2505=A704)))"),"https://techcombank.com/thong-tin/blog/cach-mo-tai-khoan")</f>
        <v>https://techcombank.com/thong-tin/blog/cach-mo-tai-khoan</v>
      </c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</row>
    <row r="705">
      <c r="A705" s="27" t="str">
        <f>IFERROR(__xludf.DUMMYFUNCTION("""COMPUTED_VALUE"""),"https://techcombank.com/thong-tin/blog/thanh-toan-khong-dung-tien-mat-tro-thanh-xu-huong-tang-truong-chong-mat")</f>
        <v>https://techcombank.com/thong-tin/blog/thanh-toan-khong-dung-tien-mat-tro-thanh-xu-huong-tang-truong-chong-mat</v>
      </c>
      <c r="B705" s="11">
        <f>IFERROR(__xludf.DUMMYFUNCTION("""COMPUTED_VALUE"""),1.0)</f>
        <v>1</v>
      </c>
      <c r="C705" s="27" t="str">
        <f>IFERROR(__xludf.DUMMYFUNCTION("IF(A705="""","""",TEXTJOIN(CHAR(10),TRUE,FILTER('Tổng hợp 75 trang đích'!$B$2:$B$2505,'Tổng hợp 75 trang đích'!$I$2:$I$2505=A705)))"),"https://techcombank.com/thong-tin/blog/rut-tien-mat-tu-the-tin-dung")</f>
        <v>https://techcombank.com/thong-tin/blog/rut-tien-mat-tu-the-tin-dung</v>
      </c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</row>
    <row r="706">
      <c r="A706" s="27" t="str">
        <f>IFERROR(__xludf.DUMMYFUNCTION("""COMPUTED_VALUE"""),"https://techcombank.com/thong-tin/blog/thanh-toan-khong-tien-mat-trong-nganh-giao-duc-co-hoi-va-thach-thuc")</f>
        <v>https://techcombank.com/thong-tin/blog/thanh-toan-khong-tien-mat-trong-nganh-giao-duc-co-hoi-va-thach-thuc</v>
      </c>
      <c r="B706" s="11">
        <f>IFERROR(__xludf.DUMMYFUNCTION("""COMPUTED_VALUE"""),1.0)</f>
        <v>1</v>
      </c>
      <c r="C706" s="27" t="str">
        <f>IFERROR(__xludf.DUMMYFUNCTION("IF(A706="""","""",TEXTJOIN(CHAR(10),TRUE,FILTER('Tổng hợp 75 trang đích'!$B$2:$B$2505,'Tổng hợp 75 trang đích'!$I$2:$I$2505=A706)))"),"https://techcombank.com/thong-tin/blog/rut-tien-mat-tu-the-tin-dung")</f>
        <v>https://techcombank.com/thong-tin/blog/rut-tien-mat-tu-the-tin-dung</v>
      </c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</row>
    <row r="707">
      <c r="A707" s="27" t="str">
        <f>IFERROR(__xludf.DUMMYFUNCTION("""COMPUTED_VALUE"""),"https://techcombank.com/thong-tin/blog/thanh-toan-phi-quan-ly-chung-cu")</f>
        <v>https://techcombank.com/thong-tin/blog/thanh-toan-phi-quan-ly-chung-cu</v>
      </c>
      <c r="B707" s="11">
        <f>IFERROR(__xludf.DUMMYFUNCTION("""COMPUTED_VALUE"""),1.0)</f>
        <v>1</v>
      </c>
      <c r="C707" s="27" t="str">
        <f>IFERROR(__xludf.DUMMYFUNCTION("IF(A707="""","""",TEXTJOIN(CHAR(10),TRUE,FILTER('Tổng hợp 75 trang đích'!$B$2:$B$2505,'Tổng hợp 75 trang đích'!$I$2:$I$2505=A707)))"),"https://techcombank.com/thong-tin/blog/vay-ngan-hang-1-ty-moi-thang-tra-bao-nhieu")</f>
        <v>https://techcombank.com/thong-tin/blog/vay-ngan-hang-1-ty-moi-thang-tra-bao-nhieu</v>
      </c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</row>
    <row r="708">
      <c r="A708" s="27" t="str">
        <f>IFERROR(__xludf.DUMMYFUNCTION("""COMPUTED_VALUE"""),"https://techcombank.com/thong-tin/blog/thanh-toan-quoc-te")</f>
        <v>https://techcombank.com/thong-tin/blog/thanh-toan-quoc-te</v>
      </c>
      <c r="B708" s="11">
        <f>IFERROR(__xludf.DUMMYFUNCTION("""COMPUTED_VALUE"""),1.0)</f>
        <v>1</v>
      </c>
      <c r="C708" s="27" t="str">
        <f>IFERROR(__xludf.DUMMYFUNCTION("IF(A708="""","""",TEXTJOIN(CHAR(10),TRUE,FILTER('Tổng hợp 75 trang đích'!$B$2:$B$2505,'Tổng hợp 75 trang đích'!$I$2:$I$2505=A708)))"),"https://techcombank.com/thong-tin/blog/cach-nhan-tien-tu-nuoc-ngoai-ve-viet-nam")</f>
        <v>https://techcombank.com/thong-tin/blog/cach-nhan-tien-tu-nuoc-ngoai-ve-viet-nam</v>
      </c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</row>
    <row r="709">
      <c r="A709" s="27" t="str">
        <f>IFERROR(__xludf.DUMMYFUNCTION("""COMPUTED_VALUE"""),"https://techcombank.com/thong-tin/blog/thanh-toan-tien-internet-online")</f>
        <v>https://techcombank.com/thong-tin/blog/thanh-toan-tien-internet-online</v>
      </c>
      <c r="B709" s="11">
        <f>IFERROR(__xludf.DUMMYFUNCTION("""COMPUTED_VALUE"""),1.0)</f>
        <v>1</v>
      </c>
      <c r="C709" s="27" t="str">
        <f>IFERROR(__xludf.DUMMYFUNCTION("IF(A709="""","""",TEXTJOIN(CHAR(10),TRUE,FILTER('Tổng hợp 75 trang đích'!$B$2:$B$2505,'Tổng hợp 75 trang đích'!$I$2:$I$2505=A709)))"),"https://techcombank.com/thong-tin/blog/cach-nap-the-viettel")</f>
        <v>https://techcombank.com/thong-tin/blog/cach-nap-the-viettel</v>
      </c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</row>
    <row r="710">
      <c r="A710" s="27" t="str">
        <f>IFERROR(__xludf.DUMMYFUNCTION("""COMPUTED_VALUE"""),"https://techcombank.com/thong-tin/blog/thanh-toan-tien-nuoc-online")</f>
        <v>https://techcombank.com/thong-tin/blog/thanh-toan-tien-nuoc-online</v>
      </c>
      <c r="B710" s="11">
        <f>IFERROR(__xludf.DUMMYFUNCTION("""COMPUTED_VALUE"""),1.0)</f>
        <v>1</v>
      </c>
      <c r="C710" s="27" t="str">
        <f>IFERROR(__xludf.DUMMYFUNCTION("IF(A710="""","""",TEXTJOIN(CHAR(10),TRUE,FILTER('Tổng hợp 75 trang đích'!$B$2:$B$2505,'Tổng hợp 75 trang đích'!$I$2:$I$2505=A710)))"),"https://techcombank.com/thong-tin/blog/ten-dang-nhap-tai-khoan-ngan-hang-la-gi")</f>
        <v>https://techcombank.com/thong-tin/blog/ten-dang-nhap-tai-khoan-ngan-hang-la-gi</v>
      </c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</row>
    <row r="711">
      <c r="A711" s="27" t="str">
        <f>IFERROR(__xludf.DUMMYFUNCTION("""COMPUTED_VALUE"""),"https://techcombank.com/thong-tin/blog/the-he-tre-day-manh-xu-huong-thanh-toan-khong-dung-tien-mat")</f>
        <v>https://techcombank.com/thong-tin/blog/the-he-tre-day-manh-xu-huong-thanh-toan-khong-dung-tien-mat</v>
      </c>
      <c r="B711" s="11">
        <f>IFERROR(__xludf.DUMMYFUNCTION("""COMPUTED_VALUE"""),1.0)</f>
        <v>1</v>
      </c>
      <c r="C711" s="27" t="str">
        <f>IFERROR(__xludf.DUMMYFUNCTION("IF(A711="""","""",TEXTJOIN(CHAR(10),TRUE,FILTER('Tổng hợp 75 trang đích'!$B$2:$B$2505,'Tổng hợp 75 trang đích'!$I$2:$I$2505=A711)))"),"https://techcombank.com/thong-tin/blog/rut-tien-mat-tu-the-tin-dung")</f>
        <v>https://techcombank.com/thong-tin/blog/rut-tien-mat-tu-the-tin-dung</v>
      </c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</row>
    <row r="712">
      <c r="A712" s="27" t="str">
        <f>IFERROR(__xludf.DUMMYFUNCTION("""COMPUTED_VALUE"""),"https://techcombank.com/thong-tin/blog/the-napas-la-gi")</f>
        <v>https://techcombank.com/thong-tin/blog/the-napas-la-gi</v>
      </c>
      <c r="B712" s="11">
        <f>IFERROR(__xludf.DUMMYFUNCTION("""COMPUTED_VALUE"""),1.0)</f>
        <v>1</v>
      </c>
      <c r="C712" s="27" t="str">
        <f>IFERROR(__xludf.DUMMYFUNCTION("IF(A712="""","""",TEXTJOIN(CHAR(10),TRUE,FILTER('Tổng hợp 75 trang đích'!$B$2:$B$2505,'Tổng hợp 75 trang đích'!$I$2:$I$2505=A712)))"),"https://techcombank.com/thong-tin/blog/lam-the-tin-dung")</f>
        <v>https://techcombank.com/thong-tin/blog/lam-the-tin-dung</v>
      </c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</row>
    <row r="713">
      <c r="A713" s="27" t="str">
        <f>IFERROR(__xludf.DUMMYFUNCTION("""COMPUTED_VALUE"""),"https://techcombank.com/thong-tin/blog/the-visa-co-thanh-toan-quoc-te-duoc-khong")</f>
        <v>https://techcombank.com/thong-tin/blog/the-visa-co-thanh-toan-quoc-te-duoc-khong</v>
      </c>
      <c r="B713" s="11">
        <f>IFERROR(__xludf.DUMMYFUNCTION("""COMPUTED_VALUE"""),1.0)</f>
        <v>1</v>
      </c>
      <c r="C713" s="27" t="str">
        <f>IFERROR(__xludf.DUMMYFUNCTION("IF(A713="""","""",TEXTJOIN(CHAR(10),TRUE,FILTER('Tổng hợp 75 trang đích'!$B$2:$B$2505,'Tổng hợp 75 trang đích'!$I$2:$I$2505=A713)))"),"https://techcombank.com/thong-tin/blog/cach-nhan-tien-tu-nuoc-ngoai-ve-viet-nam")</f>
        <v>https://techcombank.com/thong-tin/blog/cach-nhan-tien-tu-nuoc-ngoai-ve-viet-nam</v>
      </c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</row>
    <row r="714">
      <c r="A714" s="27" t="str">
        <f>IFERROR(__xludf.DUMMYFUNCTION("""COMPUTED_VALUE"""),"https://techcombank.com/thong-tin/blog/thi-truong-trai-phieu-co-hoi-dau-tu-trai-phieu-vang-du-lai-suat-thap")</f>
        <v>https://techcombank.com/thong-tin/blog/thi-truong-trai-phieu-co-hoi-dau-tu-trai-phieu-vang-du-lai-suat-thap</v>
      </c>
      <c r="B714" s="11">
        <f>IFERROR(__xludf.DUMMYFUNCTION("""COMPUTED_VALUE"""),1.0)</f>
        <v>1</v>
      </c>
      <c r="C714" s="27" t="str">
        <f>IFERROR(__xludf.DUMMYFUNCTION("IF(A714="""","""",TEXTJOIN(CHAR(10),TRUE,FILTER('Tổng hợp 75 trang đích'!$B$2:$B$2505,'Tổng hợp 75 trang đích'!$I$2:$I$2505=A714)))"),"https://techcombank.com/thong-tin/blog/phuong-phap-dau-tu-chung-chi-quy")</f>
        <v>https://techcombank.com/thong-tin/blog/phuong-phap-dau-tu-chung-chi-quy</v>
      </c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</row>
    <row r="715">
      <c r="A715" s="27" t="str">
        <f>IFERROR(__xludf.DUMMYFUNCTION("""COMPUTED_VALUE"""),"https://techcombank.com/thong-tin/blog/thoi-gian-khop-lech-chung-chi-quy")</f>
        <v>https://techcombank.com/thong-tin/blog/thoi-gian-khop-lech-chung-chi-quy</v>
      </c>
      <c r="B715" s="11">
        <f>IFERROR(__xludf.DUMMYFUNCTION("""COMPUTED_VALUE"""),1.0)</f>
        <v>1</v>
      </c>
      <c r="C715" s="27" t="str">
        <f>IFERROR(__xludf.DUMMYFUNCTION("IF(A715="""","""",TEXTJOIN(CHAR(10),TRUE,FILTER('Tổng hợp 75 trang đích'!$B$2:$B$2505,'Tổng hợp 75 trang đích'!$I$2:$I$2505=A715)))"),"https://techcombank.com/thong-tin/blog/phuong-phap-dau-tu-chung-chi-quy")</f>
        <v>https://techcombank.com/thong-tin/blog/phuong-phap-dau-tu-chung-chi-quy</v>
      </c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</row>
    <row r="716">
      <c r="A716" s="27" t="str">
        <f>IFERROR(__xludf.DUMMYFUNCTION("""COMPUTED_VALUE"""),"https://techcombank.com/thong-tin/blog/thoi-han-vay-thau-chi")</f>
        <v>https://techcombank.com/thong-tin/blog/thoi-han-vay-thau-chi</v>
      </c>
      <c r="B716" s="11">
        <f>IFERROR(__xludf.DUMMYFUNCTION("""COMPUTED_VALUE"""),1.0)</f>
        <v>1</v>
      </c>
      <c r="C716" s="27" t="str">
        <f>IFERROR(__xludf.DUMMYFUNCTION("IF(A716="""","""",TEXTJOIN(CHAR(10),TRUE,FILTER('Tổng hợp 75 trang đích'!$B$2:$B$2505,'Tổng hợp 75 trang đích'!$I$2:$I$2505=A716)))"),"https://techcombank.com/thong-tin/blog/vay-thau-chi-la-gi")</f>
        <v>https://techcombank.com/thong-tin/blog/vay-thau-chi-la-gi</v>
      </c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</row>
    <row r="717">
      <c r="A717" s="27" t="str">
        <f>IFERROR(__xludf.DUMMYFUNCTION("""COMPUTED_VALUE"""),"https://techcombank.com/thong-tin/blog/thu-tuc-thanh-lap-doanh-nghiep")</f>
        <v>https://techcombank.com/thong-tin/blog/thu-tuc-thanh-lap-doanh-nghiep</v>
      </c>
      <c r="B717" s="11">
        <f>IFERROR(__xludf.DUMMYFUNCTION("""COMPUTED_VALUE"""),1.0)</f>
        <v>1</v>
      </c>
      <c r="C717" s="27" t="str">
        <f>IFERROR(__xludf.DUMMYFUNCTION("IF(A717="""","""",TEXTJOIN(CHAR(10),TRUE,FILTER('Tổng hợp 75 trang đích'!$B$2:$B$2505,'Tổng hợp 75 trang đích'!$I$2:$I$2505=A717)))"),"https://techcombank.com/thong-tin/blog/thue-doanh-nghiep")</f>
        <v>https://techcombank.com/thong-tin/blog/thue-doanh-nghiep</v>
      </c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</row>
    <row r="718">
      <c r="A718" s="27" t="str">
        <f>IFERROR(__xludf.DUMMYFUNCTION("""COMPUTED_VALUE"""),"https://techcombank.com/thong-tin/blog/thuc-day-thi-truong-the-noi-dia-va-xu-huong-thanh-toan-tuong-lai")</f>
        <v>https://techcombank.com/thong-tin/blog/thuc-day-thi-truong-the-noi-dia-va-xu-huong-thanh-toan-tuong-lai</v>
      </c>
      <c r="B718" s="11">
        <f>IFERROR(__xludf.DUMMYFUNCTION("""COMPUTED_VALUE"""),1.0)</f>
        <v>1</v>
      </c>
      <c r="C718" s="27" t="str">
        <f>IFERROR(__xludf.DUMMYFUNCTION("IF(A718="""","""",TEXTJOIN(CHAR(10),TRUE,FILTER('Tổng hợp 75 trang đích'!$B$2:$B$2505,'Tổng hợp 75 trang đích'!$I$2:$I$2505=A718)))"),"https://techcombank.com/thong-tin/blog/eco-card")</f>
        <v>https://techcombank.com/thong-tin/blog/eco-card</v>
      </c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</row>
    <row r="719">
      <c r="A719" s="27" t="str">
        <f>IFERROR(__xludf.DUMMYFUNCTION("""COMPUTED_VALUE"""),"https://techcombank.com/thong-tin/blog/thue-vat-la-gi")</f>
        <v>https://techcombank.com/thong-tin/blog/thue-vat-la-gi</v>
      </c>
      <c r="B719" s="11">
        <f>IFERROR(__xludf.DUMMYFUNCTION("""COMPUTED_VALUE"""),1.0)</f>
        <v>1</v>
      </c>
      <c r="C719" s="27" t="str">
        <f>IFERROR(__xludf.DUMMYFUNCTION("IF(A719="""","""",TEXTJOIN(CHAR(10),TRUE,FILTER('Tổng hợp 75 trang đích'!$B$2:$B$2505,'Tổng hợp 75 trang đích'!$I$2:$I$2505=A719)))"),"https://techcombank.com/thong-tin/blog/ho-kinh-doanh-dong-thue-nhu-nao")</f>
        <v>https://techcombank.com/thong-tin/blog/ho-kinh-doanh-dong-thue-nhu-nao</v>
      </c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</row>
    <row r="720">
      <c r="A720" s="27" t="str">
        <f>IFERROR(__xludf.DUMMYFUNCTION("""COMPUTED_VALUE"""),"https://techcombank.com/thong-tin/blog/tien-malaysia")</f>
        <v>https://techcombank.com/thong-tin/blog/tien-malaysia</v>
      </c>
      <c r="B720" s="11">
        <f>IFERROR(__xludf.DUMMYFUNCTION("""COMPUTED_VALUE"""),1.0)</f>
        <v>1</v>
      </c>
      <c r="C720" s="27" t="str">
        <f>IFERROR(__xludf.DUMMYFUNCTION("IF(A720="""","""",TEXTJOIN(CHAR(10),TRUE,FILTER('Tổng hợp 75 trang đích'!$B$2:$B$2505,'Tổng hợp 75 trang đích'!$I$2:$I$2505=A720)))"),"https://techcombank.com/thong-tin/blog/doi-tien-do-o-dau")</f>
        <v>https://techcombank.com/thong-tin/blog/doi-tien-do-o-dau</v>
      </c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</row>
    <row r="721">
      <c r="A721" s="27" t="str">
        <f>IFERROR(__xludf.DUMMYFUNCTION("""COMPUTED_VALUE"""),"https://techcombank.com/thong-tin/blog/tiet-kiem-tien-moi-ngay")</f>
        <v>https://techcombank.com/thong-tin/blog/tiet-kiem-tien-moi-ngay</v>
      </c>
      <c r="B721" s="11">
        <f>IFERROR(__xludf.DUMMYFUNCTION("""COMPUTED_VALUE"""),1.0)</f>
        <v>1</v>
      </c>
      <c r="C721" s="27" t="str">
        <f>IFERROR(__xludf.DUMMYFUNCTION("IF(A721="""","""",TEXTJOIN(CHAR(10),TRUE,FILTER('Tổng hợp 75 trang đích'!$B$2:$B$2505,'Tổng hợp 75 trang đích'!$I$2:$I$2505=A721)))"),"https://techcombank.com/thong-tin/blog/cach-tiet-kiem-tien")</f>
        <v>https://techcombank.com/thong-tin/blog/cach-tiet-kiem-tien</v>
      </c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</row>
    <row r="722">
      <c r="A722" s="27" t="str">
        <f>IFERROR(__xludf.DUMMYFUNCTION("""COMPUTED_VALUE"""),"https://techcombank.com/thong-tin/blog/tieu-dung-xanh")</f>
        <v>https://techcombank.com/thong-tin/blog/tieu-dung-xanh</v>
      </c>
      <c r="B722" s="11">
        <f>IFERROR(__xludf.DUMMYFUNCTION("""COMPUTED_VALUE"""),1.0)</f>
        <v>1</v>
      </c>
      <c r="C722" s="27" t="str">
        <f>IFERROR(__xludf.DUMMYFUNCTION("IF(A722="""","""",TEXTJOIN(CHAR(10),TRUE,FILTER('Tổng hợp 75 trang đích'!$B$2:$B$2505,'Tổng hợp 75 trang đích'!$I$2:$I$2505=A722)))"),"https://techcombank.com/thong-tin/blog/eco-card")</f>
        <v>https://techcombank.com/thong-tin/blog/eco-card</v>
      </c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</row>
    <row r="723">
      <c r="A723" s="27" t="str">
        <f>IFERROR(__xludf.DUMMYFUNCTION("""COMPUTED_VALUE"""),"https://techcombank.com/thong-tin/blog/tin-dung-la-gi")</f>
        <v>https://techcombank.com/thong-tin/blog/tin-dung-la-gi</v>
      </c>
      <c r="B723" s="11">
        <f>IFERROR(__xludf.DUMMYFUNCTION("""COMPUTED_VALUE"""),1.0)</f>
        <v>1</v>
      </c>
      <c r="C723" s="27" t="str">
        <f>IFERROR(__xludf.DUMMYFUNCTION("IF(A723="""","""",TEXTJOIN(CHAR(10),TRUE,FILTER('Tổng hợp 75 trang đích'!$B$2:$B$2505,'Tổng hợp 75 trang đích'!$I$2:$I$2505=A723)))"),"https://techcombank.com/thong-tin/blog/xep-hang-tin-dung")</f>
        <v>https://techcombank.com/thong-tin/blog/xep-hang-tin-dung</v>
      </c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</row>
    <row r="724">
      <c r="A724" s="27" t="str">
        <f>IFERROR(__xludf.DUMMYFUNCTION("""COMPUTED_VALUE"""),"https://techcombank.com/thong-tin/blog/tous-les-jours")</f>
        <v>https://techcombank.com/thong-tin/blog/tous-les-jours</v>
      </c>
      <c r="B724" s="11">
        <f>IFERROR(__xludf.DUMMYFUNCTION("""COMPUTED_VALUE"""),1.0)</f>
        <v>1</v>
      </c>
      <c r="C724" s="27" t="str">
        <f>IFERROR(__xludf.DUMMYFUNCTION("IF(A724="""","""",TEXTJOIN(CHAR(10),TRUE,FILTER('Tổng hợp 75 trang đích'!$B$2:$B$2505,'Tổng hợp 75 trang đích'!$I$2:$I$2505=A724)))"),"https://techcombank.com/thong-tin/blog/traveloka-voucher")</f>
        <v>https://techcombank.com/thong-tin/blog/traveloka-voucher</v>
      </c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</row>
    <row r="725">
      <c r="A725" s="27" t="str">
        <f>IFERROR(__xludf.DUMMYFUNCTION("""COMPUTED_VALUE"""),"https://techcombank.com/thong-tin/blog/tra-cuu-hoa-don-nuoc")</f>
        <v>https://techcombank.com/thong-tin/blog/tra-cuu-hoa-don-nuoc</v>
      </c>
      <c r="B725" s="11">
        <f>IFERROR(__xludf.DUMMYFUNCTION("""COMPUTED_VALUE"""),1.0)</f>
        <v>1</v>
      </c>
      <c r="C725" s="27" t="str">
        <f>IFERROR(__xludf.DUMMYFUNCTION("IF(A725="""","""",TEXTJOIN(CHAR(10),TRUE,FILTER('Tổng hợp 75 trang đích'!$B$2:$B$2505,'Tổng hợp 75 trang đích'!$I$2:$I$2505=A725)))"),"https://techcombank.com/thong-tin/blog/thue-vat-la-gi")</f>
        <v>https://techcombank.com/thong-tin/blog/thue-vat-la-gi</v>
      </c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</row>
    <row r="726">
      <c r="A726" s="27" t="str">
        <f>IFERROR(__xludf.DUMMYFUNCTION("""COMPUTED_VALUE"""),"https://techcombank.com/thong-tin/blog/ty-gia-hoi-doai-la-gi")</f>
        <v>https://techcombank.com/thong-tin/blog/ty-gia-hoi-doai-la-gi</v>
      </c>
      <c r="B726" s="11">
        <f>IFERROR(__xludf.DUMMYFUNCTION("""COMPUTED_VALUE"""),1.0)</f>
        <v>1</v>
      </c>
      <c r="C726" s="27" t="str">
        <f>IFERROR(__xludf.DUMMYFUNCTION("IF(A726="""","""",TEXTJOIN(CHAR(10),TRUE,FILTER('Tổng hợp 75 trang đích'!$B$2:$B$2505,'Tổng hợp 75 trang đích'!$I$2:$I$2505=A726)))"),"https://techcombank.com/thong-tin/blog/doi-tien-do-o-dau")</f>
        <v>https://techcombank.com/thong-tin/blog/doi-tien-do-o-dau</v>
      </c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</row>
    <row r="727">
      <c r="A727" s="27" t="str">
        <f>IFERROR(__xludf.DUMMYFUNCTION("""COMPUTED_VALUE"""),"https://techcombank.com/thong-tin/blog/ty-le-thanh-toan-khong-dung-tien-mat-trong-linh-vuc-y-te-con-han-che")</f>
        <v>https://techcombank.com/thong-tin/blog/ty-le-thanh-toan-khong-dung-tien-mat-trong-linh-vuc-y-te-con-han-che</v>
      </c>
      <c r="B727" s="11">
        <f>IFERROR(__xludf.DUMMYFUNCTION("""COMPUTED_VALUE"""),1.0)</f>
        <v>1</v>
      </c>
      <c r="C727" s="27" t="str">
        <f>IFERROR(__xludf.DUMMYFUNCTION("IF(A727="""","""",TEXTJOIN(CHAR(10),TRUE,FILTER('Tổng hợp 75 trang đích'!$B$2:$B$2505,'Tổng hợp 75 trang đích'!$I$2:$I$2505=A727)))"),"https://techcombank.com/thong-tin/blog/rut-tien-mat-tu-the-tin-dung")</f>
        <v>https://techcombank.com/thong-tin/blog/rut-tien-mat-tu-the-tin-dung</v>
      </c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</row>
    <row r="728">
      <c r="A728" s="27" t="str">
        <f>IFERROR(__xludf.DUMMYFUNCTION("""COMPUTED_VALUE"""),"https://techcombank.com/thong-tin/blog/uu-diem-cua-blockchain")</f>
        <v>https://techcombank.com/thong-tin/blog/uu-diem-cua-blockchain</v>
      </c>
      <c r="B728" s="11">
        <f>IFERROR(__xludf.DUMMYFUNCTION("""COMPUTED_VALUE"""),1.0)</f>
        <v>1</v>
      </c>
      <c r="C728" s="27" t="str">
        <f>IFERROR(__xludf.DUMMYFUNCTION("IF(A728="""","""",TEXTJOIN(CHAR(10),TRUE,FILTER('Tổng hợp 75 trang đích'!$B$2:$B$2505,'Tổng hợp 75 trang đích'!$I$2:$I$2505=A728)))"),"https://techcombank.com/thong-tin/blog/chuyen-khoan-thanh-cong-nhung-khong-nhan-duoc-tien")</f>
        <v>https://techcombank.com/thong-tin/blog/chuyen-khoan-thanh-cong-nhung-khong-nhan-duoc-tien</v>
      </c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</row>
    <row r="729">
      <c r="A729" s="27" t="str">
        <f>IFERROR(__xludf.DUMMYFUNCTION("""COMPUTED_VALUE"""),"https://techcombank.com/thong-tin/blog/vang-24k")</f>
        <v>https://techcombank.com/thong-tin/blog/vang-24k</v>
      </c>
      <c r="B729" s="11">
        <f>IFERROR(__xludf.DUMMYFUNCTION("""COMPUTED_VALUE"""),1.0)</f>
        <v>1</v>
      </c>
      <c r="C729" s="27" t="str">
        <f>IFERROR(__xludf.DUMMYFUNCTION("IF(A729="""","""",TEXTJOIN(CHAR(10),TRUE,FILTER('Tổng hợp 75 trang đích'!$B$2:$B$2505,'Tổng hợp 75 trang đích'!$I$2:$I$2505=A729)))"),"https://techcombank.com/thong-tin/blog/phuong-phap-dau-tu-chung-chi-quy")</f>
        <v>https://techcombank.com/thong-tin/blog/phuong-phap-dau-tu-chung-chi-quy</v>
      </c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</row>
    <row r="730">
      <c r="A730" s="27" t="str">
        <f>IFERROR(__xludf.DUMMYFUNCTION("""COMPUTED_VALUE"""),"https://techcombank.com/thong-tin/blog/vang-giam")</f>
        <v>https://techcombank.com/thong-tin/blog/vang-giam</v>
      </c>
      <c r="B730" s="11">
        <f>IFERROR(__xludf.DUMMYFUNCTION("""COMPUTED_VALUE"""),1.0)</f>
        <v>1</v>
      </c>
      <c r="C730" s="27" t="str">
        <f>IFERROR(__xludf.DUMMYFUNCTION("IF(A730="""","""",TEXTJOIN(CHAR(10),TRUE,FILTER('Tổng hợp 75 trang đích'!$B$2:$B$2505,'Tổng hợp 75 trang đích'!$I$2:$I$2505=A730)))"),"https://techcombank.com/thong-tin/blog/phuong-phap-dau-tu-chung-chi-quy")</f>
        <v>https://techcombank.com/thong-tin/blog/phuong-phap-dau-tu-chung-chi-quy</v>
      </c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</row>
    <row r="731">
      <c r="A731" s="27" t="str">
        <f>IFERROR(__xludf.DUMMYFUNCTION("""COMPUTED_VALUE"""),"https://techcombank.com/thong-tin/blog/vang-my-ky")</f>
        <v>https://techcombank.com/thong-tin/blog/vang-my-ky</v>
      </c>
      <c r="B731" s="11">
        <f>IFERROR(__xludf.DUMMYFUNCTION("""COMPUTED_VALUE"""),1.0)</f>
        <v>1</v>
      </c>
      <c r="C731" s="27" t="str">
        <f>IFERROR(__xludf.DUMMYFUNCTION("IF(A731="""","""",TEXTJOIN(CHAR(10),TRUE,FILTER('Tổng hợp 75 trang đích'!$B$2:$B$2505,'Tổng hợp 75 trang đích'!$I$2:$I$2505=A731)))"),"https://techcombank.com/thong-tin/blog/1-dong-do-la-my-bang-bao-nhieu-tien-viet-nam")</f>
        <v>https://techcombank.com/thong-tin/blog/1-dong-do-la-my-bang-bao-nhieu-tien-viet-nam</v>
      </c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</row>
    <row r="732">
      <c r="A732" s="27" t="str">
        <f>IFERROR(__xludf.DUMMYFUNCTION("""COMPUTED_VALUE"""),"https://techcombank.com/thong-tin/blog/vay-mua-chung-cu")</f>
        <v>https://techcombank.com/thong-tin/blog/vay-mua-chung-cu</v>
      </c>
      <c r="B732" s="11">
        <f>IFERROR(__xludf.DUMMYFUNCTION("""COMPUTED_VALUE"""),1.0)</f>
        <v>1</v>
      </c>
      <c r="C732" s="27" t="str">
        <f>IFERROR(__xludf.DUMMYFUNCTION("IF(A732="""","""",TEXTJOIN(CHAR(10),TRUE,FILTER('Tổng hợp 75 trang đích'!$B$2:$B$2505,'Tổng hợp 75 trang đích'!$I$2:$I$2505=A732)))"),"https://techcombank.com/thong-tin/blog/vay-ngan-hang-1-ty-moi-thang-tra-bao-nhieu")</f>
        <v>https://techcombank.com/thong-tin/blog/vay-ngan-hang-1-ty-moi-thang-tra-bao-nhieu</v>
      </c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</row>
    <row r="733">
      <c r="A733" s="27" t="str">
        <f>IFERROR(__xludf.DUMMYFUNCTION("""COMPUTED_VALUE"""),"https://techcombank.com/thong-tin/blog/vay-sieu-toc")</f>
        <v>https://techcombank.com/thong-tin/blog/vay-sieu-toc</v>
      </c>
      <c r="B733" s="11">
        <f>IFERROR(__xludf.DUMMYFUNCTION("""COMPUTED_VALUE"""),1.0)</f>
        <v>1</v>
      </c>
      <c r="C733" s="27" t="str">
        <f>IFERROR(__xludf.DUMMYFUNCTION("IF(A733="""","""",TEXTJOIN(CHAR(10),TRUE,FILTER('Tổng hợp 75 trang đích'!$B$2:$B$2505,'Tổng hợp 75 trang đích'!$I$2:$I$2505=A733)))"),"https://techcombank.com/thong-tin/blog/app-vay-tien-nhanh")</f>
        <v>https://techcombank.com/thong-tin/blog/app-vay-tien-nhanh</v>
      </c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</row>
    <row r="734">
      <c r="A734" s="27" t="str">
        <f>IFERROR(__xludf.DUMMYFUNCTION("""COMPUTED_VALUE"""),"https://techcombank.com/thong-tin/blog/vi-dien-tu-la-gi")</f>
        <v>https://techcombank.com/thong-tin/blog/vi-dien-tu-la-gi</v>
      </c>
      <c r="B734" s="11">
        <f>IFERROR(__xludf.DUMMYFUNCTION("""COMPUTED_VALUE"""),1.0)</f>
        <v>1</v>
      </c>
      <c r="C734" s="27" t="str">
        <f>IFERROR(__xludf.DUMMYFUNCTION("IF(A734="""","""",TEXTJOIN(CHAR(10),TRUE,FILTER('Tổng hợp 75 trang đích'!$B$2:$B$2505,'Tổng hợp 75 trang đích'!$I$2:$I$2505=A734)))"),"https://techcombank.com/thong-tin/blog/chuyen-khoan-thanh-cong-nhung-khong-nhan-duoc-tien")</f>
        <v>https://techcombank.com/thong-tin/blog/chuyen-khoan-thanh-cong-nhung-khong-nhan-duoc-tien</v>
      </c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</row>
    <row r="735">
      <c r="A735" s="27" t="str">
        <f>IFERROR(__xludf.DUMMYFUNCTION("""COMPUTED_VALUE"""),"https://techcombank.com/thong-tin/blog/voucher-cgv")</f>
        <v>https://techcombank.com/thong-tin/blog/voucher-cgv</v>
      </c>
      <c r="B735" s="11">
        <f>IFERROR(__xludf.DUMMYFUNCTION("""COMPUTED_VALUE"""),1.0)</f>
        <v>1</v>
      </c>
      <c r="C735" s="27" t="str">
        <f>IFERROR(__xludf.DUMMYFUNCTION("IF(A735="""","""",TEXTJOIN(CHAR(10),TRUE,FILTER('Tổng hợp 75 trang đích'!$B$2:$B$2505,'Tổng hợp 75 trang đích'!$I$2:$I$2505=A735)))"),"https://techcombank.com/thong-tin/blog/traveloka-voucher")</f>
        <v>https://techcombank.com/thong-tin/blog/traveloka-voucher</v>
      </c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</row>
    <row r="736">
      <c r="A736" s="27" t="str">
        <f>IFERROR(__xludf.DUMMYFUNCTION("""COMPUTED_VALUE"""),"https://techcombank.com/thong-tin/blog/voucher-coopmart")</f>
        <v>https://techcombank.com/thong-tin/blog/voucher-coopmart</v>
      </c>
      <c r="B736" s="11">
        <f>IFERROR(__xludf.DUMMYFUNCTION("""COMPUTED_VALUE"""),1.0)</f>
        <v>1</v>
      </c>
      <c r="C736" s="27" t="str">
        <f>IFERROR(__xludf.DUMMYFUNCTION("IF(A736="""","""",TEXTJOIN(CHAR(10),TRUE,FILTER('Tổng hợp 75 trang đích'!$B$2:$B$2505,'Tổng hợp 75 trang đích'!$I$2:$I$2505=A736)))"),"https://techcombank.com/thong-tin/blog/traveloka-voucher")</f>
        <v>https://techcombank.com/thong-tin/blog/traveloka-voucher</v>
      </c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</row>
    <row r="737">
      <c r="A737" s="27" t="str">
        <f>IFERROR(__xludf.DUMMYFUNCTION("""COMPUTED_VALUE"""),"https://techcombank.com/thong-tin/blog/voucher-golden-gate")</f>
        <v>https://techcombank.com/thong-tin/blog/voucher-golden-gate</v>
      </c>
      <c r="B737" s="11">
        <f>IFERROR(__xludf.DUMMYFUNCTION("""COMPUTED_VALUE"""),1.0)</f>
        <v>1</v>
      </c>
      <c r="C737" s="27" t="str">
        <f>IFERROR(__xludf.DUMMYFUNCTION("IF(A737="""","""",TEXTJOIN(CHAR(10),TRUE,FILTER('Tổng hợp 75 trang đích'!$B$2:$B$2505,'Tổng hợp 75 trang đích'!$I$2:$I$2505=A737)))"),"https://techcombank.com/thong-tin/blog/traveloka-voucher")</f>
        <v>https://techcombank.com/thong-tin/blog/traveloka-voucher</v>
      </c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</row>
    <row r="738">
      <c r="A738" s="27" t="str">
        <f>IFERROR(__xludf.DUMMYFUNCTION("""COMPUTED_VALUE"""),"https://techcombank.com/thong-tin/blog/voucher-grab")</f>
        <v>https://techcombank.com/thong-tin/blog/voucher-grab</v>
      </c>
      <c r="B738" s="11">
        <f>IFERROR(__xludf.DUMMYFUNCTION("""COMPUTED_VALUE"""),1.0)</f>
        <v>1</v>
      </c>
      <c r="C738" s="27" t="str">
        <f>IFERROR(__xludf.DUMMYFUNCTION("IF(A738="""","""",TEXTJOIN(CHAR(10),TRUE,FILTER('Tổng hợp 75 trang đích'!$B$2:$B$2505,'Tổng hợp 75 trang đích'!$I$2:$I$2505=A738)))"),"https://techcombank.com/thong-tin/blog/traveloka-voucher")</f>
        <v>https://techcombank.com/thong-tin/blog/traveloka-voucher</v>
      </c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</row>
    <row r="739">
      <c r="A739" s="27" t="str">
        <f>IFERROR(__xludf.DUMMYFUNCTION("""COMPUTED_VALUE"""),"https://techcombank.com/thong-tin/blog/voucher-highland")</f>
        <v>https://techcombank.com/thong-tin/blog/voucher-highland</v>
      </c>
      <c r="B739" s="11">
        <f>IFERROR(__xludf.DUMMYFUNCTION("""COMPUTED_VALUE"""),1.0)</f>
        <v>1</v>
      </c>
      <c r="C739" s="27" t="str">
        <f>IFERROR(__xludf.DUMMYFUNCTION("IF(A739="""","""",TEXTJOIN(CHAR(10),TRUE,FILTER('Tổng hợp 75 trang đích'!$B$2:$B$2505,'Tổng hợp 75 trang đích'!$I$2:$I$2505=A739)))"),"https://techcombank.com/thong-tin/blog/traveloka-voucher")</f>
        <v>https://techcombank.com/thong-tin/blog/traveloka-voucher</v>
      </c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</row>
    <row r="740">
      <c r="A740" s="27" t="str">
        <f>IFERROR(__xludf.DUMMYFUNCTION("""COMPUTED_VALUE"""),"https://techcombank.com/thong-tin/blog/voucher-jollibee")</f>
        <v>https://techcombank.com/thong-tin/blog/voucher-jollibee</v>
      </c>
      <c r="B740" s="11">
        <f>IFERROR(__xludf.DUMMYFUNCTION("""COMPUTED_VALUE"""),1.0)</f>
        <v>1</v>
      </c>
      <c r="C740" s="27" t="str">
        <f>IFERROR(__xludf.DUMMYFUNCTION("IF(A740="""","""",TEXTJOIN(CHAR(10),TRUE,FILTER('Tổng hợp 75 trang đích'!$B$2:$B$2505,'Tổng hợp 75 trang đích'!$I$2:$I$2505=A740)))"),"https://techcombank.com/thong-tin/blog/traveloka-voucher")</f>
        <v>https://techcombank.com/thong-tin/blog/traveloka-voucher</v>
      </c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</row>
    <row r="741">
      <c r="A741" s="27" t="str">
        <f>IFERROR(__xludf.DUMMYFUNCTION("""COMPUTED_VALUE"""),"https://techcombank.com/thong-tin/blog/voucher-katinat")</f>
        <v>https://techcombank.com/thong-tin/blog/voucher-katinat</v>
      </c>
      <c r="B741" s="11">
        <f>IFERROR(__xludf.DUMMYFUNCTION("""COMPUTED_VALUE"""),1.0)</f>
        <v>1</v>
      </c>
      <c r="C741" s="27" t="str">
        <f>IFERROR(__xludf.DUMMYFUNCTION("IF(A741="""","""",TEXTJOIN(CHAR(10),TRUE,FILTER('Tổng hợp 75 trang đích'!$B$2:$B$2505,'Tổng hợp 75 trang đích'!$I$2:$I$2505=A741)))"),"https://techcombank.com/thong-tin/blog/traveloka-voucher")</f>
        <v>https://techcombank.com/thong-tin/blog/traveloka-voucher</v>
      </c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</row>
    <row r="742">
      <c r="A742" s="27" t="str">
        <f>IFERROR(__xludf.DUMMYFUNCTION("""COMPUTED_VALUE"""),"https://techcombank.com/thong-tin/blog/voucher-kfc")</f>
        <v>https://techcombank.com/thong-tin/blog/voucher-kfc</v>
      </c>
      <c r="B742" s="11">
        <f>IFERROR(__xludf.DUMMYFUNCTION("""COMPUTED_VALUE"""),1.0)</f>
        <v>1</v>
      </c>
      <c r="C742" s="27" t="str">
        <f>IFERROR(__xludf.DUMMYFUNCTION("IF(A742="""","""",TEXTJOIN(CHAR(10),TRUE,FILTER('Tổng hợp 75 trang đích'!$B$2:$B$2505,'Tổng hợp 75 trang đích'!$I$2:$I$2505=A742)))"),"https://techcombank.com/thong-tin/blog/traveloka-voucher")</f>
        <v>https://techcombank.com/thong-tin/blog/traveloka-voucher</v>
      </c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</row>
    <row r="743">
      <c r="A743" s="27" t="str">
        <f>IFERROR(__xludf.DUMMYFUNCTION("""COMPUTED_VALUE"""),"https://techcombank.com/thong-tin/blog/voucher-starbucks")</f>
        <v>https://techcombank.com/thong-tin/blog/voucher-starbucks</v>
      </c>
      <c r="B743" s="11">
        <f>IFERROR(__xludf.DUMMYFUNCTION("""COMPUTED_VALUE"""),1.0)</f>
        <v>1</v>
      </c>
      <c r="C743" s="27" t="str">
        <f>IFERROR(__xludf.DUMMYFUNCTION("IF(A743="""","""",TEXTJOIN(CHAR(10),TRUE,FILTER('Tổng hợp 75 trang đích'!$B$2:$B$2505,'Tổng hợp 75 trang đích'!$I$2:$I$2505=A743)))"),"https://techcombank.com/thong-tin/blog/traveloka-voucher")</f>
        <v>https://techcombank.com/thong-tin/blog/traveloka-voucher</v>
      </c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</row>
    <row r="744">
      <c r="A744" s="27" t="str">
        <f>IFERROR(__xludf.DUMMYFUNCTION("""COMPUTED_VALUE"""),"https://techcombank.com/thong-tin/blog/voucher-the-coffee-house")</f>
        <v>https://techcombank.com/thong-tin/blog/voucher-the-coffee-house</v>
      </c>
      <c r="B744" s="11">
        <f>IFERROR(__xludf.DUMMYFUNCTION("""COMPUTED_VALUE"""),1.0)</f>
        <v>1</v>
      </c>
      <c r="C744" s="27" t="str">
        <f>IFERROR(__xludf.DUMMYFUNCTION("IF(A744="""","""",TEXTJOIN(CHAR(10),TRUE,FILTER('Tổng hợp 75 trang đích'!$B$2:$B$2505,'Tổng hợp 75 trang đích'!$I$2:$I$2505=A744)))"),"https://techcombank.com/thong-tin/blog/traveloka-voucher")</f>
        <v>https://techcombank.com/thong-tin/blog/traveloka-voucher</v>
      </c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</row>
    <row r="745">
      <c r="A745" s="27" t="str">
        <f>IFERROR(__xludf.DUMMYFUNCTION("""COMPUTED_VALUE"""),"https://techcombank.com/thong-tin/blog/voucher-the-pizza-company")</f>
        <v>https://techcombank.com/thong-tin/blog/voucher-the-pizza-company</v>
      </c>
      <c r="B745" s="11">
        <f>IFERROR(__xludf.DUMMYFUNCTION("""COMPUTED_VALUE"""),1.0)</f>
        <v>1</v>
      </c>
      <c r="C745" s="27" t="str">
        <f>IFERROR(__xludf.DUMMYFUNCTION("IF(A745="""","""",TEXTJOIN(CHAR(10),TRUE,FILTER('Tổng hợp 75 trang đích'!$B$2:$B$2505,'Tổng hợp 75 trang đích'!$I$2:$I$2505=A745)))"),"https://techcombank.com/thong-tin/blog/traveloka-voucher")</f>
        <v>https://techcombank.com/thong-tin/blog/traveloka-voucher</v>
      </c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</row>
    <row r="746">
      <c r="A746" s="27" t="str">
        <f>IFERROR(__xludf.DUMMYFUNCTION("""COMPUTED_VALUE"""),"https://techcombank.com/thong-tin/blog/voucher-winmart")</f>
        <v>https://techcombank.com/thong-tin/blog/voucher-winmart</v>
      </c>
      <c r="B746" s="11">
        <f>IFERROR(__xludf.DUMMYFUNCTION("""COMPUTED_VALUE"""),1.0)</f>
        <v>1</v>
      </c>
      <c r="C746" s="27" t="str">
        <f>IFERROR(__xludf.DUMMYFUNCTION("IF(A746="""","""",TEXTJOIN(CHAR(10),TRUE,FILTER('Tổng hợp 75 trang đích'!$B$2:$B$2505,'Tổng hợp 75 trang đích'!$I$2:$I$2505=A746)))"),"https://techcombank.com/thong-tin/blog/traveloka-voucher")</f>
        <v>https://techcombank.com/thong-tin/blog/traveloka-voucher</v>
      </c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</row>
    <row r="747">
      <c r="A747" s="27" t="str">
        <f>IFERROR(__xludf.DUMMYFUNCTION("""COMPUTED_VALUE"""),"https://techcombank.com/thong-tin/blog/wacc-la-gi")</f>
        <v>https://techcombank.com/thong-tin/blog/wacc-la-gi</v>
      </c>
      <c r="B747" s="11">
        <f>IFERROR(__xludf.DUMMYFUNCTION("""COMPUTED_VALUE"""),1.0)</f>
        <v>1</v>
      </c>
      <c r="C747" s="27" t="str">
        <f>IFERROR(__xludf.DUMMYFUNCTION("IF(A747="""","""",TEXTJOIN(CHAR(10),TRUE,FILTER('Tổng hợp 75 trang đích'!$B$2:$B$2505,'Tổng hợp 75 trang đích'!$I$2:$I$2505=A747)))"),"https://techcombank.com/thong-tin/blog/phuong-phap-dau-tu-chung-chi-quy")</f>
        <v>https://techcombank.com/thong-tin/blog/phuong-phap-dau-tu-chung-chi-quy</v>
      </c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</row>
    <row r="748">
      <c r="A748" s="27" t="str">
        <f>IFERROR(__xludf.DUMMYFUNCTION("""COMPUTED_VALUE"""),"https://techcombank.com/thong-tin/blog/woomaster")</f>
        <v>https://techcombank.com/thong-tin/blog/woomaster</v>
      </c>
      <c r="B748" s="11">
        <f>IFERROR(__xludf.DUMMYFUNCTION("""COMPUTED_VALUE"""),1.0)</f>
        <v>1</v>
      </c>
      <c r="C748" s="27" t="str">
        <f>IFERROR(__xludf.DUMMYFUNCTION("IF(A748="""","""",TEXTJOIN(CHAR(10),TRUE,FILTER('Tổng hợp 75 trang đích'!$B$2:$B$2505,'Tổng hợp 75 trang đích'!$I$2:$I$2505=A748)))"),"https://techcombank.com/thong-tin/blog/traveloka-voucher")</f>
        <v>https://techcombank.com/thong-tin/blog/traveloka-voucher</v>
      </c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</row>
    <row r="749">
      <c r="A749" s="27" t="str">
        <f>IFERROR(__xludf.DUMMYFUNCTION("""COMPUTED_VALUE"""),"https://techcombank.com/thong-tin/blog/xu-huong-song-xanh")</f>
        <v>https://techcombank.com/thong-tin/blog/xu-huong-song-xanh</v>
      </c>
      <c r="B749" s="11">
        <f>IFERROR(__xludf.DUMMYFUNCTION("""COMPUTED_VALUE"""),1.0)</f>
        <v>1</v>
      </c>
      <c r="C749" s="27" t="str">
        <f>IFERROR(__xludf.DUMMYFUNCTION("IF(A749="""","""",TEXTJOIN(CHAR(10),TRUE,FILTER('Tổng hợp 75 trang đích'!$B$2:$B$2505,'Tổng hợp 75 trang đích'!$I$2:$I$2505=A749)))"),"https://techcombank.com/thong-tin/blog/eco-card")</f>
        <v>https://techcombank.com/thong-tin/blog/eco-card</v>
      </c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</row>
    <row r="750">
      <c r="A750" s="27" t="str">
        <f>IFERROR(__xludf.DUMMYFUNCTION("""COMPUTED_VALUE"""),"https://techcombank.com/thong-tin/blog/xu-huong-thanh-toan-khong-dung-tien-mat-tai-viet-nam")</f>
        <v>https://techcombank.com/thong-tin/blog/xu-huong-thanh-toan-khong-dung-tien-mat-tai-viet-nam</v>
      </c>
      <c r="B750" s="11">
        <f>IFERROR(__xludf.DUMMYFUNCTION("""COMPUTED_VALUE"""),1.0)</f>
        <v>1</v>
      </c>
      <c r="C750" s="27" t="str">
        <f>IFERROR(__xludf.DUMMYFUNCTION("IF(A750="""","""",TEXTJOIN(CHAR(10),TRUE,FILTER('Tổng hợp 75 trang đích'!$B$2:$B$2505,'Tổng hợp 75 trang đích'!$I$2:$I$2505=A750)))"),"https://techcombank.com/thong-tin/blog/rut-tien-mat-tu-the-tin-dung")</f>
        <v>https://techcombank.com/thong-tin/blog/rut-tien-mat-tu-the-tin-dung</v>
      </c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</row>
    <row r="751">
      <c r="A751" s="27" t="str">
        <f>IFERROR(__xludf.DUMMYFUNCTION("""COMPUTED_VALUE"""),"https://techcombank.com/thong-tin/blog/xu-huong-tieu-dung")</f>
        <v>https://techcombank.com/thong-tin/blog/xu-huong-tieu-dung</v>
      </c>
      <c r="B751" s="11">
        <f>IFERROR(__xludf.DUMMYFUNCTION("""COMPUTED_VALUE"""),1.0)</f>
        <v>1</v>
      </c>
      <c r="C751" s="27" t="str">
        <f>IFERROR(__xludf.DUMMYFUNCTION("IF(A751="""","""",TEXTJOIN(CHAR(10),TRUE,FILTER('Tổng hợp 75 trang đích'!$B$2:$B$2505,'Tổng hợp 75 trang đích'!$I$2:$I$2505=A751)))"),"https://techcombank.com/thong-tin/blog/eco-card")</f>
        <v>https://techcombank.com/thong-tin/blog/eco-card</v>
      </c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</row>
    <row r="752">
      <c r="A752" s="27" t="str">
        <f>IFERROR(__xludf.DUMMYFUNCTION("""COMPUTED_VALUE"""),"https://techcombank.com/thong-tin/blog/y-concert")</f>
        <v>https://techcombank.com/thong-tin/blog/y-concert</v>
      </c>
      <c r="B752" s="11">
        <f>IFERROR(__xludf.DUMMYFUNCTION("""COMPUTED_VALUE"""),1.0)</f>
        <v>1</v>
      </c>
      <c r="C752" s="27" t="str">
        <f>IFERROR(__xludf.DUMMYFUNCTION("IF(A752="""","""",TEXTJOIN(CHAR(10),TRUE,FILTER('Tổng hợp 75 trang đích'!$B$2:$B$2505,'Tổng hợp 75 trang đích'!$I$2:$I$2505=A752)))"),"https://techcombank.com/thong-tin/blog/phuong-phap-dau-tu-chung-chi-quy")</f>
        <v>https://techcombank.com/thong-tin/blog/phuong-phap-dau-tu-chung-chi-quy</v>
      </c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</row>
    <row r="753">
      <c r="A753" s="27" t="str">
        <f>IFERROR(__xludf.DUMMYFUNCTION("""COMPUTED_VALUE"""),"https://techcombank.com/thong-tin/blog/yakimono")</f>
        <v>https://techcombank.com/thong-tin/blog/yakimono</v>
      </c>
      <c r="B753" s="11">
        <f>IFERROR(__xludf.DUMMYFUNCTION("""COMPUTED_VALUE"""),1.0)</f>
        <v>1</v>
      </c>
      <c r="C753" s="27" t="str">
        <f>IFERROR(__xludf.DUMMYFUNCTION("IF(A753="""","""",TEXTJOIN(CHAR(10),TRUE,FILTER('Tổng hợp 75 trang đích'!$B$2:$B$2505,'Tổng hợp 75 trang đích'!$I$2:$I$2505=A753)))"),"https://techcombank.com/thong-tin/blog/traveloka-voucher")</f>
        <v>https://techcombank.com/thong-tin/blog/traveloka-voucher</v>
      </c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</row>
    <row r="754">
      <c r="A754" s="8"/>
      <c r="B754" s="11"/>
      <c r="C754" s="8" t="str">
        <f>IFERROR(__xludf.DUMMYFUNCTION("IF(A754="""","""",TEXTJOIN(CHAR(10),TRUE,FILTER('Tổng hợp 75 trang đích'!$B$2:$B$2505,'Tổng hợp 75 trang đích'!$I$2:$I$2505=A754)))"),"")</f>
        <v/>
      </c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</row>
    <row r="755">
      <c r="A755" s="8"/>
      <c r="B755" s="11"/>
      <c r="C755" s="8" t="str">
        <f>IFERROR(__xludf.DUMMYFUNCTION("IF(A755="""","""",TEXTJOIN(CHAR(10),TRUE,FILTER('Tổng hợp 75 trang đích'!$B$2:$B$2505,'Tổng hợp 75 trang đích'!$I$2:$I$2505=A755)))"),"")</f>
        <v/>
      </c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</row>
    <row r="756">
      <c r="A756" s="8"/>
      <c r="B756" s="11"/>
      <c r="C756" s="8" t="str">
        <f>IFERROR(__xludf.DUMMYFUNCTION("IF(A756="""","""",TEXTJOIN(CHAR(10),TRUE,FILTER('Tổng hợp 75 trang đích'!$B$2:$B$2505,'Tổng hợp 75 trang đích'!$I$2:$I$2505=A756)))"),"")</f>
        <v/>
      </c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</row>
    <row r="757">
      <c r="A757" s="8"/>
      <c r="B757" s="11"/>
      <c r="C757" s="8" t="str">
        <f>IFERROR(__xludf.DUMMYFUNCTION("IF(A757="""","""",TEXTJOIN(CHAR(10),TRUE,FILTER('Tổng hợp 75 trang đích'!$B$2:$B$2505,'Tổng hợp 75 trang đích'!$I$2:$I$2505=A757)))"),"")</f>
        <v/>
      </c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</row>
    <row r="758">
      <c r="A758" s="8"/>
      <c r="B758" s="11"/>
      <c r="C758" s="8" t="str">
        <f>IFERROR(__xludf.DUMMYFUNCTION("IF(A758="""","""",TEXTJOIN(CHAR(10),TRUE,FILTER('Tổng hợp 75 trang đích'!$B$2:$B$2505,'Tổng hợp 75 trang đích'!$I$2:$I$2505=A758)))"),"")</f>
        <v/>
      </c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</row>
    <row r="759">
      <c r="A759" s="8"/>
      <c r="B759" s="11"/>
      <c r="C759" s="8" t="str">
        <f>IFERROR(__xludf.DUMMYFUNCTION("IF(A759="""","""",TEXTJOIN(CHAR(10),TRUE,FILTER('Tổng hợp 75 trang đích'!$B$2:$B$2505,'Tổng hợp 75 trang đích'!$I$2:$I$2505=A759)))"),"")</f>
        <v/>
      </c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</row>
    <row r="760">
      <c r="A760" s="8"/>
      <c r="B760" s="11"/>
      <c r="C760" s="8" t="str">
        <f>IFERROR(__xludf.DUMMYFUNCTION("IF(A760="""","""",TEXTJOIN(CHAR(10),TRUE,FILTER('Tổng hợp 75 trang đích'!$B$2:$B$2505,'Tổng hợp 75 trang đích'!$I$2:$I$2505=A760)))"),"")</f>
        <v/>
      </c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</row>
    <row r="761">
      <c r="A761" s="8"/>
      <c r="B761" s="11"/>
      <c r="C761" s="8" t="str">
        <f>IFERROR(__xludf.DUMMYFUNCTION("IF(A761="""","""",TEXTJOIN(CHAR(10),TRUE,FILTER('Tổng hợp 75 trang đích'!$B$2:$B$2505,'Tổng hợp 75 trang đích'!$I$2:$I$2505=A761)))"),"")</f>
        <v/>
      </c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</row>
    <row r="762">
      <c r="A762" s="8"/>
      <c r="B762" s="11"/>
      <c r="C762" s="8" t="str">
        <f>IFERROR(__xludf.DUMMYFUNCTION("IF(A762="""","""",TEXTJOIN(CHAR(10),TRUE,FILTER('Tổng hợp 75 trang đích'!$B$2:$B$2505,'Tổng hợp 75 trang đích'!$I$2:$I$2505=A762)))"),"")</f>
        <v/>
      </c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</row>
    <row r="763">
      <c r="A763" s="8"/>
      <c r="B763" s="11"/>
      <c r="C763" s="8" t="str">
        <f>IFERROR(__xludf.DUMMYFUNCTION("IF(A763="""","""",TEXTJOIN(CHAR(10),TRUE,FILTER('Tổng hợp 75 trang đích'!$B$2:$B$2505,'Tổng hợp 75 trang đích'!$I$2:$I$2505=A763)))"),"")</f>
        <v/>
      </c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</row>
    <row r="764">
      <c r="A764" s="8"/>
      <c r="B764" s="11"/>
      <c r="C764" s="8" t="str">
        <f>IFERROR(__xludf.DUMMYFUNCTION("IF(A764="""","""",TEXTJOIN(CHAR(10),TRUE,FILTER('Tổng hợp 75 trang đích'!$B$2:$B$2505,'Tổng hợp 75 trang đích'!$I$2:$I$2505=A764)))"),"")</f>
        <v/>
      </c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</row>
    <row r="765">
      <c r="A765" s="8"/>
      <c r="B765" s="11"/>
      <c r="C765" s="8" t="str">
        <f>IFERROR(__xludf.DUMMYFUNCTION("IF(A765="""","""",TEXTJOIN(CHAR(10),TRUE,FILTER('Tổng hợp 75 trang đích'!$B$2:$B$2505,'Tổng hợp 75 trang đích'!$I$2:$I$2505=A765)))"),"")</f>
        <v/>
      </c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</row>
    <row r="766">
      <c r="A766" s="8"/>
      <c r="B766" s="11"/>
      <c r="C766" s="8" t="str">
        <f>IFERROR(__xludf.DUMMYFUNCTION("IF(A766="""","""",TEXTJOIN(CHAR(10),TRUE,FILTER('Tổng hợp 75 trang đích'!$B$2:$B$2505,'Tổng hợp 75 trang đích'!$I$2:$I$2505=A766)))"),"")</f>
        <v/>
      </c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</row>
    <row r="767">
      <c r="A767" s="8"/>
      <c r="B767" s="11"/>
      <c r="C767" s="8" t="str">
        <f>IFERROR(__xludf.DUMMYFUNCTION("IF(A767="""","""",TEXTJOIN(CHAR(10),TRUE,FILTER('Tổng hợp 75 trang đích'!$B$2:$B$2505,'Tổng hợp 75 trang đích'!$I$2:$I$2505=A767)))"),"")</f>
        <v/>
      </c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</row>
    <row r="768">
      <c r="A768" s="8"/>
      <c r="B768" s="11"/>
      <c r="C768" s="8" t="str">
        <f>IFERROR(__xludf.DUMMYFUNCTION("IF(A768="""","""",TEXTJOIN(CHAR(10),TRUE,FILTER('Tổng hợp 75 trang đích'!$B$2:$B$2505,'Tổng hợp 75 trang đích'!$I$2:$I$2505=A768)))"),"")</f>
        <v/>
      </c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</row>
    <row r="769">
      <c r="A769" s="8"/>
      <c r="B769" s="11"/>
      <c r="C769" s="8" t="str">
        <f>IFERROR(__xludf.DUMMYFUNCTION("IF(A769="""","""",TEXTJOIN(CHAR(10),TRUE,FILTER('Tổng hợp 75 trang đích'!$B$2:$B$2505,'Tổng hợp 75 trang đích'!$I$2:$I$2505=A769)))"),"")</f>
        <v/>
      </c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</row>
    <row r="770">
      <c r="A770" s="8"/>
      <c r="B770" s="11"/>
      <c r="C770" s="8" t="str">
        <f>IFERROR(__xludf.DUMMYFUNCTION("IF(A770="""","""",TEXTJOIN(CHAR(10),TRUE,FILTER('Tổng hợp 75 trang đích'!$B$2:$B$2505,'Tổng hợp 75 trang đích'!$I$2:$I$2505=A770)))"),"")</f>
        <v/>
      </c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</row>
    <row r="771">
      <c r="A771" s="8"/>
      <c r="B771" s="11"/>
      <c r="C771" s="8" t="str">
        <f>IFERROR(__xludf.DUMMYFUNCTION("IF(A771="""","""",TEXTJOIN(CHAR(10),TRUE,FILTER('Tổng hợp 75 trang đích'!$B$2:$B$2505,'Tổng hợp 75 trang đích'!$I$2:$I$2505=A771)))"),"")</f>
        <v/>
      </c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</row>
    <row r="772">
      <c r="A772" s="8"/>
      <c r="B772" s="11"/>
      <c r="C772" s="8" t="str">
        <f>IFERROR(__xludf.DUMMYFUNCTION("IF(A772="""","""",TEXTJOIN(CHAR(10),TRUE,FILTER('Tổng hợp 75 trang đích'!$B$2:$B$2505,'Tổng hợp 75 trang đích'!$I$2:$I$2505=A772)))"),"")</f>
        <v/>
      </c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</row>
    <row r="773">
      <c r="A773" s="8"/>
      <c r="B773" s="11"/>
      <c r="C773" s="8" t="str">
        <f>IFERROR(__xludf.DUMMYFUNCTION("IF(A773="""","""",TEXTJOIN(CHAR(10),TRUE,FILTER('Tổng hợp 75 trang đích'!$B$2:$B$2505,'Tổng hợp 75 trang đích'!$I$2:$I$2505=A773)))"),"")</f>
        <v/>
      </c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</row>
    <row r="774">
      <c r="A774" s="8"/>
      <c r="B774" s="11"/>
      <c r="C774" s="8" t="str">
        <f>IFERROR(__xludf.DUMMYFUNCTION("IF(A774="""","""",TEXTJOIN(CHAR(10),TRUE,FILTER('Tổng hợp 75 trang đích'!$B$2:$B$2505,'Tổng hợp 75 trang đích'!$I$2:$I$2505=A774)))"),"")</f>
        <v/>
      </c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</row>
    <row r="775">
      <c r="A775" s="8"/>
      <c r="B775" s="11"/>
      <c r="C775" s="8" t="str">
        <f>IFERROR(__xludf.DUMMYFUNCTION("IF(A775="""","""",TEXTJOIN(CHAR(10),TRUE,FILTER('Tổng hợp 75 trang đích'!$B$2:$B$2505,'Tổng hợp 75 trang đích'!$I$2:$I$2505=A775)))"),"")</f>
        <v/>
      </c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</row>
    <row r="776">
      <c r="A776" s="8"/>
      <c r="B776" s="11"/>
      <c r="C776" s="8" t="str">
        <f>IFERROR(__xludf.DUMMYFUNCTION("IF(A776="""","""",TEXTJOIN(CHAR(10),TRUE,FILTER('Tổng hợp 75 trang đích'!$B$2:$B$2505,'Tổng hợp 75 trang đích'!$I$2:$I$2505=A776)))"),"")</f>
        <v/>
      </c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</row>
    <row r="777">
      <c r="A777" s="8"/>
      <c r="B777" s="11"/>
      <c r="C777" s="8" t="str">
        <f>IFERROR(__xludf.DUMMYFUNCTION("IF(A777="""","""",TEXTJOIN(CHAR(10),TRUE,FILTER('Tổng hợp 75 trang đích'!$B$2:$B$2505,'Tổng hợp 75 trang đích'!$I$2:$I$2505=A777)))"),"")</f>
        <v/>
      </c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</row>
    <row r="778">
      <c r="A778" s="8"/>
      <c r="B778" s="11"/>
      <c r="C778" s="8" t="str">
        <f>IFERROR(__xludf.DUMMYFUNCTION("IF(A778="""","""",TEXTJOIN(CHAR(10),TRUE,FILTER('Tổng hợp 75 trang đích'!$B$2:$B$2505,'Tổng hợp 75 trang đích'!$I$2:$I$2505=A778)))"),"")</f>
        <v/>
      </c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</row>
    <row r="779">
      <c r="A779" s="8"/>
      <c r="B779" s="11"/>
      <c r="C779" s="8" t="str">
        <f>IFERROR(__xludf.DUMMYFUNCTION("IF(A779="""","""",TEXTJOIN(CHAR(10),TRUE,FILTER('Tổng hợp 75 trang đích'!$B$2:$B$2505,'Tổng hợp 75 trang đích'!$I$2:$I$2505=A779)))"),"")</f>
        <v/>
      </c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</row>
    <row r="780">
      <c r="A780" s="8"/>
      <c r="B780" s="11"/>
      <c r="C780" s="8" t="str">
        <f>IFERROR(__xludf.DUMMYFUNCTION("IF(A780="""","""",TEXTJOIN(CHAR(10),TRUE,FILTER('Tổng hợp 75 trang đích'!$B$2:$B$2505,'Tổng hợp 75 trang đích'!$I$2:$I$2505=A780)))"),"")</f>
        <v/>
      </c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</row>
    <row r="781">
      <c r="A781" s="8"/>
      <c r="B781" s="11"/>
      <c r="C781" s="8" t="str">
        <f>IFERROR(__xludf.DUMMYFUNCTION("IF(A781="""","""",TEXTJOIN(CHAR(10),TRUE,FILTER('Tổng hợp 75 trang đích'!$B$2:$B$2505,'Tổng hợp 75 trang đích'!$I$2:$I$2505=A781)))"),"")</f>
        <v/>
      </c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</row>
    <row r="782">
      <c r="A782" s="8"/>
      <c r="B782" s="11"/>
      <c r="C782" s="8" t="str">
        <f>IFERROR(__xludf.DUMMYFUNCTION("IF(A782="""","""",TEXTJOIN(CHAR(10),TRUE,FILTER('Tổng hợp 75 trang đích'!$B$2:$B$2505,'Tổng hợp 75 trang đích'!$I$2:$I$2505=A782)))"),"")</f>
        <v/>
      </c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</row>
    <row r="783">
      <c r="A783" s="8"/>
      <c r="B783" s="11"/>
      <c r="C783" s="8" t="str">
        <f>IFERROR(__xludf.DUMMYFUNCTION("IF(A783="""","""",TEXTJOIN(CHAR(10),TRUE,FILTER('Tổng hợp 75 trang đích'!$B$2:$B$2505,'Tổng hợp 75 trang đích'!$I$2:$I$2505=A783)))"),"")</f>
        <v/>
      </c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</row>
    <row r="784">
      <c r="A784" s="8"/>
      <c r="B784" s="11"/>
      <c r="C784" s="8" t="str">
        <f>IFERROR(__xludf.DUMMYFUNCTION("IF(A784="""","""",TEXTJOIN(CHAR(10),TRUE,FILTER('Tổng hợp 75 trang đích'!$B$2:$B$2505,'Tổng hợp 75 trang đích'!$I$2:$I$2505=A784)))"),"")</f>
        <v/>
      </c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</row>
    <row r="785">
      <c r="A785" s="8"/>
      <c r="B785" s="11"/>
      <c r="C785" s="8" t="str">
        <f>IFERROR(__xludf.DUMMYFUNCTION("IF(A785="""","""",TEXTJOIN(CHAR(10),TRUE,FILTER('Tổng hợp 75 trang đích'!$B$2:$B$2505,'Tổng hợp 75 trang đích'!$I$2:$I$2505=A785)))"),"")</f>
        <v/>
      </c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</row>
    <row r="786">
      <c r="A786" s="8"/>
      <c r="B786" s="11"/>
      <c r="C786" s="8" t="str">
        <f>IFERROR(__xludf.DUMMYFUNCTION("IF(A786="""","""",TEXTJOIN(CHAR(10),TRUE,FILTER('Tổng hợp 75 trang đích'!$B$2:$B$2505,'Tổng hợp 75 trang đích'!$I$2:$I$2505=A786)))"),"")</f>
        <v/>
      </c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</row>
    <row r="787">
      <c r="A787" s="8"/>
      <c r="B787" s="11"/>
      <c r="C787" s="8" t="str">
        <f>IFERROR(__xludf.DUMMYFUNCTION("IF(A787="""","""",TEXTJOIN(CHAR(10),TRUE,FILTER('Tổng hợp 75 trang đích'!$B$2:$B$2505,'Tổng hợp 75 trang đích'!$I$2:$I$2505=A787)))"),"")</f>
        <v/>
      </c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</row>
    <row r="788">
      <c r="A788" s="8"/>
      <c r="B788" s="11"/>
      <c r="C788" s="8" t="str">
        <f>IFERROR(__xludf.DUMMYFUNCTION("IF(A788="""","""",TEXTJOIN(CHAR(10),TRUE,FILTER('Tổng hợp 75 trang đích'!$B$2:$B$2505,'Tổng hợp 75 trang đích'!$I$2:$I$2505=A788)))"),"")</f>
        <v/>
      </c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</row>
    <row r="789">
      <c r="A789" s="8"/>
      <c r="B789" s="11"/>
      <c r="C789" s="8" t="str">
        <f>IFERROR(__xludf.DUMMYFUNCTION("IF(A789="""","""",TEXTJOIN(CHAR(10),TRUE,FILTER('Tổng hợp 75 trang đích'!$B$2:$B$2505,'Tổng hợp 75 trang đích'!$I$2:$I$2505=A789)))"),"")</f>
        <v/>
      </c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</row>
    <row r="790">
      <c r="A790" s="8"/>
      <c r="B790" s="11"/>
      <c r="C790" s="8" t="str">
        <f>IFERROR(__xludf.DUMMYFUNCTION("IF(A790="""","""",TEXTJOIN(CHAR(10),TRUE,FILTER('Tổng hợp 75 trang đích'!$B$2:$B$2505,'Tổng hợp 75 trang đích'!$I$2:$I$2505=A790)))"),"")</f>
        <v/>
      </c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</row>
    <row r="791">
      <c r="A791" s="8"/>
      <c r="B791" s="11"/>
      <c r="C791" s="8" t="str">
        <f>IFERROR(__xludf.DUMMYFUNCTION("IF(A791="""","""",TEXTJOIN(CHAR(10),TRUE,FILTER('Tổng hợp 75 trang đích'!$B$2:$B$2505,'Tổng hợp 75 trang đích'!$I$2:$I$2505=A791)))"),"")</f>
        <v/>
      </c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</row>
    <row r="792">
      <c r="A792" s="8"/>
      <c r="B792" s="11"/>
      <c r="C792" s="8" t="str">
        <f>IFERROR(__xludf.DUMMYFUNCTION("IF(A792="""","""",TEXTJOIN(CHAR(10),TRUE,FILTER('Tổng hợp 75 trang đích'!$B$2:$B$2505,'Tổng hợp 75 trang đích'!$I$2:$I$2505=A792)))"),"")</f>
        <v/>
      </c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</row>
    <row r="793">
      <c r="A793" s="8"/>
      <c r="B793" s="11"/>
      <c r="C793" s="8" t="str">
        <f>IFERROR(__xludf.DUMMYFUNCTION("IF(A793="""","""",TEXTJOIN(CHAR(10),TRUE,FILTER('Tổng hợp 75 trang đích'!$B$2:$B$2505,'Tổng hợp 75 trang đích'!$I$2:$I$2505=A793)))"),"")</f>
        <v/>
      </c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</row>
    <row r="794">
      <c r="A794" s="8"/>
      <c r="B794" s="11"/>
      <c r="C794" s="8" t="str">
        <f>IFERROR(__xludf.DUMMYFUNCTION("IF(A794="""","""",TEXTJOIN(CHAR(10),TRUE,FILTER('Tổng hợp 75 trang đích'!$B$2:$B$2505,'Tổng hợp 75 trang đích'!$I$2:$I$2505=A794)))"),"")</f>
        <v/>
      </c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</row>
    <row r="795">
      <c r="A795" s="8"/>
      <c r="B795" s="11"/>
      <c r="C795" s="8" t="str">
        <f>IFERROR(__xludf.DUMMYFUNCTION("IF(A795="""","""",TEXTJOIN(CHAR(10),TRUE,FILTER('Tổng hợp 75 trang đích'!$B$2:$B$2505,'Tổng hợp 75 trang đích'!$I$2:$I$2505=A795)))"),"")</f>
        <v/>
      </c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</row>
    <row r="796">
      <c r="A796" s="8"/>
      <c r="B796" s="11"/>
      <c r="C796" s="8" t="str">
        <f>IFERROR(__xludf.DUMMYFUNCTION("IF(A796="""","""",TEXTJOIN(CHAR(10),TRUE,FILTER('Tổng hợp 75 trang đích'!$B$2:$B$2505,'Tổng hợp 75 trang đích'!$I$2:$I$2505=A796)))"),"")</f>
        <v/>
      </c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</row>
    <row r="797">
      <c r="A797" s="8"/>
      <c r="B797" s="11"/>
      <c r="C797" s="8" t="str">
        <f>IFERROR(__xludf.DUMMYFUNCTION("IF(A797="""","""",TEXTJOIN(CHAR(10),TRUE,FILTER('Tổng hợp 75 trang đích'!$B$2:$B$2505,'Tổng hợp 75 trang đích'!$I$2:$I$2505=A797)))"),"")</f>
        <v/>
      </c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</row>
    <row r="798">
      <c r="A798" s="8"/>
      <c r="B798" s="11"/>
      <c r="C798" s="8" t="str">
        <f>IFERROR(__xludf.DUMMYFUNCTION("IF(A798="""","""",TEXTJOIN(CHAR(10),TRUE,FILTER('Tổng hợp 75 trang đích'!$B$2:$B$2505,'Tổng hợp 75 trang đích'!$I$2:$I$2505=A798)))"),"")</f>
        <v/>
      </c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</row>
    <row r="799">
      <c r="A799" s="8"/>
      <c r="B799" s="11"/>
      <c r="C799" s="8" t="str">
        <f>IFERROR(__xludf.DUMMYFUNCTION("IF(A799="""","""",TEXTJOIN(CHAR(10),TRUE,FILTER('Tổng hợp 75 trang đích'!$B$2:$B$2505,'Tổng hợp 75 trang đích'!$I$2:$I$2505=A799)))"),"")</f>
        <v/>
      </c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</row>
    <row r="800">
      <c r="A800" s="8"/>
      <c r="B800" s="11"/>
      <c r="C800" s="8" t="str">
        <f>IFERROR(__xludf.DUMMYFUNCTION("IF(A800="""","""",TEXTJOIN(CHAR(10),TRUE,FILTER('Tổng hợp 75 trang đích'!$B$2:$B$2505,'Tổng hợp 75 trang đích'!$I$2:$I$2505=A800)))"),"")</f>
        <v/>
      </c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</row>
    <row r="801">
      <c r="A801" s="8"/>
      <c r="B801" s="11"/>
      <c r="C801" s="8" t="str">
        <f>IFERROR(__xludf.DUMMYFUNCTION("IF(A801="""","""",TEXTJOIN(CHAR(10),TRUE,FILTER('Tổng hợp 75 trang đích'!$B$2:$B$2505,'Tổng hợp 75 trang đích'!$I$2:$I$2505=A801)))"),"")</f>
        <v/>
      </c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</row>
    <row r="802">
      <c r="A802" s="8"/>
      <c r="B802" s="11"/>
      <c r="C802" s="8" t="str">
        <f>IFERROR(__xludf.DUMMYFUNCTION("IF(A802="""","""",TEXTJOIN(CHAR(10),TRUE,FILTER('Tổng hợp 75 trang đích'!$B$2:$B$2505,'Tổng hợp 75 trang đích'!$I$2:$I$2505=A802)))"),"")</f>
        <v/>
      </c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</row>
    <row r="803">
      <c r="A803" s="8"/>
      <c r="B803" s="11"/>
      <c r="C803" s="8" t="str">
        <f>IFERROR(__xludf.DUMMYFUNCTION("IF(A803="""","""",TEXTJOIN(CHAR(10),TRUE,FILTER('Tổng hợp 75 trang đích'!$B$2:$B$2505,'Tổng hợp 75 trang đích'!$I$2:$I$2505=A803)))"),"")</f>
        <v/>
      </c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</row>
    <row r="804">
      <c r="A804" s="8"/>
      <c r="B804" s="11"/>
      <c r="C804" s="8" t="str">
        <f>IFERROR(__xludf.DUMMYFUNCTION("IF(A804="""","""",TEXTJOIN(CHAR(10),TRUE,FILTER('Tổng hợp 75 trang đích'!$B$2:$B$2505,'Tổng hợp 75 trang đích'!$I$2:$I$2505=A804)))"),"")</f>
        <v/>
      </c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</row>
    <row r="805">
      <c r="A805" s="8"/>
      <c r="B805" s="11"/>
      <c r="C805" s="8" t="str">
        <f>IFERROR(__xludf.DUMMYFUNCTION("IF(A805="""","""",TEXTJOIN(CHAR(10),TRUE,FILTER('Tổng hợp 75 trang đích'!$B$2:$B$2505,'Tổng hợp 75 trang đích'!$I$2:$I$2505=A805)))"),"")</f>
        <v/>
      </c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</row>
    <row r="806">
      <c r="A806" s="8"/>
      <c r="B806" s="11"/>
      <c r="C806" s="8" t="str">
        <f>IFERROR(__xludf.DUMMYFUNCTION("IF(A806="""","""",TEXTJOIN(CHAR(10),TRUE,FILTER('Tổng hợp 75 trang đích'!$B$2:$B$2505,'Tổng hợp 75 trang đích'!$I$2:$I$2505=A806)))"),"")</f>
        <v/>
      </c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</row>
    <row r="807">
      <c r="A807" s="8"/>
      <c r="B807" s="11"/>
      <c r="C807" s="8" t="str">
        <f>IFERROR(__xludf.DUMMYFUNCTION("IF(A807="""","""",TEXTJOIN(CHAR(10),TRUE,FILTER('Tổng hợp 75 trang đích'!$B$2:$B$2505,'Tổng hợp 75 trang đích'!$I$2:$I$2505=A807)))"),"")</f>
        <v/>
      </c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</row>
    <row r="808">
      <c r="A808" s="8"/>
      <c r="B808" s="11"/>
      <c r="C808" s="8" t="str">
        <f>IFERROR(__xludf.DUMMYFUNCTION("IF(A808="""","""",TEXTJOIN(CHAR(10),TRUE,FILTER('Tổng hợp 75 trang đích'!$B$2:$B$2505,'Tổng hợp 75 trang đích'!$I$2:$I$2505=A808)))"),"")</f>
        <v/>
      </c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</row>
    <row r="809">
      <c r="A809" s="8"/>
      <c r="B809" s="11"/>
      <c r="C809" s="8" t="str">
        <f>IFERROR(__xludf.DUMMYFUNCTION("IF(A809="""","""",TEXTJOIN(CHAR(10),TRUE,FILTER('Tổng hợp 75 trang đích'!$B$2:$B$2505,'Tổng hợp 75 trang đích'!$I$2:$I$2505=A809)))"),"")</f>
        <v/>
      </c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</row>
    <row r="810">
      <c r="A810" s="8"/>
      <c r="B810" s="11"/>
      <c r="C810" s="8" t="str">
        <f>IFERROR(__xludf.DUMMYFUNCTION("IF(A810="""","""",TEXTJOIN(CHAR(10),TRUE,FILTER('Tổng hợp 75 trang đích'!$B$2:$B$2505,'Tổng hợp 75 trang đích'!$I$2:$I$2505=A810)))"),"")</f>
        <v/>
      </c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</row>
    <row r="811">
      <c r="A811" s="8"/>
      <c r="B811" s="11"/>
      <c r="C811" s="8" t="str">
        <f>IFERROR(__xludf.DUMMYFUNCTION("IF(A811="""","""",TEXTJOIN(CHAR(10),TRUE,FILTER('Tổng hợp 75 trang đích'!$B$2:$B$2505,'Tổng hợp 75 trang đích'!$I$2:$I$2505=A811)))"),"")</f>
        <v/>
      </c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</row>
    <row r="812">
      <c r="A812" s="8"/>
      <c r="B812" s="11"/>
      <c r="C812" s="8" t="str">
        <f>IFERROR(__xludf.DUMMYFUNCTION("IF(A812="""","""",TEXTJOIN(CHAR(10),TRUE,FILTER('Tổng hợp 75 trang đích'!$B$2:$B$2505,'Tổng hợp 75 trang đích'!$I$2:$I$2505=A812)))"),"")</f>
        <v/>
      </c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</row>
    <row r="813">
      <c r="A813" s="8"/>
      <c r="B813" s="11"/>
      <c r="C813" s="8" t="str">
        <f>IFERROR(__xludf.DUMMYFUNCTION("IF(A813="""","""",TEXTJOIN(CHAR(10),TRUE,FILTER('Tổng hợp 75 trang đích'!$B$2:$B$2505,'Tổng hợp 75 trang đích'!$I$2:$I$2505=A813)))"),"")</f>
        <v/>
      </c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</row>
    <row r="814">
      <c r="A814" s="8"/>
      <c r="B814" s="11"/>
      <c r="C814" s="8" t="str">
        <f>IFERROR(__xludf.DUMMYFUNCTION("IF(A814="""","""",TEXTJOIN(CHAR(10),TRUE,FILTER('Tổng hợp 75 trang đích'!$B$2:$B$2505,'Tổng hợp 75 trang đích'!$I$2:$I$2505=A814)))"),"")</f>
        <v/>
      </c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</row>
    <row r="815">
      <c r="A815" s="8"/>
      <c r="B815" s="11"/>
      <c r="C815" s="8" t="str">
        <f>IFERROR(__xludf.DUMMYFUNCTION("IF(A815="""","""",TEXTJOIN(CHAR(10),TRUE,FILTER('Tổng hợp 75 trang đích'!$B$2:$B$2505,'Tổng hợp 75 trang đích'!$I$2:$I$2505=A815)))"),"")</f>
        <v/>
      </c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</row>
    <row r="816">
      <c r="A816" s="8"/>
      <c r="B816" s="11"/>
      <c r="C816" s="8" t="str">
        <f>IFERROR(__xludf.DUMMYFUNCTION("IF(A816="""","""",TEXTJOIN(CHAR(10),TRUE,FILTER('Tổng hợp 75 trang đích'!$B$2:$B$2505,'Tổng hợp 75 trang đích'!$I$2:$I$2505=A816)))"),"")</f>
        <v/>
      </c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</row>
    <row r="817">
      <c r="A817" s="8"/>
      <c r="B817" s="11"/>
      <c r="C817" s="8" t="str">
        <f>IFERROR(__xludf.DUMMYFUNCTION("IF(A817="""","""",TEXTJOIN(CHAR(10),TRUE,FILTER('Tổng hợp 75 trang đích'!$B$2:$B$2505,'Tổng hợp 75 trang đích'!$I$2:$I$2505=A817)))"),"")</f>
        <v/>
      </c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</row>
    <row r="818">
      <c r="A818" s="8"/>
      <c r="B818" s="11"/>
      <c r="C818" s="8" t="str">
        <f>IFERROR(__xludf.DUMMYFUNCTION("IF(A818="""","""",TEXTJOIN(CHAR(10),TRUE,FILTER('Tổng hợp 75 trang đích'!$B$2:$B$2505,'Tổng hợp 75 trang đích'!$I$2:$I$2505=A818)))"),"")</f>
        <v/>
      </c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</row>
    <row r="819">
      <c r="A819" s="8"/>
      <c r="B819" s="11"/>
      <c r="C819" s="8" t="str">
        <f>IFERROR(__xludf.DUMMYFUNCTION("IF(A819="""","""",TEXTJOIN(CHAR(10),TRUE,FILTER('Tổng hợp 75 trang đích'!$B$2:$B$2505,'Tổng hợp 75 trang đích'!$I$2:$I$2505=A819)))"),"")</f>
        <v/>
      </c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</row>
    <row r="820">
      <c r="A820" s="8"/>
      <c r="B820" s="11"/>
      <c r="C820" s="8" t="str">
        <f>IFERROR(__xludf.DUMMYFUNCTION("IF(A820="""","""",TEXTJOIN(CHAR(10),TRUE,FILTER('Tổng hợp 75 trang đích'!$B$2:$B$2505,'Tổng hợp 75 trang đích'!$I$2:$I$2505=A820)))"),"")</f>
        <v/>
      </c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</row>
    <row r="821">
      <c r="A821" s="8"/>
      <c r="B821" s="11"/>
      <c r="C821" s="8" t="str">
        <f>IFERROR(__xludf.DUMMYFUNCTION("IF(A821="""","""",TEXTJOIN(CHAR(10),TRUE,FILTER('Tổng hợp 75 trang đích'!$B$2:$B$2505,'Tổng hợp 75 trang đích'!$I$2:$I$2505=A821)))"),"")</f>
        <v/>
      </c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</row>
    <row r="822">
      <c r="A822" s="8"/>
      <c r="B822" s="11"/>
      <c r="C822" s="8" t="str">
        <f>IFERROR(__xludf.DUMMYFUNCTION("IF(A822="""","""",TEXTJOIN(CHAR(10),TRUE,FILTER('Tổng hợp 75 trang đích'!$B$2:$B$2505,'Tổng hợp 75 trang đích'!$I$2:$I$2505=A822)))"),"")</f>
        <v/>
      </c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</row>
    <row r="823">
      <c r="A823" s="8"/>
      <c r="B823" s="11"/>
      <c r="C823" s="8" t="str">
        <f>IFERROR(__xludf.DUMMYFUNCTION("IF(A823="""","""",TEXTJOIN(CHAR(10),TRUE,FILTER('Tổng hợp 75 trang đích'!$B$2:$B$2505,'Tổng hợp 75 trang đích'!$I$2:$I$2505=A823)))"),"")</f>
        <v/>
      </c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</row>
    <row r="824">
      <c r="A824" s="8"/>
      <c r="B824" s="11"/>
      <c r="C824" s="8" t="str">
        <f>IFERROR(__xludf.DUMMYFUNCTION("IF(A824="""","""",TEXTJOIN(CHAR(10),TRUE,FILTER('Tổng hợp 75 trang đích'!$B$2:$B$2505,'Tổng hợp 75 trang đích'!$I$2:$I$2505=A824)))"),"")</f>
        <v/>
      </c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</row>
    <row r="825">
      <c r="A825" s="8"/>
      <c r="B825" s="11"/>
      <c r="C825" s="8" t="str">
        <f>IFERROR(__xludf.DUMMYFUNCTION("IF(A825="""","""",TEXTJOIN(CHAR(10),TRUE,FILTER('Tổng hợp 75 trang đích'!$B$2:$B$2505,'Tổng hợp 75 trang đích'!$I$2:$I$2505=A825)))"),"")</f>
        <v/>
      </c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</row>
    <row r="826">
      <c r="A826" s="8"/>
      <c r="B826" s="11"/>
      <c r="C826" s="8" t="str">
        <f>IFERROR(__xludf.DUMMYFUNCTION("IF(A826="""","""",TEXTJOIN(CHAR(10),TRUE,FILTER('Tổng hợp 75 trang đích'!$B$2:$B$2505,'Tổng hợp 75 trang đích'!$I$2:$I$2505=A826)))"),"")</f>
        <v/>
      </c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</row>
    <row r="827">
      <c r="A827" s="8"/>
      <c r="B827" s="11"/>
      <c r="C827" s="8" t="str">
        <f>IFERROR(__xludf.DUMMYFUNCTION("IF(A827="""","""",TEXTJOIN(CHAR(10),TRUE,FILTER('Tổng hợp 75 trang đích'!$B$2:$B$2505,'Tổng hợp 75 trang đích'!$I$2:$I$2505=A827)))"),"")</f>
        <v/>
      </c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</row>
    <row r="828">
      <c r="A828" s="8"/>
      <c r="B828" s="11"/>
      <c r="C828" s="8" t="str">
        <f>IFERROR(__xludf.DUMMYFUNCTION("IF(A828="""","""",TEXTJOIN(CHAR(10),TRUE,FILTER('Tổng hợp 75 trang đích'!$B$2:$B$2505,'Tổng hợp 75 trang đích'!$I$2:$I$2505=A828)))"),"")</f>
        <v/>
      </c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</row>
    <row r="829">
      <c r="A829" s="8"/>
      <c r="B829" s="11"/>
      <c r="C829" s="8" t="str">
        <f>IFERROR(__xludf.DUMMYFUNCTION("IF(A829="""","""",TEXTJOIN(CHAR(10),TRUE,FILTER('Tổng hợp 75 trang đích'!$B$2:$B$2505,'Tổng hợp 75 trang đích'!$I$2:$I$2505=A829)))"),"")</f>
        <v/>
      </c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</row>
    <row r="830">
      <c r="A830" s="8"/>
      <c r="B830" s="11"/>
      <c r="C830" s="8" t="str">
        <f>IFERROR(__xludf.DUMMYFUNCTION("IF(A830="""","""",TEXTJOIN(CHAR(10),TRUE,FILTER('Tổng hợp 75 trang đích'!$B$2:$B$2505,'Tổng hợp 75 trang đích'!$I$2:$I$2505=A830)))"),"")</f>
        <v/>
      </c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</row>
    <row r="831">
      <c r="A831" s="8"/>
      <c r="B831" s="11"/>
      <c r="C831" s="8" t="str">
        <f>IFERROR(__xludf.DUMMYFUNCTION("IF(A831="""","""",TEXTJOIN(CHAR(10),TRUE,FILTER('Tổng hợp 75 trang đích'!$B$2:$B$2505,'Tổng hợp 75 trang đích'!$I$2:$I$2505=A831)))"),"")</f>
        <v/>
      </c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</row>
    <row r="832">
      <c r="A832" s="8"/>
      <c r="B832" s="11"/>
      <c r="C832" s="8" t="str">
        <f>IFERROR(__xludf.DUMMYFUNCTION("IF(A832="""","""",TEXTJOIN(CHAR(10),TRUE,FILTER('Tổng hợp 75 trang đích'!$B$2:$B$2505,'Tổng hợp 75 trang đích'!$I$2:$I$2505=A832)))"),"")</f>
        <v/>
      </c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</row>
    <row r="833">
      <c r="A833" s="8"/>
      <c r="B833" s="11"/>
      <c r="C833" s="8" t="str">
        <f>IFERROR(__xludf.DUMMYFUNCTION("IF(A833="""","""",TEXTJOIN(CHAR(10),TRUE,FILTER('Tổng hợp 75 trang đích'!$B$2:$B$2505,'Tổng hợp 75 trang đích'!$I$2:$I$2505=A833)))"),"")</f>
        <v/>
      </c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</row>
    <row r="834">
      <c r="A834" s="8"/>
      <c r="B834" s="11"/>
      <c r="C834" s="8" t="str">
        <f>IFERROR(__xludf.DUMMYFUNCTION("IF(A834="""","""",TEXTJOIN(CHAR(10),TRUE,FILTER('Tổng hợp 75 trang đích'!$B$2:$B$2505,'Tổng hợp 75 trang đích'!$I$2:$I$2505=A834)))"),"")</f>
        <v/>
      </c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</row>
    <row r="835">
      <c r="A835" s="8"/>
      <c r="B835" s="11"/>
      <c r="C835" s="8" t="str">
        <f>IFERROR(__xludf.DUMMYFUNCTION("IF(A835="""","""",TEXTJOIN(CHAR(10),TRUE,FILTER('Tổng hợp 75 trang đích'!$B$2:$B$2505,'Tổng hợp 75 trang đích'!$I$2:$I$2505=A835)))"),"")</f>
        <v/>
      </c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</row>
    <row r="836">
      <c r="A836" s="8"/>
      <c r="B836" s="11"/>
      <c r="C836" s="8" t="str">
        <f>IFERROR(__xludf.DUMMYFUNCTION("IF(A836="""","""",TEXTJOIN(CHAR(10),TRUE,FILTER('Tổng hợp 75 trang đích'!$B$2:$B$2505,'Tổng hợp 75 trang đích'!$I$2:$I$2505=A836)))"),"")</f>
        <v/>
      </c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</row>
    <row r="837">
      <c r="A837" s="8"/>
      <c r="B837" s="11"/>
      <c r="C837" s="8" t="str">
        <f>IFERROR(__xludf.DUMMYFUNCTION("IF(A837="""","""",TEXTJOIN(CHAR(10),TRUE,FILTER('Tổng hợp 75 trang đích'!$B$2:$B$2505,'Tổng hợp 75 trang đích'!$I$2:$I$2505=A837)))"),"")</f>
        <v/>
      </c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</row>
    <row r="838">
      <c r="A838" s="8"/>
      <c r="B838" s="11"/>
      <c r="C838" s="8" t="str">
        <f>IFERROR(__xludf.DUMMYFUNCTION("IF(A838="""","""",TEXTJOIN(CHAR(10),TRUE,FILTER('Tổng hợp 75 trang đích'!$B$2:$B$2505,'Tổng hợp 75 trang đích'!$I$2:$I$2505=A838)))"),"")</f>
        <v/>
      </c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</row>
    <row r="839">
      <c r="A839" s="8"/>
      <c r="B839" s="11"/>
      <c r="C839" s="8" t="str">
        <f>IFERROR(__xludf.DUMMYFUNCTION("IF(A839="""","""",TEXTJOIN(CHAR(10),TRUE,FILTER('Tổng hợp 75 trang đích'!$B$2:$B$2505,'Tổng hợp 75 trang đích'!$I$2:$I$2505=A839)))"),"")</f>
        <v/>
      </c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</row>
    <row r="840">
      <c r="A840" s="8"/>
      <c r="B840" s="11"/>
      <c r="C840" s="8" t="str">
        <f>IFERROR(__xludf.DUMMYFUNCTION("IF(A840="""","""",TEXTJOIN(CHAR(10),TRUE,FILTER('Tổng hợp 75 trang đích'!$B$2:$B$2505,'Tổng hợp 75 trang đích'!$I$2:$I$2505=A840)))"),"")</f>
        <v/>
      </c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</row>
    <row r="841">
      <c r="A841" s="8"/>
      <c r="B841" s="11"/>
      <c r="C841" s="8" t="str">
        <f>IFERROR(__xludf.DUMMYFUNCTION("IF(A841="""","""",TEXTJOIN(CHAR(10),TRUE,FILTER('Tổng hợp 75 trang đích'!$B$2:$B$2505,'Tổng hợp 75 trang đích'!$I$2:$I$2505=A841)))"),"")</f>
        <v/>
      </c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</row>
    <row r="842">
      <c r="A842" s="8"/>
      <c r="B842" s="11"/>
      <c r="C842" s="8" t="str">
        <f>IFERROR(__xludf.DUMMYFUNCTION("IF(A842="""","""",TEXTJOIN(CHAR(10),TRUE,FILTER('Tổng hợp 75 trang đích'!$B$2:$B$2505,'Tổng hợp 75 trang đích'!$I$2:$I$2505=A842)))"),"")</f>
        <v/>
      </c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</row>
    <row r="843">
      <c r="A843" s="8"/>
      <c r="B843" s="11"/>
      <c r="C843" s="8" t="str">
        <f>IFERROR(__xludf.DUMMYFUNCTION("IF(A843="""","""",TEXTJOIN(CHAR(10),TRUE,FILTER('Tổng hợp 75 trang đích'!$B$2:$B$2505,'Tổng hợp 75 trang đích'!$I$2:$I$2505=A843)))"),"")</f>
        <v/>
      </c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</row>
    <row r="844">
      <c r="A844" s="8"/>
      <c r="B844" s="11"/>
      <c r="C844" s="8" t="str">
        <f>IFERROR(__xludf.DUMMYFUNCTION("IF(A844="""","""",TEXTJOIN(CHAR(10),TRUE,FILTER('Tổng hợp 75 trang đích'!$B$2:$B$2505,'Tổng hợp 75 trang đích'!$I$2:$I$2505=A844)))"),"")</f>
        <v/>
      </c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</row>
    <row r="845">
      <c r="A845" s="8"/>
      <c r="B845" s="11"/>
      <c r="C845" s="8" t="str">
        <f>IFERROR(__xludf.DUMMYFUNCTION("IF(A845="""","""",TEXTJOIN(CHAR(10),TRUE,FILTER('Tổng hợp 75 trang đích'!$B$2:$B$2505,'Tổng hợp 75 trang đích'!$I$2:$I$2505=A845)))"),"")</f>
        <v/>
      </c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</row>
    <row r="846">
      <c r="A846" s="8"/>
      <c r="B846" s="11"/>
      <c r="C846" s="8" t="str">
        <f>IFERROR(__xludf.DUMMYFUNCTION("IF(A846="""","""",TEXTJOIN(CHAR(10),TRUE,FILTER('Tổng hợp 75 trang đích'!$B$2:$B$2505,'Tổng hợp 75 trang đích'!$I$2:$I$2505=A846)))"),"")</f>
        <v/>
      </c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</row>
    <row r="847">
      <c r="A847" s="8"/>
      <c r="B847" s="11"/>
      <c r="C847" s="8" t="str">
        <f>IFERROR(__xludf.DUMMYFUNCTION("IF(A847="""","""",TEXTJOIN(CHAR(10),TRUE,FILTER('Tổng hợp 75 trang đích'!$B$2:$B$2505,'Tổng hợp 75 trang đích'!$I$2:$I$2505=A847)))"),"")</f>
        <v/>
      </c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</row>
    <row r="848">
      <c r="A848" s="8"/>
      <c r="B848" s="11"/>
      <c r="C848" s="8" t="str">
        <f>IFERROR(__xludf.DUMMYFUNCTION("IF(A848="""","""",TEXTJOIN(CHAR(10),TRUE,FILTER('Tổng hợp 75 trang đích'!$B$2:$B$2505,'Tổng hợp 75 trang đích'!$I$2:$I$2505=A848)))"),"")</f>
        <v/>
      </c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</row>
    <row r="849">
      <c r="A849" s="8"/>
      <c r="B849" s="11"/>
      <c r="C849" s="8" t="str">
        <f>IFERROR(__xludf.DUMMYFUNCTION("IF(A849="""","""",TEXTJOIN(CHAR(10),TRUE,FILTER('Tổng hợp 75 trang đích'!$B$2:$B$2505,'Tổng hợp 75 trang đích'!$I$2:$I$2505=A849)))"),"")</f>
        <v/>
      </c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</row>
    <row r="850">
      <c r="A850" s="8"/>
      <c r="B850" s="11"/>
      <c r="C850" s="8" t="str">
        <f>IFERROR(__xludf.DUMMYFUNCTION("IF(A850="""","""",TEXTJOIN(CHAR(10),TRUE,FILTER('Tổng hợp 75 trang đích'!$B$2:$B$2505,'Tổng hợp 75 trang đích'!$I$2:$I$2505=A850)))"),"")</f>
        <v/>
      </c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</row>
    <row r="851">
      <c r="A851" s="8"/>
      <c r="B851" s="11"/>
      <c r="C851" s="8" t="str">
        <f>IFERROR(__xludf.DUMMYFUNCTION("IF(A851="""","""",TEXTJOIN(CHAR(10),TRUE,FILTER('Tổng hợp 75 trang đích'!$B$2:$B$2505,'Tổng hợp 75 trang đích'!$I$2:$I$2505=A851)))"),"")</f>
        <v/>
      </c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</row>
    <row r="852">
      <c r="A852" s="8"/>
      <c r="B852" s="11"/>
      <c r="C852" s="8" t="str">
        <f>IFERROR(__xludf.DUMMYFUNCTION("IF(A852="""","""",TEXTJOIN(CHAR(10),TRUE,FILTER('Tổng hợp 75 trang đích'!$B$2:$B$2505,'Tổng hợp 75 trang đích'!$I$2:$I$2505=A852)))"),"")</f>
        <v/>
      </c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</row>
    <row r="853">
      <c r="A853" s="8"/>
      <c r="B853" s="11"/>
      <c r="C853" s="8" t="str">
        <f>IFERROR(__xludf.DUMMYFUNCTION("IF(A853="""","""",TEXTJOIN(CHAR(10),TRUE,FILTER('Tổng hợp 75 trang đích'!$B$2:$B$2505,'Tổng hợp 75 trang đích'!$I$2:$I$2505=A853)))"),"")</f>
        <v/>
      </c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</row>
    <row r="854">
      <c r="A854" s="8"/>
      <c r="B854" s="11"/>
      <c r="C854" s="8" t="str">
        <f>IFERROR(__xludf.DUMMYFUNCTION("IF(A854="""","""",TEXTJOIN(CHAR(10),TRUE,FILTER('Tổng hợp 75 trang đích'!$B$2:$B$2505,'Tổng hợp 75 trang đích'!$I$2:$I$2505=A854)))"),"")</f>
        <v/>
      </c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</row>
    <row r="855">
      <c r="A855" s="8"/>
      <c r="B855" s="11"/>
      <c r="C855" s="8" t="str">
        <f>IFERROR(__xludf.DUMMYFUNCTION("IF(A855="""","""",TEXTJOIN(CHAR(10),TRUE,FILTER('Tổng hợp 75 trang đích'!$B$2:$B$2505,'Tổng hợp 75 trang đích'!$I$2:$I$2505=A855)))"),"")</f>
        <v/>
      </c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</row>
    <row r="856">
      <c r="A856" s="8"/>
      <c r="B856" s="11"/>
      <c r="C856" s="8" t="str">
        <f>IFERROR(__xludf.DUMMYFUNCTION("IF(A856="""","""",TEXTJOIN(CHAR(10),TRUE,FILTER('Tổng hợp 75 trang đích'!$B$2:$B$2505,'Tổng hợp 75 trang đích'!$I$2:$I$2505=A856)))"),"")</f>
        <v/>
      </c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</row>
    <row r="857">
      <c r="A857" s="8"/>
      <c r="B857" s="11"/>
      <c r="C857" s="8" t="str">
        <f>IFERROR(__xludf.DUMMYFUNCTION("IF(A857="""","""",TEXTJOIN(CHAR(10),TRUE,FILTER('Tổng hợp 75 trang đích'!$B$2:$B$2505,'Tổng hợp 75 trang đích'!$I$2:$I$2505=A857)))"),"")</f>
        <v/>
      </c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</row>
    <row r="858">
      <c r="A858" s="8"/>
      <c r="B858" s="11"/>
      <c r="C858" s="8" t="str">
        <f>IFERROR(__xludf.DUMMYFUNCTION("IF(A858="""","""",TEXTJOIN(CHAR(10),TRUE,FILTER('Tổng hợp 75 trang đích'!$B$2:$B$2505,'Tổng hợp 75 trang đích'!$I$2:$I$2505=A858)))"),"")</f>
        <v/>
      </c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</row>
    <row r="859">
      <c r="A859" s="8"/>
      <c r="B859" s="11"/>
      <c r="C859" s="8" t="str">
        <f>IFERROR(__xludf.DUMMYFUNCTION("IF(A859="""","""",TEXTJOIN(CHAR(10),TRUE,FILTER('Tổng hợp 75 trang đích'!$B$2:$B$2505,'Tổng hợp 75 trang đích'!$I$2:$I$2505=A859)))"),"")</f>
        <v/>
      </c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</row>
    <row r="860">
      <c r="A860" s="8"/>
      <c r="B860" s="11"/>
      <c r="C860" s="8" t="str">
        <f>IFERROR(__xludf.DUMMYFUNCTION("IF(A860="""","""",TEXTJOIN(CHAR(10),TRUE,FILTER('Tổng hợp 75 trang đích'!$B$2:$B$2505,'Tổng hợp 75 trang đích'!$I$2:$I$2505=A860)))"),"")</f>
        <v/>
      </c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</row>
    <row r="861">
      <c r="A861" s="8"/>
      <c r="B861" s="11"/>
      <c r="C861" s="8" t="str">
        <f>IFERROR(__xludf.DUMMYFUNCTION("IF(A861="""","""",TEXTJOIN(CHAR(10),TRUE,FILTER('Tổng hợp 75 trang đích'!$B$2:$B$2505,'Tổng hợp 75 trang đích'!$I$2:$I$2505=A861)))"),"")</f>
        <v/>
      </c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</row>
    <row r="862">
      <c r="A862" s="8"/>
      <c r="B862" s="11"/>
      <c r="C862" s="8" t="str">
        <f>IFERROR(__xludf.DUMMYFUNCTION("IF(A862="""","""",TEXTJOIN(CHAR(10),TRUE,FILTER('Tổng hợp 75 trang đích'!$B$2:$B$2505,'Tổng hợp 75 trang đích'!$I$2:$I$2505=A862)))"),"")</f>
        <v/>
      </c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</row>
    <row r="863">
      <c r="A863" s="8"/>
      <c r="B863" s="11"/>
      <c r="C863" s="8" t="str">
        <f>IFERROR(__xludf.DUMMYFUNCTION("IF(A863="""","""",TEXTJOIN(CHAR(10),TRUE,FILTER('Tổng hợp 75 trang đích'!$B$2:$B$2505,'Tổng hợp 75 trang đích'!$I$2:$I$2505=A863)))"),"")</f>
        <v/>
      </c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</row>
    <row r="864">
      <c r="A864" s="8"/>
      <c r="B864" s="11"/>
      <c r="C864" s="8" t="str">
        <f>IFERROR(__xludf.DUMMYFUNCTION("IF(A864="""","""",TEXTJOIN(CHAR(10),TRUE,FILTER('Tổng hợp 75 trang đích'!$B$2:$B$2505,'Tổng hợp 75 trang đích'!$I$2:$I$2505=A864)))"),"")</f>
        <v/>
      </c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</row>
    <row r="865">
      <c r="A865" s="8"/>
      <c r="B865" s="11"/>
      <c r="C865" s="8" t="str">
        <f>IFERROR(__xludf.DUMMYFUNCTION("IF(A865="""","""",TEXTJOIN(CHAR(10),TRUE,FILTER('Tổng hợp 75 trang đích'!$B$2:$B$2505,'Tổng hợp 75 trang đích'!$I$2:$I$2505=A865)))"),"")</f>
        <v/>
      </c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</row>
    <row r="866">
      <c r="A866" s="8"/>
      <c r="B866" s="11"/>
      <c r="C866" s="8" t="str">
        <f>IFERROR(__xludf.DUMMYFUNCTION("IF(A866="""","""",TEXTJOIN(CHAR(10),TRUE,FILTER('Tổng hợp 75 trang đích'!$B$2:$B$2505,'Tổng hợp 75 trang đích'!$I$2:$I$2505=A866)))"),"")</f>
        <v/>
      </c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</row>
    <row r="867">
      <c r="A867" s="8"/>
      <c r="B867" s="11"/>
      <c r="C867" s="8" t="str">
        <f>IFERROR(__xludf.DUMMYFUNCTION("IF(A867="""","""",TEXTJOIN(CHAR(10),TRUE,FILTER('Tổng hợp 75 trang đích'!$B$2:$B$2505,'Tổng hợp 75 trang đích'!$I$2:$I$2505=A867)))"),"")</f>
        <v/>
      </c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</row>
    <row r="868">
      <c r="A868" s="8"/>
      <c r="B868" s="11"/>
      <c r="C868" s="8" t="str">
        <f>IFERROR(__xludf.DUMMYFUNCTION("IF(A868="""","""",TEXTJOIN(CHAR(10),TRUE,FILTER('Tổng hợp 75 trang đích'!$B$2:$B$2505,'Tổng hợp 75 trang đích'!$I$2:$I$2505=A868)))"),"")</f>
        <v/>
      </c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</row>
    <row r="869">
      <c r="A869" s="8"/>
      <c r="B869" s="11"/>
      <c r="C869" s="8" t="str">
        <f>IFERROR(__xludf.DUMMYFUNCTION("IF(A869="""","""",TEXTJOIN(CHAR(10),TRUE,FILTER('Tổng hợp 75 trang đích'!$B$2:$B$2505,'Tổng hợp 75 trang đích'!$I$2:$I$2505=A869)))"),"")</f>
        <v/>
      </c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</row>
    <row r="870">
      <c r="A870" s="8"/>
      <c r="B870" s="11"/>
      <c r="C870" s="8" t="str">
        <f>IFERROR(__xludf.DUMMYFUNCTION("IF(A870="""","""",TEXTJOIN(CHAR(10),TRUE,FILTER('Tổng hợp 75 trang đích'!$B$2:$B$2505,'Tổng hợp 75 trang đích'!$I$2:$I$2505=A870)))"),"")</f>
        <v/>
      </c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</row>
    <row r="871">
      <c r="A871" s="8"/>
      <c r="B871" s="11"/>
      <c r="C871" s="8" t="str">
        <f>IFERROR(__xludf.DUMMYFUNCTION("IF(A871="""","""",TEXTJOIN(CHAR(10),TRUE,FILTER('Tổng hợp 75 trang đích'!$B$2:$B$2505,'Tổng hợp 75 trang đích'!$I$2:$I$2505=A871)))"),"")</f>
        <v/>
      </c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</row>
    <row r="872">
      <c r="A872" s="8"/>
      <c r="B872" s="11"/>
      <c r="C872" s="8" t="str">
        <f>IFERROR(__xludf.DUMMYFUNCTION("IF(A872="""","""",TEXTJOIN(CHAR(10),TRUE,FILTER('Tổng hợp 75 trang đích'!$B$2:$B$2505,'Tổng hợp 75 trang đích'!$I$2:$I$2505=A872)))"),"")</f>
        <v/>
      </c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</row>
    <row r="873">
      <c r="A873" s="8"/>
      <c r="B873" s="11"/>
      <c r="C873" s="8" t="str">
        <f>IFERROR(__xludf.DUMMYFUNCTION("IF(A873="""","""",TEXTJOIN(CHAR(10),TRUE,FILTER('Tổng hợp 75 trang đích'!$B$2:$B$2505,'Tổng hợp 75 trang đích'!$I$2:$I$2505=A873)))"),"")</f>
        <v/>
      </c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</row>
    <row r="874">
      <c r="A874" s="8"/>
      <c r="B874" s="11"/>
      <c r="C874" s="8" t="str">
        <f>IFERROR(__xludf.DUMMYFUNCTION("IF(A874="""","""",TEXTJOIN(CHAR(10),TRUE,FILTER('Tổng hợp 75 trang đích'!$B$2:$B$2505,'Tổng hợp 75 trang đích'!$I$2:$I$2505=A874)))"),"")</f>
        <v/>
      </c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</row>
    <row r="875">
      <c r="A875" s="8"/>
      <c r="B875" s="11"/>
      <c r="C875" s="8" t="str">
        <f>IFERROR(__xludf.DUMMYFUNCTION("IF(A875="""","""",TEXTJOIN(CHAR(10),TRUE,FILTER('Tổng hợp 75 trang đích'!$B$2:$B$2505,'Tổng hợp 75 trang đích'!$I$2:$I$2505=A875)))"),"")</f>
        <v/>
      </c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</row>
    <row r="876">
      <c r="A876" s="8"/>
      <c r="B876" s="11"/>
      <c r="C876" s="8" t="str">
        <f>IFERROR(__xludf.DUMMYFUNCTION("IF(A876="""","""",TEXTJOIN(CHAR(10),TRUE,FILTER('Tổng hợp 75 trang đích'!$B$2:$B$2505,'Tổng hợp 75 trang đích'!$I$2:$I$2505=A876)))"),"")</f>
        <v/>
      </c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</row>
    <row r="877">
      <c r="A877" s="8"/>
      <c r="B877" s="11"/>
      <c r="C877" s="8" t="str">
        <f>IFERROR(__xludf.DUMMYFUNCTION("IF(A877="""","""",TEXTJOIN(CHAR(10),TRUE,FILTER('Tổng hợp 75 trang đích'!$B$2:$B$2505,'Tổng hợp 75 trang đích'!$I$2:$I$2505=A877)))"),"")</f>
        <v/>
      </c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</row>
    <row r="878">
      <c r="A878" s="8"/>
      <c r="B878" s="11"/>
      <c r="C878" s="8" t="str">
        <f>IFERROR(__xludf.DUMMYFUNCTION("IF(A878="""","""",TEXTJOIN(CHAR(10),TRUE,FILTER('Tổng hợp 75 trang đích'!$B$2:$B$2505,'Tổng hợp 75 trang đích'!$I$2:$I$2505=A878)))"),"")</f>
        <v/>
      </c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</row>
    <row r="879">
      <c r="A879" s="8"/>
      <c r="B879" s="11"/>
      <c r="C879" s="8" t="str">
        <f>IFERROR(__xludf.DUMMYFUNCTION("IF(A879="""","""",TEXTJOIN(CHAR(10),TRUE,FILTER('Tổng hợp 75 trang đích'!$B$2:$B$2505,'Tổng hợp 75 trang đích'!$I$2:$I$2505=A879)))"),"")</f>
        <v/>
      </c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</row>
    <row r="880">
      <c r="A880" s="8"/>
      <c r="B880" s="11"/>
      <c r="C880" s="8" t="str">
        <f>IFERROR(__xludf.DUMMYFUNCTION("IF(A880="""","""",TEXTJOIN(CHAR(10),TRUE,FILTER('Tổng hợp 75 trang đích'!$B$2:$B$2505,'Tổng hợp 75 trang đích'!$I$2:$I$2505=A880)))"),"")</f>
        <v/>
      </c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</row>
    <row r="881">
      <c r="A881" s="8"/>
      <c r="B881" s="11"/>
      <c r="C881" s="8" t="str">
        <f>IFERROR(__xludf.DUMMYFUNCTION("IF(A881="""","""",TEXTJOIN(CHAR(10),TRUE,FILTER('Tổng hợp 75 trang đích'!$B$2:$B$2505,'Tổng hợp 75 trang đích'!$I$2:$I$2505=A881)))"),"")</f>
        <v/>
      </c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</row>
    <row r="882">
      <c r="A882" s="8"/>
      <c r="B882" s="11"/>
      <c r="C882" s="8" t="str">
        <f>IFERROR(__xludf.DUMMYFUNCTION("IF(A882="""","""",TEXTJOIN(CHAR(10),TRUE,FILTER('Tổng hợp 75 trang đích'!$B$2:$B$2505,'Tổng hợp 75 trang đích'!$I$2:$I$2505=A882)))"),"")</f>
        <v/>
      </c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</row>
    <row r="883">
      <c r="A883" s="8"/>
      <c r="B883" s="11"/>
      <c r="C883" s="8" t="str">
        <f>IFERROR(__xludf.DUMMYFUNCTION("IF(A883="""","""",TEXTJOIN(CHAR(10),TRUE,FILTER('Tổng hợp 75 trang đích'!$B$2:$B$2505,'Tổng hợp 75 trang đích'!$I$2:$I$2505=A883)))"),"")</f>
        <v/>
      </c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</row>
    <row r="884">
      <c r="A884" s="8"/>
      <c r="B884" s="11"/>
      <c r="C884" s="8" t="str">
        <f>IFERROR(__xludf.DUMMYFUNCTION("IF(A884="""","""",TEXTJOIN(CHAR(10),TRUE,FILTER('Tổng hợp 75 trang đích'!$B$2:$B$2505,'Tổng hợp 75 trang đích'!$I$2:$I$2505=A884)))"),"")</f>
        <v/>
      </c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</row>
    <row r="885">
      <c r="A885" s="8"/>
      <c r="B885" s="11"/>
      <c r="C885" s="8" t="str">
        <f>IFERROR(__xludf.DUMMYFUNCTION("IF(A885="""","""",TEXTJOIN(CHAR(10),TRUE,FILTER('Tổng hợp 75 trang đích'!$B$2:$B$2505,'Tổng hợp 75 trang đích'!$I$2:$I$2505=A885)))"),"")</f>
        <v/>
      </c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</row>
    <row r="886">
      <c r="A886" s="8"/>
      <c r="B886" s="11"/>
      <c r="C886" s="8" t="str">
        <f>IFERROR(__xludf.DUMMYFUNCTION("IF(A886="""","""",TEXTJOIN(CHAR(10),TRUE,FILTER('Tổng hợp 75 trang đích'!$B$2:$B$2505,'Tổng hợp 75 trang đích'!$I$2:$I$2505=A886)))"),"")</f>
        <v/>
      </c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</row>
    <row r="887">
      <c r="A887" s="8"/>
      <c r="B887" s="11"/>
      <c r="C887" s="8" t="str">
        <f>IFERROR(__xludf.DUMMYFUNCTION("IF(A887="""","""",TEXTJOIN(CHAR(10),TRUE,FILTER('Tổng hợp 75 trang đích'!$B$2:$B$2505,'Tổng hợp 75 trang đích'!$I$2:$I$2505=A887)))"),"")</f>
        <v/>
      </c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</row>
    <row r="888">
      <c r="A888" s="8"/>
      <c r="B888" s="11"/>
      <c r="C888" s="8" t="str">
        <f>IFERROR(__xludf.DUMMYFUNCTION("IF(A888="""","""",TEXTJOIN(CHAR(10),TRUE,FILTER('Tổng hợp 75 trang đích'!$B$2:$B$2505,'Tổng hợp 75 trang đích'!$I$2:$I$2505=A888)))"),"")</f>
        <v/>
      </c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</row>
    <row r="889">
      <c r="A889" s="8"/>
      <c r="B889" s="11"/>
      <c r="C889" s="8" t="str">
        <f>IFERROR(__xludf.DUMMYFUNCTION("IF(A889="""","""",TEXTJOIN(CHAR(10),TRUE,FILTER('Tổng hợp 75 trang đích'!$B$2:$B$2505,'Tổng hợp 75 trang đích'!$I$2:$I$2505=A889)))"),"")</f>
        <v/>
      </c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</row>
    <row r="890">
      <c r="A890" s="8"/>
      <c r="B890" s="11"/>
      <c r="C890" s="8" t="str">
        <f>IFERROR(__xludf.DUMMYFUNCTION("IF(A890="""","""",TEXTJOIN(CHAR(10),TRUE,FILTER('Tổng hợp 75 trang đích'!$B$2:$B$2505,'Tổng hợp 75 trang đích'!$I$2:$I$2505=A890)))"),"")</f>
        <v/>
      </c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</row>
    <row r="891">
      <c r="A891" s="8"/>
      <c r="B891" s="11"/>
      <c r="C891" s="8" t="str">
        <f>IFERROR(__xludf.DUMMYFUNCTION("IF(A891="""","""",TEXTJOIN(CHAR(10),TRUE,FILTER('Tổng hợp 75 trang đích'!$B$2:$B$2505,'Tổng hợp 75 trang đích'!$I$2:$I$2505=A891)))"),"")</f>
        <v/>
      </c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</row>
    <row r="892">
      <c r="A892" s="8"/>
      <c r="B892" s="11"/>
      <c r="C892" s="8" t="str">
        <f>IFERROR(__xludf.DUMMYFUNCTION("IF(A892="""","""",TEXTJOIN(CHAR(10),TRUE,FILTER('Tổng hợp 75 trang đích'!$B$2:$B$2505,'Tổng hợp 75 trang đích'!$I$2:$I$2505=A892)))"),"")</f>
        <v/>
      </c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</row>
    <row r="893">
      <c r="A893" s="8"/>
      <c r="B893" s="11"/>
      <c r="C893" s="8" t="str">
        <f>IFERROR(__xludf.DUMMYFUNCTION("IF(A893="""","""",TEXTJOIN(CHAR(10),TRUE,FILTER('Tổng hợp 75 trang đích'!$B$2:$B$2505,'Tổng hợp 75 trang đích'!$I$2:$I$2505=A893)))"),"")</f>
        <v/>
      </c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</row>
    <row r="894">
      <c r="A894" s="8"/>
      <c r="B894" s="11"/>
      <c r="C894" s="8" t="str">
        <f>IFERROR(__xludf.DUMMYFUNCTION("IF(A894="""","""",TEXTJOIN(CHAR(10),TRUE,FILTER('Tổng hợp 75 trang đích'!$B$2:$B$2505,'Tổng hợp 75 trang đích'!$I$2:$I$2505=A894)))"),"")</f>
        <v/>
      </c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</row>
    <row r="895">
      <c r="A895" s="8"/>
      <c r="B895" s="11"/>
      <c r="C895" s="8" t="str">
        <f>IFERROR(__xludf.DUMMYFUNCTION("IF(A895="""","""",TEXTJOIN(CHAR(10),TRUE,FILTER('Tổng hợp 75 trang đích'!$B$2:$B$2505,'Tổng hợp 75 trang đích'!$I$2:$I$2505=A895)))"),"")</f>
        <v/>
      </c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</row>
    <row r="896">
      <c r="A896" s="8"/>
      <c r="B896" s="11"/>
      <c r="C896" s="8" t="str">
        <f>IFERROR(__xludf.DUMMYFUNCTION("IF(A896="""","""",TEXTJOIN(CHAR(10),TRUE,FILTER('Tổng hợp 75 trang đích'!$B$2:$B$2505,'Tổng hợp 75 trang đích'!$I$2:$I$2505=A896)))"),"")</f>
        <v/>
      </c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</row>
    <row r="897">
      <c r="A897" s="8"/>
      <c r="B897" s="11"/>
      <c r="C897" s="8" t="str">
        <f>IFERROR(__xludf.DUMMYFUNCTION("IF(A897="""","""",TEXTJOIN(CHAR(10),TRUE,FILTER('Tổng hợp 75 trang đích'!$B$2:$B$2505,'Tổng hợp 75 trang đích'!$I$2:$I$2505=A897)))"),"")</f>
        <v/>
      </c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</row>
    <row r="898">
      <c r="A898" s="8"/>
      <c r="B898" s="11"/>
      <c r="C898" s="8" t="str">
        <f>IFERROR(__xludf.DUMMYFUNCTION("IF(A898="""","""",TEXTJOIN(CHAR(10),TRUE,FILTER('Tổng hợp 75 trang đích'!$B$2:$B$2505,'Tổng hợp 75 trang đích'!$I$2:$I$2505=A898)))"),"")</f>
        <v/>
      </c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</row>
    <row r="899">
      <c r="A899" s="8"/>
      <c r="B899" s="11"/>
      <c r="C899" s="8" t="str">
        <f>IFERROR(__xludf.DUMMYFUNCTION("IF(A899="""","""",TEXTJOIN(CHAR(10),TRUE,FILTER('Tổng hợp 75 trang đích'!$B$2:$B$2505,'Tổng hợp 75 trang đích'!$I$2:$I$2505=A899)))"),"")</f>
        <v/>
      </c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</row>
    <row r="900">
      <c r="A900" s="8"/>
      <c r="B900" s="11"/>
      <c r="C900" s="8" t="str">
        <f>IFERROR(__xludf.DUMMYFUNCTION("IF(A900="""","""",TEXTJOIN(CHAR(10),TRUE,FILTER('Tổng hợp 75 trang đích'!$B$2:$B$2505,'Tổng hợp 75 trang đích'!$I$2:$I$2505=A900)))"),"")</f>
        <v/>
      </c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</row>
    <row r="901">
      <c r="A901" s="8"/>
      <c r="B901" s="11"/>
      <c r="C901" s="8" t="str">
        <f>IFERROR(__xludf.DUMMYFUNCTION("IF(A901="""","""",TEXTJOIN(CHAR(10),TRUE,FILTER('Tổng hợp 75 trang đích'!$B$2:$B$2505,'Tổng hợp 75 trang đích'!$I$2:$I$2505=A901)))"),"")</f>
        <v/>
      </c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</row>
    <row r="902">
      <c r="A902" s="8"/>
      <c r="B902" s="11"/>
      <c r="C902" s="8" t="str">
        <f>IFERROR(__xludf.DUMMYFUNCTION("IF(A902="""","""",TEXTJOIN(CHAR(10),TRUE,FILTER('Tổng hợp 75 trang đích'!$B$2:$B$2505,'Tổng hợp 75 trang đích'!$I$2:$I$2505=A902)))"),"")</f>
        <v/>
      </c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</row>
    <row r="903">
      <c r="A903" s="8"/>
      <c r="B903" s="11"/>
      <c r="C903" s="8" t="str">
        <f>IFERROR(__xludf.DUMMYFUNCTION("IF(A903="""","""",TEXTJOIN(CHAR(10),TRUE,FILTER('Tổng hợp 75 trang đích'!$B$2:$B$2505,'Tổng hợp 75 trang đích'!$I$2:$I$2505=A903)))"),"")</f>
        <v/>
      </c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</row>
    <row r="904">
      <c r="A904" s="8"/>
      <c r="B904" s="11"/>
      <c r="C904" s="8" t="str">
        <f>IFERROR(__xludf.DUMMYFUNCTION("IF(A904="""","""",TEXTJOIN(CHAR(10),TRUE,FILTER('Tổng hợp 75 trang đích'!$B$2:$B$2505,'Tổng hợp 75 trang đích'!$I$2:$I$2505=A904)))"),"")</f>
        <v/>
      </c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</row>
    <row r="905">
      <c r="A905" s="8"/>
      <c r="B905" s="11"/>
      <c r="C905" s="8" t="str">
        <f>IFERROR(__xludf.DUMMYFUNCTION("IF(A905="""","""",TEXTJOIN(CHAR(10),TRUE,FILTER('Tổng hợp 75 trang đích'!$B$2:$B$2505,'Tổng hợp 75 trang đích'!$I$2:$I$2505=A905)))"),"")</f>
        <v/>
      </c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</row>
    <row r="906">
      <c r="A906" s="8"/>
      <c r="B906" s="11"/>
      <c r="C906" s="8" t="str">
        <f>IFERROR(__xludf.DUMMYFUNCTION("IF(A906="""","""",TEXTJOIN(CHAR(10),TRUE,FILTER('Tổng hợp 75 trang đích'!$B$2:$B$2505,'Tổng hợp 75 trang đích'!$I$2:$I$2505=A906)))"),"")</f>
        <v/>
      </c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</row>
    <row r="907">
      <c r="A907" s="8"/>
      <c r="B907" s="11"/>
      <c r="C907" s="8" t="str">
        <f>IFERROR(__xludf.DUMMYFUNCTION("IF(A907="""","""",TEXTJOIN(CHAR(10),TRUE,FILTER('Tổng hợp 75 trang đích'!$B$2:$B$2505,'Tổng hợp 75 trang đích'!$I$2:$I$2505=A907)))"),"")</f>
        <v/>
      </c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</row>
    <row r="908">
      <c r="A908" s="8"/>
      <c r="B908" s="11"/>
      <c r="C908" s="8" t="str">
        <f>IFERROR(__xludf.DUMMYFUNCTION("IF(A908="""","""",TEXTJOIN(CHAR(10),TRUE,FILTER('Tổng hợp 75 trang đích'!$B$2:$B$2505,'Tổng hợp 75 trang đích'!$I$2:$I$2505=A908)))"),"")</f>
        <v/>
      </c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</row>
    <row r="909">
      <c r="A909" s="8"/>
      <c r="B909" s="11"/>
      <c r="C909" s="8" t="str">
        <f>IFERROR(__xludf.DUMMYFUNCTION("IF(A909="""","""",TEXTJOIN(CHAR(10),TRUE,FILTER('Tổng hợp 75 trang đích'!$B$2:$B$2505,'Tổng hợp 75 trang đích'!$I$2:$I$2505=A909)))"),"")</f>
        <v/>
      </c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</row>
    <row r="910">
      <c r="A910" s="8"/>
      <c r="B910" s="11"/>
      <c r="C910" s="8" t="str">
        <f>IFERROR(__xludf.DUMMYFUNCTION("IF(A910="""","""",TEXTJOIN(CHAR(10),TRUE,FILTER('Tổng hợp 75 trang đích'!$B$2:$B$2505,'Tổng hợp 75 trang đích'!$I$2:$I$2505=A910)))"),"")</f>
        <v/>
      </c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</row>
    <row r="911">
      <c r="A911" s="8"/>
      <c r="B911" s="11"/>
      <c r="C911" s="8" t="str">
        <f>IFERROR(__xludf.DUMMYFUNCTION("IF(A911="""","""",TEXTJOIN(CHAR(10),TRUE,FILTER('Tổng hợp 75 trang đích'!$B$2:$B$2505,'Tổng hợp 75 trang đích'!$I$2:$I$2505=A911)))"),"")</f>
        <v/>
      </c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</row>
    <row r="912">
      <c r="A912" s="8"/>
      <c r="B912" s="11"/>
      <c r="C912" s="8" t="str">
        <f>IFERROR(__xludf.DUMMYFUNCTION("IF(A912="""","""",TEXTJOIN(CHAR(10),TRUE,FILTER('Tổng hợp 75 trang đích'!$B$2:$B$2505,'Tổng hợp 75 trang đích'!$I$2:$I$2505=A912)))"),"")</f>
        <v/>
      </c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</row>
    <row r="913">
      <c r="A913" s="8"/>
      <c r="B913" s="11"/>
      <c r="C913" s="8" t="str">
        <f>IFERROR(__xludf.DUMMYFUNCTION("IF(A913="""","""",TEXTJOIN(CHAR(10),TRUE,FILTER('Tổng hợp 75 trang đích'!$B$2:$B$2505,'Tổng hợp 75 trang đích'!$I$2:$I$2505=A913)))"),"")</f>
        <v/>
      </c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</row>
    <row r="914">
      <c r="A914" s="8"/>
      <c r="B914" s="11"/>
      <c r="C914" s="8" t="str">
        <f>IFERROR(__xludf.DUMMYFUNCTION("IF(A914="""","""",TEXTJOIN(CHAR(10),TRUE,FILTER('Tổng hợp 75 trang đích'!$B$2:$B$2505,'Tổng hợp 75 trang đích'!$I$2:$I$2505=A914)))"),"")</f>
        <v/>
      </c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</row>
    <row r="915">
      <c r="A915" s="8"/>
      <c r="B915" s="11"/>
      <c r="C915" s="8" t="str">
        <f>IFERROR(__xludf.DUMMYFUNCTION("IF(A915="""","""",TEXTJOIN(CHAR(10),TRUE,FILTER('Tổng hợp 75 trang đích'!$B$2:$B$2505,'Tổng hợp 75 trang đích'!$I$2:$I$2505=A915)))"),"")</f>
        <v/>
      </c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</row>
    <row r="916">
      <c r="A916" s="8"/>
      <c r="B916" s="11"/>
      <c r="C916" s="8" t="str">
        <f>IFERROR(__xludf.DUMMYFUNCTION("IF(A916="""","""",TEXTJOIN(CHAR(10),TRUE,FILTER('Tổng hợp 75 trang đích'!$B$2:$B$2505,'Tổng hợp 75 trang đích'!$I$2:$I$2505=A916)))"),"")</f>
        <v/>
      </c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</row>
    <row r="917">
      <c r="A917" s="8"/>
      <c r="B917" s="11"/>
      <c r="C917" s="8" t="str">
        <f>IFERROR(__xludf.DUMMYFUNCTION("IF(A917="""","""",TEXTJOIN(CHAR(10),TRUE,FILTER('Tổng hợp 75 trang đích'!$B$2:$B$2505,'Tổng hợp 75 trang đích'!$I$2:$I$2505=A917)))"),"")</f>
        <v/>
      </c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</row>
    <row r="918">
      <c r="A918" s="8"/>
      <c r="B918" s="11"/>
      <c r="C918" s="8" t="str">
        <f>IFERROR(__xludf.DUMMYFUNCTION("IF(A918="""","""",TEXTJOIN(CHAR(10),TRUE,FILTER('Tổng hợp 75 trang đích'!$B$2:$B$2505,'Tổng hợp 75 trang đích'!$I$2:$I$2505=A918)))"),"")</f>
        <v/>
      </c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</row>
    <row r="919">
      <c r="A919" s="8"/>
      <c r="B919" s="11"/>
      <c r="C919" s="8" t="str">
        <f>IFERROR(__xludf.DUMMYFUNCTION("IF(A919="""","""",TEXTJOIN(CHAR(10),TRUE,FILTER('Tổng hợp 75 trang đích'!$B$2:$B$2505,'Tổng hợp 75 trang đích'!$I$2:$I$2505=A919)))"),"")</f>
        <v/>
      </c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</row>
    <row r="920">
      <c r="A920" s="8"/>
      <c r="B920" s="11"/>
      <c r="C920" s="8" t="str">
        <f>IFERROR(__xludf.DUMMYFUNCTION("IF(A920="""","""",TEXTJOIN(CHAR(10),TRUE,FILTER('Tổng hợp 75 trang đích'!$B$2:$B$2505,'Tổng hợp 75 trang đích'!$I$2:$I$2505=A920)))"),"")</f>
        <v/>
      </c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</row>
    <row r="921">
      <c r="A921" s="8"/>
      <c r="B921" s="11"/>
      <c r="C921" s="8" t="str">
        <f>IFERROR(__xludf.DUMMYFUNCTION("IF(A921="""","""",TEXTJOIN(CHAR(10),TRUE,FILTER('Tổng hợp 75 trang đích'!$B$2:$B$2505,'Tổng hợp 75 trang đích'!$I$2:$I$2505=A921)))"),"")</f>
        <v/>
      </c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</row>
    <row r="922">
      <c r="A922" s="8"/>
      <c r="B922" s="11"/>
      <c r="C922" s="8" t="str">
        <f>IFERROR(__xludf.DUMMYFUNCTION("IF(A922="""","""",TEXTJOIN(CHAR(10),TRUE,FILTER('Tổng hợp 75 trang đích'!$B$2:$B$2505,'Tổng hợp 75 trang đích'!$I$2:$I$2505=A922)))"),"")</f>
        <v/>
      </c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</row>
    <row r="923">
      <c r="A923" s="8"/>
      <c r="B923" s="11"/>
      <c r="C923" s="8" t="str">
        <f>IFERROR(__xludf.DUMMYFUNCTION("IF(A923="""","""",TEXTJOIN(CHAR(10),TRUE,FILTER('Tổng hợp 75 trang đích'!$B$2:$B$2505,'Tổng hợp 75 trang đích'!$I$2:$I$2505=A923)))"),"")</f>
        <v/>
      </c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</row>
    <row r="924">
      <c r="A924" s="8"/>
      <c r="B924" s="11"/>
      <c r="C924" s="8" t="str">
        <f>IFERROR(__xludf.DUMMYFUNCTION("IF(A924="""","""",TEXTJOIN(CHAR(10),TRUE,FILTER('Tổng hợp 75 trang đích'!$B$2:$B$2505,'Tổng hợp 75 trang đích'!$I$2:$I$2505=A924)))"),"")</f>
        <v/>
      </c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</row>
    <row r="925">
      <c r="A925" s="8"/>
      <c r="B925" s="11"/>
      <c r="C925" s="8" t="str">
        <f>IFERROR(__xludf.DUMMYFUNCTION("IF(A925="""","""",TEXTJOIN(CHAR(10),TRUE,FILTER('Tổng hợp 75 trang đích'!$B$2:$B$2505,'Tổng hợp 75 trang đích'!$I$2:$I$2505=A925)))"),"")</f>
        <v/>
      </c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</row>
    <row r="926">
      <c r="A926" s="8"/>
      <c r="B926" s="11"/>
      <c r="C926" s="8" t="str">
        <f>IFERROR(__xludf.DUMMYFUNCTION("IF(A926="""","""",TEXTJOIN(CHAR(10),TRUE,FILTER('Tổng hợp 75 trang đích'!$B$2:$B$2505,'Tổng hợp 75 trang đích'!$I$2:$I$2505=A926)))"),"")</f>
        <v/>
      </c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</row>
    <row r="927">
      <c r="A927" s="8"/>
      <c r="B927" s="11"/>
      <c r="C927" s="8" t="str">
        <f>IFERROR(__xludf.DUMMYFUNCTION("IF(A927="""","""",TEXTJOIN(CHAR(10),TRUE,FILTER('Tổng hợp 75 trang đích'!$B$2:$B$2505,'Tổng hợp 75 trang đích'!$I$2:$I$2505=A927)))"),"")</f>
        <v/>
      </c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</row>
    <row r="928">
      <c r="A928" s="8"/>
      <c r="B928" s="11"/>
      <c r="C928" s="8" t="str">
        <f>IFERROR(__xludf.DUMMYFUNCTION("IF(A928="""","""",TEXTJOIN(CHAR(10),TRUE,FILTER('Tổng hợp 75 trang đích'!$B$2:$B$2505,'Tổng hợp 75 trang đích'!$I$2:$I$2505=A928)))"),"")</f>
        <v/>
      </c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</row>
    <row r="929">
      <c r="A929" s="8"/>
      <c r="B929" s="11"/>
      <c r="C929" s="8" t="str">
        <f>IFERROR(__xludf.DUMMYFUNCTION("IF(A929="""","""",TEXTJOIN(CHAR(10),TRUE,FILTER('Tổng hợp 75 trang đích'!$B$2:$B$2505,'Tổng hợp 75 trang đích'!$I$2:$I$2505=A929)))"),"")</f>
        <v/>
      </c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</row>
    <row r="930">
      <c r="A930" s="8"/>
      <c r="B930" s="11"/>
      <c r="C930" s="8" t="str">
        <f>IFERROR(__xludf.DUMMYFUNCTION("IF(A930="""","""",TEXTJOIN(CHAR(10),TRUE,FILTER('Tổng hợp 75 trang đích'!$B$2:$B$2505,'Tổng hợp 75 trang đích'!$I$2:$I$2505=A930)))"),"")</f>
        <v/>
      </c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</row>
    <row r="931">
      <c r="A931" s="8"/>
      <c r="B931" s="11"/>
      <c r="C931" s="8" t="str">
        <f>IFERROR(__xludf.DUMMYFUNCTION("IF(A931="""","""",TEXTJOIN(CHAR(10),TRUE,FILTER('Tổng hợp 75 trang đích'!$B$2:$B$2505,'Tổng hợp 75 trang đích'!$I$2:$I$2505=A931)))"),"")</f>
        <v/>
      </c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</row>
    <row r="932">
      <c r="A932" s="8"/>
      <c r="B932" s="11"/>
      <c r="C932" s="8" t="str">
        <f>IFERROR(__xludf.DUMMYFUNCTION("IF(A932="""","""",TEXTJOIN(CHAR(10),TRUE,FILTER('Tổng hợp 75 trang đích'!$B$2:$B$2505,'Tổng hợp 75 trang đích'!$I$2:$I$2505=A932)))"),"")</f>
        <v/>
      </c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</row>
    <row r="933">
      <c r="A933" s="8"/>
      <c r="B933" s="11"/>
      <c r="C933" s="8" t="str">
        <f>IFERROR(__xludf.DUMMYFUNCTION("IF(A933="""","""",TEXTJOIN(CHAR(10),TRUE,FILTER('Tổng hợp 75 trang đích'!$B$2:$B$2505,'Tổng hợp 75 trang đích'!$I$2:$I$2505=A933)))"),"")</f>
        <v/>
      </c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</row>
    <row r="934">
      <c r="A934" s="8"/>
      <c r="B934" s="11"/>
      <c r="C934" s="8" t="str">
        <f>IFERROR(__xludf.DUMMYFUNCTION("IF(A934="""","""",TEXTJOIN(CHAR(10),TRUE,FILTER('Tổng hợp 75 trang đích'!$B$2:$B$2505,'Tổng hợp 75 trang đích'!$I$2:$I$2505=A934)))"),"")</f>
        <v/>
      </c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</row>
    <row r="935">
      <c r="A935" s="8"/>
      <c r="B935" s="11"/>
      <c r="C935" s="8" t="str">
        <f>IFERROR(__xludf.DUMMYFUNCTION("IF(A935="""","""",TEXTJOIN(CHAR(10),TRUE,FILTER('Tổng hợp 75 trang đích'!$B$2:$B$2505,'Tổng hợp 75 trang đích'!$I$2:$I$2505=A935)))"),"")</f>
        <v/>
      </c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</row>
    <row r="936">
      <c r="A936" s="8"/>
      <c r="B936" s="11"/>
      <c r="C936" s="8" t="str">
        <f>IFERROR(__xludf.DUMMYFUNCTION("IF(A936="""","""",TEXTJOIN(CHAR(10),TRUE,FILTER('Tổng hợp 75 trang đích'!$B$2:$B$2505,'Tổng hợp 75 trang đích'!$I$2:$I$2505=A936)))"),"")</f>
        <v/>
      </c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</row>
    <row r="937">
      <c r="A937" s="8"/>
      <c r="B937" s="11"/>
      <c r="C937" s="8" t="str">
        <f>IFERROR(__xludf.DUMMYFUNCTION("IF(A937="""","""",TEXTJOIN(CHAR(10),TRUE,FILTER('Tổng hợp 75 trang đích'!$B$2:$B$2505,'Tổng hợp 75 trang đích'!$I$2:$I$2505=A937)))"),"")</f>
        <v/>
      </c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</row>
    <row r="938">
      <c r="A938" s="8"/>
      <c r="B938" s="11"/>
      <c r="C938" s="8" t="str">
        <f>IFERROR(__xludf.DUMMYFUNCTION("IF(A938="""","""",TEXTJOIN(CHAR(10),TRUE,FILTER('Tổng hợp 75 trang đích'!$B$2:$B$2505,'Tổng hợp 75 trang đích'!$I$2:$I$2505=A938)))"),"")</f>
        <v/>
      </c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</row>
    <row r="939">
      <c r="A939" s="8"/>
      <c r="B939" s="11"/>
      <c r="C939" s="8" t="str">
        <f>IFERROR(__xludf.DUMMYFUNCTION("IF(A939="""","""",TEXTJOIN(CHAR(10),TRUE,FILTER('Tổng hợp 75 trang đích'!$B$2:$B$2505,'Tổng hợp 75 trang đích'!$I$2:$I$2505=A939)))"),"")</f>
        <v/>
      </c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</row>
    <row r="940">
      <c r="A940" s="8"/>
      <c r="B940" s="11"/>
      <c r="C940" s="8" t="str">
        <f>IFERROR(__xludf.DUMMYFUNCTION("IF(A940="""","""",TEXTJOIN(CHAR(10),TRUE,FILTER('Tổng hợp 75 trang đích'!$B$2:$B$2505,'Tổng hợp 75 trang đích'!$I$2:$I$2505=A940)))"),"")</f>
        <v/>
      </c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</row>
    <row r="941">
      <c r="A941" s="8"/>
      <c r="B941" s="11"/>
      <c r="C941" s="8" t="str">
        <f>IFERROR(__xludf.DUMMYFUNCTION("IF(A941="""","""",TEXTJOIN(CHAR(10),TRUE,FILTER('Tổng hợp 75 trang đích'!$B$2:$B$2505,'Tổng hợp 75 trang đích'!$I$2:$I$2505=A941)))"),"")</f>
        <v/>
      </c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</row>
    <row r="942">
      <c r="A942" s="8"/>
      <c r="B942" s="11"/>
      <c r="C942" s="8" t="str">
        <f>IFERROR(__xludf.DUMMYFUNCTION("IF(A942="""","""",TEXTJOIN(CHAR(10),TRUE,FILTER('Tổng hợp 75 trang đích'!$B$2:$B$2505,'Tổng hợp 75 trang đích'!$I$2:$I$2505=A942)))"),"")</f>
        <v/>
      </c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</row>
    <row r="943">
      <c r="A943" s="8"/>
      <c r="B943" s="11"/>
      <c r="C943" s="8" t="str">
        <f>IFERROR(__xludf.DUMMYFUNCTION("IF(A943="""","""",TEXTJOIN(CHAR(10),TRUE,FILTER('Tổng hợp 75 trang đích'!$B$2:$B$2505,'Tổng hợp 75 trang đích'!$I$2:$I$2505=A943)))"),"")</f>
        <v/>
      </c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</row>
    <row r="944">
      <c r="A944" s="8"/>
      <c r="B944" s="11"/>
      <c r="C944" s="8" t="str">
        <f>IFERROR(__xludf.DUMMYFUNCTION("IF(A944="""","""",TEXTJOIN(CHAR(10),TRUE,FILTER('Tổng hợp 75 trang đích'!$B$2:$B$2505,'Tổng hợp 75 trang đích'!$I$2:$I$2505=A944)))"),"")</f>
        <v/>
      </c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</row>
    <row r="945">
      <c r="A945" s="8"/>
      <c r="B945" s="11"/>
      <c r="C945" s="8" t="str">
        <f>IFERROR(__xludf.DUMMYFUNCTION("IF(A945="""","""",TEXTJOIN(CHAR(10),TRUE,FILTER('Tổng hợp 75 trang đích'!$B$2:$B$2505,'Tổng hợp 75 trang đích'!$I$2:$I$2505=A945)))"),"")</f>
        <v/>
      </c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</row>
    <row r="946">
      <c r="A946" s="8"/>
      <c r="B946" s="11"/>
      <c r="C946" s="8" t="str">
        <f>IFERROR(__xludf.DUMMYFUNCTION("IF(A946="""","""",TEXTJOIN(CHAR(10),TRUE,FILTER('Tổng hợp 75 trang đích'!$B$2:$B$2505,'Tổng hợp 75 trang đích'!$I$2:$I$2505=A946)))"),"")</f>
        <v/>
      </c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</row>
    <row r="947">
      <c r="A947" s="8"/>
      <c r="B947" s="11"/>
      <c r="C947" s="8" t="str">
        <f>IFERROR(__xludf.DUMMYFUNCTION("IF(A947="""","""",TEXTJOIN(CHAR(10),TRUE,FILTER('Tổng hợp 75 trang đích'!$B$2:$B$2505,'Tổng hợp 75 trang đích'!$I$2:$I$2505=A947)))"),"")</f>
        <v/>
      </c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</row>
    <row r="948">
      <c r="A948" s="8"/>
      <c r="B948" s="11"/>
      <c r="C948" s="8" t="str">
        <f>IFERROR(__xludf.DUMMYFUNCTION("IF(A948="""","""",TEXTJOIN(CHAR(10),TRUE,FILTER('Tổng hợp 75 trang đích'!$B$2:$B$2505,'Tổng hợp 75 trang đích'!$I$2:$I$2505=A948)))"),"")</f>
        <v/>
      </c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</row>
    <row r="949">
      <c r="A949" s="8"/>
      <c r="B949" s="11"/>
      <c r="C949" s="8" t="str">
        <f>IFERROR(__xludf.DUMMYFUNCTION("IF(A949="""","""",TEXTJOIN(CHAR(10),TRUE,FILTER('Tổng hợp 75 trang đích'!$B$2:$B$2505,'Tổng hợp 75 trang đích'!$I$2:$I$2505=A949)))"),"")</f>
        <v/>
      </c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</row>
    <row r="950">
      <c r="A950" s="8"/>
      <c r="B950" s="11"/>
      <c r="C950" s="8" t="str">
        <f>IFERROR(__xludf.DUMMYFUNCTION("IF(A950="""","""",TEXTJOIN(CHAR(10),TRUE,FILTER('Tổng hợp 75 trang đích'!$B$2:$B$2505,'Tổng hợp 75 trang đích'!$I$2:$I$2505=A950)))"),"")</f>
        <v/>
      </c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</row>
    <row r="951">
      <c r="A951" s="8"/>
      <c r="B951" s="11"/>
      <c r="C951" s="8" t="str">
        <f>IFERROR(__xludf.DUMMYFUNCTION("IF(A951="""","""",TEXTJOIN(CHAR(10),TRUE,FILTER('Tổng hợp 75 trang đích'!$B$2:$B$2505,'Tổng hợp 75 trang đích'!$I$2:$I$2505=A951)))"),"")</f>
        <v/>
      </c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</row>
    <row r="952">
      <c r="A952" s="8"/>
      <c r="B952" s="11"/>
      <c r="C952" s="8" t="str">
        <f>IFERROR(__xludf.DUMMYFUNCTION("IF(A952="""","""",TEXTJOIN(CHAR(10),TRUE,FILTER('Tổng hợp 75 trang đích'!$B$2:$B$2505,'Tổng hợp 75 trang đích'!$I$2:$I$2505=A952)))"),"")</f>
        <v/>
      </c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</row>
    <row r="953">
      <c r="A953" s="8"/>
      <c r="B953" s="11"/>
      <c r="C953" s="8" t="str">
        <f>IFERROR(__xludf.DUMMYFUNCTION("IF(A953="""","""",TEXTJOIN(CHAR(10),TRUE,FILTER('Tổng hợp 75 trang đích'!$B$2:$B$2505,'Tổng hợp 75 trang đích'!$I$2:$I$2505=A953)))"),"")</f>
        <v/>
      </c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</row>
    <row r="954">
      <c r="A954" s="8"/>
      <c r="B954" s="11"/>
      <c r="C954" s="8" t="str">
        <f>IFERROR(__xludf.DUMMYFUNCTION("IF(A954="""","""",TEXTJOIN(CHAR(10),TRUE,FILTER('Tổng hợp 75 trang đích'!$B$2:$B$2505,'Tổng hợp 75 trang đích'!$I$2:$I$2505=A954)))"),"")</f>
        <v/>
      </c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</row>
    <row r="955">
      <c r="A955" s="8"/>
      <c r="B955" s="11"/>
      <c r="C955" s="8" t="str">
        <f>IFERROR(__xludf.DUMMYFUNCTION("IF(A955="""","""",TEXTJOIN(CHAR(10),TRUE,FILTER('Tổng hợp 75 trang đích'!$B$2:$B$2505,'Tổng hợp 75 trang đích'!$I$2:$I$2505=A955)))"),"")</f>
        <v/>
      </c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</row>
    <row r="956">
      <c r="A956" s="8"/>
      <c r="B956" s="11"/>
      <c r="C956" s="8" t="str">
        <f>IFERROR(__xludf.DUMMYFUNCTION("IF(A956="""","""",TEXTJOIN(CHAR(10),TRUE,FILTER('Tổng hợp 75 trang đích'!$B$2:$B$2505,'Tổng hợp 75 trang đích'!$I$2:$I$2505=A956)))"),"")</f>
        <v/>
      </c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</row>
    <row r="957">
      <c r="A957" s="8"/>
      <c r="B957" s="11"/>
      <c r="C957" s="8" t="str">
        <f>IFERROR(__xludf.DUMMYFUNCTION("IF(A957="""","""",TEXTJOIN(CHAR(10),TRUE,FILTER('Tổng hợp 75 trang đích'!$B$2:$B$2505,'Tổng hợp 75 trang đích'!$I$2:$I$2505=A957)))"),"")</f>
        <v/>
      </c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</row>
    <row r="958">
      <c r="A958" s="8"/>
      <c r="B958" s="11"/>
      <c r="C958" s="8" t="str">
        <f>IFERROR(__xludf.DUMMYFUNCTION("IF(A958="""","""",TEXTJOIN(CHAR(10),TRUE,FILTER('Tổng hợp 75 trang đích'!$B$2:$B$2505,'Tổng hợp 75 trang đích'!$I$2:$I$2505=A958)))"),"")</f>
        <v/>
      </c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</row>
    <row r="959">
      <c r="A959" s="8"/>
      <c r="B959" s="11"/>
      <c r="C959" s="8" t="str">
        <f>IFERROR(__xludf.DUMMYFUNCTION("IF(A959="""","""",TEXTJOIN(CHAR(10),TRUE,FILTER('Tổng hợp 75 trang đích'!$B$2:$B$2505,'Tổng hợp 75 trang đích'!$I$2:$I$2505=A959)))"),"")</f>
        <v/>
      </c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</row>
    <row r="960">
      <c r="A960" s="8"/>
      <c r="B960" s="11"/>
      <c r="C960" s="8" t="str">
        <f>IFERROR(__xludf.DUMMYFUNCTION("IF(A960="""","""",TEXTJOIN(CHAR(10),TRUE,FILTER('Tổng hợp 75 trang đích'!$B$2:$B$2505,'Tổng hợp 75 trang đích'!$I$2:$I$2505=A960)))"),"")</f>
        <v/>
      </c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</row>
    <row r="961">
      <c r="A961" s="8"/>
      <c r="B961" s="11"/>
      <c r="C961" s="8" t="str">
        <f>IFERROR(__xludf.DUMMYFUNCTION("IF(A961="""","""",TEXTJOIN(CHAR(10),TRUE,FILTER('Tổng hợp 75 trang đích'!$B$2:$B$2505,'Tổng hợp 75 trang đích'!$I$2:$I$2505=A961)))"),"")</f>
        <v/>
      </c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</row>
    <row r="962">
      <c r="A962" s="8"/>
      <c r="B962" s="11"/>
      <c r="C962" s="8" t="str">
        <f>IFERROR(__xludf.DUMMYFUNCTION("IF(A962="""","""",TEXTJOIN(CHAR(10),TRUE,FILTER('Tổng hợp 75 trang đích'!$B$2:$B$2505,'Tổng hợp 75 trang đích'!$I$2:$I$2505=A962)))"),"")</f>
        <v/>
      </c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</row>
    <row r="963">
      <c r="A963" s="8"/>
      <c r="B963" s="11"/>
      <c r="C963" s="8" t="str">
        <f>IFERROR(__xludf.DUMMYFUNCTION("IF(A963="""","""",TEXTJOIN(CHAR(10),TRUE,FILTER('Tổng hợp 75 trang đích'!$B$2:$B$2505,'Tổng hợp 75 trang đích'!$I$2:$I$2505=A963)))"),"")</f>
        <v/>
      </c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</row>
    <row r="964">
      <c r="A964" s="8"/>
      <c r="B964" s="11"/>
      <c r="C964" s="8" t="str">
        <f>IFERROR(__xludf.DUMMYFUNCTION("IF(A964="""","""",TEXTJOIN(CHAR(10),TRUE,FILTER('Tổng hợp 75 trang đích'!$B$2:$B$2505,'Tổng hợp 75 trang đích'!$I$2:$I$2505=A964)))"),"")</f>
        <v/>
      </c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</row>
    <row r="965">
      <c r="A965" s="8"/>
      <c r="B965" s="11"/>
      <c r="C965" s="8" t="str">
        <f>IFERROR(__xludf.DUMMYFUNCTION("IF(A965="""","""",TEXTJOIN(CHAR(10),TRUE,FILTER('Tổng hợp 75 trang đích'!$B$2:$B$2505,'Tổng hợp 75 trang đích'!$I$2:$I$2505=A965)))"),"")</f>
        <v/>
      </c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</row>
    <row r="966">
      <c r="A966" s="8"/>
      <c r="B966" s="11"/>
      <c r="C966" s="8" t="str">
        <f>IFERROR(__xludf.DUMMYFUNCTION("IF(A966="""","""",TEXTJOIN(CHAR(10),TRUE,FILTER('Tổng hợp 75 trang đích'!$B$2:$B$2505,'Tổng hợp 75 trang đích'!$I$2:$I$2505=A966)))"),"")</f>
        <v/>
      </c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</row>
    <row r="967">
      <c r="A967" s="8"/>
      <c r="B967" s="11"/>
      <c r="C967" s="8" t="str">
        <f>IFERROR(__xludf.DUMMYFUNCTION("IF(A967="""","""",TEXTJOIN(CHAR(10),TRUE,FILTER('Tổng hợp 75 trang đích'!$B$2:$B$2505,'Tổng hợp 75 trang đích'!$I$2:$I$2505=A967)))"),"")</f>
        <v/>
      </c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</row>
    <row r="968">
      <c r="A968" s="8"/>
      <c r="B968" s="11"/>
      <c r="C968" s="8" t="str">
        <f>IFERROR(__xludf.DUMMYFUNCTION("IF(A968="""","""",TEXTJOIN(CHAR(10),TRUE,FILTER('Tổng hợp 75 trang đích'!$B$2:$B$2505,'Tổng hợp 75 trang đích'!$I$2:$I$2505=A968)))"),"")</f>
        <v/>
      </c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</row>
    <row r="969">
      <c r="A969" s="8"/>
      <c r="B969" s="11"/>
      <c r="C969" s="8" t="str">
        <f>IFERROR(__xludf.DUMMYFUNCTION("IF(A969="""","""",TEXTJOIN(CHAR(10),TRUE,FILTER('Tổng hợp 75 trang đích'!$B$2:$B$2505,'Tổng hợp 75 trang đích'!$I$2:$I$2505=A969)))"),"")</f>
        <v/>
      </c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</row>
    <row r="970">
      <c r="A970" s="8"/>
      <c r="B970" s="11"/>
      <c r="C970" s="8" t="str">
        <f>IFERROR(__xludf.DUMMYFUNCTION("IF(A970="""","""",TEXTJOIN(CHAR(10),TRUE,FILTER('Tổng hợp 75 trang đích'!$B$2:$B$2505,'Tổng hợp 75 trang đích'!$I$2:$I$2505=A970)))"),"")</f>
        <v/>
      </c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</row>
    <row r="971">
      <c r="A971" s="8"/>
      <c r="B971" s="11"/>
      <c r="C971" s="8" t="str">
        <f>IFERROR(__xludf.DUMMYFUNCTION("IF(A971="""","""",TEXTJOIN(CHAR(10),TRUE,FILTER('Tổng hợp 75 trang đích'!$B$2:$B$2505,'Tổng hợp 75 trang đích'!$I$2:$I$2505=A971)))"),"")</f>
        <v/>
      </c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</row>
    <row r="972">
      <c r="A972" s="8"/>
      <c r="B972" s="11"/>
      <c r="C972" s="8" t="str">
        <f>IFERROR(__xludf.DUMMYFUNCTION("IF(A972="""","""",TEXTJOIN(CHAR(10),TRUE,FILTER('Tổng hợp 75 trang đích'!$B$2:$B$2505,'Tổng hợp 75 trang đích'!$I$2:$I$2505=A972)))"),"")</f>
        <v/>
      </c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</row>
    <row r="973">
      <c r="A973" s="8"/>
      <c r="B973" s="11"/>
      <c r="C973" s="8" t="str">
        <f>IFERROR(__xludf.DUMMYFUNCTION("IF(A973="""","""",TEXTJOIN(CHAR(10),TRUE,FILTER('Tổng hợp 75 trang đích'!$B$2:$B$2505,'Tổng hợp 75 trang đích'!$I$2:$I$2505=A973)))"),"")</f>
        <v/>
      </c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</row>
    <row r="974">
      <c r="A974" s="8"/>
      <c r="B974" s="11"/>
      <c r="C974" s="8" t="str">
        <f>IFERROR(__xludf.DUMMYFUNCTION("IF(A974="""","""",TEXTJOIN(CHAR(10),TRUE,FILTER('Tổng hợp 75 trang đích'!$B$2:$B$2505,'Tổng hợp 75 trang đích'!$I$2:$I$2505=A974)))"),"")</f>
        <v/>
      </c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</row>
    <row r="975">
      <c r="A975" s="8"/>
      <c r="B975" s="11"/>
      <c r="C975" s="8" t="str">
        <f>IFERROR(__xludf.DUMMYFUNCTION("IF(A975="""","""",TEXTJOIN(CHAR(10),TRUE,FILTER('Tổng hợp 75 trang đích'!$B$2:$B$2505,'Tổng hợp 75 trang đích'!$I$2:$I$2505=A975)))"),"")</f>
        <v/>
      </c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</row>
    <row r="976">
      <c r="A976" s="8"/>
      <c r="B976" s="11"/>
      <c r="C976" s="8" t="str">
        <f>IFERROR(__xludf.DUMMYFUNCTION("IF(A976="""","""",TEXTJOIN(CHAR(10),TRUE,FILTER('Tổng hợp 75 trang đích'!$B$2:$B$2505,'Tổng hợp 75 trang đích'!$I$2:$I$2505=A976)))"),"")</f>
        <v/>
      </c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</row>
    <row r="977">
      <c r="A977" s="8"/>
      <c r="B977" s="11"/>
      <c r="C977" s="8" t="str">
        <f>IFERROR(__xludf.DUMMYFUNCTION("IF(A977="""","""",TEXTJOIN(CHAR(10),TRUE,FILTER('Tổng hợp 75 trang đích'!$B$2:$B$2505,'Tổng hợp 75 trang đích'!$I$2:$I$2505=A977)))"),"")</f>
        <v/>
      </c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</row>
    <row r="978">
      <c r="A978" s="8"/>
      <c r="B978" s="11"/>
      <c r="C978" s="8" t="str">
        <f>IFERROR(__xludf.DUMMYFUNCTION("IF(A978="""","""",TEXTJOIN(CHAR(10),TRUE,FILTER('Tổng hợp 75 trang đích'!$B$2:$B$2505,'Tổng hợp 75 trang đích'!$I$2:$I$2505=A978)))"),"")</f>
        <v/>
      </c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</row>
    <row r="979">
      <c r="A979" s="8"/>
      <c r="B979" s="11"/>
      <c r="C979" s="8" t="str">
        <f>IFERROR(__xludf.DUMMYFUNCTION("IF(A979="""","""",TEXTJOIN(CHAR(10),TRUE,FILTER('Tổng hợp 75 trang đích'!$B$2:$B$2505,'Tổng hợp 75 trang đích'!$I$2:$I$2505=A979)))"),"")</f>
        <v/>
      </c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</row>
    <row r="980">
      <c r="A980" s="8"/>
      <c r="B980" s="11"/>
      <c r="C980" s="8" t="str">
        <f>IFERROR(__xludf.DUMMYFUNCTION("IF(A980="""","""",TEXTJOIN(CHAR(10),TRUE,FILTER('Tổng hợp 75 trang đích'!$B$2:$B$2505,'Tổng hợp 75 trang đích'!$I$2:$I$2505=A980)))"),"")</f>
        <v/>
      </c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</row>
    <row r="981">
      <c r="A981" s="8"/>
      <c r="B981" s="11"/>
      <c r="C981" s="8" t="str">
        <f>IFERROR(__xludf.DUMMYFUNCTION("IF(A981="""","""",TEXTJOIN(CHAR(10),TRUE,FILTER('Tổng hợp 75 trang đích'!$B$2:$B$2505,'Tổng hợp 75 trang đích'!$I$2:$I$2505=A981)))"),"")</f>
        <v/>
      </c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</row>
    <row r="982">
      <c r="A982" s="8"/>
      <c r="B982" s="11"/>
      <c r="C982" s="8" t="str">
        <f>IFERROR(__xludf.DUMMYFUNCTION("IF(A982="""","""",TEXTJOIN(CHAR(10),TRUE,FILTER('Tổng hợp 75 trang đích'!$B$2:$B$2505,'Tổng hợp 75 trang đích'!$I$2:$I$2505=A982)))"),"")</f>
        <v/>
      </c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</row>
    <row r="983">
      <c r="A983" s="8"/>
      <c r="B983" s="11"/>
      <c r="C983" s="8" t="str">
        <f>IFERROR(__xludf.DUMMYFUNCTION("IF(A983="""","""",TEXTJOIN(CHAR(10),TRUE,FILTER('Tổng hợp 75 trang đích'!$B$2:$B$2505,'Tổng hợp 75 trang đích'!$I$2:$I$2505=A983)))"),"")</f>
        <v/>
      </c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</row>
    <row r="984">
      <c r="A984" s="8"/>
      <c r="B984" s="11"/>
      <c r="C984" s="8" t="str">
        <f>IFERROR(__xludf.DUMMYFUNCTION("IF(A984="""","""",TEXTJOIN(CHAR(10),TRUE,FILTER('Tổng hợp 75 trang đích'!$B$2:$B$2505,'Tổng hợp 75 trang đích'!$I$2:$I$2505=A984)))"),"")</f>
        <v/>
      </c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</row>
    <row r="985">
      <c r="A985" s="8"/>
      <c r="B985" s="11"/>
      <c r="C985" s="8" t="str">
        <f>IFERROR(__xludf.DUMMYFUNCTION("IF(A985="""","""",TEXTJOIN(CHAR(10),TRUE,FILTER('Tổng hợp 75 trang đích'!$B$2:$B$2505,'Tổng hợp 75 trang đích'!$I$2:$I$2505=A985)))"),"")</f>
        <v/>
      </c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</row>
    <row r="986">
      <c r="A986" s="8"/>
      <c r="B986" s="11"/>
      <c r="C986" s="8" t="str">
        <f>IFERROR(__xludf.DUMMYFUNCTION("IF(A986="""","""",TEXTJOIN(CHAR(10),TRUE,FILTER('Tổng hợp 75 trang đích'!$B$2:$B$2505,'Tổng hợp 75 trang đích'!$I$2:$I$2505=A986)))"),"")</f>
        <v/>
      </c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</row>
    <row r="987">
      <c r="A987" s="8"/>
      <c r="B987" s="11"/>
      <c r="C987" s="8" t="str">
        <f>IFERROR(__xludf.DUMMYFUNCTION("IF(A987="""","""",TEXTJOIN(CHAR(10),TRUE,FILTER('Tổng hợp 75 trang đích'!$B$2:$B$2505,'Tổng hợp 75 trang đích'!$I$2:$I$2505=A987)))"),"")</f>
        <v/>
      </c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</row>
    <row r="988">
      <c r="A988" s="8"/>
      <c r="B988" s="11"/>
      <c r="C988" s="8" t="str">
        <f>IFERROR(__xludf.DUMMYFUNCTION("IF(A988="""","""",TEXTJOIN(CHAR(10),TRUE,FILTER('Tổng hợp 75 trang đích'!$B$2:$B$2505,'Tổng hợp 75 trang đích'!$I$2:$I$2505=A988)))"),"")</f>
        <v/>
      </c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</row>
    <row r="989">
      <c r="A989" s="8"/>
      <c r="B989" s="11"/>
      <c r="C989" s="8" t="str">
        <f>IFERROR(__xludf.DUMMYFUNCTION("IF(A989="""","""",TEXTJOIN(CHAR(10),TRUE,FILTER('Tổng hợp 75 trang đích'!$B$2:$B$2505,'Tổng hợp 75 trang đích'!$I$2:$I$2505=A989)))"),"")</f>
        <v/>
      </c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</row>
    <row r="990">
      <c r="A990" s="8"/>
      <c r="B990" s="11"/>
      <c r="C990" s="8" t="str">
        <f>IFERROR(__xludf.DUMMYFUNCTION("IF(A990="""","""",TEXTJOIN(CHAR(10),TRUE,FILTER('Tổng hợp 75 trang đích'!$B$2:$B$2505,'Tổng hợp 75 trang đích'!$I$2:$I$2505=A990)))"),"")</f>
        <v/>
      </c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</row>
    <row r="991">
      <c r="A991" s="8"/>
      <c r="B991" s="11"/>
      <c r="C991" s="8" t="str">
        <f>IFERROR(__xludf.DUMMYFUNCTION("IF(A991="""","""",TEXTJOIN(CHAR(10),TRUE,FILTER('Tổng hợp 75 trang đích'!$B$2:$B$2505,'Tổng hợp 75 trang đích'!$I$2:$I$2505=A991)))"),"")</f>
        <v/>
      </c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</row>
    <row r="992">
      <c r="A992" s="8"/>
      <c r="B992" s="11"/>
      <c r="C992" s="8" t="str">
        <f>IFERROR(__xludf.DUMMYFUNCTION("IF(A992="""","""",TEXTJOIN(CHAR(10),TRUE,FILTER('Tổng hợp 75 trang đích'!$B$2:$B$2505,'Tổng hợp 75 trang đích'!$I$2:$I$2505=A992)))"),"")</f>
        <v/>
      </c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</row>
    <row r="993">
      <c r="A993" s="8"/>
      <c r="B993" s="11"/>
      <c r="C993" s="8" t="str">
        <f>IFERROR(__xludf.DUMMYFUNCTION("IF(A993="""","""",TEXTJOIN(CHAR(10),TRUE,FILTER('Tổng hợp 75 trang đích'!$B$2:$B$2505,'Tổng hợp 75 trang đích'!$I$2:$I$2505=A993)))"),"")</f>
        <v/>
      </c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</row>
    <row r="994">
      <c r="A994" s="8"/>
      <c r="B994" s="11"/>
      <c r="C994" s="8" t="str">
        <f>IFERROR(__xludf.DUMMYFUNCTION("IF(A994="""","""",TEXTJOIN(CHAR(10),TRUE,FILTER('Tổng hợp 75 trang đích'!$B$2:$B$2505,'Tổng hợp 75 trang đích'!$I$2:$I$2505=A994)))"),"")</f>
        <v/>
      </c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</row>
    <row r="995">
      <c r="A995" s="8"/>
      <c r="B995" s="11"/>
      <c r="C995" s="8" t="str">
        <f>IFERROR(__xludf.DUMMYFUNCTION("IF(A995="""","""",TEXTJOIN(CHAR(10),TRUE,FILTER('Tổng hợp 75 trang đích'!$B$2:$B$2505,'Tổng hợp 75 trang đích'!$I$2:$I$2505=A995)))"),"")</f>
        <v/>
      </c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</row>
    <row r="996">
      <c r="A996" s="8"/>
      <c r="B996" s="11"/>
      <c r="C996" s="8" t="str">
        <f>IFERROR(__xludf.DUMMYFUNCTION("IF(A996="""","""",TEXTJOIN(CHAR(10),TRUE,FILTER('Tổng hợp 75 trang đích'!$B$2:$B$2505,'Tổng hợp 75 trang đích'!$I$2:$I$2505=A996)))"),"")</f>
        <v/>
      </c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</row>
    <row r="997">
      <c r="A997" s="8"/>
      <c r="B997" s="11"/>
      <c r="C997" s="8" t="str">
        <f>IFERROR(__xludf.DUMMYFUNCTION("IF(A997="""","""",TEXTJOIN(CHAR(10),TRUE,FILTER('Tổng hợp 75 trang đích'!$B$2:$B$2505,'Tổng hợp 75 trang đích'!$I$2:$I$2505=A997)))"),"")</f>
        <v/>
      </c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</row>
    <row r="998">
      <c r="A998" s="8"/>
      <c r="B998" s="11"/>
      <c r="C998" s="8" t="str">
        <f>IFERROR(__xludf.DUMMYFUNCTION("IF(A998="""","""",TEXTJOIN(CHAR(10),TRUE,FILTER('Tổng hợp 75 trang đích'!$B$2:$B$2505,'Tổng hợp 75 trang đích'!$I$2:$I$2505=A998)))"),"")</f>
        <v/>
      </c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</row>
    <row r="999">
      <c r="A999" s="8"/>
      <c r="B999" s="11"/>
      <c r="C999" s="8" t="str">
        <f>IFERROR(__xludf.DUMMYFUNCTION("IF(A999="""","""",TEXTJOIN(CHAR(10),TRUE,FILTER('Tổng hợp 75 trang đích'!$B$2:$B$2505,'Tổng hợp 75 trang đích'!$I$2:$I$2505=A999)))"),"")</f>
        <v/>
      </c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</row>
    <row r="1000">
      <c r="A1000" s="8"/>
      <c r="B1000" s="11"/>
      <c r="C1000" s="8" t="str">
        <f>IFERROR(__xludf.DUMMYFUNCTION("IF(A1000="""","""",TEXTJOIN(CHAR(10),TRUE,FILTER('Tổng hợp 75 trang đích'!$B$2:$B$2505,'Tổng hợp 75 trang đích'!$I$2:$I$2505=A1000)))"),"")</f>
        <v/>
      </c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</row>
  </sheetData>
  <autoFilter ref="$A$1:$C$1000"/>
  <hyperlinks>
    <hyperlink r:id="rId1" ref="A3"/>
    <hyperlink r:id="rId2" ref="A4"/>
    <hyperlink r:id="rId3" ref="A5"/>
    <hyperlink r:id="rId4" ref="A6"/>
    <hyperlink r:id="rId5" ref="A7"/>
    <hyperlink r:id="rId6" ref="A8"/>
    <hyperlink r:id="rId7" ref="A9"/>
    <hyperlink r:id="rId8" ref="A10"/>
    <hyperlink r:id="rId9" ref="A11"/>
    <hyperlink r:id="rId10" ref="A12"/>
    <hyperlink r:id="rId11" ref="A13"/>
    <hyperlink r:id="rId12" ref="A14"/>
    <hyperlink r:id="rId13" ref="A15"/>
    <hyperlink r:id="rId14" ref="A16"/>
    <hyperlink r:id="rId15" ref="A17"/>
    <hyperlink r:id="rId16" ref="A18"/>
    <hyperlink r:id="rId17" ref="A19"/>
    <hyperlink r:id="rId18" ref="A20"/>
    <hyperlink r:id="rId19" ref="A21"/>
    <hyperlink r:id="rId20" ref="A22"/>
    <hyperlink r:id="rId21" ref="A23"/>
    <hyperlink r:id="rId22" ref="A24"/>
    <hyperlink r:id="rId23" ref="A25"/>
    <hyperlink r:id="rId24" ref="A26"/>
    <hyperlink r:id="rId25" ref="A27"/>
    <hyperlink r:id="rId26" ref="A28"/>
    <hyperlink r:id="rId27" ref="A29"/>
    <hyperlink r:id="rId28" ref="A30"/>
    <hyperlink r:id="rId29" ref="A31"/>
    <hyperlink r:id="rId30" ref="A32"/>
    <hyperlink r:id="rId31" ref="A33"/>
    <hyperlink r:id="rId32" ref="A34"/>
    <hyperlink r:id="rId33" ref="A35"/>
    <hyperlink r:id="rId34" ref="A36"/>
    <hyperlink r:id="rId35" ref="A37"/>
    <hyperlink r:id="rId36" ref="A38"/>
    <hyperlink r:id="rId37" ref="A39"/>
    <hyperlink r:id="rId38" ref="A40"/>
    <hyperlink r:id="rId39" ref="A41"/>
    <hyperlink r:id="rId40" ref="A42"/>
    <hyperlink r:id="rId41" ref="A43"/>
    <hyperlink r:id="rId42" ref="A44"/>
    <hyperlink r:id="rId43" ref="A45"/>
    <hyperlink r:id="rId44" ref="A46"/>
    <hyperlink r:id="rId45" ref="A47"/>
    <hyperlink r:id="rId46" ref="A48"/>
    <hyperlink r:id="rId47" ref="A49"/>
    <hyperlink r:id="rId48" ref="A50"/>
    <hyperlink r:id="rId49" ref="A51"/>
    <hyperlink r:id="rId50" ref="A52"/>
    <hyperlink r:id="rId51" ref="A53"/>
    <hyperlink r:id="rId52" ref="A54"/>
    <hyperlink r:id="rId53" ref="A55"/>
    <hyperlink r:id="rId54" ref="A56"/>
    <hyperlink r:id="rId55" ref="A57"/>
    <hyperlink r:id="rId56" ref="A58"/>
    <hyperlink r:id="rId57" ref="A59"/>
    <hyperlink r:id="rId58" ref="A60"/>
    <hyperlink r:id="rId59" ref="A61"/>
    <hyperlink r:id="rId60" ref="A62"/>
    <hyperlink r:id="rId61" ref="A63"/>
    <hyperlink r:id="rId62" ref="A64"/>
    <hyperlink r:id="rId63" ref="A65"/>
    <hyperlink r:id="rId64" ref="A66"/>
    <hyperlink r:id="rId65" ref="A67"/>
    <hyperlink r:id="rId66" ref="A68"/>
    <hyperlink r:id="rId67" ref="A69"/>
    <hyperlink r:id="rId68" ref="A70"/>
    <hyperlink r:id="rId69" ref="A71"/>
    <hyperlink r:id="rId70" ref="A72"/>
    <hyperlink r:id="rId71" ref="A73"/>
    <hyperlink r:id="rId72" ref="A74"/>
    <hyperlink r:id="rId73" ref="A75"/>
    <hyperlink r:id="rId74" ref="A76"/>
    <hyperlink r:id="rId75" ref="A77"/>
    <hyperlink r:id="rId76" ref="A78"/>
    <hyperlink r:id="rId77" ref="A79"/>
    <hyperlink r:id="rId78" ref="A80"/>
    <hyperlink r:id="rId79" ref="A81"/>
    <hyperlink r:id="rId80" ref="A82"/>
    <hyperlink r:id="rId81" ref="A83"/>
    <hyperlink r:id="rId82" ref="A84"/>
    <hyperlink r:id="rId83" ref="A85"/>
    <hyperlink r:id="rId84" ref="A86"/>
    <hyperlink r:id="rId85" ref="A87"/>
    <hyperlink r:id="rId86" ref="A88"/>
    <hyperlink r:id="rId87" ref="A89"/>
    <hyperlink r:id="rId88" ref="A90"/>
    <hyperlink r:id="rId89" ref="A91"/>
    <hyperlink r:id="rId90" ref="A92"/>
    <hyperlink r:id="rId91" ref="A93"/>
    <hyperlink r:id="rId92" ref="A94"/>
    <hyperlink r:id="rId93" ref="A95"/>
    <hyperlink r:id="rId94" ref="A96"/>
    <hyperlink r:id="rId95" ref="A97"/>
    <hyperlink r:id="rId96" ref="A98"/>
    <hyperlink r:id="rId97" ref="A99"/>
    <hyperlink r:id="rId98" ref="A100"/>
    <hyperlink r:id="rId99" ref="A101"/>
    <hyperlink r:id="rId100" ref="A102"/>
    <hyperlink r:id="rId101" ref="A103"/>
    <hyperlink r:id="rId102" ref="A104"/>
    <hyperlink r:id="rId103" ref="A105"/>
    <hyperlink r:id="rId104" ref="A106"/>
    <hyperlink r:id="rId105" ref="A107"/>
    <hyperlink r:id="rId106" ref="A108"/>
    <hyperlink r:id="rId107" ref="A109"/>
    <hyperlink r:id="rId108" ref="A110"/>
    <hyperlink r:id="rId109" ref="A111"/>
    <hyperlink r:id="rId110" ref="A112"/>
    <hyperlink r:id="rId111" ref="A113"/>
    <hyperlink r:id="rId112" ref="A114"/>
    <hyperlink r:id="rId113" ref="A115"/>
    <hyperlink r:id="rId114" ref="A116"/>
    <hyperlink r:id="rId115" ref="A117"/>
    <hyperlink r:id="rId116" ref="A118"/>
    <hyperlink r:id="rId117" ref="A119"/>
    <hyperlink r:id="rId118" ref="A120"/>
    <hyperlink r:id="rId119" ref="A121"/>
    <hyperlink r:id="rId120" ref="A122"/>
    <hyperlink r:id="rId121" ref="A123"/>
    <hyperlink r:id="rId122" ref="A124"/>
    <hyperlink r:id="rId123" ref="A125"/>
    <hyperlink r:id="rId124" ref="A126"/>
    <hyperlink r:id="rId125" ref="A127"/>
    <hyperlink r:id="rId126" ref="A128"/>
    <hyperlink r:id="rId127" ref="A129"/>
    <hyperlink r:id="rId128" ref="A130"/>
    <hyperlink r:id="rId129" ref="A131"/>
    <hyperlink r:id="rId130" ref="A132"/>
    <hyperlink r:id="rId131" ref="A133"/>
    <hyperlink r:id="rId132" ref="A134"/>
    <hyperlink r:id="rId133" ref="A135"/>
    <hyperlink r:id="rId134" ref="A136"/>
    <hyperlink r:id="rId135" ref="A137"/>
    <hyperlink r:id="rId136" ref="A138"/>
    <hyperlink r:id="rId137" ref="A139"/>
    <hyperlink r:id="rId138" ref="A140"/>
    <hyperlink r:id="rId139" ref="A141"/>
    <hyperlink r:id="rId140" ref="A142"/>
    <hyperlink r:id="rId141" ref="A143"/>
    <hyperlink r:id="rId142" ref="A144"/>
    <hyperlink r:id="rId143" ref="A145"/>
    <hyperlink r:id="rId144" ref="A146"/>
    <hyperlink r:id="rId145" ref="A147"/>
    <hyperlink r:id="rId146" ref="A148"/>
    <hyperlink r:id="rId147" ref="A149"/>
    <hyperlink r:id="rId148" ref="A150"/>
    <hyperlink r:id="rId149" ref="A151"/>
    <hyperlink r:id="rId150" ref="A152"/>
    <hyperlink r:id="rId151" ref="A153"/>
    <hyperlink r:id="rId152" ref="A154"/>
    <hyperlink r:id="rId153" ref="A155"/>
    <hyperlink r:id="rId154" ref="A156"/>
    <hyperlink r:id="rId155" ref="A157"/>
    <hyperlink r:id="rId156" ref="A158"/>
    <hyperlink r:id="rId157" ref="A159"/>
    <hyperlink r:id="rId158" ref="A160"/>
    <hyperlink r:id="rId159" ref="A161"/>
    <hyperlink r:id="rId160" ref="A162"/>
    <hyperlink r:id="rId161" ref="A163"/>
    <hyperlink r:id="rId162" ref="A164"/>
    <hyperlink r:id="rId163" ref="A165"/>
    <hyperlink r:id="rId164" ref="A166"/>
    <hyperlink r:id="rId165" ref="A167"/>
    <hyperlink r:id="rId166" ref="A168"/>
    <hyperlink r:id="rId167" ref="A169"/>
    <hyperlink r:id="rId168" ref="A170"/>
    <hyperlink r:id="rId169" ref="A171"/>
    <hyperlink r:id="rId170" ref="A172"/>
    <hyperlink r:id="rId171" ref="A173"/>
    <hyperlink r:id="rId172" ref="A174"/>
    <hyperlink r:id="rId173" ref="A175"/>
    <hyperlink r:id="rId174" ref="A176"/>
    <hyperlink r:id="rId175" ref="A177"/>
    <hyperlink r:id="rId176" ref="A178"/>
    <hyperlink r:id="rId177" ref="A179"/>
    <hyperlink r:id="rId178" ref="A180"/>
    <hyperlink r:id="rId179" ref="A181"/>
    <hyperlink r:id="rId180" ref="A182"/>
    <hyperlink r:id="rId181" ref="A183"/>
    <hyperlink r:id="rId182" ref="A184"/>
    <hyperlink r:id="rId183" ref="A185"/>
    <hyperlink r:id="rId184" ref="A186"/>
    <hyperlink r:id="rId185" ref="A187"/>
    <hyperlink r:id="rId186" ref="A188"/>
    <hyperlink r:id="rId187" ref="A189"/>
    <hyperlink r:id="rId188" ref="A190"/>
    <hyperlink r:id="rId189" ref="A191"/>
    <hyperlink r:id="rId190" ref="A192"/>
    <hyperlink r:id="rId191" ref="A193"/>
    <hyperlink r:id="rId192" ref="A194"/>
    <hyperlink r:id="rId193" ref="A195"/>
    <hyperlink r:id="rId194" ref="A196"/>
    <hyperlink r:id="rId195" ref="A197"/>
    <hyperlink r:id="rId196" ref="A198"/>
    <hyperlink r:id="rId197" ref="A199"/>
    <hyperlink r:id="rId198" ref="A200"/>
    <hyperlink r:id="rId199" ref="A201"/>
    <hyperlink r:id="rId200" ref="A202"/>
    <hyperlink r:id="rId201" ref="A203"/>
    <hyperlink r:id="rId202" ref="A204"/>
    <hyperlink r:id="rId203" ref="A205"/>
    <hyperlink r:id="rId204" ref="A206"/>
    <hyperlink r:id="rId205" ref="A207"/>
    <hyperlink r:id="rId206" ref="A208"/>
    <hyperlink r:id="rId207" ref="A209"/>
    <hyperlink r:id="rId208" ref="A210"/>
    <hyperlink r:id="rId209" ref="A211"/>
    <hyperlink r:id="rId210" ref="A212"/>
    <hyperlink r:id="rId211" ref="A213"/>
    <hyperlink r:id="rId212" ref="A214"/>
    <hyperlink r:id="rId213" ref="A215"/>
    <hyperlink r:id="rId214" ref="A216"/>
    <hyperlink r:id="rId215" ref="A217"/>
    <hyperlink r:id="rId216" ref="A218"/>
    <hyperlink r:id="rId217" ref="A219"/>
    <hyperlink r:id="rId218" ref="A220"/>
    <hyperlink r:id="rId219" ref="A221"/>
    <hyperlink r:id="rId220" ref="A222"/>
    <hyperlink r:id="rId221" ref="A223"/>
    <hyperlink r:id="rId222" ref="A224"/>
    <hyperlink r:id="rId223" ref="A225"/>
    <hyperlink r:id="rId224" ref="A226"/>
    <hyperlink r:id="rId225" ref="A227"/>
    <hyperlink r:id="rId226" ref="A228"/>
    <hyperlink r:id="rId227" ref="A229"/>
    <hyperlink r:id="rId228" ref="A230"/>
    <hyperlink r:id="rId229" ref="A231"/>
    <hyperlink r:id="rId230" ref="A232"/>
    <hyperlink r:id="rId231" ref="A233"/>
    <hyperlink r:id="rId232" ref="A234"/>
    <hyperlink r:id="rId233" ref="A235"/>
    <hyperlink r:id="rId234" ref="A236"/>
    <hyperlink r:id="rId235" ref="A237"/>
    <hyperlink r:id="rId236" ref="A238"/>
    <hyperlink r:id="rId237" ref="A239"/>
    <hyperlink r:id="rId238" ref="A240"/>
    <hyperlink r:id="rId239" ref="A241"/>
    <hyperlink r:id="rId240" ref="A242"/>
    <hyperlink r:id="rId241" ref="A243"/>
    <hyperlink r:id="rId242" ref="A244"/>
    <hyperlink r:id="rId243" ref="A245"/>
    <hyperlink r:id="rId244" ref="A246"/>
    <hyperlink r:id="rId245" ref="A247"/>
    <hyperlink r:id="rId246" ref="A248"/>
    <hyperlink r:id="rId247" ref="A249"/>
    <hyperlink r:id="rId248" ref="A250"/>
    <hyperlink r:id="rId249" ref="A251"/>
    <hyperlink r:id="rId250" ref="A252"/>
    <hyperlink r:id="rId251" ref="A253"/>
    <hyperlink r:id="rId252" ref="A254"/>
    <hyperlink r:id="rId253" ref="A255"/>
    <hyperlink r:id="rId254" ref="A256"/>
    <hyperlink r:id="rId255" ref="A257"/>
    <hyperlink r:id="rId256" ref="A258"/>
    <hyperlink r:id="rId257" ref="A259"/>
    <hyperlink r:id="rId258" ref="A260"/>
    <hyperlink r:id="rId259" ref="A261"/>
    <hyperlink r:id="rId260" ref="A262"/>
    <hyperlink r:id="rId261" ref="A263"/>
    <hyperlink r:id="rId262" ref="A264"/>
    <hyperlink r:id="rId263" ref="A265"/>
    <hyperlink r:id="rId264" ref="A266"/>
    <hyperlink r:id="rId265" ref="A267"/>
    <hyperlink r:id="rId266" ref="A268"/>
    <hyperlink r:id="rId267" ref="A269"/>
    <hyperlink r:id="rId268" ref="A270"/>
    <hyperlink r:id="rId269" ref="A271"/>
    <hyperlink r:id="rId270" ref="A272"/>
    <hyperlink r:id="rId271" ref="A273"/>
    <hyperlink r:id="rId272" ref="A274"/>
    <hyperlink r:id="rId273" ref="A275"/>
    <hyperlink r:id="rId274" ref="A276"/>
    <hyperlink r:id="rId275" ref="A277"/>
    <hyperlink r:id="rId276" ref="A278"/>
    <hyperlink r:id="rId277" ref="A279"/>
    <hyperlink r:id="rId278" ref="A280"/>
    <hyperlink r:id="rId279" ref="A281"/>
    <hyperlink r:id="rId280" ref="A282"/>
    <hyperlink r:id="rId281" ref="A283"/>
    <hyperlink r:id="rId282" ref="A284"/>
    <hyperlink r:id="rId283" ref="A285"/>
    <hyperlink r:id="rId284" ref="A286"/>
    <hyperlink r:id="rId285" ref="A287"/>
    <hyperlink r:id="rId286" ref="A288"/>
    <hyperlink r:id="rId287" ref="A289"/>
    <hyperlink r:id="rId288" ref="A290"/>
    <hyperlink r:id="rId289" ref="A291"/>
    <hyperlink r:id="rId290" ref="A292"/>
    <hyperlink r:id="rId291" ref="A293"/>
    <hyperlink r:id="rId292" ref="A294"/>
    <hyperlink r:id="rId293" ref="A295"/>
    <hyperlink r:id="rId294" ref="A296"/>
    <hyperlink r:id="rId295" ref="A297"/>
    <hyperlink r:id="rId296" ref="A298"/>
    <hyperlink r:id="rId297" ref="A299"/>
    <hyperlink r:id="rId298" ref="A300"/>
    <hyperlink r:id="rId299" ref="A301"/>
    <hyperlink r:id="rId300" ref="A302"/>
    <hyperlink r:id="rId301" ref="A303"/>
    <hyperlink r:id="rId302" ref="A304"/>
    <hyperlink r:id="rId303" ref="A305"/>
    <hyperlink r:id="rId304" ref="A306"/>
    <hyperlink r:id="rId305" ref="A307"/>
    <hyperlink r:id="rId306" ref="A308"/>
    <hyperlink r:id="rId307" ref="A309"/>
    <hyperlink r:id="rId308" ref="A310"/>
    <hyperlink r:id="rId309" ref="A311"/>
    <hyperlink r:id="rId310" ref="A312"/>
    <hyperlink r:id="rId311" ref="A313"/>
    <hyperlink r:id="rId312" ref="A314"/>
    <hyperlink r:id="rId313" ref="A315"/>
    <hyperlink r:id="rId314" ref="A316"/>
    <hyperlink r:id="rId315" ref="A317"/>
    <hyperlink r:id="rId316" ref="A318"/>
    <hyperlink r:id="rId317" ref="A319"/>
    <hyperlink r:id="rId318" ref="A320"/>
    <hyperlink r:id="rId319" ref="A321"/>
    <hyperlink r:id="rId320" ref="A322"/>
    <hyperlink r:id="rId321" ref="A323"/>
    <hyperlink r:id="rId322" ref="A324"/>
    <hyperlink r:id="rId323" ref="A325"/>
    <hyperlink r:id="rId324" ref="A326"/>
    <hyperlink r:id="rId325" ref="A327"/>
    <hyperlink r:id="rId326" ref="A328"/>
    <hyperlink r:id="rId327" ref="A329"/>
    <hyperlink r:id="rId328" ref="A330"/>
    <hyperlink r:id="rId329" ref="A331"/>
    <hyperlink r:id="rId330" ref="A332"/>
    <hyperlink r:id="rId331" ref="A333"/>
    <hyperlink r:id="rId332" ref="A334"/>
    <hyperlink r:id="rId333" ref="A335"/>
    <hyperlink r:id="rId334" ref="A336"/>
    <hyperlink r:id="rId335" ref="A337"/>
    <hyperlink r:id="rId336" ref="A338"/>
    <hyperlink r:id="rId337" ref="A339"/>
    <hyperlink r:id="rId338" ref="A340"/>
    <hyperlink r:id="rId339" ref="A341"/>
    <hyperlink r:id="rId340" ref="A342"/>
    <hyperlink r:id="rId341" ref="A343"/>
    <hyperlink r:id="rId342" ref="A344"/>
    <hyperlink r:id="rId343" ref="A345"/>
    <hyperlink r:id="rId344" ref="A346"/>
    <hyperlink r:id="rId345" ref="A347"/>
    <hyperlink r:id="rId346" ref="A348"/>
    <hyperlink r:id="rId347" ref="A349"/>
    <hyperlink r:id="rId348" ref="A350"/>
    <hyperlink r:id="rId349" ref="A351"/>
    <hyperlink r:id="rId350" ref="A352"/>
    <hyperlink r:id="rId351" ref="A353"/>
    <hyperlink r:id="rId352" ref="A354"/>
    <hyperlink r:id="rId353" ref="A355"/>
    <hyperlink r:id="rId354" ref="A356"/>
    <hyperlink r:id="rId355" ref="A357"/>
    <hyperlink r:id="rId356" ref="A358"/>
    <hyperlink r:id="rId357" ref="A359"/>
    <hyperlink r:id="rId358" ref="A360"/>
    <hyperlink r:id="rId359" ref="A361"/>
    <hyperlink r:id="rId360" ref="A362"/>
    <hyperlink r:id="rId361" ref="A363"/>
    <hyperlink r:id="rId362" ref="A364"/>
    <hyperlink r:id="rId363" ref="A365"/>
    <hyperlink r:id="rId364" ref="A366"/>
    <hyperlink r:id="rId365" ref="A367"/>
    <hyperlink r:id="rId366" ref="A368"/>
    <hyperlink r:id="rId367" ref="A369"/>
    <hyperlink r:id="rId368" ref="A370"/>
    <hyperlink r:id="rId369" ref="A371"/>
    <hyperlink r:id="rId370" ref="A372"/>
    <hyperlink r:id="rId371" ref="A373"/>
    <hyperlink r:id="rId372" ref="A374"/>
    <hyperlink r:id="rId373" ref="A375"/>
    <hyperlink r:id="rId374" ref="A376"/>
    <hyperlink r:id="rId375" ref="A377"/>
    <hyperlink r:id="rId376" ref="A378"/>
    <hyperlink r:id="rId377" ref="A379"/>
    <hyperlink r:id="rId378" ref="A380"/>
    <hyperlink r:id="rId379" ref="A381"/>
    <hyperlink r:id="rId380" ref="A382"/>
    <hyperlink r:id="rId381" ref="A383"/>
    <hyperlink r:id="rId382" ref="A384"/>
    <hyperlink r:id="rId383" ref="A385"/>
    <hyperlink r:id="rId384" ref="A386"/>
    <hyperlink r:id="rId385" ref="A387"/>
    <hyperlink r:id="rId386" ref="A388"/>
    <hyperlink r:id="rId387" ref="A389"/>
    <hyperlink r:id="rId388" ref="A390"/>
    <hyperlink r:id="rId389" ref="A391"/>
    <hyperlink r:id="rId390" ref="A392"/>
    <hyperlink r:id="rId391" ref="A393"/>
    <hyperlink r:id="rId392" ref="A394"/>
    <hyperlink r:id="rId393" ref="A395"/>
    <hyperlink r:id="rId394" ref="A396"/>
    <hyperlink r:id="rId395" ref="A397"/>
    <hyperlink r:id="rId396" ref="A398"/>
    <hyperlink r:id="rId397" ref="A399"/>
    <hyperlink r:id="rId398" ref="A400"/>
    <hyperlink r:id="rId399" ref="A401"/>
    <hyperlink r:id="rId400" ref="A402"/>
    <hyperlink r:id="rId401" ref="A403"/>
    <hyperlink r:id="rId402" ref="A404"/>
    <hyperlink r:id="rId403" ref="A405"/>
    <hyperlink r:id="rId404" ref="A406"/>
    <hyperlink r:id="rId405" ref="A407"/>
    <hyperlink r:id="rId406" ref="A408"/>
    <hyperlink r:id="rId407" ref="A409"/>
    <hyperlink r:id="rId408" ref="A410"/>
    <hyperlink r:id="rId409" ref="A411"/>
    <hyperlink r:id="rId410" ref="A412"/>
    <hyperlink r:id="rId411" ref="A413"/>
    <hyperlink r:id="rId412" ref="A414"/>
    <hyperlink r:id="rId413" ref="A415"/>
    <hyperlink r:id="rId414" ref="A416"/>
    <hyperlink r:id="rId415" ref="A417"/>
    <hyperlink r:id="rId416" ref="A418"/>
    <hyperlink r:id="rId417" ref="A419"/>
    <hyperlink r:id="rId418" ref="A420"/>
    <hyperlink r:id="rId419" ref="A421"/>
    <hyperlink r:id="rId420" ref="A422"/>
    <hyperlink r:id="rId421" ref="A423"/>
    <hyperlink r:id="rId422" ref="A424"/>
    <hyperlink r:id="rId423" ref="A425"/>
    <hyperlink r:id="rId424" ref="A426"/>
    <hyperlink r:id="rId425" ref="A427"/>
    <hyperlink r:id="rId426" ref="A428"/>
    <hyperlink r:id="rId427" ref="A429"/>
    <hyperlink r:id="rId428" ref="A430"/>
    <hyperlink r:id="rId429" ref="A431"/>
    <hyperlink r:id="rId430" ref="A432"/>
    <hyperlink r:id="rId431" ref="A433"/>
    <hyperlink r:id="rId432" ref="A434"/>
    <hyperlink r:id="rId433" ref="A435"/>
    <hyperlink r:id="rId434" ref="A436"/>
    <hyperlink r:id="rId435" ref="A437"/>
    <hyperlink r:id="rId436" ref="A438"/>
    <hyperlink r:id="rId437" ref="A439"/>
    <hyperlink r:id="rId438" ref="A440"/>
    <hyperlink r:id="rId439" ref="A441"/>
    <hyperlink r:id="rId440" ref="A442"/>
    <hyperlink r:id="rId441" ref="A443"/>
    <hyperlink r:id="rId442" ref="A444"/>
    <hyperlink r:id="rId443" ref="A445"/>
    <hyperlink r:id="rId444" ref="A446"/>
    <hyperlink r:id="rId445" ref="A447"/>
    <hyperlink r:id="rId446" ref="A448"/>
    <hyperlink r:id="rId447" ref="A449"/>
    <hyperlink r:id="rId448" ref="A450"/>
    <hyperlink r:id="rId449" ref="A451"/>
    <hyperlink r:id="rId450" ref="A452"/>
    <hyperlink r:id="rId451" ref="A453"/>
    <hyperlink r:id="rId452" ref="A454"/>
    <hyperlink r:id="rId453" ref="A455"/>
    <hyperlink r:id="rId454" ref="A456"/>
    <hyperlink r:id="rId455" ref="A457"/>
    <hyperlink r:id="rId456" ref="A458"/>
    <hyperlink r:id="rId457" ref="A459"/>
    <hyperlink r:id="rId458" ref="A460"/>
    <hyperlink r:id="rId459" ref="A461"/>
    <hyperlink r:id="rId460" ref="A462"/>
    <hyperlink r:id="rId461" ref="A463"/>
    <hyperlink r:id="rId462" ref="A464"/>
    <hyperlink r:id="rId463" ref="A465"/>
    <hyperlink r:id="rId464" ref="A466"/>
    <hyperlink r:id="rId465" ref="A467"/>
    <hyperlink r:id="rId466" ref="A468"/>
    <hyperlink r:id="rId467" ref="A469"/>
    <hyperlink r:id="rId468" ref="A470"/>
    <hyperlink r:id="rId469" ref="A471"/>
    <hyperlink r:id="rId470" ref="A472"/>
    <hyperlink r:id="rId471" ref="A473"/>
    <hyperlink r:id="rId472" ref="A474"/>
    <hyperlink r:id="rId473" ref="A475"/>
    <hyperlink r:id="rId474" ref="A476"/>
    <hyperlink r:id="rId475" ref="A477"/>
    <hyperlink r:id="rId476" ref="A478"/>
    <hyperlink r:id="rId477" ref="A479"/>
    <hyperlink r:id="rId478" ref="A480"/>
    <hyperlink r:id="rId479" ref="A481"/>
    <hyperlink r:id="rId480" ref="A482"/>
    <hyperlink r:id="rId481" ref="A483"/>
    <hyperlink r:id="rId482" ref="A484"/>
    <hyperlink r:id="rId483" ref="A485"/>
    <hyperlink r:id="rId484" ref="A486"/>
    <hyperlink r:id="rId485" ref="A487"/>
    <hyperlink r:id="rId486" ref="A488"/>
    <hyperlink r:id="rId487" ref="A489"/>
    <hyperlink r:id="rId488" ref="A490"/>
    <hyperlink r:id="rId489" ref="A491"/>
    <hyperlink r:id="rId490" ref="A492"/>
    <hyperlink r:id="rId491" ref="A493"/>
    <hyperlink r:id="rId492" ref="A494"/>
    <hyperlink r:id="rId493" ref="A495"/>
    <hyperlink r:id="rId494" ref="A496"/>
    <hyperlink r:id="rId495" ref="A497"/>
    <hyperlink r:id="rId496" ref="A498"/>
    <hyperlink r:id="rId497" ref="A499"/>
    <hyperlink r:id="rId498" ref="A500"/>
    <hyperlink r:id="rId499" ref="A501"/>
    <hyperlink r:id="rId500" ref="A502"/>
    <hyperlink r:id="rId501" ref="A503"/>
    <hyperlink r:id="rId502" ref="A504"/>
    <hyperlink r:id="rId503" ref="A505"/>
    <hyperlink r:id="rId504" ref="A506"/>
    <hyperlink r:id="rId505" ref="A507"/>
    <hyperlink r:id="rId506" ref="A508"/>
    <hyperlink r:id="rId507" ref="A509"/>
    <hyperlink r:id="rId508" ref="A510"/>
    <hyperlink r:id="rId509" ref="A511"/>
    <hyperlink r:id="rId510" ref="A512"/>
    <hyperlink r:id="rId511" ref="A513"/>
    <hyperlink r:id="rId512" ref="A514"/>
    <hyperlink r:id="rId513" ref="A515"/>
    <hyperlink r:id="rId514" ref="A516"/>
    <hyperlink r:id="rId515" ref="A517"/>
    <hyperlink r:id="rId516" ref="A518"/>
    <hyperlink r:id="rId517" ref="A519"/>
    <hyperlink r:id="rId518" ref="A520"/>
    <hyperlink r:id="rId519" ref="A521"/>
    <hyperlink r:id="rId520" ref="A522"/>
    <hyperlink r:id="rId521" ref="A523"/>
    <hyperlink r:id="rId522" ref="A524"/>
    <hyperlink r:id="rId523" ref="A525"/>
    <hyperlink r:id="rId524" ref="A526"/>
    <hyperlink r:id="rId525" ref="A527"/>
    <hyperlink r:id="rId526" ref="A528"/>
    <hyperlink r:id="rId527" ref="A529"/>
    <hyperlink r:id="rId528" ref="A530"/>
    <hyperlink r:id="rId529" ref="A531"/>
    <hyperlink r:id="rId530" ref="A532"/>
    <hyperlink r:id="rId531" ref="A533"/>
    <hyperlink r:id="rId532" ref="A534"/>
    <hyperlink r:id="rId533" ref="A535"/>
    <hyperlink r:id="rId534" ref="A536"/>
    <hyperlink r:id="rId535" ref="A537"/>
    <hyperlink r:id="rId536" ref="A538"/>
    <hyperlink r:id="rId537" ref="A539"/>
    <hyperlink r:id="rId538" ref="A540"/>
    <hyperlink r:id="rId539" ref="A541"/>
    <hyperlink r:id="rId540" ref="A542"/>
    <hyperlink r:id="rId541" ref="A543"/>
    <hyperlink r:id="rId542" ref="A544"/>
    <hyperlink r:id="rId543" ref="A545"/>
    <hyperlink r:id="rId544" ref="A546"/>
    <hyperlink r:id="rId545" ref="A547"/>
    <hyperlink r:id="rId546" ref="A548"/>
    <hyperlink r:id="rId547" ref="A549"/>
    <hyperlink r:id="rId548" ref="A550"/>
    <hyperlink r:id="rId549" ref="A551"/>
    <hyperlink r:id="rId550" ref="A552"/>
    <hyperlink r:id="rId551" ref="A553"/>
    <hyperlink r:id="rId552" ref="A554"/>
    <hyperlink r:id="rId553" ref="A555"/>
    <hyperlink r:id="rId554" ref="A556"/>
    <hyperlink r:id="rId555" ref="A557"/>
    <hyperlink r:id="rId556" ref="A558"/>
    <hyperlink r:id="rId557" ref="A559"/>
    <hyperlink r:id="rId558" ref="A560"/>
    <hyperlink r:id="rId559" ref="A561"/>
    <hyperlink r:id="rId560" ref="A562"/>
    <hyperlink r:id="rId561" ref="A563"/>
    <hyperlink r:id="rId562" ref="A564"/>
    <hyperlink r:id="rId563" ref="A565"/>
    <hyperlink r:id="rId564" ref="A566"/>
    <hyperlink r:id="rId565" ref="A567"/>
    <hyperlink r:id="rId566" ref="A568"/>
    <hyperlink r:id="rId567" ref="A569"/>
    <hyperlink r:id="rId568" ref="A570"/>
    <hyperlink r:id="rId569" ref="A571"/>
    <hyperlink r:id="rId570" ref="A572"/>
    <hyperlink r:id="rId571" ref="A573"/>
    <hyperlink r:id="rId572" ref="A574"/>
    <hyperlink r:id="rId573" ref="A575"/>
    <hyperlink r:id="rId574" ref="A576"/>
    <hyperlink r:id="rId575" ref="A577"/>
    <hyperlink r:id="rId576" ref="A578"/>
    <hyperlink r:id="rId577" ref="A579"/>
    <hyperlink r:id="rId578" ref="A580"/>
    <hyperlink r:id="rId579" ref="A581"/>
    <hyperlink r:id="rId580" ref="A582"/>
    <hyperlink r:id="rId581" ref="A583"/>
    <hyperlink r:id="rId582" ref="A584"/>
    <hyperlink r:id="rId583" ref="A585"/>
    <hyperlink r:id="rId584" ref="A586"/>
    <hyperlink r:id="rId585" ref="A587"/>
    <hyperlink r:id="rId586" ref="A588"/>
    <hyperlink r:id="rId587" ref="A589"/>
    <hyperlink r:id="rId588" ref="A590"/>
    <hyperlink r:id="rId589" ref="A591"/>
    <hyperlink r:id="rId590" ref="A592"/>
    <hyperlink r:id="rId591" ref="A593"/>
    <hyperlink r:id="rId592" ref="A594"/>
    <hyperlink r:id="rId593" ref="A595"/>
    <hyperlink r:id="rId594" ref="A596"/>
    <hyperlink r:id="rId595" ref="A597"/>
    <hyperlink r:id="rId596" ref="A598"/>
    <hyperlink r:id="rId597" ref="A599"/>
    <hyperlink r:id="rId598" ref="A600"/>
    <hyperlink r:id="rId599" ref="A601"/>
    <hyperlink r:id="rId600" ref="A602"/>
    <hyperlink r:id="rId601" ref="A603"/>
    <hyperlink r:id="rId602" ref="A604"/>
    <hyperlink r:id="rId603" ref="A605"/>
    <hyperlink r:id="rId604" ref="A606"/>
    <hyperlink r:id="rId605" ref="A607"/>
    <hyperlink r:id="rId606" ref="A608"/>
    <hyperlink r:id="rId607" ref="A609"/>
    <hyperlink r:id="rId608" ref="A610"/>
    <hyperlink r:id="rId609" ref="A611"/>
    <hyperlink r:id="rId610" ref="A612"/>
    <hyperlink r:id="rId611" ref="A613"/>
    <hyperlink r:id="rId612" ref="A614"/>
    <hyperlink r:id="rId613" ref="A615"/>
    <hyperlink r:id="rId614" ref="A616"/>
    <hyperlink r:id="rId615" ref="A617"/>
    <hyperlink r:id="rId616" ref="A618"/>
    <hyperlink r:id="rId617" ref="A619"/>
    <hyperlink r:id="rId618" ref="A620"/>
    <hyperlink r:id="rId619" ref="A621"/>
    <hyperlink r:id="rId620" ref="A622"/>
    <hyperlink r:id="rId621" ref="A623"/>
    <hyperlink r:id="rId622" ref="A624"/>
    <hyperlink r:id="rId623" ref="A625"/>
    <hyperlink r:id="rId624" ref="A626"/>
    <hyperlink r:id="rId625" ref="A627"/>
    <hyperlink r:id="rId626" ref="A628"/>
    <hyperlink r:id="rId627" ref="A629"/>
    <hyperlink r:id="rId628" ref="A630"/>
    <hyperlink r:id="rId629" ref="A631"/>
    <hyperlink r:id="rId630" ref="A632"/>
    <hyperlink r:id="rId631" ref="A633"/>
    <hyperlink r:id="rId632" ref="A634"/>
    <hyperlink r:id="rId633" ref="A635"/>
    <hyperlink r:id="rId634" ref="A636"/>
    <hyperlink r:id="rId635" ref="A637"/>
    <hyperlink r:id="rId636" ref="A638"/>
    <hyperlink r:id="rId637" ref="A639"/>
    <hyperlink r:id="rId638" ref="A640"/>
    <hyperlink r:id="rId639" ref="A641"/>
    <hyperlink r:id="rId640" ref="A642"/>
    <hyperlink r:id="rId641" ref="A643"/>
    <hyperlink r:id="rId642" ref="A644"/>
    <hyperlink r:id="rId643" ref="A645"/>
    <hyperlink r:id="rId644" ref="A646"/>
    <hyperlink r:id="rId645" ref="A647"/>
    <hyperlink r:id="rId646" ref="A648"/>
    <hyperlink r:id="rId647" ref="A649"/>
    <hyperlink r:id="rId648" ref="A650"/>
    <hyperlink r:id="rId649" ref="A651"/>
    <hyperlink r:id="rId650" ref="A652"/>
    <hyperlink r:id="rId651" ref="A653"/>
    <hyperlink r:id="rId652" ref="A654"/>
    <hyperlink r:id="rId653" ref="A655"/>
    <hyperlink r:id="rId654" ref="A656"/>
    <hyperlink r:id="rId655" ref="A657"/>
    <hyperlink r:id="rId656" ref="A658"/>
    <hyperlink r:id="rId657" ref="A659"/>
    <hyperlink r:id="rId658" ref="A660"/>
    <hyperlink r:id="rId659" ref="A661"/>
    <hyperlink r:id="rId660" ref="A662"/>
    <hyperlink r:id="rId661" ref="A663"/>
    <hyperlink r:id="rId662" ref="A664"/>
    <hyperlink r:id="rId663" ref="A665"/>
    <hyperlink r:id="rId664" ref="A666"/>
    <hyperlink r:id="rId665" ref="A667"/>
    <hyperlink r:id="rId666" ref="A668"/>
    <hyperlink r:id="rId667" ref="A669"/>
    <hyperlink r:id="rId668" ref="A670"/>
    <hyperlink r:id="rId669" ref="A671"/>
    <hyperlink r:id="rId670" ref="A672"/>
    <hyperlink r:id="rId671" ref="A673"/>
    <hyperlink r:id="rId672" ref="A674"/>
    <hyperlink r:id="rId673" ref="A675"/>
    <hyperlink r:id="rId674" ref="A676"/>
    <hyperlink r:id="rId675" ref="A677"/>
    <hyperlink r:id="rId676" ref="A678"/>
    <hyperlink r:id="rId677" ref="A679"/>
    <hyperlink r:id="rId678" ref="A680"/>
    <hyperlink r:id="rId679" ref="A681"/>
    <hyperlink r:id="rId680" ref="A682"/>
    <hyperlink r:id="rId681" ref="A683"/>
    <hyperlink r:id="rId682" ref="A684"/>
    <hyperlink r:id="rId683" ref="A685"/>
    <hyperlink r:id="rId684" ref="A686"/>
    <hyperlink r:id="rId685" ref="A687"/>
    <hyperlink r:id="rId686" ref="A688"/>
    <hyperlink r:id="rId687" ref="A689"/>
    <hyperlink r:id="rId688" ref="A690"/>
    <hyperlink r:id="rId689" ref="A691"/>
    <hyperlink r:id="rId690" ref="A692"/>
    <hyperlink r:id="rId691" ref="A693"/>
    <hyperlink r:id="rId692" ref="A694"/>
    <hyperlink r:id="rId693" ref="A695"/>
    <hyperlink r:id="rId694" ref="A696"/>
    <hyperlink r:id="rId695" ref="A697"/>
    <hyperlink r:id="rId696" ref="A698"/>
    <hyperlink r:id="rId697" ref="A699"/>
    <hyperlink r:id="rId698" ref="A700"/>
    <hyperlink r:id="rId699" ref="A701"/>
    <hyperlink r:id="rId700" ref="A702"/>
    <hyperlink r:id="rId701" ref="A703"/>
    <hyperlink r:id="rId702" ref="A704"/>
    <hyperlink r:id="rId703" ref="A705"/>
    <hyperlink r:id="rId704" ref="A706"/>
    <hyperlink r:id="rId705" ref="A707"/>
    <hyperlink r:id="rId706" ref="A708"/>
    <hyperlink r:id="rId707" ref="A709"/>
    <hyperlink r:id="rId708" ref="A710"/>
    <hyperlink r:id="rId709" ref="A711"/>
    <hyperlink r:id="rId710" ref="A712"/>
    <hyperlink r:id="rId711" ref="A713"/>
    <hyperlink r:id="rId712" ref="A714"/>
    <hyperlink r:id="rId713" ref="A715"/>
    <hyperlink r:id="rId714" ref="A716"/>
    <hyperlink r:id="rId715" ref="A717"/>
    <hyperlink r:id="rId716" ref="A718"/>
    <hyperlink r:id="rId717" ref="A719"/>
    <hyperlink r:id="rId718" ref="A720"/>
    <hyperlink r:id="rId719" ref="A721"/>
    <hyperlink r:id="rId720" ref="A722"/>
    <hyperlink r:id="rId721" ref="A723"/>
    <hyperlink r:id="rId722" ref="A724"/>
    <hyperlink r:id="rId723" ref="A725"/>
    <hyperlink r:id="rId724" ref="A726"/>
    <hyperlink r:id="rId725" ref="A727"/>
    <hyperlink r:id="rId726" ref="A728"/>
    <hyperlink r:id="rId727" ref="A729"/>
    <hyperlink r:id="rId728" ref="A730"/>
    <hyperlink r:id="rId729" ref="A731"/>
    <hyperlink r:id="rId730" ref="A732"/>
    <hyperlink r:id="rId731" ref="A733"/>
    <hyperlink r:id="rId732" ref="A734"/>
    <hyperlink r:id="rId733" ref="A735"/>
    <hyperlink r:id="rId734" ref="A736"/>
    <hyperlink r:id="rId735" ref="A737"/>
    <hyperlink r:id="rId736" ref="A738"/>
    <hyperlink r:id="rId737" ref="A739"/>
    <hyperlink r:id="rId738" ref="A740"/>
    <hyperlink r:id="rId739" ref="A741"/>
    <hyperlink r:id="rId740" ref="A742"/>
    <hyperlink r:id="rId741" ref="A743"/>
    <hyperlink r:id="rId742" ref="A744"/>
    <hyperlink r:id="rId743" ref="A745"/>
    <hyperlink r:id="rId744" ref="A746"/>
    <hyperlink r:id="rId745" ref="A747"/>
    <hyperlink r:id="rId746" ref="A748"/>
    <hyperlink r:id="rId747" ref="A749"/>
    <hyperlink r:id="rId748" ref="A750"/>
    <hyperlink r:id="rId749" ref="A751"/>
    <hyperlink r:id="rId750" ref="A752"/>
    <hyperlink r:id="rId751" ref="A753"/>
  </hyperlinks>
  <drawing r:id="rId75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.5"/>
    <col customWidth="1" min="2" max="2" width="71.88"/>
    <col customWidth="1" min="3" max="3" width="16.38"/>
    <col customWidth="1" min="4" max="4" width="27.0"/>
    <col customWidth="1" min="5" max="5" width="35.5"/>
    <col customWidth="1" min="6" max="6" width="44.38"/>
  </cols>
  <sheetData>
    <row r="1">
      <c r="A1" s="6" t="s">
        <v>0</v>
      </c>
      <c r="B1" s="5" t="s">
        <v>30</v>
      </c>
      <c r="C1" s="6" t="s">
        <v>31</v>
      </c>
      <c r="D1" s="6" t="s">
        <v>32</v>
      </c>
      <c r="E1" s="5" t="s">
        <v>33</v>
      </c>
      <c r="F1" s="5" t="s">
        <v>34</v>
      </c>
    </row>
    <row r="2">
      <c r="A2" s="6">
        <v>1.0</v>
      </c>
      <c r="B2" s="9" t="s">
        <v>36</v>
      </c>
      <c r="C2" s="6">
        <v>0.0</v>
      </c>
      <c r="D2" s="6">
        <v>0.0</v>
      </c>
    </row>
    <row r="3">
      <c r="A3" s="6">
        <v>2.0</v>
      </c>
      <c r="B3" s="9" t="s">
        <v>39</v>
      </c>
      <c r="C3" s="6">
        <v>0.0</v>
      </c>
      <c r="D3" s="6">
        <v>0.0</v>
      </c>
    </row>
    <row r="4">
      <c r="A4" s="6">
        <v>3.0</v>
      </c>
      <c r="B4" s="9" t="s">
        <v>49</v>
      </c>
      <c r="C4" s="6">
        <v>0.0</v>
      </c>
      <c r="D4" s="6">
        <v>0.0</v>
      </c>
    </row>
    <row r="5">
      <c r="A5" s="6">
        <v>4.0</v>
      </c>
      <c r="B5" s="9" t="s">
        <v>64</v>
      </c>
      <c r="C5" s="6">
        <v>0.0</v>
      </c>
      <c r="D5" s="6">
        <v>0.0</v>
      </c>
    </row>
    <row r="6">
      <c r="A6" s="6">
        <v>5.0</v>
      </c>
      <c r="B6" s="9" t="s">
        <v>84</v>
      </c>
      <c r="C6" s="6">
        <v>0.0</v>
      </c>
      <c r="D6" s="6">
        <v>0.0</v>
      </c>
    </row>
    <row r="7">
      <c r="A7" s="6">
        <v>6.0</v>
      </c>
      <c r="B7" s="9" t="s">
        <v>97</v>
      </c>
      <c r="C7" s="6">
        <v>0.0</v>
      </c>
      <c r="D7" s="6">
        <v>0.0</v>
      </c>
    </row>
    <row r="8">
      <c r="A8" s="6">
        <v>7.0</v>
      </c>
      <c r="B8" s="9" t="s">
        <v>110</v>
      </c>
      <c r="C8" s="6">
        <v>0.0</v>
      </c>
      <c r="D8" s="6">
        <v>0.0</v>
      </c>
    </row>
    <row r="9">
      <c r="A9" s="6">
        <v>8.0</v>
      </c>
      <c r="B9" s="9" t="s">
        <v>126</v>
      </c>
      <c r="C9" s="6">
        <v>0.0</v>
      </c>
      <c r="D9" s="6">
        <v>0.0</v>
      </c>
    </row>
    <row r="10">
      <c r="A10" s="6">
        <v>9.0</v>
      </c>
      <c r="B10" s="9" t="s">
        <v>141</v>
      </c>
      <c r="C10" s="6">
        <v>0.0</v>
      </c>
      <c r="D10" s="6">
        <v>0.0</v>
      </c>
    </row>
    <row r="11">
      <c r="A11" s="6">
        <v>10.0</v>
      </c>
      <c r="B11" s="9" t="s">
        <v>169</v>
      </c>
      <c r="C11" s="6">
        <v>0.0</v>
      </c>
      <c r="D11" s="6">
        <v>0.0</v>
      </c>
    </row>
    <row r="12">
      <c r="A12" s="6">
        <v>11.0</v>
      </c>
      <c r="B12" s="9" t="s">
        <v>193</v>
      </c>
      <c r="C12" s="6">
        <v>0.0</v>
      </c>
      <c r="D12" s="6">
        <v>0.0</v>
      </c>
    </row>
    <row r="13">
      <c r="A13" s="6">
        <v>12.0</v>
      </c>
      <c r="B13" s="9" t="s">
        <v>218</v>
      </c>
      <c r="C13" s="6">
        <v>0.0</v>
      </c>
      <c r="D13" s="6">
        <v>0.0</v>
      </c>
    </row>
    <row r="14">
      <c r="A14" s="6">
        <v>13.0</v>
      </c>
      <c r="B14" s="9" t="s">
        <v>246</v>
      </c>
      <c r="C14" s="6">
        <v>0.0</v>
      </c>
      <c r="D14" s="6">
        <v>0.0</v>
      </c>
    </row>
    <row r="15">
      <c r="A15" s="6">
        <v>14.0</v>
      </c>
      <c r="B15" s="9" t="s">
        <v>248</v>
      </c>
      <c r="C15" s="6">
        <v>0.0</v>
      </c>
      <c r="D15" s="6">
        <v>0.0</v>
      </c>
    </row>
    <row r="16">
      <c r="A16" s="6">
        <v>15.0</v>
      </c>
      <c r="B16" s="9" t="s">
        <v>250</v>
      </c>
      <c r="C16" s="6">
        <v>0.0</v>
      </c>
      <c r="D16" s="6">
        <v>0.0</v>
      </c>
    </row>
    <row r="17">
      <c r="A17" s="6">
        <v>16.0</v>
      </c>
      <c r="B17" s="9" t="s">
        <v>255</v>
      </c>
      <c r="C17" s="6">
        <v>0.0</v>
      </c>
      <c r="D17" s="6">
        <v>0.0</v>
      </c>
    </row>
    <row r="18">
      <c r="A18" s="6">
        <v>17.0</v>
      </c>
      <c r="B18" s="9" t="s">
        <v>262</v>
      </c>
      <c r="C18" s="6">
        <v>1.0</v>
      </c>
      <c r="D18" s="6">
        <v>1.0</v>
      </c>
      <c r="E18" s="5" t="s">
        <v>266</v>
      </c>
      <c r="F18" s="9" t="s">
        <v>248</v>
      </c>
    </row>
    <row r="19">
      <c r="A19" s="6">
        <v>18.0</v>
      </c>
      <c r="B19" s="9" t="s">
        <v>267</v>
      </c>
      <c r="C19" s="6">
        <v>0.0</v>
      </c>
      <c r="D19" s="6">
        <v>0.0</v>
      </c>
    </row>
    <row r="20">
      <c r="A20" s="6">
        <v>19.0</v>
      </c>
      <c r="B20" s="9" t="s">
        <v>271</v>
      </c>
      <c r="C20" s="6">
        <v>0.0</v>
      </c>
      <c r="D20" s="6">
        <v>0.0</v>
      </c>
    </row>
    <row r="21">
      <c r="A21" s="6">
        <v>20.0</v>
      </c>
      <c r="B21" s="9" t="s">
        <v>275</v>
      </c>
      <c r="C21" s="6">
        <v>0.0</v>
      </c>
      <c r="D21" s="6">
        <v>0.0</v>
      </c>
    </row>
    <row r="22">
      <c r="A22" s="6">
        <v>21.0</v>
      </c>
      <c r="B22" s="9" t="s">
        <v>279</v>
      </c>
      <c r="C22" s="6">
        <v>0.0</v>
      </c>
      <c r="D22" s="6">
        <v>0.0</v>
      </c>
    </row>
    <row r="23">
      <c r="A23" s="6">
        <v>22.0</v>
      </c>
      <c r="B23" s="9" t="s">
        <v>281</v>
      </c>
      <c r="C23" s="6">
        <v>0.0</v>
      </c>
      <c r="D23" s="6">
        <v>0.0</v>
      </c>
    </row>
    <row r="24">
      <c r="A24" s="6">
        <v>23.0</v>
      </c>
      <c r="B24" s="9" t="s">
        <v>282</v>
      </c>
      <c r="C24" s="6">
        <v>0.0</v>
      </c>
      <c r="D24" s="6">
        <v>0.0</v>
      </c>
    </row>
    <row r="25">
      <c r="A25" s="6">
        <v>24.0</v>
      </c>
      <c r="B25" s="9" t="s">
        <v>283</v>
      </c>
      <c r="C25" s="6">
        <v>0.0</v>
      </c>
      <c r="D25" s="6">
        <v>0.0</v>
      </c>
    </row>
    <row r="26">
      <c r="A26" s="6">
        <v>25.0</v>
      </c>
      <c r="B26" s="9" t="s">
        <v>284</v>
      </c>
      <c r="C26" s="6">
        <v>0.0</v>
      </c>
      <c r="D26" s="6">
        <v>0.0</v>
      </c>
    </row>
    <row r="27">
      <c r="A27" s="6">
        <v>26.0</v>
      </c>
      <c r="B27" s="9" t="s">
        <v>286</v>
      </c>
      <c r="C27" s="6">
        <v>0.0</v>
      </c>
      <c r="D27" s="6">
        <v>0.0</v>
      </c>
    </row>
    <row r="28">
      <c r="A28" s="6">
        <v>27.0</v>
      </c>
      <c r="B28" s="9" t="s">
        <v>289</v>
      </c>
      <c r="C28" s="6">
        <v>0.0</v>
      </c>
      <c r="D28" s="6">
        <v>0.0</v>
      </c>
    </row>
    <row r="29">
      <c r="A29" s="6">
        <v>28.0</v>
      </c>
      <c r="B29" s="9" t="s">
        <v>291</v>
      </c>
      <c r="C29" s="6">
        <v>0.0</v>
      </c>
      <c r="D29" s="6">
        <v>0.0</v>
      </c>
    </row>
    <row r="30">
      <c r="A30" s="6">
        <v>29.0</v>
      </c>
      <c r="B30" s="9" t="s">
        <v>295</v>
      </c>
      <c r="C30" s="6">
        <v>0.0</v>
      </c>
      <c r="D30" s="6">
        <v>0.0</v>
      </c>
    </row>
    <row r="31">
      <c r="A31" s="6">
        <v>30.0</v>
      </c>
      <c r="B31" s="9" t="s">
        <v>302</v>
      </c>
      <c r="C31" s="6">
        <v>0.0</v>
      </c>
      <c r="D31" s="6">
        <v>0.0</v>
      </c>
    </row>
    <row r="32">
      <c r="A32" s="6">
        <v>31.0</v>
      </c>
      <c r="B32" s="9" t="s">
        <v>304</v>
      </c>
      <c r="C32" s="6">
        <v>0.0</v>
      </c>
      <c r="D32" s="6">
        <v>0.0</v>
      </c>
    </row>
    <row r="33">
      <c r="A33" s="6">
        <v>32.0</v>
      </c>
      <c r="B33" s="9" t="s">
        <v>306</v>
      </c>
      <c r="C33" s="6">
        <v>0.0</v>
      </c>
      <c r="D33" s="6">
        <v>0.0</v>
      </c>
    </row>
    <row r="34">
      <c r="A34" s="6">
        <v>33.0</v>
      </c>
      <c r="B34" s="9" t="s">
        <v>310</v>
      </c>
      <c r="C34" s="6">
        <v>0.0</v>
      </c>
      <c r="D34" s="6">
        <v>0.0</v>
      </c>
    </row>
    <row r="35">
      <c r="A35" s="6">
        <v>34.0</v>
      </c>
      <c r="B35" s="9" t="s">
        <v>312</v>
      </c>
      <c r="C35" s="6">
        <v>0.0</v>
      </c>
      <c r="D35" s="6">
        <v>0.0</v>
      </c>
    </row>
    <row r="36">
      <c r="A36" s="6">
        <v>35.0</v>
      </c>
      <c r="B36" s="9" t="s">
        <v>313</v>
      </c>
      <c r="C36" s="6">
        <v>0.0</v>
      </c>
      <c r="D36" s="6">
        <v>0.0</v>
      </c>
    </row>
    <row r="37">
      <c r="A37" s="6">
        <v>36.0</v>
      </c>
      <c r="B37" s="9" t="s">
        <v>315</v>
      </c>
      <c r="C37" s="6">
        <v>0.0</v>
      </c>
      <c r="D37" s="6">
        <v>0.0</v>
      </c>
    </row>
    <row r="38">
      <c r="A38" s="6">
        <v>37.0</v>
      </c>
      <c r="B38" s="9" t="s">
        <v>317</v>
      </c>
      <c r="C38" s="6">
        <v>0.0</v>
      </c>
      <c r="D38" s="6">
        <v>0.0</v>
      </c>
    </row>
    <row r="39">
      <c r="A39" s="6">
        <v>38.0</v>
      </c>
      <c r="B39" s="9" t="s">
        <v>319</v>
      </c>
      <c r="C39" s="6">
        <v>0.0</v>
      </c>
      <c r="D39" s="6">
        <v>0.0</v>
      </c>
    </row>
    <row r="40">
      <c r="A40" s="6">
        <v>39.0</v>
      </c>
      <c r="B40" s="9" t="s">
        <v>320</v>
      </c>
      <c r="C40" s="6">
        <v>0.0</v>
      </c>
      <c r="D40" s="6">
        <v>0.0</v>
      </c>
    </row>
    <row r="41">
      <c r="A41" s="6">
        <v>40.0</v>
      </c>
      <c r="B41" s="9" t="s">
        <v>322</v>
      </c>
      <c r="C41" s="6">
        <v>0.0</v>
      </c>
      <c r="D41" s="6">
        <v>0.0</v>
      </c>
    </row>
    <row r="42">
      <c r="A42" s="6">
        <v>41.0</v>
      </c>
      <c r="B42" s="9" t="s">
        <v>323</v>
      </c>
      <c r="C42" s="6">
        <v>0.0</v>
      </c>
      <c r="D42" s="6">
        <v>0.0</v>
      </c>
    </row>
    <row r="43">
      <c r="A43" s="6">
        <v>42.0</v>
      </c>
      <c r="B43" s="9" t="s">
        <v>324</v>
      </c>
      <c r="C43" s="6">
        <v>0.0</v>
      </c>
      <c r="D43" s="6">
        <v>0.0</v>
      </c>
    </row>
    <row r="44">
      <c r="A44" s="6">
        <v>43.0</v>
      </c>
      <c r="B44" s="9" t="s">
        <v>326</v>
      </c>
      <c r="C44" s="6">
        <v>0.0</v>
      </c>
      <c r="D44" s="6">
        <v>0.0</v>
      </c>
    </row>
    <row r="45">
      <c r="A45" s="6">
        <v>44.0</v>
      </c>
      <c r="B45" s="9" t="s">
        <v>328</v>
      </c>
      <c r="C45" s="6">
        <v>0.0</v>
      </c>
      <c r="D45" s="6">
        <v>0.0</v>
      </c>
    </row>
    <row r="46">
      <c r="A46" s="6">
        <v>45.0</v>
      </c>
      <c r="B46" s="9" t="s">
        <v>329</v>
      </c>
      <c r="C46" s="6">
        <v>0.0</v>
      </c>
      <c r="D46" s="6">
        <v>0.0</v>
      </c>
    </row>
    <row r="47">
      <c r="A47" s="6">
        <v>46.0</v>
      </c>
      <c r="B47" s="9" t="s">
        <v>330</v>
      </c>
      <c r="C47" s="6">
        <v>0.0</v>
      </c>
      <c r="D47" s="6">
        <v>0.0</v>
      </c>
    </row>
    <row r="48">
      <c r="A48" s="6">
        <v>47.0</v>
      </c>
      <c r="B48" s="9" t="s">
        <v>331</v>
      </c>
      <c r="C48" s="6">
        <v>0.0</v>
      </c>
      <c r="D48" s="6">
        <v>0.0</v>
      </c>
    </row>
    <row r="49">
      <c r="A49" s="6">
        <v>48.0</v>
      </c>
      <c r="B49" s="9" t="s">
        <v>332</v>
      </c>
      <c r="C49" s="6">
        <v>0.0</v>
      </c>
      <c r="D49" s="6">
        <v>0.0</v>
      </c>
    </row>
    <row r="50">
      <c r="A50" s="6">
        <v>49.0</v>
      </c>
      <c r="B50" s="9" t="s">
        <v>333</v>
      </c>
      <c r="C50" s="6">
        <v>0.0</v>
      </c>
      <c r="D50" s="6">
        <v>0.0</v>
      </c>
    </row>
    <row r="51">
      <c r="A51" s="6">
        <v>50.0</v>
      </c>
      <c r="B51" s="9" t="s">
        <v>336</v>
      </c>
      <c r="C51" s="6">
        <v>0.0</v>
      </c>
      <c r="D51" s="6">
        <v>0.0</v>
      </c>
    </row>
    <row r="52">
      <c r="A52" s="6">
        <v>51.0</v>
      </c>
      <c r="B52" s="9" t="s">
        <v>338</v>
      </c>
      <c r="C52" s="6">
        <v>0.0</v>
      </c>
      <c r="D52" s="6">
        <v>0.0</v>
      </c>
    </row>
    <row r="53">
      <c r="A53" s="6">
        <v>52.0</v>
      </c>
      <c r="B53" s="9" t="s">
        <v>339</v>
      </c>
      <c r="C53" s="6">
        <v>0.0</v>
      </c>
      <c r="D53" s="6">
        <v>0.0</v>
      </c>
    </row>
    <row r="54">
      <c r="A54" s="6">
        <v>53.0</v>
      </c>
      <c r="B54" s="9" t="s">
        <v>340</v>
      </c>
      <c r="C54" s="6">
        <v>0.0</v>
      </c>
      <c r="D54" s="6">
        <v>0.0</v>
      </c>
    </row>
    <row r="55">
      <c r="A55" s="6">
        <v>54.0</v>
      </c>
      <c r="B55" s="9" t="s">
        <v>341</v>
      </c>
      <c r="C55" s="6">
        <v>0.0</v>
      </c>
      <c r="D55" s="6">
        <v>0.0</v>
      </c>
    </row>
    <row r="56">
      <c r="A56" s="6">
        <v>55.0</v>
      </c>
      <c r="B56" s="9" t="s">
        <v>342</v>
      </c>
      <c r="C56" s="6">
        <v>0.0</v>
      </c>
      <c r="D56" s="6">
        <v>0.0</v>
      </c>
    </row>
    <row r="57">
      <c r="A57" s="6">
        <v>56.0</v>
      </c>
      <c r="B57" s="9" t="s">
        <v>343</v>
      </c>
      <c r="C57" s="6">
        <v>0.0</v>
      </c>
      <c r="D57" s="6">
        <v>0.0</v>
      </c>
    </row>
    <row r="58">
      <c r="A58" s="6">
        <v>57.0</v>
      </c>
      <c r="B58" s="9" t="s">
        <v>345</v>
      </c>
      <c r="C58" s="6">
        <v>0.0</v>
      </c>
      <c r="D58" s="6">
        <v>0.0</v>
      </c>
    </row>
    <row r="59">
      <c r="A59" s="6">
        <v>58.0</v>
      </c>
      <c r="B59" s="9" t="s">
        <v>334</v>
      </c>
      <c r="C59" s="6">
        <v>0.0</v>
      </c>
      <c r="D59" s="6">
        <v>0.0</v>
      </c>
    </row>
    <row r="60">
      <c r="A60" s="6">
        <v>59.0</v>
      </c>
      <c r="B60" s="9" t="s">
        <v>294</v>
      </c>
      <c r="C60" s="6">
        <v>0.0</v>
      </c>
      <c r="D60" s="6">
        <v>0.0</v>
      </c>
    </row>
    <row r="61">
      <c r="A61" s="6">
        <v>60.0</v>
      </c>
      <c r="B61" s="9" t="s">
        <v>354</v>
      </c>
      <c r="C61" s="6">
        <v>0.0</v>
      </c>
      <c r="D61" s="6">
        <v>0.0</v>
      </c>
    </row>
    <row r="62">
      <c r="A62" s="6">
        <v>61.0</v>
      </c>
      <c r="B62" s="9" t="s">
        <v>356</v>
      </c>
      <c r="C62" s="6">
        <v>0.0</v>
      </c>
      <c r="D62" s="6">
        <v>0.0</v>
      </c>
    </row>
    <row r="63">
      <c r="A63" s="6">
        <v>62.0</v>
      </c>
      <c r="B63" s="9" t="s">
        <v>359</v>
      </c>
      <c r="C63" s="6">
        <v>0.0</v>
      </c>
      <c r="D63" s="6">
        <v>0.0</v>
      </c>
    </row>
    <row r="64">
      <c r="A64" s="6">
        <v>63.0</v>
      </c>
      <c r="B64" s="9" t="s">
        <v>361</v>
      </c>
      <c r="C64" s="6">
        <v>0.0</v>
      </c>
      <c r="D64" s="6">
        <v>0.0</v>
      </c>
    </row>
    <row r="65">
      <c r="A65" s="6">
        <v>64.0</v>
      </c>
      <c r="B65" s="9" t="s">
        <v>362</v>
      </c>
      <c r="C65" s="6">
        <v>0.0</v>
      </c>
      <c r="D65" s="6">
        <v>0.0</v>
      </c>
    </row>
    <row r="66">
      <c r="A66" s="6">
        <v>65.0</v>
      </c>
      <c r="B66" s="9" t="s">
        <v>363</v>
      </c>
      <c r="C66" s="6">
        <v>0.0</v>
      </c>
      <c r="D66" s="6">
        <v>0.0</v>
      </c>
    </row>
    <row r="67">
      <c r="A67" s="6">
        <v>66.0</v>
      </c>
      <c r="B67" s="9" t="s">
        <v>366</v>
      </c>
      <c r="C67" s="6">
        <v>0.0</v>
      </c>
      <c r="D67" s="6">
        <v>0.0</v>
      </c>
    </row>
    <row r="68">
      <c r="A68" s="6">
        <v>67.0</v>
      </c>
      <c r="B68" s="9" t="s">
        <v>368</v>
      </c>
      <c r="C68" s="6">
        <v>0.0</v>
      </c>
      <c r="D68" s="6">
        <v>0.0</v>
      </c>
    </row>
    <row r="69">
      <c r="A69" s="6">
        <v>68.0</v>
      </c>
      <c r="B69" s="9" t="s">
        <v>371</v>
      </c>
      <c r="C69" s="6">
        <v>0.0</v>
      </c>
      <c r="D69" s="6">
        <v>0.0</v>
      </c>
    </row>
    <row r="70">
      <c r="A70" s="6">
        <v>69.0</v>
      </c>
      <c r="B70" s="9" t="s">
        <v>372</v>
      </c>
      <c r="C70" s="6">
        <v>0.0</v>
      </c>
      <c r="D70" s="6">
        <v>0.0</v>
      </c>
    </row>
    <row r="71">
      <c r="A71" s="6">
        <v>70.0</v>
      </c>
      <c r="B71" s="9" t="s">
        <v>373</v>
      </c>
      <c r="C71" s="6">
        <v>0.0</v>
      </c>
      <c r="D71" s="6">
        <v>0.0</v>
      </c>
    </row>
    <row r="72">
      <c r="A72" s="6">
        <v>71.0</v>
      </c>
      <c r="B72" s="9" t="s">
        <v>374</v>
      </c>
      <c r="C72" s="6">
        <v>0.0</v>
      </c>
      <c r="D72" s="6">
        <v>0.0</v>
      </c>
    </row>
    <row r="73">
      <c r="A73" s="6">
        <v>72.0</v>
      </c>
      <c r="B73" s="9" t="s">
        <v>375</v>
      </c>
      <c r="C73" s="6">
        <v>0.0</v>
      </c>
      <c r="D73" s="6">
        <v>0.0</v>
      </c>
    </row>
    <row r="74">
      <c r="A74" s="6">
        <v>73.0</v>
      </c>
      <c r="B74" s="9" t="s">
        <v>376</v>
      </c>
      <c r="C74" s="6">
        <v>0.0</v>
      </c>
      <c r="D74" s="6">
        <v>0.0</v>
      </c>
    </row>
    <row r="75">
      <c r="A75" s="6">
        <v>74.0</v>
      </c>
      <c r="B75" s="9" t="s">
        <v>377</v>
      </c>
      <c r="C75" s="6">
        <v>0.0</v>
      </c>
      <c r="D75" s="6">
        <v>0.0</v>
      </c>
    </row>
    <row r="76">
      <c r="A76" s="6">
        <v>75.0</v>
      </c>
      <c r="B76" s="9" t="s">
        <v>378</v>
      </c>
      <c r="C76" s="6">
        <v>0.0</v>
      </c>
      <c r="D76" s="6">
        <v>0.0</v>
      </c>
    </row>
    <row r="77">
      <c r="A77" s="22"/>
      <c r="C77" s="22"/>
      <c r="D77" s="22"/>
    </row>
    <row r="78">
      <c r="A78" s="22"/>
      <c r="B78" s="5" t="s">
        <v>380</v>
      </c>
      <c r="C78" s="6">
        <v>1.0</v>
      </c>
      <c r="D78" s="22"/>
    </row>
    <row r="79">
      <c r="A79" s="22"/>
      <c r="B79" s="5" t="s">
        <v>381</v>
      </c>
      <c r="C79" s="6">
        <v>74.0</v>
      </c>
      <c r="D79" s="22"/>
    </row>
    <row r="80">
      <c r="A80" s="22"/>
      <c r="B80" s="5" t="s">
        <v>382</v>
      </c>
      <c r="C80" s="6">
        <v>1.0</v>
      </c>
      <c r="D80" s="22"/>
    </row>
    <row r="81">
      <c r="A81" s="22"/>
      <c r="C81" s="22"/>
      <c r="D81" s="22"/>
    </row>
    <row r="82">
      <c r="A82" s="22"/>
      <c r="C82" s="22"/>
      <c r="D82" s="22"/>
    </row>
    <row r="83">
      <c r="A83" s="22"/>
      <c r="C83" s="22"/>
      <c r="D83" s="22"/>
    </row>
    <row r="84">
      <c r="A84" s="22"/>
      <c r="C84" s="22"/>
      <c r="D84" s="22"/>
    </row>
    <row r="85">
      <c r="A85" s="22"/>
      <c r="C85" s="22"/>
      <c r="D85" s="22"/>
    </row>
    <row r="86">
      <c r="A86" s="22"/>
      <c r="C86" s="22"/>
      <c r="D86" s="22"/>
    </row>
    <row r="87">
      <c r="A87" s="22"/>
      <c r="C87" s="22"/>
      <c r="D87" s="22"/>
    </row>
    <row r="88">
      <c r="A88" s="22"/>
      <c r="C88" s="22"/>
      <c r="D88" s="22"/>
    </row>
    <row r="89">
      <c r="A89" s="22"/>
      <c r="C89" s="22"/>
      <c r="D89" s="22"/>
    </row>
    <row r="90">
      <c r="A90" s="22"/>
      <c r="C90" s="22"/>
      <c r="D90" s="22"/>
    </row>
    <row r="91">
      <c r="A91" s="22"/>
      <c r="C91" s="22"/>
      <c r="D91" s="22"/>
    </row>
    <row r="92">
      <c r="A92" s="22"/>
      <c r="C92" s="22"/>
      <c r="D92" s="22"/>
    </row>
    <row r="93">
      <c r="A93" s="22"/>
      <c r="C93" s="22"/>
      <c r="D93" s="22"/>
    </row>
    <row r="94">
      <c r="A94" s="22"/>
      <c r="C94" s="22"/>
      <c r="D94" s="22"/>
    </row>
    <row r="95">
      <c r="A95" s="22"/>
      <c r="C95" s="22"/>
      <c r="D95" s="22"/>
    </row>
    <row r="96">
      <c r="A96" s="22"/>
      <c r="C96" s="22"/>
      <c r="D96" s="22"/>
    </row>
    <row r="97">
      <c r="A97" s="22"/>
      <c r="C97" s="22"/>
      <c r="D97" s="22"/>
    </row>
    <row r="98">
      <c r="A98" s="22"/>
      <c r="C98" s="22"/>
      <c r="D98" s="22"/>
    </row>
    <row r="99">
      <c r="A99" s="22"/>
      <c r="C99" s="22"/>
      <c r="D99" s="22"/>
    </row>
    <row r="100">
      <c r="A100" s="22"/>
      <c r="C100" s="22"/>
      <c r="D100" s="22"/>
    </row>
    <row r="101">
      <c r="A101" s="22"/>
      <c r="C101" s="22"/>
      <c r="D101" s="22"/>
    </row>
    <row r="102">
      <c r="A102" s="22"/>
      <c r="C102" s="22"/>
      <c r="D102" s="22"/>
    </row>
    <row r="103">
      <c r="A103" s="22"/>
      <c r="C103" s="22"/>
      <c r="D103" s="22"/>
    </row>
    <row r="104">
      <c r="A104" s="22"/>
      <c r="C104" s="22"/>
      <c r="D104" s="22"/>
    </row>
    <row r="105">
      <c r="A105" s="22"/>
      <c r="C105" s="22"/>
      <c r="D105" s="22"/>
    </row>
    <row r="106">
      <c r="A106" s="22"/>
      <c r="C106" s="22"/>
      <c r="D106" s="22"/>
    </row>
    <row r="107">
      <c r="A107" s="22"/>
      <c r="C107" s="22"/>
      <c r="D107" s="22"/>
    </row>
    <row r="108">
      <c r="A108" s="22"/>
      <c r="C108" s="22"/>
      <c r="D108" s="22"/>
    </row>
    <row r="109">
      <c r="A109" s="22"/>
      <c r="C109" s="22"/>
      <c r="D109" s="22"/>
    </row>
    <row r="110">
      <c r="A110" s="22"/>
      <c r="C110" s="22"/>
      <c r="D110" s="22"/>
    </row>
    <row r="111">
      <c r="A111" s="22"/>
      <c r="C111" s="22"/>
      <c r="D111" s="22"/>
    </row>
    <row r="112">
      <c r="A112" s="22"/>
      <c r="C112" s="22"/>
      <c r="D112" s="22"/>
    </row>
    <row r="113">
      <c r="A113" s="22"/>
      <c r="C113" s="22"/>
      <c r="D113" s="22"/>
    </row>
    <row r="114">
      <c r="A114" s="22"/>
      <c r="C114" s="22"/>
      <c r="D114" s="22"/>
    </row>
    <row r="115">
      <c r="A115" s="22"/>
      <c r="C115" s="22"/>
      <c r="D115" s="22"/>
    </row>
    <row r="116">
      <c r="A116" s="22"/>
      <c r="C116" s="22"/>
      <c r="D116" s="22"/>
    </row>
    <row r="117">
      <c r="A117" s="22"/>
      <c r="C117" s="22"/>
      <c r="D117" s="22"/>
    </row>
    <row r="118">
      <c r="A118" s="22"/>
      <c r="C118" s="22"/>
      <c r="D118" s="22"/>
    </row>
    <row r="119">
      <c r="A119" s="22"/>
      <c r="C119" s="22"/>
      <c r="D119" s="22"/>
    </row>
    <row r="120">
      <c r="A120" s="22"/>
      <c r="C120" s="22"/>
      <c r="D120" s="22"/>
    </row>
    <row r="121">
      <c r="A121" s="22"/>
      <c r="C121" s="22"/>
      <c r="D121" s="22"/>
    </row>
    <row r="122">
      <c r="A122" s="22"/>
      <c r="C122" s="22"/>
      <c r="D122" s="22"/>
    </row>
    <row r="123">
      <c r="A123" s="22"/>
      <c r="C123" s="22"/>
      <c r="D123" s="22"/>
    </row>
    <row r="124">
      <c r="A124" s="22"/>
      <c r="C124" s="22"/>
      <c r="D124" s="22"/>
    </row>
    <row r="125">
      <c r="A125" s="22"/>
      <c r="C125" s="22"/>
      <c r="D125" s="22"/>
    </row>
    <row r="126">
      <c r="A126" s="22"/>
      <c r="C126" s="22"/>
      <c r="D126" s="22"/>
    </row>
    <row r="127">
      <c r="A127" s="22"/>
      <c r="C127" s="22"/>
      <c r="D127" s="22"/>
    </row>
    <row r="128">
      <c r="A128" s="22"/>
      <c r="C128" s="22"/>
      <c r="D128" s="22"/>
    </row>
    <row r="129">
      <c r="A129" s="22"/>
      <c r="C129" s="22"/>
      <c r="D129" s="22"/>
    </row>
    <row r="130">
      <c r="A130" s="22"/>
      <c r="C130" s="22"/>
      <c r="D130" s="22"/>
    </row>
    <row r="131">
      <c r="A131" s="22"/>
      <c r="C131" s="22"/>
      <c r="D131" s="22"/>
    </row>
    <row r="132">
      <c r="A132" s="22"/>
      <c r="C132" s="22"/>
      <c r="D132" s="22"/>
    </row>
    <row r="133">
      <c r="A133" s="22"/>
      <c r="C133" s="22"/>
      <c r="D133" s="22"/>
    </row>
    <row r="134">
      <c r="A134" s="22"/>
      <c r="C134" s="22"/>
      <c r="D134" s="22"/>
    </row>
    <row r="135">
      <c r="A135" s="22"/>
      <c r="C135" s="22"/>
      <c r="D135" s="22"/>
    </row>
    <row r="136">
      <c r="A136" s="22"/>
      <c r="C136" s="22"/>
      <c r="D136" s="22"/>
    </row>
    <row r="137">
      <c r="A137" s="22"/>
      <c r="C137" s="22"/>
      <c r="D137" s="22"/>
    </row>
    <row r="138">
      <c r="A138" s="22"/>
      <c r="C138" s="22"/>
      <c r="D138" s="22"/>
    </row>
    <row r="139">
      <c r="A139" s="22"/>
      <c r="C139" s="22"/>
      <c r="D139" s="22"/>
    </row>
    <row r="140">
      <c r="A140" s="22"/>
      <c r="C140" s="22"/>
      <c r="D140" s="22"/>
    </row>
    <row r="141">
      <c r="A141" s="22"/>
      <c r="C141" s="22"/>
      <c r="D141" s="22"/>
    </row>
    <row r="142">
      <c r="A142" s="22"/>
      <c r="C142" s="22"/>
      <c r="D142" s="22"/>
    </row>
    <row r="143">
      <c r="A143" s="22"/>
      <c r="C143" s="22"/>
      <c r="D143" s="22"/>
    </row>
    <row r="144">
      <c r="A144" s="22"/>
      <c r="C144" s="22"/>
      <c r="D144" s="22"/>
    </row>
    <row r="145">
      <c r="A145" s="22"/>
      <c r="C145" s="22"/>
      <c r="D145" s="22"/>
    </row>
    <row r="146">
      <c r="A146" s="22"/>
      <c r="C146" s="22"/>
      <c r="D146" s="22"/>
    </row>
    <row r="147">
      <c r="A147" s="22"/>
      <c r="C147" s="22"/>
      <c r="D147" s="22"/>
    </row>
    <row r="148">
      <c r="A148" s="22"/>
      <c r="C148" s="22"/>
      <c r="D148" s="22"/>
    </row>
    <row r="149">
      <c r="A149" s="22"/>
      <c r="C149" s="22"/>
      <c r="D149" s="22"/>
    </row>
    <row r="150">
      <c r="A150" s="22"/>
      <c r="C150" s="22"/>
      <c r="D150" s="22"/>
    </row>
    <row r="151">
      <c r="A151" s="22"/>
      <c r="C151" s="22"/>
      <c r="D151" s="22"/>
    </row>
    <row r="152">
      <c r="A152" s="22"/>
      <c r="C152" s="22"/>
      <c r="D152" s="22"/>
    </row>
    <row r="153">
      <c r="A153" s="22"/>
      <c r="C153" s="22"/>
      <c r="D153" s="22"/>
    </row>
    <row r="154">
      <c r="A154" s="22"/>
      <c r="C154" s="22"/>
      <c r="D154" s="22"/>
    </row>
    <row r="155">
      <c r="A155" s="22"/>
      <c r="C155" s="22"/>
      <c r="D155" s="22"/>
    </row>
    <row r="156">
      <c r="A156" s="22"/>
      <c r="C156" s="22"/>
      <c r="D156" s="22"/>
    </row>
    <row r="157">
      <c r="A157" s="22"/>
      <c r="C157" s="22"/>
      <c r="D157" s="22"/>
    </row>
    <row r="158">
      <c r="A158" s="22"/>
      <c r="C158" s="22"/>
      <c r="D158" s="22"/>
    </row>
    <row r="159">
      <c r="A159" s="22"/>
      <c r="C159" s="22"/>
      <c r="D159" s="22"/>
    </row>
    <row r="160">
      <c r="A160" s="22"/>
      <c r="C160" s="22"/>
      <c r="D160" s="22"/>
    </row>
    <row r="161">
      <c r="A161" s="22"/>
      <c r="C161" s="22"/>
      <c r="D161" s="22"/>
    </row>
    <row r="162">
      <c r="A162" s="22"/>
      <c r="C162" s="22"/>
      <c r="D162" s="22"/>
    </row>
    <row r="163">
      <c r="A163" s="22"/>
      <c r="C163" s="22"/>
      <c r="D163" s="22"/>
    </row>
    <row r="164">
      <c r="A164" s="22"/>
      <c r="C164" s="22"/>
      <c r="D164" s="22"/>
    </row>
    <row r="165">
      <c r="A165" s="22"/>
      <c r="C165" s="22"/>
      <c r="D165" s="22"/>
    </row>
    <row r="166">
      <c r="A166" s="22"/>
      <c r="C166" s="22"/>
      <c r="D166" s="22"/>
    </row>
    <row r="167">
      <c r="A167" s="22"/>
      <c r="C167" s="22"/>
      <c r="D167" s="22"/>
    </row>
    <row r="168">
      <c r="A168" s="22"/>
      <c r="C168" s="22"/>
      <c r="D168" s="22"/>
    </row>
    <row r="169">
      <c r="A169" s="22"/>
      <c r="C169" s="22"/>
      <c r="D169" s="22"/>
    </row>
    <row r="170">
      <c r="A170" s="22"/>
      <c r="C170" s="22"/>
      <c r="D170" s="22"/>
    </row>
    <row r="171">
      <c r="A171" s="22"/>
      <c r="C171" s="22"/>
      <c r="D171" s="22"/>
    </row>
    <row r="172">
      <c r="A172" s="22"/>
      <c r="C172" s="22"/>
      <c r="D172" s="22"/>
    </row>
    <row r="173">
      <c r="A173" s="22"/>
      <c r="C173" s="22"/>
      <c r="D173" s="22"/>
    </row>
    <row r="174">
      <c r="A174" s="22"/>
      <c r="C174" s="22"/>
      <c r="D174" s="22"/>
    </row>
    <row r="175">
      <c r="A175" s="22"/>
      <c r="C175" s="22"/>
      <c r="D175" s="22"/>
    </row>
    <row r="176">
      <c r="A176" s="22"/>
      <c r="C176" s="22"/>
      <c r="D176" s="22"/>
    </row>
    <row r="177">
      <c r="A177" s="22"/>
      <c r="C177" s="22"/>
      <c r="D177" s="22"/>
    </row>
    <row r="178">
      <c r="A178" s="22"/>
      <c r="C178" s="22"/>
      <c r="D178" s="22"/>
    </row>
    <row r="179">
      <c r="A179" s="22"/>
      <c r="C179" s="22"/>
      <c r="D179" s="22"/>
    </row>
    <row r="180">
      <c r="A180" s="22"/>
      <c r="C180" s="22"/>
      <c r="D180" s="22"/>
    </row>
    <row r="181">
      <c r="A181" s="22"/>
      <c r="C181" s="22"/>
      <c r="D181" s="22"/>
    </row>
    <row r="182">
      <c r="A182" s="22"/>
      <c r="C182" s="22"/>
      <c r="D182" s="22"/>
    </row>
    <row r="183">
      <c r="A183" s="22"/>
      <c r="C183" s="22"/>
      <c r="D183" s="22"/>
    </row>
    <row r="184">
      <c r="A184" s="22"/>
      <c r="C184" s="22"/>
      <c r="D184" s="22"/>
    </row>
    <row r="185">
      <c r="A185" s="22"/>
      <c r="C185" s="22"/>
      <c r="D185" s="22"/>
    </row>
    <row r="186">
      <c r="A186" s="22"/>
      <c r="C186" s="22"/>
      <c r="D186" s="22"/>
    </row>
    <row r="187">
      <c r="A187" s="22"/>
      <c r="C187" s="22"/>
      <c r="D187" s="22"/>
    </row>
    <row r="188">
      <c r="A188" s="22"/>
      <c r="C188" s="22"/>
      <c r="D188" s="22"/>
    </row>
    <row r="189">
      <c r="A189" s="22"/>
      <c r="C189" s="22"/>
      <c r="D189" s="22"/>
    </row>
    <row r="190">
      <c r="A190" s="22"/>
      <c r="C190" s="22"/>
      <c r="D190" s="22"/>
    </row>
    <row r="191">
      <c r="A191" s="22"/>
      <c r="C191" s="22"/>
      <c r="D191" s="22"/>
    </row>
    <row r="192">
      <c r="A192" s="22"/>
      <c r="C192" s="22"/>
      <c r="D192" s="22"/>
    </row>
    <row r="193">
      <c r="A193" s="22"/>
      <c r="C193" s="22"/>
      <c r="D193" s="22"/>
    </row>
    <row r="194">
      <c r="A194" s="22"/>
      <c r="C194" s="22"/>
      <c r="D194" s="22"/>
    </row>
    <row r="195">
      <c r="A195" s="22"/>
      <c r="C195" s="22"/>
      <c r="D195" s="22"/>
    </row>
    <row r="196">
      <c r="A196" s="22"/>
      <c r="C196" s="22"/>
      <c r="D196" s="22"/>
    </row>
    <row r="197">
      <c r="A197" s="22"/>
      <c r="C197" s="22"/>
      <c r="D197" s="22"/>
    </row>
    <row r="198">
      <c r="A198" s="22"/>
      <c r="C198" s="22"/>
      <c r="D198" s="22"/>
    </row>
    <row r="199">
      <c r="A199" s="22"/>
      <c r="C199" s="22"/>
      <c r="D199" s="22"/>
    </row>
    <row r="200">
      <c r="A200" s="22"/>
      <c r="C200" s="22"/>
      <c r="D200" s="22"/>
    </row>
    <row r="201">
      <c r="A201" s="22"/>
      <c r="C201" s="22"/>
      <c r="D201" s="22"/>
    </row>
    <row r="202">
      <c r="A202" s="22"/>
      <c r="C202" s="22"/>
      <c r="D202" s="22"/>
    </row>
    <row r="203">
      <c r="A203" s="22"/>
      <c r="C203" s="22"/>
      <c r="D203" s="22"/>
    </row>
    <row r="204">
      <c r="A204" s="22"/>
      <c r="C204" s="22"/>
      <c r="D204" s="22"/>
    </row>
    <row r="205">
      <c r="A205" s="22"/>
      <c r="C205" s="22"/>
      <c r="D205" s="22"/>
    </row>
    <row r="206">
      <c r="A206" s="22"/>
      <c r="C206" s="22"/>
      <c r="D206" s="22"/>
    </row>
    <row r="207">
      <c r="A207" s="22"/>
      <c r="C207" s="22"/>
      <c r="D207" s="22"/>
    </row>
    <row r="208">
      <c r="A208" s="22"/>
      <c r="C208" s="22"/>
      <c r="D208" s="22"/>
    </row>
    <row r="209">
      <c r="A209" s="22"/>
      <c r="C209" s="22"/>
      <c r="D209" s="22"/>
    </row>
    <row r="210">
      <c r="A210" s="22"/>
      <c r="C210" s="22"/>
      <c r="D210" s="22"/>
    </row>
    <row r="211">
      <c r="A211" s="22"/>
      <c r="C211" s="22"/>
      <c r="D211" s="22"/>
    </row>
    <row r="212">
      <c r="A212" s="22"/>
      <c r="C212" s="22"/>
      <c r="D212" s="22"/>
    </row>
    <row r="213">
      <c r="A213" s="22"/>
      <c r="C213" s="22"/>
      <c r="D213" s="22"/>
    </row>
    <row r="214">
      <c r="A214" s="22"/>
      <c r="C214" s="22"/>
      <c r="D214" s="22"/>
    </row>
    <row r="215">
      <c r="A215" s="22"/>
      <c r="C215" s="22"/>
      <c r="D215" s="22"/>
    </row>
    <row r="216">
      <c r="A216" s="22"/>
      <c r="C216" s="22"/>
      <c r="D216" s="22"/>
    </row>
    <row r="217">
      <c r="A217" s="22"/>
      <c r="C217" s="22"/>
      <c r="D217" s="22"/>
    </row>
    <row r="218">
      <c r="A218" s="22"/>
      <c r="C218" s="22"/>
      <c r="D218" s="22"/>
    </row>
    <row r="219">
      <c r="A219" s="22"/>
      <c r="C219" s="22"/>
      <c r="D219" s="22"/>
    </row>
    <row r="220">
      <c r="A220" s="22"/>
      <c r="C220" s="22"/>
      <c r="D220" s="22"/>
    </row>
    <row r="221">
      <c r="A221" s="22"/>
      <c r="C221" s="22"/>
      <c r="D221" s="22"/>
    </row>
    <row r="222">
      <c r="A222" s="22"/>
      <c r="C222" s="22"/>
      <c r="D222" s="22"/>
    </row>
    <row r="223">
      <c r="A223" s="22"/>
      <c r="C223" s="22"/>
      <c r="D223" s="22"/>
    </row>
    <row r="224">
      <c r="A224" s="22"/>
      <c r="C224" s="22"/>
      <c r="D224" s="22"/>
    </row>
    <row r="225">
      <c r="A225" s="22"/>
      <c r="C225" s="22"/>
      <c r="D225" s="22"/>
    </row>
    <row r="226">
      <c r="A226" s="22"/>
      <c r="C226" s="22"/>
      <c r="D226" s="22"/>
    </row>
    <row r="227">
      <c r="A227" s="22"/>
      <c r="C227" s="22"/>
      <c r="D227" s="22"/>
    </row>
    <row r="228">
      <c r="A228" s="22"/>
      <c r="C228" s="22"/>
      <c r="D228" s="22"/>
    </row>
    <row r="229">
      <c r="A229" s="22"/>
      <c r="C229" s="22"/>
      <c r="D229" s="22"/>
    </row>
    <row r="230">
      <c r="A230" s="22"/>
      <c r="C230" s="22"/>
      <c r="D230" s="22"/>
    </row>
    <row r="231">
      <c r="A231" s="22"/>
      <c r="C231" s="22"/>
      <c r="D231" s="22"/>
    </row>
    <row r="232">
      <c r="A232" s="22"/>
      <c r="C232" s="22"/>
      <c r="D232" s="22"/>
    </row>
    <row r="233">
      <c r="A233" s="22"/>
      <c r="C233" s="22"/>
      <c r="D233" s="22"/>
    </row>
    <row r="234">
      <c r="A234" s="22"/>
      <c r="C234" s="22"/>
      <c r="D234" s="22"/>
    </row>
    <row r="235">
      <c r="A235" s="22"/>
      <c r="C235" s="22"/>
      <c r="D235" s="22"/>
    </row>
    <row r="236">
      <c r="A236" s="22"/>
      <c r="C236" s="22"/>
      <c r="D236" s="22"/>
    </row>
    <row r="237">
      <c r="A237" s="22"/>
      <c r="C237" s="22"/>
      <c r="D237" s="22"/>
    </row>
    <row r="238">
      <c r="A238" s="22"/>
      <c r="C238" s="22"/>
      <c r="D238" s="22"/>
    </row>
    <row r="239">
      <c r="A239" s="22"/>
      <c r="C239" s="22"/>
      <c r="D239" s="22"/>
    </row>
    <row r="240">
      <c r="A240" s="22"/>
      <c r="C240" s="22"/>
      <c r="D240" s="22"/>
    </row>
    <row r="241">
      <c r="A241" s="22"/>
      <c r="C241" s="22"/>
      <c r="D241" s="22"/>
    </row>
    <row r="242">
      <c r="A242" s="22"/>
      <c r="C242" s="22"/>
      <c r="D242" s="22"/>
    </row>
    <row r="243">
      <c r="A243" s="22"/>
      <c r="C243" s="22"/>
      <c r="D243" s="22"/>
    </row>
    <row r="244">
      <c r="A244" s="22"/>
      <c r="C244" s="22"/>
      <c r="D244" s="22"/>
    </row>
    <row r="245">
      <c r="A245" s="22"/>
      <c r="C245" s="22"/>
      <c r="D245" s="22"/>
    </row>
    <row r="246">
      <c r="A246" s="22"/>
      <c r="C246" s="22"/>
      <c r="D246" s="22"/>
    </row>
    <row r="247">
      <c r="A247" s="22"/>
      <c r="C247" s="22"/>
      <c r="D247" s="22"/>
    </row>
    <row r="248">
      <c r="A248" s="22"/>
      <c r="C248" s="22"/>
      <c r="D248" s="22"/>
    </row>
    <row r="249">
      <c r="A249" s="22"/>
      <c r="C249" s="22"/>
      <c r="D249" s="22"/>
    </row>
    <row r="250">
      <c r="A250" s="22"/>
      <c r="C250" s="22"/>
      <c r="D250" s="22"/>
    </row>
    <row r="251">
      <c r="A251" s="22"/>
      <c r="C251" s="22"/>
      <c r="D251" s="22"/>
    </row>
    <row r="252">
      <c r="A252" s="22"/>
      <c r="C252" s="22"/>
      <c r="D252" s="22"/>
    </row>
    <row r="253">
      <c r="A253" s="22"/>
      <c r="C253" s="22"/>
      <c r="D253" s="22"/>
    </row>
    <row r="254">
      <c r="A254" s="22"/>
      <c r="C254" s="22"/>
      <c r="D254" s="22"/>
    </row>
    <row r="255">
      <c r="A255" s="22"/>
      <c r="C255" s="22"/>
      <c r="D255" s="22"/>
    </row>
    <row r="256">
      <c r="A256" s="22"/>
      <c r="C256" s="22"/>
      <c r="D256" s="22"/>
    </row>
    <row r="257">
      <c r="A257" s="22"/>
      <c r="C257" s="22"/>
      <c r="D257" s="22"/>
    </row>
    <row r="258">
      <c r="A258" s="22"/>
      <c r="C258" s="22"/>
      <c r="D258" s="22"/>
    </row>
    <row r="259">
      <c r="A259" s="22"/>
      <c r="C259" s="22"/>
      <c r="D259" s="22"/>
    </row>
    <row r="260">
      <c r="A260" s="22"/>
      <c r="C260" s="22"/>
      <c r="D260" s="22"/>
    </row>
    <row r="261">
      <c r="A261" s="22"/>
      <c r="C261" s="22"/>
      <c r="D261" s="22"/>
    </row>
    <row r="262">
      <c r="A262" s="22"/>
      <c r="C262" s="22"/>
      <c r="D262" s="22"/>
    </row>
    <row r="263">
      <c r="A263" s="22"/>
      <c r="C263" s="22"/>
      <c r="D263" s="22"/>
    </row>
    <row r="264">
      <c r="A264" s="22"/>
      <c r="C264" s="22"/>
      <c r="D264" s="22"/>
    </row>
    <row r="265">
      <c r="A265" s="22"/>
      <c r="C265" s="22"/>
      <c r="D265" s="22"/>
    </row>
    <row r="266">
      <c r="A266" s="22"/>
      <c r="C266" s="22"/>
      <c r="D266" s="22"/>
    </row>
    <row r="267">
      <c r="A267" s="22"/>
      <c r="C267" s="22"/>
      <c r="D267" s="22"/>
    </row>
    <row r="268">
      <c r="A268" s="22"/>
      <c r="C268" s="22"/>
      <c r="D268" s="22"/>
    </row>
    <row r="269">
      <c r="A269" s="22"/>
      <c r="C269" s="22"/>
      <c r="D269" s="22"/>
    </row>
    <row r="270">
      <c r="A270" s="22"/>
      <c r="C270" s="22"/>
      <c r="D270" s="22"/>
    </row>
    <row r="271">
      <c r="A271" s="22"/>
      <c r="C271" s="22"/>
      <c r="D271" s="22"/>
    </row>
    <row r="272">
      <c r="A272" s="22"/>
      <c r="C272" s="22"/>
      <c r="D272" s="22"/>
    </row>
    <row r="273">
      <c r="A273" s="22"/>
      <c r="C273" s="22"/>
      <c r="D273" s="22"/>
    </row>
    <row r="274">
      <c r="A274" s="22"/>
      <c r="C274" s="22"/>
      <c r="D274" s="22"/>
    </row>
    <row r="275">
      <c r="A275" s="22"/>
      <c r="C275" s="22"/>
      <c r="D275" s="22"/>
    </row>
    <row r="276">
      <c r="A276" s="22"/>
      <c r="C276" s="22"/>
      <c r="D276" s="22"/>
    </row>
    <row r="277">
      <c r="A277" s="22"/>
      <c r="C277" s="22"/>
      <c r="D277" s="22"/>
    </row>
    <row r="278">
      <c r="A278" s="22"/>
      <c r="C278" s="22"/>
      <c r="D278" s="22"/>
    </row>
    <row r="279">
      <c r="A279" s="22"/>
      <c r="C279" s="22"/>
      <c r="D279" s="22"/>
    </row>
    <row r="280">
      <c r="A280" s="22"/>
      <c r="C280" s="22"/>
      <c r="D280" s="22"/>
    </row>
    <row r="281">
      <c r="A281" s="22"/>
      <c r="C281" s="22"/>
      <c r="D281" s="22"/>
    </row>
    <row r="282">
      <c r="A282" s="22"/>
      <c r="C282" s="22"/>
      <c r="D282" s="22"/>
    </row>
    <row r="283">
      <c r="A283" s="22"/>
      <c r="C283" s="22"/>
      <c r="D283" s="22"/>
    </row>
    <row r="284">
      <c r="A284" s="22"/>
      <c r="C284" s="22"/>
      <c r="D284" s="22"/>
    </row>
    <row r="285">
      <c r="A285" s="22"/>
      <c r="C285" s="22"/>
      <c r="D285" s="22"/>
    </row>
    <row r="286">
      <c r="A286" s="22"/>
      <c r="C286" s="22"/>
      <c r="D286" s="22"/>
    </row>
    <row r="287">
      <c r="A287" s="22"/>
      <c r="C287" s="22"/>
      <c r="D287" s="22"/>
    </row>
    <row r="288">
      <c r="A288" s="22"/>
      <c r="C288" s="22"/>
      <c r="D288" s="22"/>
    </row>
    <row r="289">
      <c r="A289" s="22"/>
      <c r="C289" s="22"/>
      <c r="D289" s="22"/>
    </row>
    <row r="290">
      <c r="A290" s="22"/>
      <c r="C290" s="22"/>
      <c r="D290" s="22"/>
    </row>
    <row r="291">
      <c r="A291" s="22"/>
      <c r="C291" s="22"/>
      <c r="D291" s="22"/>
    </row>
    <row r="292">
      <c r="A292" s="22"/>
      <c r="C292" s="22"/>
      <c r="D292" s="22"/>
    </row>
    <row r="293">
      <c r="A293" s="22"/>
      <c r="C293" s="22"/>
      <c r="D293" s="22"/>
    </row>
    <row r="294">
      <c r="A294" s="22"/>
      <c r="C294" s="22"/>
      <c r="D294" s="22"/>
    </row>
    <row r="295">
      <c r="A295" s="22"/>
      <c r="C295" s="22"/>
      <c r="D295" s="22"/>
    </row>
    <row r="296">
      <c r="A296" s="22"/>
      <c r="C296" s="22"/>
      <c r="D296" s="22"/>
    </row>
    <row r="297">
      <c r="A297" s="22"/>
      <c r="C297" s="22"/>
      <c r="D297" s="22"/>
    </row>
    <row r="298">
      <c r="A298" s="22"/>
      <c r="C298" s="22"/>
      <c r="D298" s="22"/>
    </row>
    <row r="299">
      <c r="A299" s="22"/>
      <c r="C299" s="22"/>
      <c r="D299" s="22"/>
    </row>
    <row r="300">
      <c r="A300" s="22"/>
      <c r="C300" s="22"/>
      <c r="D300" s="22"/>
    </row>
    <row r="301">
      <c r="A301" s="22"/>
      <c r="C301" s="22"/>
      <c r="D301" s="22"/>
    </row>
    <row r="302">
      <c r="A302" s="22"/>
      <c r="C302" s="22"/>
      <c r="D302" s="22"/>
    </row>
    <row r="303">
      <c r="A303" s="22"/>
      <c r="C303" s="22"/>
      <c r="D303" s="22"/>
    </row>
    <row r="304">
      <c r="A304" s="22"/>
      <c r="C304" s="22"/>
      <c r="D304" s="22"/>
    </row>
    <row r="305">
      <c r="A305" s="22"/>
      <c r="C305" s="22"/>
      <c r="D305" s="22"/>
    </row>
    <row r="306">
      <c r="A306" s="22"/>
      <c r="C306" s="22"/>
      <c r="D306" s="22"/>
    </row>
    <row r="307">
      <c r="A307" s="22"/>
      <c r="C307" s="22"/>
      <c r="D307" s="22"/>
    </row>
    <row r="308">
      <c r="A308" s="22"/>
      <c r="C308" s="22"/>
      <c r="D308" s="22"/>
    </row>
    <row r="309">
      <c r="A309" s="22"/>
      <c r="C309" s="22"/>
      <c r="D309" s="22"/>
    </row>
    <row r="310">
      <c r="A310" s="22"/>
      <c r="C310" s="22"/>
      <c r="D310" s="22"/>
    </row>
    <row r="311">
      <c r="A311" s="22"/>
      <c r="C311" s="22"/>
      <c r="D311" s="22"/>
    </row>
    <row r="312">
      <c r="A312" s="22"/>
      <c r="C312" s="22"/>
      <c r="D312" s="22"/>
    </row>
    <row r="313">
      <c r="A313" s="22"/>
      <c r="C313" s="22"/>
      <c r="D313" s="22"/>
    </row>
    <row r="314">
      <c r="A314" s="22"/>
      <c r="C314" s="22"/>
      <c r="D314" s="22"/>
    </row>
    <row r="315">
      <c r="A315" s="22"/>
      <c r="C315" s="22"/>
      <c r="D315" s="22"/>
    </row>
    <row r="316">
      <c r="A316" s="22"/>
      <c r="C316" s="22"/>
      <c r="D316" s="22"/>
    </row>
    <row r="317">
      <c r="A317" s="22"/>
      <c r="C317" s="22"/>
      <c r="D317" s="22"/>
    </row>
    <row r="318">
      <c r="A318" s="22"/>
      <c r="C318" s="22"/>
      <c r="D318" s="22"/>
    </row>
    <row r="319">
      <c r="A319" s="22"/>
      <c r="C319" s="22"/>
      <c r="D319" s="22"/>
    </row>
    <row r="320">
      <c r="A320" s="22"/>
      <c r="C320" s="22"/>
      <c r="D320" s="22"/>
    </row>
    <row r="321">
      <c r="A321" s="22"/>
      <c r="C321" s="22"/>
      <c r="D321" s="22"/>
    </row>
    <row r="322">
      <c r="A322" s="22"/>
      <c r="C322" s="22"/>
      <c r="D322" s="22"/>
    </row>
    <row r="323">
      <c r="A323" s="22"/>
      <c r="C323" s="22"/>
      <c r="D323" s="22"/>
    </row>
    <row r="324">
      <c r="A324" s="22"/>
      <c r="C324" s="22"/>
      <c r="D324" s="22"/>
    </row>
    <row r="325">
      <c r="A325" s="22"/>
      <c r="C325" s="22"/>
      <c r="D325" s="22"/>
    </row>
    <row r="326">
      <c r="A326" s="22"/>
      <c r="C326" s="22"/>
      <c r="D326" s="22"/>
    </row>
    <row r="327">
      <c r="A327" s="22"/>
      <c r="C327" s="22"/>
      <c r="D327" s="22"/>
    </row>
    <row r="328">
      <c r="A328" s="22"/>
      <c r="C328" s="22"/>
      <c r="D328" s="22"/>
    </row>
    <row r="329">
      <c r="A329" s="22"/>
      <c r="C329" s="22"/>
      <c r="D329" s="22"/>
    </row>
    <row r="330">
      <c r="A330" s="22"/>
      <c r="C330" s="22"/>
      <c r="D330" s="22"/>
    </row>
    <row r="331">
      <c r="A331" s="22"/>
      <c r="C331" s="22"/>
      <c r="D331" s="22"/>
    </row>
    <row r="332">
      <c r="A332" s="22"/>
      <c r="C332" s="22"/>
      <c r="D332" s="22"/>
    </row>
    <row r="333">
      <c r="A333" s="22"/>
      <c r="C333" s="22"/>
      <c r="D333" s="22"/>
    </row>
    <row r="334">
      <c r="A334" s="22"/>
      <c r="C334" s="22"/>
      <c r="D334" s="22"/>
    </row>
    <row r="335">
      <c r="A335" s="22"/>
      <c r="C335" s="22"/>
      <c r="D335" s="22"/>
    </row>
    <row r="336">
      <c r="A336" s="22"/>
      <c r="C336" s="22"/>
      <c r="D336" s="22"/>
    </row>
    <row r="337">
      <c r="A337" s="22"/>
      <c r="C337" s="22"/>
      <c r="D337" s="22"/>
    </row>
    <row r="338">
      <c r="A338" s="22"/>
      <c r="C338" s="22"/>
      <c r="D338" s="22"/>
    </row>
    <row r="339">
      <c r="A339" s="22"/>
      <c r="C339" s="22"/>
      <c r="D339" s="22"/>
    </row>
    <row r="340">
      <c r="A340" s="22"/>
      <c r="C340" s="22"/>
      <c r="D340" s="22"/>
    </row>
    <row r="341">
      <c r="A341" s="22"/>
      <c r="C341" s="22"/>
      <c r="D341" s="22"/>
    </row>
    <row r="342">
      <c r="A342" s="22"/>
      <c r="C342" s="22"/>
      <c r="D342" s="22"/>
    </row>
    <row r="343">
      <c r="A343" s="22"/>
      <c r="C343" s="22"/>
      <c r="D343" s="22"/>
    </row>
    <row r="344">
      <c r="A344" s="22"/>
      <c r="C344" s="22"/>
      <c r="D344" s="22"/>
    </row>
    <row r="345">
      <c r="A345" s="22"/>
      <c r="C345" s="22"/>
      <c r="D345" s="22"/>
    </row>
    <row r="346">
      <c r="A346" s="22"/>
      <c r="C346" s="22"/>
      <c r="D346" s="22"/>
    </row>
    <row r="347">
      <c r="A347" s="22"/>
      <c r="C347" s="22"/>
      <c r="D347" s="22"/>
    </row>
    <row r="348">
      <c r="A348" s="22"/>
      <c r="C348" s="22"/>
      <c r="D348" s="22"/>
    </row>
    <row r="349">
      <c r="A349" s="22"/>
      <c r="C349" s="22"/>
      <c r="D349" s="22"/>
    </row>
    <row r="350">
      <c r="A350" s="22"/>
      <c r="C350" s="22"/>
      <c r="D350" s="22"/>
    </row>
    <row r="351">
      <c r="A351" s="22"/>
      <c r="C351" s="22"/>
      <c r="D351" s="22"/>
    </row>
    <row r="352">
      <c r="A352" s="22"/>
      <c r="C352" s="22"/>
      <c r="D352" s="22"/>
    </row>
    <row r="353">
      <c r="A353" s="22"/>
      <c r="C353" s="22"/>
      <c r="D353" s="22"/>
    </row>
    <row r="354">
      <c r="A354" s="22"/>
      <c r="C354" s="22"/>
      <c r="D354" s="22"/>
    </row>
    <row r="355">
      <c r="A355" s="22"/>
      <c r="C355" s="22"/>
      <c r="D355" s="22"/>
    </row>
    <row r="356">
      <c r="A356" s="22"/>
      <c r="C356" s="22"/>
      <c r="D356" s="22"/>
    </row>
    <row r="357">
      <c r="A357" s="22"/>
      <c r="C357" s="22"/>
      <c r="D357" s="22"/>
    </row>
    <row r="358">
      <c r="A358" s="22"/>
      <c r="C358" s="22"/>
      <c r="D358" s="22"/>
    </row>
    <row r="359">
      <c r="A359" s="22"/>
      <c r="C359" s="22"/>
      <c r="D359" s="22"/>
    </row>
    <row r="360">
      <c r="A360" s="22"/>
      <c r="C360" s="22"/>
      <c r="D360" s="22"/>
    </row>
    <row r="361">
      <c r="A361" s="22"/>
      <c r="C361" s="22"/>
      <c r="D361" s="22"/>
    </row>
    <row r="362">
      <c r="A362" s="22"/>
      <c r="C362" s="22"/>
      <c r="D362" s="22"/>
    </row>
    <row r="363">
      <c r="A363" s="22"/>
      <c r="C363" s="22"/>
      <c r="D363" s="22"/>
    </row>
    <row r="364">
      <c r="A364" s="22"/>
      <c r="C364" s="22"/>
      <c r="D364" s="22"/>
    </row>
    <row r="365">
      <c r="A365" s="22"/>
      <c r="C365" s="22"/>
      <c r="D365" s="22"/>
    </row>
    <row r="366">
      <c r="A366" s="22"/>
      <c r="C366" s="22"/>
      <c r="D366" s="22"/>
    </row>
    <row r="367">
      <c r="A367" s="22"/>
      <c r="C367" s="22"/>
      <c r="D367" s="22"/>
    </row>
    <row r="368">
      <c r="A368" s="22"/>
      <c r="C368" s="22"/>
      <c r="D368" s="22"/>
    </row>
    <row r="369">
      <c r="A369" s="22"/>
      <c r="C369" s="22"/>
      <c r="D369" s="22"/>
    </row>
    <row r="370">
      <c r="A370" s="22"/>
      <c r="C370" s="22"/>
      <c r="D370" s="22"/>
    </row>
    <row r="371">
      <c r="A371" s="22"/>
      <c r="C371" s="22"/>
      <c r="D371" s="22"/>
    </row>
    <row r="372">
      <c r="A372" s="22"/>
      <c r="C372" s="22"/>
      <c r="D372" s="22"/>
    </row>
    <row r="373">
      <c r="A373" s="22"/>
      <c r="C373" s="22"/>
      <c r="D373" s="22"/>
    </row>
    <row r="374">
      <c r="A374" s="22"/>
      <c r="C374" s="22"/>
      <c r="D374" s="22"/>
    </row>
    <row r="375">
      <c r="A375" s="22"/>
      <c r="C375" s="22"/>
      <c r="D375" s="22"/>
    </row>
    <row r="376">
      <c r="A376" s="22"/>
      <c r="C376" s="22"/>
      <c r="D376" s="22"/>
    </row>
    <row r="377">
      <c r="A377" s="22"/>
      <c r="C377" s="22"/>
      <c r="D377" s="22"/>
    </row>
    <row r="378">
      <c r="A378" s="22"/>
      <c r="C378" s="22"/>
      <c r="D378" s="22"/>
    </row>
    <row r="379">
      <c r="A379" s="22"/>
      <c r="C379" s="22"/>
      <c r="D379" s="22"/>
    </row>
    <row r="380">
      <c r="A380" s="22"/>
      <c r="C380" s="22"/>
      <c r="D380" s="22"/>
    </row>
    <row r="381">
      <c r="A381" s="22"/>
      <c r="C381" s="22"/>
      <c r="D381" s="22"/>
    </row>
    <row r="382">
      <c r="A382" s="22"/>
      <c r="C382" s="22"/>
      <c r="D382" s="22"/>
    </row>
    <row r="383">
      <c r="A383" s="22"/>
      <c r="C383" s="22"/>
      <c r="D383" s="22"/>
    </row>
    <row r="384">
      <c r="A384" s="22"/>
      <c r="C384" s="22"/>
      <c r="D384" s="22"/>
    </row>
    <row r="385">
      <c r="A385" s="22"/>
      <c r="C385" s="22"/>
      <c r="D385" s="22"/>
    </row>
    <row r="386">
      <c r="A386" s="22"/>
      <c r="C386" s="22"/>
      <c r="D386" s="22"/>
    </row>
    <row r="387">
      <c r="A387" s="22"/>
      <c r="C387" s="22"/>
      <c r="D387" s="22"/>
    </row>
    <row r="388">
      <c r="A388" s="22"/>
      <c r="C388" s="22"/>
      <c r="D388" s="22"/>
    </row>
    <row r="389">
      <c r="A389" s="22"/>
      <c r="C389" s="22"/>
      <c r="D389" s="22"/>
    </row>
    <row r="390">
      <c r="A390" s="22"/>
      <c r="C390" s="22"/>
      <c r="D390" s="22"/>
    </row>
    <row r="391">
      <c r="A391" s="22"/>
      <c r="C391" s="22"/>
      <c r="D391" s="22"/>
    </row>
    <row r="392">
      <c r="A392" s="22"/>
      <c r="C392" s="22"/>
      <c r="D392" s="22"/>
    </row>
    <row r="393">
      <c r="A393" s="22"/>
      <c r="C393" s="22"/>
      <c r="D393" s="22"/>
    </row>
    <row r="394">
      <c r="A394" s="22"/>
      <c r="C394" s="22"/>
      <c r="D394" s="22"/>
    </row>
    <row r="395">
      <c r="A395" s="22"/>
      <c r="C395" s="22"/>
      <c r="D395" s="22"/>
    </row>
    <row r="396">
      <c r="A396" s="22"/>
      <c r="C396" s="22"/>
      <c r="D396" s="22"/>
    </row>
    <row r="397">
      <c r="A397" s="22"/>
      <c r="C397" s="22"/>
      <c r="D397" s="22"/>
    </row>
    <row r="398">
      <c r="A398" s="22"/>
      <c r="C398" s="22"/>
      <c r="D398" s="22"/>
    </row>
    <row r="399">
      <c r="A399" s="22"/>
      <c r="C399" s="22"/>
      <c r="D399" s="22"/>
    </row>
    <row r="400">
      <c r="A400" s="22"/>
      <c r="C400" s="22"/>
      <c r="D400" s="22"/>
    </row>
    <row r="401">
      <c r="A401" s="22"/>
      <c r="C401" s="22"/>
      <c r="D401" s="22"/>
    </row>
    <row r="402">
      <c r="A402" s="22"/>
      <c r="C402" s="22"/>
      <c r="D402" s="22"/>
    </row>
    <row r="403">
      <c r="A403" s="22"/>
      <c r="C403" s="22"/>
      <c r="D403" s="22"/>
    </row>
    <row r="404">
      <c r="A404" s="22"/>
      <c r="C404" s="22"/>
      <c r="D404" s="22"/>
    </row>
    <row r="405">
      <c r="A405" s="22"/>
      <c r="C405" s="22"/>
      <c r="D405" s="22"/>
    </row>
    <row r="406">
      <c r="A406" s="22"/>
      <c r="C406" s="22"/>
      <c r="D406" s="22"/>
    </row>
    <row r="407">
      <c r="A407" s="22"/>
      <c r="C407" s="22"/>
      <c r="D407" s="22"/>
    </row>
    <row r="408">
      <c r="A408" s="22"/>
      <c r="C408" s="22"/>
      <c r="D408" s="22"/>
    </row>
    <row r="409">
      <c r="A409" s="22"/>
      <c r="C409" s="22"/>
      <c r="D409" s="22"/>
    </row>
    <row r="410">
      <c r="A410" s="22"/>
      <c r="C410" s="22"/>
      <c r="D410" s="22"/>
    </row>
    <row r="411">
      <c r="A411" s="22"/>
      <c r="C411" s="22"/>
      <c r="D411" s="22"/>
    </row>
    <row r="412">
      <c r="A412" s="22"/>
      <c r="C412" s="22"/>
      <c r="D412" s="22"/>
    </row>
    <row r="413">
      <c r="A413" s="22"/>
      <c r="C413" s="22"/>
      <c r="D413" s="22"/>
    </row>
    <row r="414">
      <c r="A414" s="22"/>
      <c r="C414" s="22"/>
      <c r="D414" s="22"/>
    </row>
    <row r="415">
      <c r="A415" s="22"/>
      <c r="C415" s="22"/>
      <c r="D415" s="22"/>
    </row>
    <row r="416">
      <c r="A416" s="22"/>
      <c r="C416" s="22"/>
      <c r="D416" s="22"/>
    </row>
    <row r="417">
      <c r="A417" s="22"/>
      <c r="C417" s="22"/>
      <c r="D417" s="22"/>
    </row>
    <row r="418">
      <c r="A418" s="22"/>
      <c r="C418" s="22"/>
      <c r="D418" s="22"/>
    </row>
    <row r="419">
      <c r="A419" s="22"/>
      <c r="C419" s="22"/>
      <c r="D419" s="22"/>
    </row>
    <row r="420">
      <c r="A420" s="22"/>
      <c r="C420" s="22"/>
      <c r="D420" s="22"/>
    </row>
    <row r="421">
      <c r="A421" s="22"/>
      <c r="C421" s="22"/>
      <c r="D421" s="22"/>
    </row>
    <row r="422">
      <c r="A422" s="22"/>
      <c r="C422" s="22"/>
      <c r="D422" s="22"/>
    </row>
    <row r="423">
      <c r="A423" s="22"/>
      <c r="C423" s="22"/>
      <c r="D423" s="22"/>
    </row>
    <row r="424">
      <c r="A424" s="22"/>
      <c r="C424" s="22"/>
      <c r="D424" s="22"/>
    </row>
    <row r="425">
      <c r="A425" s="22"/>
      <c r="C425" s="22"/>
      <c r="D425" s="22"/>
    </row>
    <row r="426">
      <c r="A426" s="22"/>
      <c r="C426" s="22"/>
      <c r="D426" s="22"/>
    </row>
    <row r="427">
      <c r="A427" s="22"/>
      <c r="C427" s="22"/>
      <c r="D427" s="22"/>
    </row>
    <row r="428">
      <c r="A428" s="22"/>
      <c r="C428" s="22"/>
      <c r="D428" s="22"/>
    </row>
    <row r="429">
      <c r="A429" s="22"/>
      <c r="C429" s="22"/>
      <c r="D429" s="22"/>
    </row>
    <row r="430">
      <c r="A430" s="22"/>
      <c r="C430" s="22"/>
      <c r="D430" s="22"/>
    </row>
    <row r="431">
      <c r="A431" s="22"/>
      <c r="C431" s="22"/>
      <c r="D431" s="22"/>
    </row>
    <row r="432">
      <c r="A432" s="22"/>
      <c r="C432" s="22"/>
      <c r="D432" s="22"/>
    </row>
    <row r="433">
      <c r="A433" s="22"/>
      <c r="C433" s="22"/>
      <c r="D433" s="22"/>
    </row>
    <row r="434">
      <c r="A434" s="22"/>
      <c r="C434" s="22"/>
      <c r="D434" s="22"/>
    </row>
    <row r="435">
      <c r="A435" s="22"/>
      <c r="C435" s="22"/>
      <c r="D435" s="22"/>
    </row>
    <row r="436">
      <c r="A436" s="22"/>
      <c r="C436" s="22"/>
      <c r="D436" s="22"/>
    </row>
    <row r="437">
      <c r="A437" s="22"/>
      <c r="C437" s="22"/>
      <c r="D437" s="22"/>
    </row>
    <row r="438">
      <c r="A438" s="22"/>
      <c r="C438" s="22"/>
      <c r="D438" s="22"/>
    </row>
    <row r="439">
      <c r="A439" s="22"/>
      <c r="C439" s="22"/>
      <c r="D439" s="22"/>
    </row>
    <row r="440">
      <c r="A440" s="22"/>
      <c r="C440" s="22"/>
      <c r="D440" s="22"/>
    </row>
    <row r="441">
      <c r="A441" s="22"/>
      <c r="C441" s="22"/>
      <c r="D441" s="22"/>
    </row>
    <row r="442">
      <c r="A442" s="22"/>
      <c r="C442" s="22"/>
      <c r="D442" s="22"/>
    </row>
    <row r="443">
      <c r="A443" s="22"/>
      <c r="C443" s="22"/>
      <c r="D443" s="22"/>
    </row>
    <row r="444">
      <c r="A444" s="22"/>
      <c r="C444" s="22"/>
      <c r="D444" s="22"/>
    </row>
    <row r="445">
      <c r="A445" s="22"/>
      <c r="C445" s="22"/>
      <c r="D445" s="22"/>
    </row>
    <row r="446">
      <c r="A446" s="22"/>
      <c r="C446" s="22"/>
      <c r="D446" s="22"/>
    </row>
    <row r="447">
      <c r="A447" s="22"/>
      <c r="C447" s="22"/>
      <c r="D447" s="22"/>
    </row>
    <row r="448">
      <c r="A448" s="22"/>
      <c r="C448" s="22"/>
      <c r="D448" s="22"/>
    </row>
    <row r="449">
      <c r="A449" s="22"/>
      <c r="C449" s="22"/>
      <c r="D449" s="22"/>
    </row>
    <row r="450">
      <c r="A450" s="22"/>
      <c r="C450" s="22"/>
      <c r="D450" s="22"/>
    </row>
    <row r="451">
      <c r="A451" s="22"/>
      <c r="C451" s="22"/>
      <c r="D451" s="22"/>
    </row>
    <row r="452">
      <c r="A452" s="22"/>
      <c r="C452" s="22"/>
      <c r="D452" s="22"/>
    </row>
    <row r="453">
      <c r="A453" s="22"/>
      <c r="C453" s="22"/>
      <c r="D453" s="22"/>
    </row>
    <row r="454">
      <c r="A454" s="22"/>
      <c r="C454" s="22"/>
      <c r="D454" s="22"/>
    </row>
    <row r="455">
      <c r="A455" s="22"/>
      <c r="C455" s="22"/>
      <c r="D455" s="22"/>
    </row>
    <row r="456">
      <c r="A456" s="22"/>
      <c r="C456" s="22"/>
      <c r="D456" s="22"/>
    </row>
    <row r="457">
      <c r="A457" s="22"/>
      <c r="C457" s="22"/>
      <c r="D457" s="22"/>
    </row>
    <row r="458">
      <c r="A458" s="22"/>
      <c r="C458" s="22"/>
      <c r="D458" s="22"/>
    </row>
    <row r="459">
      <c r="A459" s="22"/>
      <c r="C459" s="22"/>
      <c r="D459" s="22"/>
    </row>
    <row r="460">
      <c r="A460" s="22"/>
      <c r="C460" s="22"/>
      <c r="D460" s="22"/>
    </row>
    <row r="461">
      <c r="A461" s="22"/>
      <c r="C461" s="22"/>
      <c r="D461" s="22"/>
    </row>
    <row r="462">
      <c r="A462" s="22"/>
      <c r="C462" s="22"/>
      <c r="D462" s="22"/>
    </row>
    <row r="463">
      <c r="A463" s="22"/>
      <c r="C463" s="22"/>
      <c r="D463" s="22"/>
    </row>
    <row r="464">
      <c r="A464" s="22"/>
      <c r="C464" s="22"/>
      <c r="D464" s="22"/>
    </row>
    <row r="465">
      <c r="A465" s="22"/>
      <c r="C465" s="22"/>
      <c r="D465" s="22"/>
    </row>
    <row r="466">
      <c r="A466" s="22"/>
      <c r="C466" s="22"/>
      <c r="D466" s="22"/>
    </row>
    <row r="467">
      <c r="A467" s="22"/>
      <c r="C467" s="22"/>
      <c r="D467" s="22"/>
    </row>
    <row r="468">
      <c r="A468" s="22"/>
      <c r="C468" s="22"/>
      <c r="D468" s="22"/>
    </row>
    <row r="469">
      <c r="A469" s="22"/>
      <c r="C469" s="22"/>
      <c r="D469" s="22"/>
    </row>
    <row r="470">
      <c r="A470" s="22"/>
      <c r="C470" s="22"/>
      <c r="D470" s="22"/>
    </row>
    <row r="471">
      <c r="A471" s="22"/>
      <c r="C471" s="22"/>
      <c r="D471" s="22"/>
    </row>
    <row r="472">
      <c r="A472" s="22"/>
      <c r="C472" s="22"/>
      <c r="D472" s="22"/>
    </row>
    <row r="473">
      <c r="A473" s="22"/>
      <c r="C473" s="22"/>
      <c r="D473" s="22"/>
    </row>
    <row r="474">
      <c r="A474" s="22"/>
      <c r="C474" s="22"/>
      <c r="D474" s="22"/>
    </row>
    <row r="475">
      <c r="A475" s="22"/>
      <c r="C475" s="22"/>
      <c r="D475" s="22"/>
    </row>
    <row r="476">
      <c r="A476" s="22"/>
      <c r="C476" s="22"/>
      <c r="D476" s="22"/>
    </row>
    <row r="477">
      <c r="A477" s="22"/>
      <c r="C477" s="22"/>
      <c r="D477" s="22"/>
    </row>
    <row r="478">
      <c r="A478" s="22"/>
      <c r="C478" s="22"/>
      <c r="D478" s="22"/>
    </row>
    <row r="479">
      <c r="A479" s="22"/>
      <c r="C479" s="22"/>
      <c r="D479" s="22"/>
    </row>
    <row r="480">
      <c r="A480" s="22"/>
      <c r="C480" s="22"/>
      <c r="D480" s="22"/>
    </row>
    <row r="481">
      <c r="A481" s="22"/>
      <c r="C481" s="22"/>
      <c r="D481" s="22"/>
    </row>
    <row r="482">
      <c r="A482" s="22"/>
      <c r="C482" s="22"/>
      <c r="D482" s="22"/>
    </row>
    <row r="483">
      <c r="A483" s="22"/>
      <c r="C483" s="22"/>
      <c r="D483" s="22"/>
    </row>
    <row r="484">
      <c r="A484" s="22"/>
      <c r="C484" s="22"/>
      <c r="D484" s="22"/>
    </row>
    <row r="485">
      <c r="A485" s="22"/>
      <c r="C485" s="22"/>
      <c r="D485" s="22"/>
    </row>
    <row r="486">
      <c r="A486" s="22"/>
      <c r="C486" s="22"/>
      <c r="D486" s="22"/>
    </row>
    <row r="487">
      <c r="A487" s="22"/>
      <c r="C487" s="22"/>
      <c r="D487" s="22"/>
    </row>
    <row r="488">
      <c r="A488" s="22"/>
      <c r="C488" s="22"/>
      <c r="D488" s="22"/>
    </row>
    <row r="489">
      <c r="A489" s="22"/>
      <c r="C489" s="22"/>
      <c r="D489" s="22"/>
    </row>
    <row r="490">
      <c r="A490" s="22"/>
      <c r="C490" s="22"/>
      <c r="D490" s="22"/>
    </row>
    <row r="491">
      <c r="A491" s="22"/>
      <c r="C491" s="22"/>
      <c r="D491" s="22"/>
    </row>
    <row r="492">
      <c r="A492" s="22"/>
      <c r="C492" s="22"/>
      <c r="D492" s="22"/>
    </row>
    <row r="493">
      <c r="A493" s="22"/>
      <c r="C493" s="22"/>
      <c r="D493" s="22"/>
    </row>
    <row r="494">
      <c r="A494" s="22"/>
      <c r="C494" s="22"/>
      <c r="D494" s="22"/>
    </row>
    <row r="495">
      <c r="A495" s="22"/>
      <c r="C495" s="22"/>
      <c r="D495" s="22"/>
    </row>
    <row r="496">
      <c r="A496" s="22"/>
      <c r="C496" s="22"/>
      <c r="D496" s="22"/>
    </row>
    <row r="497">
      <c r="A497" s="22"/>
      <c r="C497" s="22"/>
      <c r="D497" s="22"/>
    </row>
    <row r="498">
      <c r="A498" s="22"/>
      <c r="C498" s="22"/>
      <c r="D498" s="22"/>
    </row>
    <row r="499">
      <c r="A499" s="22"/>
      <c r="C499" s="22"/>
      <c r="D499" s="22"/>
    </row>
    <row r="500">
      <c r="A500" s="22"/>
      <c r="C500" s="22"/>
      <c r="D500" s="22"/>
    </row>
    <row r="501">
      <c r="A501" s="22"/>
      <c r="C501" s="22"/>
      <c r="D501" s="22"/>
    </row>
    <row r="502">
      <c r="A502" s="22"/>
      <c r="C502" s="22"/>
      <c r="D502" s="22"/>
    </row>
    <row r="503">
      <c r="A503" s="22"/>
      <c r="C503" s="22"/>
      <c r="D503" s="22"/>
    </row>
    <row r="504">
      <c r="A504" s="22"/>
      <c r="C504" s="22"/>
      <c r="D504" s="22"/>
    </row>
    <row r="505">
      <c r="A505" s="22"/>
      <c r="C505" s="22"/>
      <c r="D505" s="22"/>
    </row>
    <row r="506">
      <c r="A506" s="22"/>
      <c r="C506" s="22"/>
      <c r="D506" s="22"/>
    </row>
    <row r="507">
      <c r="A507" s="22"/>
      <c r="C507" s="22"/>
      <c r="D507" s="22"/>
    </row>
    <row r="508">
      <c r="A508" s="22"/>
      <c r="C508" s="22"/>
      <c r="D508" s="22"/>
    </row>
    <row r="509">
      <c r="A509" s="22"/>
      <c r="C509" s="22"/>
      <c r="D509" s="22"/>
    </row>
    <row r="510">
      <c r="A510" s="22"/>
      <c r="C510" s="22"/>
      <c r="D510" s="22"/>
    </row>
    <row r="511">
      <c r="A511" s="22"/>
      <c r="C511" s="22"/>
      <c r="D511" s="22"/>
    </row>
    <row r="512">
      <c r="A512" s="22"/>
      <c r="C512" s="22"/>
      <c r="D512" s="22"/>
    </row>
    <row r="513">
      <c r="A513" s="22"/>
      <c r="C513" s="22"/>
      <c r="D513" s="22"/>
    </row>
    <row r="514">
      <c r="A514" s="22"/>
      <c r="C514" s="22"/>
      <c r="D514" s="22"/>
    </row>
    <row r="515">
      <c r="A515" s="22"/>
      <c r="C515" s="22"/>
      <c r="D515" s="22"/>
    </row>
    <row r="516">
      <c r="A516" s="22"/>
      <c r="C516" s="22"/>
      <c r="D516" s="22"/>
    </row>
    <row r="517">
      <c r="A517" s="22"/>
      <c r="C517" s="22"/>
      <c r="D517" s="22"/>
    </row>
    <row r="518">
      <c r="A518" s="22"/>
      <c r="C518" s="22"/>
      <c r="D518" s="22"/>
    </row>
    <row r="519">
      <c r="A519" s="22"/>
      <c r="C519" s="22"/>
      <c r="D519" s="22"/>
    </row>
    <row r="520">
      <c r="A520" s="22"/>
      <c r="C520" s="22"/>
      <c r="D520" s="22"/>
    </row>
    <row r="521">
      <c r="A521" s="22"/>
      <c r="C521" s="22"/>
      <c r="D521" s="22"/>
    </row>
    <row r="522">
      <c r="A522" s="22"/>
      <c r="C522" s="22"/>
      <c r="D522" s="22"/>
    </row>
    <row r="523">
      <c r="A523" s="22"/>
      <c r="C523" s="22"/>
      <c r="D523" s="22"/>
    </row>
    <row r="524">
      <c r="A524" s="22"/>
      <c r="C524" s="22"/>
      <c r="D524" s="22"/>
    </row>
    <row r="525">
      <c r="A525" s="22"/>
      <c r="C525" s="22"/>
      <c r="D525" s="22"/>
    </row>
    <row r="526">
      <c r="A526" s="22"/>
      <c r="C526" s="22"/>
      <c r="D526" s="22"/>
    </row>
    <row r="527">
      <c r="A527" s="22"/>
      <c r="C527" s="22"/>
      <c r="D527" s="22"/>
    </row>
    <row r="528">
      <c r="A528" s="22"/>
      <c r="C528" s="22"/>
      <c r="D528" s="22"/>
    </row>
    <row r="529">
      <c r="A529" s="22"/>
      <c r="C529" s="22"/>
      <c r="D529" s="22"/>
    </row>
    <row r="530">
      <c r="A530" s="22"/>
      <c r="C530" s="22"/>
      <c r="D530" s="22"/>
    </row>
    <row r="531">
      <c r="A531" s="22"/>
      <c r="C531" s="22"/>
      <c r="D531" s="22"/>
    </row>
    <row r="532">
      <c r="A532" s="22"/>
      <c r="C532" s="22"/>
      <c r="D532" s="22"/>
    </row>
    <row r="533">
      <c r="A533" s="22"/>
      <c r="C533" s="22"/>
      <c r="D533" s="22"/>
    </row>
    <row r="534">
      <c r="A534" s="22"/>
      <c r="C534" s="22"/>
      <c r="D534" s="22"/>
    </row>
    <row r="535">
      <c r="A535" s="22"/>
      <c r="C535" s="22"/>
      <c r="D535" s="22"/>
    </row>
    <row r="536">
      <c r="A536" s="22"/>
      <c r="C536" s="22"/>
      <c r="D536" s="22"/>
    </row>
    <row r="537">
      <c r="A537" s="22"/>
      <c r="C537" s="22"/>
      <c r="D537" s="22"/>
    </row>
    <row r="538">
      <c r="A538" s="22"/>
      <c r="C538" s="22"/>
      <c r="D538" s="22"/>
    </row>
    <row r="539">
      <c r="A539" s="22"/>
      <c r="C539" s="22"/>
      <c r="D539" s="22"/>
    </row>
    <row r="540">
      <c r="A540" s="22"/>
      <c r="C540" s="22"/>
      <c r="D540" s="22"/>
    </row>
    <row r="541">
      <c r="A541" s="22"/>
      <c r="C541" s="22"/>
      <c r="D541" s="22"/>
    </row>
    <row r="542">
      <c r="A542" s="22"/>
      <c r="C542" s="22"/>
      <c r="D542" s="22"/>
    </row>
    <row r="543">
      <c r="A543" s="22"/>
      <c r="C543" s="22"/>
      <c r="D543" s="22"/>
    </row>
    <row r="544">
      <c r="A544" s="22"/>
      <c r="C544" s="22"/>
      <c r="D544" s="22"/>
    </row>
    <row r="545">
      <c r="A545" s="22"/>
      <c r="C545" s="22"/>
      <c r="D545" s="22"/>
    </row>
    <row r="546">
      <c r="A546" s="22"/>
      <c r="C546" s="22"/>
      <c r="D546" s="22"/>
    </row>
    <row r="547">
      <c r="A547" s="22"/>
      <c r="C547" s="22"/>
      <c r="D547" s="22"/>
    </row>
    <row r="548">
      <c r="A548" s="22"/>
      <c r="C548" s="22"/>
      <c r="D548" s="22"/>
    </row>
    <row r="549">
      <c r="A549" s="22"/>
      <c r="C549" s="22"/>
      <c r="D549" s="22"/>
    </row>
    <row r="550">
      <c r="A550" s="22"/>
      <c r="C550" s="22"/>
      <c r="D550" s="22"/>
    </row>
    <row r="551">
      <c r="A551" s="22"/>
      <c r="C551" s="22"/>
      <c r="D551" s="22"/>
    </row>
    <row r="552">
      <c r="A552" s="22"/>
      <c r="C552" s="22"/>
      <c r="D552" s="22"/>
    </row>
    <row r="553">
      <c r="A553" s="22"/>
      <c r="C553" s="22"/>
      <c r="D553" s="22"/>
    </row>
    <row r="554">
      <c r="A554" s="22"/>
      <c r="C554" s="22"/>
      <c r="D554" s="22"/>
    </row>
    <row r="555">
      <c r="A555" s="22"/>
      <c r="C555" s="22"/>
      <c r="D555" s="22"/>
    </row>
    <row r="556">
      <c r="A556" s="22"/>
      <c r="C556" s="22"/>
      <c r="D556" s="22"/>
    </row>
    <row r="557">
      <c r="A557" s="22"/>
      <c r="C557" s="22"/>
      <c r="D557" s="22"/>
    </row>
    <row r="558">
      <c r="A558" s="22"/>
      <c r="C558" s="22"/>
      <c r="D558" s="22"/>
    </row>
    <row r="559">
      <c r="A559" s="22"/>
      <c r="C559" s="22"/>
      <c r="D559" s="22"/>
    </row>
    <row r="560">
      <c r="A560" s="22"/>
      <c r="C560" s="22"/>
      <c r="D560" s="22"/>
    </row>
    <row r="561">
      <c r="A561" s="22"/>
      <c r="C561" s="22"/>
      <c r="D561" s="22"/>
    </row>
    <row r="562">
      <c r="A562" s="22"/>
      <c r="C562" s="22"/>
      <c r="D562" s="22"/>
    </row>
    <row r="563">
      <c r="A563" s="22"/>
      <c r="C563" s="22"/>
      <c r="D563" s="22"/>
    </row>
    <row r="564">
      <c r="A564" s="22"/>
      <c r="C564" s="22"/>
      <c r="D564" s="22"/>
    </row>
    <row r="565">
      <c r="A565" s="22"/>
      <c r="C565" s="22"/>
      <c r="D565" s="22"/>
    </row>
    <row r="566">
      <c r="A566" s="22"/>
      <c r="C566" s="22"/>
      <c r="D566" s="22"/>
    </row>
    <row r="567">
      <c r="A567" s="22"/>
      <c r="C567" s="22"/>
      <c r="D567" s="22"/>
    </row>
    <row r="568">
      <c r="A568" s="22"/>
      <c r="C568" s="22"/>
      <c r="D568" s="22"/>
    </row>
    <row r="569">
      <c r="A569" s="22"/>
      <c r="C569" s="22"/>
      <c r="D569" s="22"/>
    </row>
    <row r="570">
      <c r="A570" s="22"/>
      <c r="C570" s="22"/>
      <c r="D570" s="22"/>
    </row>
    <row r="571">
      <c r="A571" s="22"/>
      <c r="C571" s="22"/>
      <c r="D571" s="22"/>
    </row>
    <row r="572">
      <c r="A572" s="22"/>
      <c r="C572" s="22"/>
      <c r="D572" s="22"/>
    </row>
    <row r="573">
      <c r="A573" s="22"/>
      <c r="C573" s="22"/>
      <c r="D573" s="22"/>
    </row>
    <row r="574">
      <c r="A574" s="22"/>
      <c r="C574" s="22"/>
      <c r="D574" s="22"/>
    </row>
    <row r="575">
      <c r="A575" s="22"/>
      <c r="C575" s="22"/>
      <c r="D575" s="22"/>
    </row>
    <row r="576">
      <c r="A576" s="22"/>
      <c r="C576" s="22"/>
      <c r="D576" s="22"/>
    </row>
    <row r="577">
      <c r="A577" s="22"/>
      <c r="C577" s="22"/>
      <c r="D577" s="22"/>
    </row>
    <row r="578">
      <c r="A578" s="22"/>
      <c r="C578" s="22"/>
      <c r="D578" s="22"/>
    </row>
    <row r="579">
      <c r="A579" s="22"/>
      <c r="C579" s="22"/>
      <c r="D579" s="22"/>
    </row>
    <row r="580">
      <c r="A580" s="22"/>
      <c r="C580" s="22"/>
      <c r="D580" s="22"/>
    </row>
    <row r="581">
      <c r="A581" s="22"/>
      <c r="C581" s="22"/>
      <c r="D581" s="22"/>
    </row>
    <row r="582">
      <c r="A582" s="22"/>
      <c r="C582" s="22"/>
      <c r="D582" s="22"/>
    </row>
    <row r="583">
      <c r="A583" s="22"/>
      <c r="C583" s="22"/>
      <c r="D583" s="22"/>
    </row>
    <row r="584">
      <c r="A584" s="22"/>
      <c r="C584" s="22"/>
      <c r="D584" s="22"/>
    </row>
    <row r="585">
      <c r="A585" s="22"/>
      <c r="C585" s="22"/>
      <c r="D585" s="22"/>
    </row>
    <row r="586">
      <c r="A586" s="22"/>
      <c r="C586" s="22"/>
      <c r="D586" s="22"/>
    </row>
    <row r="587">
      <c r="A587" s="22"/>
      <c r="C587" s="22"/>
      <c r="D587" s="22"/>
    </row>
    <row r="588">
      <c r="A588" s="22"/>
      <c r="C588" s="22"/>
      <c r="D588" s="22"/>
    </row>
    <row r="589">
      <c r="A589" s="22"/>
      <c r="C589" s="22"/>
      <c r="D589" s="22"/>
    </row>
    <row r="590">
      <c r="A590" s="22"/>
      <c r="C590" s="22"/>
      <c r="D590" s="22"/>
    </row>
    <row r="591">
      <c r="A591" s="22"/>
      <c r="C591" s="22"/>
      <c r="D591" s="22"/>
    </row>
    <row r="592">
      <c r="A592" s="22"/>
      <c r="C592" s="22"/>
      <c r="D592" s="22"/>
    </row>
    <row r="593">
      <c r="A593" s="22"/>
      <c r="C593" s="22"/>
      <c r="D593" s="22"/>
    </row>
    <row r="594">
      <c r="A594" s="22"/>
      <c r="C594" s="22"/>
      <c r="D594" s="22"/>
    </row>
    <row r="595">
      <c r="A595" s="22"/>
      <c r="C595" s="22"/>
      <c r="D595" s="22"/>
    </row>
    <row r="596">
      <c r="A596" s="22"/>
      <c r="C596" s="22"/>
      <c r="D596" s="22"/>
    </row>
    <row r="597">
      <c r="A597" s="22"/>
      <c r="C597" s="22"/>
      <c r="D597" s="22"/>
    </row>
    <row r="598">
      <c r="A598" s="22"/>
      <c r="C598" s="22"/>
      <c r="D598" s="22"/>
    </row>
    <row r="599">
      <c r="A599" s="22"/>
      <c r="C599" s="22"/>
      <c r="D599" s="22"/>
    </row>
    <row r="600">
      <c r="A600" s="22"/>
      <c r="C600" s="22"/>
      <c r="D600" s="22"/>
    </row>
    <row r="601">
      <c r="A601" s="22"/>
      <c r="C601" s="22"/>
      <c r="D601" s="22"/>
    </row>
    <row r="602">
      <c r="A602" s="22"/>
      <c r="C602" s="22"/>
      <c r="D602" s="22"/>
    </row>
    <row r="603">
      <c r="A603" s="22"/>
      <c r="C603" s="22"/>
      <c r="D603" s="22"/>
    </row>
    <row r="604">
      <c r="A604" s="22"/>
      <c r="C604" s="22"/>
      <c r="D604" s="22"/>
    </row>
    <row r="605">
      <c r="A605" s="22"/>
      <c r="C605" s="22"/>
      <c r="D605" s="22"/>
    </row>
    <row r="606">
      <c r="A606" s="22"/>
      <c r="C606" s="22"/>
      <c r="D606" s="22"/>
    </row>
    <row r="607">
      <c r="A607" s="22"/>
      <c r="C607" s="22"/>
      <c r="D607" s="22"/>
    </row>
    <row r="608">
      <c r="A608" s="22"/>
      <c r="C608" s="22"/>
      <c r="D608" s="22"/>
    </row>
    <row r="609">
      <c r="A609" s="22"/>
      <c r="C609" s="22"/>
      <c r="D609" s="22"/>
    </row>
    <row r="610">
      <c r="A610" s="22"/>
      <c r="C610" s="22"/>
      <c r="D610" s="22"/>
    </row>
    <row r="611">
      <c r="A611" s="22"/>
      <c r="C611" s="22"/>
      <c r="D611" s="22"/>
    </row>
    <row r="612">
      <c r="A612" s="22"/>
      <c r="C612" s="22"/>
      <c r="D612" s="22"/>
    </row>
    <row r="613">
      <c r="A613" s="22"/>
      <c r="C613" s="22"/>
      <c r="D613" s="22"/>
    </row>
    <row r="614">
      <c r="A614" s="22"/>
      <c r="C614" s="22"/>
      <c r="D614" s="22"/>
    </row>
    <row r="615">
      <c r="A615" s="22"/>
      <c r="C615" s="22"/>
      <c r="D615" s="22"/>
    </row>
    <row r="616">
      <c r="A616" s="22"/>
      <c r="C616" s="22"/>
      <c r="D616" s="22"/>
    </row>
    <row r="617">
      <c r="A617" s="22"/>
      <c r="C617" s="22"/>
      <c r="D617" s="22"/>
    </row>
    <row r="618">
      <c r="A618" s="22"/>
      <c r="C618" s="22"/>
      <c r="D618" s="22"/>
    </row>
    <row r="619">
      <c r="A619" s="22"/>
      <c r="C619" s="22"/>
      <c r="D619" s="22"/>
    </row>
    <row r="620">
      <c r="A620" s="22"/>
      <c r="C620" s="22"/>
      <c r="D620" s="22"/>
    </row>
    <row r="621">
      <c r="A621" s="22"/>
      <c r="C621" s="22"/>
      <c r="D621" s="22"/>
    </row>
    <row r="622">
      <c r="A622" s="22"/>
      <c r="C622" s="22"/>
      <c r="D622" s="22"/>
    </row>
    <row r="623">
      <c r="A623" s="22"/>
      <c r="C623" s="22"/>
      <c r="D623" s="22"/>
    </row>
    <row r="624">
      <c r="A624" s="22"/>
      <c r="C624" s="22"/>
      <c r="D624" s="22"/>
    </row>
    <row r="625">
      <c r="A625" s="22"/>
      <c r="C625" s="22"/>
      <c r="D625" s="22"/>
    </row>
    <row r="626">
      <c r="A626" s="22"/>
      <c r="C626" s="22"/>
      <c r="D626" s="22"/>
    </row>
    <row r="627">
      <c r="A627" s="22"/>
      <c r="C627" s="22"/>
      <c r="D627" s="22"/>
    </row>
    <row r="628">
      <c r="A628" s="22"/>
      <c r="C628" s="22"/>
      <c r="D628" s="22"/>
    </row>
    <row r="629">
      <c r="A629" s="22"/>
      <c r="C629" s="22"/>
      <c r="D629" s="22"/>
    </row>
    <row r="630">
      <c r="A630" s="22"/>
      <c r="C630" s="22"/>
      <c r="D630" s="22"/>
    </row>
    <row r="631">
      <c r="A631" s="22"/>
      <c r="C631" s="22"/>
      <c r="D631" s="22"/>
    </row>
    <row r="632">
      <c r="A632" s="22"/>
      <c r="C632" s="22"/>
      <c r="D632" s="22"/>
    </row>
    <row r="633">
      <c r="A633" s="22"/>
      <c r="C633" s="22"/>
      <c r="D633" s="22"/>
    </row>
    <row r="634">
      <c r="A634" s="22"/>
      <c r="C634" s="22"/>
      <c r="D634" s="22"/>
    </row>
    <row r="635">
      <c r="A635" s="22"/>
      <c r="C635" s="22"/>
      <c r="D635" s="22"/>
    </row>
    <row r="636">
      <c r="A636" s="22"/>
      <c r="C636" s="22"/>
      <c r="D636" s="22"/>
    </row>
    <row r="637">
      <c r="A637" s="22"/>
      <c r="C637" s="22"/>
      <c r="D637" s="22"/>
    </row>
    <row r="638">
      <c r="A638" s="22"/>
      <c r="C638" s="22"/>
      <c r="D638" s="22"/>
    </row>
    <row r="639">
      <c r="A639" s="22"/>
      <c r="C639" s="22"/>
      <c r="D639" s="22"/>
    </row>
    <row r="640">
      <c r="A640" s="22"/>
      <c r="C640" s="22"/>
      <c r="D640" s="22"/>
    </row>
    <row r="641">
      <c r="A641" s="22"/>
      <c r="C641" s="22"/>
      <c r="D641" s="22"/>
    </row>
    <row r="642">
      <c r="A642" s="22"/>
      <c r="C642" s="22"/>
      <c r="D642" s="22"/>
    </row>
    <row r="643">
      <c r="A643" s="22"/>
      <c r="C643" s="22"/>
      <c r="D643" s="22"/>
    </row>
    <row r="644">
      <c r="A644" s="22"/>
      <c r="C644" s="22"/>
      <c r="D644" s="22"/>
    </row>
    <row r="645">
      <c r="A645" s="22"/>
      <c r="C645" s="22"/>
      <c r="D645" s="22"/>
    </row>
    <row r="646">
      <c r="A646" s="22"/>
      <c r="C646" s="22"/>
      <c r="D646" s="22"/>
    </row>
    <row r="647">
      <c r="A647" s="22"/>
      <c r="C647" s="22"/>
      <c r="D647" s="22"/>
    </row>
    <row r="648">
      <c r="A648" s="22"/>
      <c r="C648" s="22"/>
      <c r="D648" s="22"/>
    </row>
    <row r="649">
      <c r="A649" s="22"/>
      <c r="C649" s="22"/>
      <c r="D649" s="22"/>
    </row>
    <row r="650">
      <c r="A650" s="22"/>
      <c r="C650" s="22"/>
      <c r="D650" s="22"/>
    </row>
    <row r="651">
      <c r="A651" s="22"/>
      <c r="C651" s="22"/>
      <c r="D651" s="22"/>
    </row>
    <row r="652">
      <c r="A652" s="22"/>
      <c r="C652" s="22"/>
      <c r="D652" s="22"/>
    </row>
    <row r="653">
      <c r="A653" s="22"/>
      <c r="C653" s="22"/>
      <c r="D653" s="22"/>
    </row>
    <row r="654">
      <c r="A654" s="22"/>
      <c r="C654" s="22"/>
      <c r="D654" s="22"/>
    </row>
    <row r="655">
      <c r="A655" s="22"/>
      <c r="C655" s="22"/>
      <c r="D655" s="22"/>
    </row>
    <row r="656">
      <c r="A656" s="22"/>
      <c r="C656" s="22"/>
      <c r="D656" s="22"/>
    </row>
    <row r="657">
      <c r="A657" s="22"/>
      <c r="C657" s="22"/>
      <c r="D657" s="22"/>
    </row>
    <row r="658">
      <c r="A658" s="22"/>
      <c r="C658" s="22"/>
      <c r="D658" s="22"/>
    </row>
    <row r="659">
      <c r="A659" s="22"/>
      <c r="C659" s="22"/>
      <c r="D659" s="22"/>
    </row>
    <row r="660">
      <c r="A660" s="22"/>
      <c r="C660" s="22"/>
      <c r="D660" s="22"/>
    </row>
    <row r="661">
      <c r="A661" s="22"/>
      <c r="C661" s="22"/>
      <c r="D661" s="22"/>
    </row>
    <row r="662">
      <c r="A662" s="22"/>
      <c r="C662" s="22"/>
      <c r="D662" s="22"/>
    </row>
    <row r="663">
      <c r="A663" s="22"/>
      <c r="C663" s="22"/>
      <c r="D663" s="22"/>
    </row>
    <row r="664">
      <c r="A664" s="22"/>
      <c r="C664" s="22"/>
      <c r="D664" s="22"/>
    </row>
    <row r="665">
      <c r="A665" s="22"/>
      <c r="C665" s="22"/>
      <c r="D665" s="22"/>
    </row>
    <row r="666">
      <c r="A666" s="22"/>
      <c r="C666" s="22"/>
      <c r="D666" s="22"/>
    </row>
    <row r="667">
      <c r="A667" s="22"/>
      <c r="C667" s="22"/>
      <c r="D667" s="22"/>
    </row>
    <row r="668">
      <c r="A668" s="22"/>
      <c r="C668" s="22"/>
      <c r="D668" s="22"/>
    </row>
    <row r="669">
      <c r="A669" s="22"/>
      <c r="C669" s="22"/>
      <c r="D669" s="22"/>
    </row>
    <row r="670">
      <c r="A670" s="22"/>
      <c r="C670" s="22"/>
      <c r="D670" s="22"/>
    </row>
    <row r="671">
      <c r="A671" s="22"/>
      <c r="C671" s="22"/>
      <c r="D671" s="22"/>
    </row>
    <row r="672">
      <c r="A672" s="22"/>
      <c r="C672" s="22"/>
      <c r="D672" s="22"/>
    </row>
    <row r="673">
      <c r="A673" s="22"/>
      <c r="C673" s="22"/>
      <c r="D673" s="22"/>
    </row>
    <row r="674">
      <c r="A674" s="22"/>
      <c r="C674" s="22"/>
      <c r="D674" s="22"/>
    </row>
    <row r="675">
      <c r="A675" s="22"/>
      <c r="C675" s="22"/>
      <c r="D675" s="22"/>
    </row>
    <row r="676">
      <c r="A676" s="22"/>
      <c r="C676" s="22"/>
      <c r="D676" s="22"/>
    </row>
    <row r="677">
      <c r="A677" s="22"/>
      <c r="C677" s="22"/>
      <c r="D677" s="22"/>
    </row>
    <row r="678">
      <c r="A678" s="22"/>
      <c r="C678" s="22"/>
      <c r="D678" s="22"/>
    </row>
    <row r="679">
      <c r="A679" s="22"/>
      <c r="C679" s="22"/>
      <c r="D679" s="22"/>
    </row>
    <row r="680">
      <c r="A680" s="22"/>
      <c r="C680" s="22"/>
      <c r="D680" s="22"/>
    </row>
    <row r="681">
      <c r="A681" s="22"/>
      <c r="C681" s="22"/>
      <c r="D681" s="22"/>
    </row>
    <row r="682">
      <c r="A682" s="22"/>
      <c r="C682" s="22"/>
      <c r="D682" s="22"/>
    </row>
    <row r="683">
      <c r="A683" s="22"/>
      <c r="C683" s="22"/>
      <c r="D683" s="22"/>
    </row>
    <row r="684">
      <c r="A684" s="22"/>
      <c r="C684" s="22"/>
      <c r="D684" s="22"/>
    </row>
    <row r="685">
      <c r="A685" s="22"/>
      <c r="C685" s="22"/>
      <c r="D685" s="22"/>
    </row>
    <row r="686">
      <c r="A686" s="22"/>
      <c r="C686" s="22"/>
      <c r="D686" s="22"/>
    </row>
    <row r="687">
      <c r="A687" s="22"/>
      <c r="C687" s="22"/>
      <c r="D687" s="22"/>
    </row>
    <row r="688">
      <c r="A688" s="22"/>
      <c r="C688" s="22"/>
      <c r="D688" s="22"/>
    </row>
    <row r="689">
      <c r="A689" s="22"/>
      <c r="C689" s="22"/>
      <c r="D689" s="22"/>
    </row>
    <row r="690">
      <c r="A690" s="22"/>
      <c r="C690" s="22"/>
      <c r="D690" s="22"/>
    </row>
    <row r="691">
      <c r="A691" s="22"/>
      <c r="C691" s="22"/>
      <c r="D691" s="22"/>
    </row>
    <row r="692">
      <c r="A692" s="22"/>
      <c r="C692" s="22"/>
      <c r="D692" s="22"/>
    </row>
    <row r="693">
      <c r="A693" s="22"/>
      <c r="C693" s="22"/>
      <c r="D693" s="22"/>
    </row>
    <row r="694">
      <c r="A694" s="22"/>
      <c r="C694" s="22"/>
      <c r="D694" s="22"/>
    </row>
    <row r="695">
      <c r="A695" s="22"/>
      <c r="C695" s="22"/>
      <c r="D695" s="22"/>
    </row>
    <row r="696">
      <c r="A696" s="22"/>
      <c r="C696" s="22"/>
      <c r="D696" s="22"/>
    </row>
    <row r="697">
      <c r="A697" s="22"/>
      <c r="C697" s="22"/>
      <c r="D697" s="22"/>
    </row>
    <row r="698">
      <c r="A698" s="22"/>
      <c r="C698" s="22"/>
      <c r="D698" s="22"/>
    </row>
    <row r="699">
      <c r="A699" s="22"/>
      <c r="C699" s="22"/>
      <c r="D699" s="22"/>
    </row>
    <row r="700">
      <c r="A700" s="22"/>
      <c r="C700" s="22"/>
      <c r="D700" s="22"/>
    </row>
    <row r="701">
      <c r="A701" s="22"/>
      <c r="C701" s="22"/>
      <c r="D701" s="22"/>
    </row>
    <row r="702">
      <c r="A702" s="22"/>
      <c r="C702" s="22"/>
      <c r="D702" s="22"/>
    </row>
    <row r="703">
      <c r="A703" s="22"/>
      <c r="C703" s="22"/>
      <c r="D703" s="22"/>
    </row>
    <row r="704">
      <c r="A704" s="22"/>
      <c r="C704" s="22"/>
      <c r="D704" s="22"/>
    </row>
    <row r="705">
      <c r="A705" s="22"/>
      <c r="C705" s="22"/>
      <c r="D705" s="22"/>
    </row>
    <row r="706">
      <c r="A706" s="22"/>
      <c r="C706" s="22"/>
      <c r="D706" s="22"/>
    </row>
    <row r="707">
      <c r="A707" s="22"/>
      <c r="C707" s="22"/>
      <c r="D707" s="22"/>
    </row>
    <row r="708">
      <c r="A708" s="22"/>
      <c r="C708" s="22"/>
      <c r="D708" s="22"/>
    </row>
    <row r="709">
      <c r="A709" s="22"/>
      <c r="C709" s="22"/>
      <c r="D709" s="22"/>
    </row>
    <row r="710">
      <c r="A710" s="22"/>
      <c r="C710" s="22"/>
      <c r="D710" s="22"/>
    </row>
    <row r="711">
      <c r="A711" s="22"/>
      <c r="C711" s="22"/>
      <c r="D711" s="22"/>
    </row>
    <row r="712">
      <c r="A712" s="22"/>
      <c r="C712" s="22"/>
      <c r="D712" s="22"/>
    </row>
    <row r="713">
      <c r="A713" s="22"/>
      <c r="C713" s="22"/>
      <c r="D713" s="22"/>
    </row>
    <row r="714">
      <c r="A714" s="22"/>
      <c r="C714" s="22"/>
      <c r="D714" s="22"/>
    </row>
    <row r="715">
      <c r="A715" s="22"/>
      <c r="C715" s="22"/>
      <c r="D715" s="22"/>
    </row>
    <row r="716">
      <c r="A716" s="22"/>
      <c r="C716" s="22"/>
      <c r="D716" s="22"/>
    </row>
    <row r="717">
      <c r="A717" s="22"/>
      <c r="C717" s="22"/>
      <c r="D717" s="22"/>
    </row>
    <row r="718">
      <c r="A718" s="22"/>
      <c r="C718" s="22"/>
      <c r="D718" s="22"/>
    </row>
    <row r="719">
      <c r="A719" s="22"/>
      <c r="C719" s="22"/>
      <c r="D719" s="22"/>
    </row>
    <row r="720">
      <c r="A720" s="22"/>
      <c r="C720" s="22"/>
      <c r="D720" s="22"/>
    </row>
    <row r="721">
      <c r="A721" s="22"/>
      <c r="C721" s="22"/>
      <c r="D721" s="22"/>
    </row>
    <row r="722">
      <c r="A722" s="22"/>
      <c r="C722" s="22"/>
      <c r="D722" s="22"/>
    </row>
    <row r="723">
      <c r="A723" s="22"/>
      <c r="C723" s="22"/>
      <c r="D723" s="22"/>
    </row>
    <row r="724">
      <c r="A724" s="22"/>
      <c r="C724" s="22"/>
      <c r="D724" s="22"/>
    </row>
    <row r="725">
      <c r="A725" s="22"/>
      <c r="C725" s="22"/>
      <c r="D725" s="22"/>
    </row>
    <row r="726">
      <c r="A726" s="22"/>
      <c r="C726" s="22"/>
      <c r="D726" s="22"/>
    </row>
    <row r="727">
      <c r="A727" s="22"/>
      <c r="C727" s="22"/>
      <c r="D727" s="22"/>
    </row>
    <row r="728">
      <c r="A728" s="22"/>
      <c r="C728" s="22"/>
      <c r="D728" s="22"/>
    </row>
    <row r="729">
      <c r="A729" s="22"/>
      <c r="C729" s="22"/>
      <c r="D729" s="22"/>
    </row>
    <row r="730">
      <c r="A730" s="22"/>
      <c r="C730" s="22"/>
      <c r="D730" s="22"/>
    </row>
    <row r="731">
      <c r="A731" s="22"/>
      <c r="C731" s="22"/>
      <c r="D731" s="22"/>
    </row>
    <row r="732">
      <c r="A732" s="22"/>
      <c r="C732" s="22"/>
      <c r="D732" s="22"/>
    </row>
    <row r="733">
      <c r="A733" s="22"/>
      <c r="C733" s="22"/>
      <c r="D733" s="22"/>
    </row>
    <row r="734">
      <c r="A734" s="22"/>
      <c r="C734" s="22"/>
      <c r="D734" s="22"/>
    </row>
    <row r="735">
      <c r="A735" s="22"/>
      <c r="C735" s="22"/>
      <c r="D735" s="22"/>
    </row>
    <row r="736">
      <c r="A736" s="22"/>
      <c r="C736" s="22"/>
      <c r="D736" s="22"/>
    </row>
    <row r="737">
      <c r="A737" s="22"/>
      <c r="C737" s="22"/>
      <c r="D737" s="22"/>
    </row>
    <row r="738">
      <c r="A738" s="22"/>
      <c r="C738" s="22"/>
      <c r="D738" s="22"/>
    </row>
    <row r="739">
      <c r="A739" s="22"/>
      <c r="C739" s="22"/>
      <c r="D739" s="22"/>
    </row>
    <row r="740">
      <c r="A740" s="22"/>
      <c r="C740" s="22"/>
      <c r="D740" s="22"/>
    </row>
    <row r="741">
      <c r="A741" s="22"/>
      <c r="C741" s="22"/>
      <c r="D741" s="22"/>
    </row>
    <row r="742">
      <c r="A742" s="22"/>
      <c r="C742" s="22"/>
      <c r="D742" s="22"/>
    </row>
    <row r="743">
      <c r="A743" s="22"/>
      <c r="C743" s="22"/>
      <c r="D743" s="22"/>
    </row>
    <row r="744">
      <c r="A744" s="22"/>
      <c r="C744" s="22"/>
      <c r="D744" s="22"/>
    </row>
    <row r="745">
      <c r="A745" s="22"/>
      <c r="C745" s="22"/>
      <c r="D745" s="22"/>
    </row>
    <row r="746">
      <c r="A746" s="22"/>
      <c r="C746" s="22"/>
      <c r="D746" s="22"/>
    </row>
    <row r="747">
      <c r="A747" s="22"/>
      <c r="C747" s="22"/>
      <c r="D747" s="22"/>
    </row>
    <row r="748">
      <c r="A748" s="22"/>
      <c r="C748" s="22"/>
      <c r="D748" s="22"/>
    </row>
    <row r="749">
      <c r="A749" s="22"/>
      <c r="C749" s="22"/>
      <c r="D749" s="22"/>
    </row>
    <row r="750">
      <c r="A750" s="22"/>
      <c r="C750" s="22"/>
      <c r="D750" s="22"/>
    </row>
    <row r="751">
      <c r="A751" s="22"/>
      <c r="C751" s="22"/>
      <c r="D751" s="22"/>
    </row>
    <row r="752">
      <c r="A752" s="22"/>
      <c r="C752" s="22"/>
      <c r="D752" s="22"/>
    </row>
    <row r="753">
      <c r="A753" s="22"/>
      <c r="C753" s="22"/>
      <c r="D753" s="22"/>
    </row>
    <row r="754">
      <c r="A754" s="22"/>
      <c r="C754" s="22"/>
      <c r="D754" s="22"/>
    </row>
    <row r="755">
      <c r="A755" s="22"/>
      <c r="C755" s="22"/>
      <c r="D755" s="22"/>
    </row>
    <row r="756">
      <c r="A756" s="22"/>
      <c r="C756" s="22"/>
      <c r="D756" s="22"/>
    </row>
    <row r="757">
      <c r="A757" s="22"/>
      <c r="C757" s="22"/>
      <c r="D757" s="22"/>
    </row>
    <row r="758">
      <c r="A758" s="22"/>
      <c r="C758" s="22"/>
      <c r="D758" s="22"/>
    </row>
    <row r="759">
      <c r="A759" s="22"/>
      <c r="C759" s="22"/>
      <c r="D759" s="22"/>
    </row>
    <row r="760">
      <c r="A760" s="22"/>
      <c r="C760" s="22"/>
      <c r="D760" s="22"/>
    </row>
    <row r="761">
      <c r="A761" s="22"/>
      <c r="C761" s="22"/>
      <c r="D761" s="22"/>
    </row>
    <row r="762">
      <c r="A762" s="22"/>
      <c r="C762" s="22"/>
      <c r="D762" s="22"/>
    </row>
    <row r="763">
      <c r="A763" s="22"/>
      <c r="C763" s="22"/>
      <c r="D763" s="22"/>
    </row>
    <row r="764">
      <c r="A764" s="22"/>
      <c r="C764" s="22"/>
      <c r="D764" s="22"/>
    </row>
    <row r="765">
      <c r="A765" s="22"/>
      <c r="C765" s="22"/>
      <c r="D765" s="22"/>
    </row>
    <row r="766">
      <c r="A766" s="22"/>
      <c r="C766" s="22"/>
      <c r="D766" s="22"/>
    </row>
    <row r="767">
      <c r="A767" s="22"/>
      <c r="C767" s="22"/>
      <c r="D767" s="22"/>
    </row>
    <row r="768">
      <c r="A768" s="22"/>
      <c r="C768" s="22"/>
      <c r="D768" s="22"/>
    </row>
    <row r="769">
      <c r="A769" s="22"/>
      <c r="C769" s="22"/>
      <c r="D769" s="22"/>
    </row>
    <row r="770">
      <c r="A770" s="22"/>
      <c r="C770" s="22"/>
      <c r="D770" s="22"/>
    </row>
    <row r="771">
      <c r="A771" s="22"/>
      <c r="C771" s="22"/>
      <c r="D771" s="22"/>
    </row>
    <row r="772">
      <c r="A772" s="22"/>
      <c r="C772" s="22"/>
      <c r="D772" s="22"/>
    </row>
    <row r="773">
      <c r="A773" s="22"/>
      <c r="C773" s="22"/>
      <c r="D773" s="22"/>
    </row>
    <row r="774">
      <c r="A774" s="22"/>
      <c r="C774" s="22"/>
      <c r="D774" s="22"/>
    </row>
    <row r="775">
      <c r="A775" s="22"/>
      <c r="C775" s="22"/>
      <c r="D775" s="22"/>
    </row>
    <row r="776">
      <c r="A776" s="22"/>
      <c r="C776" s="22"/>
      <c r="D776" s="22"/>
    </row>
    <row r="777">
      <c r="A777" s="22"/>
      <c r="C777" s="22"/>
      <c r="D777" s="22"/>
    </row>
    <row r="778">
      <c r="A778" s="22"/>
      <c r="C778" s="22"/>
      <c r="D778" s="22"/>
    </row>
    <row r="779">
      <c r="A779" s="22"/>
      <c r="C779" s="22"/>
      <c r="D779" s="22"/>
    </row>
    <row r="780">
      <c r="A780" s="22"/>
      <c r="C780" s="22"/>
      <c r="D780" s="22"/>
    </row>
    <row r="781">
      <c r="A781" s="22"/>
      <c r="C781" s="22"/>
      <c r="D781" s="22"/>
    </row>
    <row r="782">
      <c r="A782" s="22"/>
      <c r="C782" s="22"/>
      <c r="D782" s="22"/>
    </row>
    <row r="783">
      <c r="A783" s="22"/>
      <c r="C783" s="22"/>
      <c r="D783" s="22"/>
    </row>
    <row r="784">
      <c r="A784" s="22"/>
      <c r="C784" s="22"/>
      <c r="D784" s="22"/>
    </row>
    <row r="785">
      <c r="A785" s="22"/>
      <c r="C785" s="22"/>
      <c r="D785" s="22"/>
    </row>
    <row r="786">
      <c r="A786" s="22"/>
      <c r="C786" s="22"/>
      <c r="D786" s="22"/>
    </row>
    <row r="787">
      <c r="A787" s="22"/>
      <c r="C787" s="22"/>
      <c r="D787" s="22"/>
    </row>
    <row r="788">
      <c r="A788" s="22"/>
      <c r="C788" s="22"/>
      <c r="D788" s="22"/>
    </row>
    <row r="789">
      <c r="A789" s="22"/>
      <c r="C789" s="22"/>
      <c r="D789" s="22"/>
    </row>
    <row r="790">
      <c r="A790" s="22"/>
      <c r="C790" s="22"/>
      <c r="D790" s="22"/>
    </row>
    <row r="791">
      <c r="A791" s="22"/>
      <c r="C791" s="22"/>
      <c r="D791" s="22"/>
    </row>
    <row r="792">
      <c r="A792" s="22"/>
      <c r="C792" s="22"/>
      <c r="D792" s="22"/>
    </row>
    <row r="793">
      <c r="A793" s="22"/>
      <c r="C793" s="22"/>
      <c r="D793" s="22"/>
    </row>
    <row r="794">
      <c r="A794" s="22"/>
      <c r="C794" s="22"/>
      <c r="D794" s="22"/>
    </row>
    <row r="795">
      <c r="A795" s="22"/>
      <c r="C795" s="22"/>
      <c r="D795" s="22"/>
    </row>
    <row r="796">
      <c r="A796" s="22"/>
      <c r="C796" s="22"/>
      <c r="D796" s="22"/>
    </row>
    <row r="797">
      <c r="A797" s="22"/>
      <c r="C797" s="22"/>
      <c r="D797" s="22"/>
    </row>
    <row r="798">
      <c r="A798" s="22"/>
      <c r="C798" s="22"/>
      <c r="D798" s="22"/>
    </row>
    <row r="799">
      <c r="A799" s="22"/>
      <c r="C799" s="22"/>
      <c r="D799" s="22"/>
    </row>
    <row r="800">
      <c r="A800" s="22"/>
      <c r="C800" s="22"/>
      <c r="D800" s="22"/>
    </row>
    <row r="801">
      <c r="A801" s="22"/>
      <c r="C801" s="22"/>
      <c r="D801" s="22"/>
    </row>
    <row r="802">
      <c r="A802" s="22"/>
      <c r="C802" s="22"/>
      <c r="D802" s="22"/>
    </row>
    <row r="803">
      <c r="A803" s="22"/>
      <c r="C803" s="22"/>
      <c r="D803" s="22"/>
    </row>
    <row r="804">
      <c r="A804" s="22"/>
      <c r="C804" s="22"/>
      <c r="D804" s="22"/>
    </row>
    <row r="805">
      <c r="A805" s="22"/>
      <c r="C805" s="22"/>
      <c r="D805" s="22"/>
    </row>
    <row r="806">
      <c r="A806" s="22"/>
      <c r="C806" s="22"/>
      <c r="D806" s="22"/>
    </row>
    <row r="807">
      <c r="A807" s="22"/>
      <c r="C807" s="22"/>
      <c r="D807" s="22"/>
    </row>
    <row r="808">
      <c r="A808" s="22"/>
      <c r="C808" s="22"/>
      <c r="D808" s="22"/>
    </row>
    <row r="809">
      <c r="A809" s="22"/>
      <c r="C809" s="22"/>
      <c r="D809" s="22"/>
    </row>
    <row r="810">
      <c r="A810" s="22"/>
      <c r="C810" s="22"/>
      <c r="D810" s="22"/>
    </row>
    <row r="811">
      <c r="A811" s="22"/>
      <c r="C811" s="22"/>
      <c r="D811" s="22"/>
    </row>
    <row r="812">
      <c r="A812" s="22"/>
      <c r="C812" s="22"/>
      <c r="D812" s="22"/>
    </row>
    <row r="813">
      <c r="A813" s="22"/>
      <c r="C813" s="22"/>
      <c r="D813" s="22"/>
    </row>
    <row r="814">
      <c r="A814" s="22"/>
      <c r="C814" s="22"/>
      <c r="D814" s="22"/>
    </row>
    <row r="815">
      <c r="A815" s="22"/>
      <c r="C815" s="22"/>
      <c r="D815" s="22"/>
    </row>
    <row r="816">
      <c r="A816" s="22"/>
      <c r="C816" s="22"/>
      <c r="D816" s="22"/>
    </row>
    <row r="817">
      <c r="A817" s="22"/>
      <c r="C817" s="22"/>
      <c r="D817" s="22"/>
    </row>
    <row r="818">
      <c r="A818" s="22"/>
      <c r="C818" s="22"/>
      <c r="D818" s="22"/>
    </row>
    <row r="819">
      <c r="A819" s="22"/>
      <c r="C819" s="22"/>
      <c r="D819" s="22"/>
    </row>
    <row r="820">
      <c r="A820" s="22"/>
      <c r="C820" s="22"/>
      <c r="D820" s="22"/>
    </row>
    <row r="821">
      <c r="A821" s="22"/>
      <c r="C821" s="22"/>
      <c r="D821" s="22"/>
    </row>
    <row r="822">
      <c r="A822" s="22"/>
      <c r="C822" s="22"/>
      <c r="D822" s="22"/>
    </row>
    <row r="823">
      <c r="A823" s="22"/>
      <c r="C823" s="22"/>
      <c r="D823" s="22"/>
    </row>
    <row r="824">
      <c r="A824" s="22"/>
      <c r="C824" s="22"/>
      <c r="D824" s="22"/>
    </row>
    <row r="825">
      <c r="A825" s="22"/>
      <c r="C825" s="22"/>
      <c r="D825" s="22"/>
    </row>
    <row r="826">
      <c r="A826" s="22"/>
      <c r="C826" s="22"/>
      <c r="D826" s="22"/>
    </row>
    <row r="827">
      <c r="A827" s="22"/>
      <c r="C827" s="22"/>
      <c r="D827" s="22"/>
    </row>
    <row r="828">
      <c r="A828" s="22"/>
      <c r="C828" s="22"/>
      <c r="D828" s="22"/>
    </row>
    <row r="829">
      <c r="A829" s="22"/>
      <c r="C829" s="22"/>
      <c r="D829" s="22"/>
    </row>
    <row r="830">
      <c r="A830" s="22"/>
      <c r="C830" s="22"/>
      <c r="D830" s="22"/>
    </row>
    <row r="831">
      <c r="A831" s="22"/>
      <c r="C831" s="22"/>
      <c r="D831" s="22"/>
    </row>
    <row r="832">
      <c r="A832" s="22"/>
      <c r="C832" s="22"/>
      <c r="D832" s="22"/>
    </row>
    <row r="833">
      <c r="A833" s="22"/>
      <c r="C833" s="22"/>
      <c r="D833" s="22"/>
    </row>
    <row r="834">
      <c r="A834" s="22"/>
      <c r="C834" s="22"/>
      <c r="D834" s="22"/>
    </row>
    <row r="835">
      <c r="A835" s="22"/>
      <c r="C835" s="22"/>
      <c r="D835" s="22"/>
    </row>
    <row r="836">
      <c r="A836" s="22"/>
      <c r="C836" s="22"/>
      <c r="D836" s="22"/>
    </row>
    <row r="837">
      <c r="A837" s="22"/>
      <c r="C837" s="22"/>
      <c r="D837" s="22"/>
    </row>
    <row r="838">
      <c r="A838" s="22"/>
      <c r="C838" s="22"/>
      <c r="D838" s="22"/>
    </row>
    <row r="839">
      <c r="A839" s="22"/>
      <c r="C839" s="22"/>
      <c r="D839" s="22"/>
    </row>
    <row r="840">
      <c r="A840" s="22"/>
      <c r="C840" s="22"/>
      <c r="D840" s="22"/>
    </row>
    <row r="841">
      <c r="A841" s="22"/>
      <c r="C841" s="22"/>
      <c r="D841" s="22"/>
    </row>
    <row r="842">
      <c r="A842" s="22"/>
      <c r="C842" s="22"/>
      <c r="D842" s="22"/>
    </row>
    <row r="843">
      <c r="A843" s="22"/>
      <c r="C843" s="22"/>
      <c r="D843" s="22"/>
    </row>
    <row r="844">
      <c r="A844" s="22"/>
      <c r="C844" s="22"/>
      <c r="D844" s="22"/>
    </row>
    <row r="845">
      <c r="A845" s="22"/>
      <c r="C845" s="22"/>
      <c r="D845" s="22"/>
    </row>
    <row r="846">
      <c r="A846" s="22"/>
      <c r="C846" s="22"/>
      <c r="D846" s="22"/>
    </row>
    <row r="847">
      <c r="A847" s="22"/>
      <c r="C847" s="22"/>
      <c r="D847" s="22"/>
    </row>
    <row r="848">
      <c r="A848" s="22"/>
      <c r="C848" s="22"/>
      <c r="D848" s="22"/>
    </row>
    <row r="849">
      <c r="A849" s="22"/>
      <c r="C849" s="22"/>
      <c r="D849" s="22"/>
    </row>
    <row r="850">
      <c r="A850" s="22"/>
      <c r="C850" s="22"/>
      <c r="D850" s="22"/>
    </row>
    <row r="851">
      <c r="A851" s="22"/>
      <c r="C851" s="22"/>
      <c r="D851" s="22"/>
    </row>
    <row r="852">
      <c r="A852" s="22"/>
      <c r="C852" s="22"/>
      <c r="D852" s="22"/>
    </row>
    <row r="853">
      <c r="A853" s="22"/>
      <c r="C853" s="22"/>
      <c r="D853" s="22"/>
    </row>
    <row r="854">
      <c r="A854" s="22"/>
      <c r="C854" s="22"/>
      <c r="D854" s="22"/>
    </row>
    <row r="855">
      <c r="A855" s="22"/>
      <c r="C855" s="22"/>
      <c r="D855" s="22"/>
    </row>
    <row r="856">
      <c r="A856" s="22"/>
      <c r="C856" s="22"/>
      <c r="D856" s="22"/>
    </row>
    <row r="857">
      <c r="A857" s="22"/>
      <c r="C857" s="22"/>
      <c r="D857" s="22"/>
    </row>
    <row r="858">
      <c r="A858" s="22"/>
      <c r="C858" s="22"/>
      <c r="D858" s="22"/>
    </row>
    <row r="859">
      <c r="A859" s="22"/>
      <c r="C859" s="22"/>
      <c r="D859" s="22"/>
    </row>
    <row r="860">
      <c r="A860" s="22"/>
      <c r="C860" s="22"/>
      <c r="D860" s="22"/>
    </row>
    <row r="861">
      <c r="A861" s="22"/>
      <c r="C861" s="22"/>
      <c r="D861" s="22"/>
    </row>
    <row r="862">
      <c r="A862" s="22"/>
      <c r="C862" s="22"/>
      <c r="D862" s="22"/>
    </row>
    <row r="863">
      <c r="A863" s="22"/>
      <c r="C863" s="22"/>
      <c r="D863" s="22"/>
    </row>
    <row r="864">
      <c r="A864" s="22"/>
      <c r="C864" s="22"/>
      <c r="D864" s="22"/>
    </row>
    <row r="865">
      <c r="A865" s="22"/>
      <c r="C865" s="22"/>
      <c r="D865" s="22"/>
    </row>
    <row r="866">
      <c r="A866" s="22"/>
      <c r="C866" s="22"/>
      <c r="D866" s="22"/>
    </row>
    <row r="867">
      <c r="A867" s="22"/>
      <c r="C867" s="22"/>
      <c r="D867" s="22"/>
    </row>
    <row r="868">
      <c r="A868" s="22"/>
      <c r="C868" s="22"/>
      <c r="D868" s="22"/>
    </row>
    <row r="869">
      <c r="A869" s="22"/>
      <c r="C869" s="22"/>
      <c r="D869" s="22"/>
    </row>
    <row r="870">
      <c r="A870" s="22"/>
      <c r="C870" s="22"/>
      <c r="D870" s="22"/>
    </row>
    <row r="871">
      <c r="A871" s="22"/>
      <c r="C871" s="22"/>
      <c r="D871" s="22"/>
    </row>
    <row r="872">
      <c r="A872" s="22"/>
      <c r="C872" s="22"/>
      <c r="D872" s="22"/>
    </row>
    <row r="873">
      <c r="A873" s="22"/>
      <c r="C873" s="22"/>
      <c r="D873" s="22"/>
    </row>
    <row r="874">
      <c r="A874" s="22"/>
      <c r="C874" s="22"/>
      <c r="D874" s="22"/>
    </row>
    <row r="875">
      <c r="A875" s="22"/>
      <c r="C875" s="22"/>
      <c r="D875" s="22"/>
    </row>
    <row r="876">
      <c r="A876" s="22"/>
      <c r="C876" s="22"/>
      <c r="D876" s="22"/>
    </row>
    <row r="877">
      <c r="A877" s="22"/>
      <c r="C877" s="22"/>
      <c r="D877" s="22"/>
    </row>
    <row r="878">
      <c r="A878" s="22"/>
      <c r="C878" s="22"/>
      <c r="D878" s="22"/>
    </row>
    <row r="879">
      <c r="A879" s="22"/>
      <c r="C879" s="22"/>
      <c r="D879" s="22"/>
    </row>
    <row r="880">
      <c r="A880" s="22"/>
      <c r="C880" s="22"/>
      <c r="D880" s="22"/>
    </row>
    <row r="881">
      <c r="A881" s="22"/>
      <c r="C881" s="22"/>
      <c r="D881" s="22"/>
    </row>
    <row r="882">
      <c r="A882" s="22"/>
      <c r="C882" s="22"/>
      <c r="D882" s="22"/>
    </row>
    <row r="883">
      <c r="A883" s="22"/>
      <c r="C883" s="22"/>
      <c r="D883" s="22"/>
    </row>
    <row r="884">
      <c r="A884" s="22"/>
      <c r="C884" s="22"/>
      <c r="D884" s="22"/>
    </row>
    <row r="885">
      <c r="A885" s="22"/>
      <c r="C885" s="22"/>
      <c r="D885" s="22"/>
    </row>
    <row r="886">
      <c r="A886" s="22"/>
      <c r="C886" s="22"/>
      <c r="D886" s="22"/>
    </row>
    <row r="887">
      <c r="A887" s="22"/>
      <c r="C887" s="22"/>
      <c r="D887" s="22"/>
    </row>
    <row r="888">
      <c r="A888" s="22"/>
      <c r="C888" s="22"/>
      <c r="D888" s="22"/>
    </row>
    <row r="889">
      <c r="A889" s="22"/>
      <c r="C889" s="22"/>
      <c r="D889" s="22"/>
    </row>
    <row r="890">
      <c r="A890" s="22"/>
      <c r="C890" s="22"/>
      <c r="D890" s="22"/>
    </row>
    <row r="891">
      <c r="A891" s="22"/>
      <c r="C891" s="22"/>
      <c r="D891" s="22"/>
    </row>
    <row r="892">
      <c r="A892" s="22"/>
      <c r="C892" s="22"/>
      <c r="D892" s="22"/>
    </row>
    <row r="893">
      <c r="A893" s="22"/>
      <c r="C893" s="22"/>
      <c r="D893" s="22"/>
    </row>
    <row r="894">
      <c r="A894" s="22"/>
      <c r="C894" s="22"/>
      <c r="D894" s="22"/>
    </row>
    <row r="895">
      <c r="A895" s="22"/>
      <c r="C895" s="22"/>
      <c r="D895" s="22"/>
    </row>
    <row r="896">
      <c r="A896" s="22"/>
      <c r="C896" s="22"/>
      <c r="D896" s="22"/>
    </row>
    <row r="897">
      <c r="A897" s="22"/>
      <c r="C897" s="22"/>
      <c r="D897" s="22"/>
    </row>
    <row r="898">
      <c r="A898" s="22"/>
      <c r="C898" s="22"/>
      <c r="D898" s="22"/>
    </row>
    <row r="899">
      <c r="A899" s="22"/>
      <c r="C899" s="22"/>
      <c r="D899" s="22"/>
    </row>
    <row r="900">
      <c r="A900" s="22"/>
      <c r="C900" s="22"/>
      <c r="D900" s="22"/>
    </row>
    <row r="901">
      <c r="A901" s="22"/>
      <c r="C901" s="22"/>
      <c r="D901" s="22"/>
    </row>
    <row r="902">
      <c r="A902" s="22"/>
      <c r="C902" s="22"/>
      <c r="D902" s="22"/>
    </row>
    <row r="903">
      <c r="A903" s="22"/>
      <c r="C903" s="22"/>
      <c r="D903" s="22"/>
    </row>
    <row r="904">
      <c r="A904" s="22"/>
      <c r="C904" s="22"/>
      <c r="D904" s="22"/>
    </row>
    <row r="905">
      <c r="A905" s="22"/>
      <c r="C905" s="22"/>
      <c r="D905" s="22"/>
    </row>
    <row r="906">
      <c r="A906" s="22"/>
      <c r="C906" s="22"/>
      <c r="D906" s="22"/>
    </row>
    <row r="907">
      <c r="A907" s="22"/>
      <c r="C907" s="22"/>
      <c r="D907" s="22"/>
    </row>
    <row r="908">
      <c r="A908" s="22"/>
      <c r="C908" s="22"/>
      <c r="D908" s="22"/>
    </row>
    <row r="909">
      <c r="A909" s="22"/>
      <c r="C909" s="22"/>
      <c r="D909" s="22"/>
    </row>
    <row r="910">
      <c r="A910" s="22"/>
      <c r="C910" s="22"/>
      <c r="D910" s="22"/>
    </row>
    <row r="911">
      <c r="A911" s="22"/>
      <c r="C911" s="22"/>
      <c r="D911" s="22"/>
    </row>
    <row r="912">
      <c r="A912" s="22"/>
      <c r="C912" s="22"/>
      <c r="D912" s="22"/>
    </row>
    <row r="913">
      <c r="A913" s="22"/>
      <c r="C913" s="22"/>
      <c r="D913" s="22"/>
    </row>
    <row r="914">
      <c r="A914" s="22"/>
      <c r="C914" s="22"/>
      <c r="D914" s="22"/>
    </row>
    <row r="915">
      <c r="A915" s="22"/>
      <c r="C915" s="22"/>
      <c r="D915" s="22"/>
    </row>
    <row r="916">
      <c r="A916" s="22"/>
      <c r="C916" s="22"/>
      <c r="D916" s="22"/>
    </row>
    <row r="917">
      <c r="A917" s="22"/>
      <c r="C917" s="22"/>
      <c r="D917" s="22"/>
    </row>
    <row r="918">
      <c r="A918" s="22"/>
      <c r="C918" s="22"/>
      <c r="D918" s="22"/>
    </row>
    <row r="919">
      <c r="A919" s="22"/>
      <c r="C919" s="22"/>
      <c r="D919" s="22"/>
    </row>
    <row r="920">
      <c r="A920" s="22"/>
      <c r="C920" s="22"/>
      <c r="D920" s="22"/>
    </row>
    <row r="921">
      <c r="A921" s="22"/>
      <c r="C921" s="22"/>
      <c r="D921" s="22"/>
    </row>
    <row r="922">
      <c r="A922" s="22"/>
      <c r="C922" s="22"/>
      <c r="D922" s="22"/>
    </row>
    <row r="923">
      <c r="A923" s="22"/>
      <c r="C923" s="22"/>
      <c r="D923" s="22"/>
    </row>
    <row r="924">
      <c r="A924" s="22"/>
      <c r="C924" s="22"/>
      <c r="D924" s="22"/>
    </row>
    <row r="925">
      <c r="A925" s="22"/>
      <c r="C925" s="22"/>
      <c r="D925" s="22"/>
    </row>
    <row r="926">
      <c r="A926" s="22"/>
      <c r="C926" s="22"/>
      <c r="D926" s="22"/>
    </row>
    <row r="927">
      <c r="A927" s="22"/>
      <c r="C927" s="22"/>
      <c r="D927" s="22"/>
    </row>
    <row r="928">
      <c r="A928" s="22"/>
      <c r="C928" s="22"/>
      <c r="D928" s="22"/>
    </row>
    <row r="929">
      <c r="A929" s="22"/>
      <c r="C929" s="22"/>
      <c r="D929" s="22"/>
    </row>
    <row r="930">
      <c r="A930" s="22"/>
      <c r="C930" s="22"/>
      <c r="D930" s="22"/>
    </row>
    <row r="931">
      <c r="A931" s="22"/>
      <c r="C931" s="22"/>
      <c r="D931" s="22"/>
    </row>
    <row r="932">
      <c r="A932" s="22"/>
      <c r="C932" s="22"/>
      <c r="D932" s="22"/>
    </row>
    <row r="933">
      <c r="A933" s="22"/>
      <c r="C933" s="22"/>
      <c r="D933" s="22"/>
    </row>
    <row r="934">
      <c r="A934" s="22"/>
      <c r="C934" s="22"/>
      <c r="D934" s="22"/>
    </row>
    <row r="935">
      <c r="A935" s="22"/>
      <c r="C935" s="22"/>
      <c r="D935" s="22"/>
    </row>
    <row r="936">
      <c r="A936" s="22"/>
      <c r="C936" s="22"/>
      <c r="D936" s="22"/>
    </row>
    <row r="937">
      <c r="A937" s="22"/>
      <c r="C937" s="22"/>
      <c r="D937" s="22"/>
    </row>
    <row r="938">
      <c r="A938" s="22"/>
      <c r="C938" s="22"/>
      <c r="D938" s="22"/>
    </row>
    <row r="939">
      <c r="A939" s="22"/>
      <c r="C939" s="22"/>
      <c r="D939" s="22"/>
    </row>
    <row r="940">
      <c r="A940" s="22"/>
      <c r="C940" s="22"/>
      <c r="D940" s="22"/>
    </row>
    <row r="941">
      <c r="A941" s="22"/>
      <c r="C941" s="22"/>
      <c r="D941" s="22"/>
    </row>
    <row r="942">
      <c r="A942" s="22"/>
      <c r="C942" s="22"/>
      <c r="D942" s="22"/>
    </row>
    <row r="943">
      <c r="A943" s="22"/>
      <c r="C943" s="22"/>
      <c r="D943" s="22"/>
    </row>
    <row r="944">
      <c r="A944" s="22"/>
      <c r="C944" s="22"/>
      <c r="D944" s="22"/>
    </row>
    <row r="945">
      <c r="A945" s="22"/>
      <c r="C945" s="22"/>
      <c r="D945" s="22"/>
    </row>
    <row r="946">
      <c r="A946" s="22"/>
      <c r="C946" s="22"/>
      <c r="D946" s="22"/>
    </row>
    <row r="947">
      <c r="A947" s="22"/>
      <c r="C947" s="22"/>
      <c r="D947" s="22"/>
    </row>
    <row r="948">
      <c r="A948" s="22"/>
      <c r="C948" s="22"/>
      <c r="D948" s="22"/>
    </row>
    <row r="949">
      <c r="A949" s="22"/>
      <c r="C949" s="22"/>
      <c r="D949" s="22"/>
    </row>
    <row r="950">
      <c r="A950" s="22"/>
      <c r="C950" s="22"/>
      <c r="D950" s="22"/>
    </row>
    <row r="951">
      <c r="A951" s="22"/>
      <c r="C951" s="22"/>
      <c r="D951" s="22"/>
    </row>
    <row r="952">
      <c r="A952" s="22"/>
      <c r="C952" s="22"/>
      <c r="D952" s="22"/>
    </row>
    <row r="953">
      <c r="A953" s="22"/>
      <c r="C953" s="22"/>
      <c r="D953" s="22"/>
    </row>
    <row r="954">
      <c r="A954" s="22"/>
      <c r="C954" s="22"/>
      <c r="D954" s="22"/>
    </row>
    <row r="955">
      <c r="A955" s="22"/>
      <c r="C955" s="22"/>
      <c r="D955" s="22"/>
    </row>
    <row r="956">
      <c r="A956" s="22"/>
      <c r="C956" s="22"/>
      <c r="D956" s="22"/>
    </row>
    <row r="957">
      <c r="A957" s="22"/>
      <c r="C957" s="22"/>
      <c r="D957" s="22"/>
    </row>
    <row r="958">
      <c r="A958" s="22"/>
      <c r="C958" s="22"/>
      <c r="D958" s="22"/>
    </row>
    <row r="959">
      <c r="A959" s="22"/>
      <c r="C959" s="22"/>
      <c r="D959" s="22"/>
    </row>
    <row r="960">
      <c r="A960" s="22"/>
      <c r="C960" s="22"/>
      <c r="D960" s="22"/>
    </row>
    <row r="961">
      <c r="A961" s="22"/>
      <c r="C961" s="22"/>
      <c r="D961" s="22"/>
    </row>
    <row r="962">
      <c r="A962" s="22"/>
      <c r="C962" s="22"/>
      <c r="D962" s="22"/>
    </row>
    <row r="963">
      <c r="A963" s="22"/>
      <c r="C963" s="22"/>
      <c r="D963" s="22"/>
    </row>
    <row r="964">
      <c r="A964" s="22"/>
      <c r="C964" s="22"/>
      <c r="D964" s="22"/>
    </row>
    <row r="965">
      <c r="A965" s="22"/>
      <c r="C965" s="22"/>
      <c r="D965" s="22"/>
    </row>
    <row r="966">
      <c r="A966" s="22"/>
      <c r="C966" s="22"/>
      <c r="D966" s="22"/>
    </row>
    <row r="967">
      <c r="A967" s="22"/>
      <c r="C967" s="22"/>
      <c r="D967" s="22"/>
    </row>
    <row r="968">
      <c r="A968" s="22"/>
      <c r="C968" s="22"/>
      <c r="D968" s="22"/>
    </row>
    <row r="969">
      <c r="A969" s="22"/>
      <c r="C969" s="22"/>
      <c r="D969" s="22"/>
    </row>
    <row r="970">
      <c r="A970" s="22"/>
      <c r="C970" s="22"/>
      <c r="D970" s="22"/>
    </row>
    <row r="971">
      <c r="A971" s="22"/>
      <c r="C971" s="22"/>
      <c r="D971" s="22"/>
    </row>
    <row r="972">
      <c r="A972" s="22"/>
      <c r="C972" s="22"/>
      <c r="D972" s="22"/>
    </row>
    <row r="973">
      <c r="A973" s="22"/>
      <c r="C973" s="22"/>
      <c r="D973" s="22"/>
    </row>
    <row r="974">
      <c r="A974" s="22"/>
      <c r="C974" s="22"/>
      <c r="D974" s="22"/>
    </row>
    <row r="975">
      <c r="A975" s="22"/>
      <c r="C975" s="22"/>
      <c r="D975" s="22"/>
    </row>
    <row r="976">
      <c r="A976" s="22"/>
      <c r="C976" s="22"/>
      <c r="D976" s="22"/>
    </row>
    <row r="977">
      <c r="A977" s="22"/>
      <c r="C977" s="22"/>
      <c r="D977" s="22"/>
    </row>
    <row r="978">
      <c r="A978" s="22"/>
      <c r="C978" s="22"/>
      <c r="D978" s="22"/>
    </row>
    <row r="979">
      <c r="A979" s="22"/>
      <c r="C979" s="22"/>
      <c r="D979" s="22"/>
    </row>
    <row r="980">
      <c r="A980" s="22"/>
      <c r="C980" s="22"/>
      <c r="D980" s="22"/>
    </row>
    <row r="981">
      <c r="A981" s="22"/>
      <c r="C981" s="22"/>
      <c r="D981" s="22"/>
    </row>
    <row r="982">
      <c r="A982" s="22"/>
      <c r="C982" s="22"/>
      <c r="D982" s="22"/>
    </row>
    <row r="983">
      <c r="A983" s="22"/>
      <c r="C983" s="22"/>
      <c r="D983" s="22"/>
    </row>
    <row r="984">
      <c r="A984" s="22"/>
      <c r="C984" s="22"/>
      <c r="D984" s="22"/>
    </row>
    <row r="985">
      <c r="A985" s="22"/>
      <c r="C985" s="22"/>
      <c r="D985" s="22"/>
    </row>
    <row r="986">
      <c r="A986" s="22"/>
      <c r="C986" s="22"/>
      <c r="D986" s="22"/>
    </row>
    <row r="987">
      <c r="A987" s="22"/>
      <c r="C987" s="22"/>
      <c r="D987" s="22"/>
    </row>
    <row r="988">
      <c r="A988" s="22"/>
      <c r="C988" s="22"/>
      <c r="D988" s="22"/>
    </row>
    <row r="989">
      <c r="A989" s="22"/>
      <c r="C989" s="22"/>
      <c r="D989" s="22"/>
    </row>
    <row r="990">
      <c r="A990" s="22"/>
      <c r="C990" s="22"/>
      <c r="D990" s="22"/>
    </row>
    <row r="991">
      <c r="A991" s="22"/>
      <c r="C991" s="22"/>
      <c r="D991" s="22"/>
    </row>
    <row r="992">
      <c r="A992" s="22"/>
      <c r="C992" s="22"/>
      <c r="D992" s="22"/>
    </row>
    <row r="993">
      <c r="A993" s="22"/>
      <c r="C993" s="22"/>
      <c r="D993" s="22"/>
    </row>
    <row r="994">
      <c r="A994" s="22"/>
      <c r="C994" s="22"/>
      <c r="D994" s="22"/>
    </row>
    <row r="995">
      <c r="A995" s="22"/>
      <c r="C995" s="22"/>
      <c r="D995" s="22"/>
    </row>
    <row r="996">
      <c r="A996" s="22"/>
      <c r="C996" s="22"/>
      <c r="D996" s="22"/>
    </row>
    <row r="997">
      <c r="A997" s="22"/>
      <c r="C997" s="22"/>
      <c r="D997" s="22"/>
    </row>
    <row r="998">
      <c r="A998" s="22"/>
      <c r="C998" s="22"/>
      <c r="D998" s="22"/>
    </row>
    <row r="999">
      <c r="A999" s="22"/>
      <c r="C999" s="22"/>
      <c r="D999" s="22"/>
    </row>
    <row r="1000">
      <c r="A1000" s="22"/>
      <c r="C1000" s="22"/>
      <c r="D1000" s="22"/>
    </row>
  </sheetData>
  <hyperlinks>
    <hyperlink r:id="rId1" ref="B2"/>
    <hyperlink r:id="rId2" ref="B3"/>
    <hyperlink r:id="rId3" ref="B4"/>
    <hyperlink r:id="rId4" ref="B5"/>
    <hyperlink r:id="rId5" ref="B6"/>
    <hyperlink r:id="rId6" ref="B7"/>
    <hyperlink r:id="rId7" ref="B8"/>
    <hyperlink r:id="rId8" ref="B9"/>
    <hyperlink r:id="rId9" ref="B10"/>
    <hyperlink r:id="rId10" ref="B11"/>
    <hyperlink r:id="rId11" ref="B12"/>
    <hyperlink r:id="rId12" ref="B13"/>
    <hyperlink r:id="rId13" ref="B14"/>
    <hyperlink r:id="rId14" ref="B15"/>
    <hyperlink r:id="rId15" ref="B16"/>
    <hyperlink r:id="rId16" ref="B17"/>
    <hyperlink r:id="rId17" ref="B18"/>
    <hyperlink r:id="rId18" ref="F18"/>
    <hyperlink r:id="rId19" ref="B19"/>
    <hyperlink r:id="rId20" ref="B20"/>
    <hyperlink r:id="rId21" ref="B21"/>
    <hyperlink r:id="rId22" ref="B22"/>
    <hyperlink r:id="rId23" ref="B23"/>
    <hyperlink r:id="rId24" ref="B24"/>
    <hyperlink r:id="rId25" ref="B25"/>
    <hyperlink r:id="rId26" ref="B26"/>
    <hyperlink r:id="rId27" ref="B27"/>
    <hyperlink r:id="rId28" ref="B28"/>
    <hyperlink r:id="rId29" ref="B29"/>
    <hyperlink r:id="rId30" ref="B30"/>
    <hyperlink r:id="rId31" ref="B31"/>
    <hyperlink r:id="rId32" ref="B32"/>
    <hyperlink r:id="rId33" ref="B33"/>
    <hyperlink r:id="rId34" ref="B34"/>
    <hyperlink r:id="rId35" ref="B35"/>
    <hyperlink r:id="rId36" ref="B36"/>
    <hyperlink r:id="rId37" ref="B37"/>
    <hyperlink r:id="rId38" ref="B38"/>
    <hyperlink r:id="rId39" ref="B39"/>
    <hyperlink r:id="rId40" ref="B40"/>
    <hyperlink r:id="rId41" ref="B41"/>
    <hyperlink r:id="rId42" ref="B42"/>
    <hyperlink r:id="rId43" ref="B43"/>
    <hyperlink r:id="rId44" ref="B44"/>
    <hyperlink r:id="rId45" ref="B45"/>
    <hyperlink r:id="rId46" ref="B46"/>
    <hyperlink r:id="rId47" ref="B47"/>
    <hyperlink r:id="rId48" ref="B48"/>
    <hyperlink r:id="rId49" ref="B49"/>
    <hyperlink r:id="rId50" ref="B50"/>
    <hyperlink r:id="rId51" ref="B51"/>
    <hyperlink r:id="rId52" ref="B52"/>
    <hyperlink r:id="rId53" ref="B53"/>
    <hyperlink r:id="rId54" ref="B54"/>
    <hyperlink r:id="rId55" ref="B55"/>
    <hyperlink r:id="rId56" ref="B56"/>
    <hyperlink r:id="rId57" ref="B57"/>
    <hyperlink r:id="rId58" ref="B58"/>
    <hyperlink r:id="rId59" ref="B59"/>
    <hyperlink r:id="rId60" ref="B60"/>
    <hyperlink r:id="rId61" ref="B61"/>
    <hyperlink r:id="rId62" ref="B62"/>
    <hyperlink r:id="rId63" ref="B63"/>
    <hyperlink r:id="rId64" ref="B64"/>
    <hyperlink r:id="rId65" ref="B65"/>
    <hyperlink r:id="rId66" ref="B66"/>
    <hyperlink r:id="rId67" ref="B67"/>
    <hyperlink r:id="rId68" ref="B68"/>
    <hyperlink r:id="rId69" ref="B69"/>
    <hyperlink r:id="rId70" ref="B70"/>
    <hyperlink r:id="rId71" ref="B71"/>
    <hyperlink r:id="rId72" ref="B72"/>
    <hyperlink r:id="rId73" ref="B73"/>
    <hyperlink r:id="rId74" ref="B74"/>
    <hyperlink r:id="rId75" ref="B75"/>
    <hyperlink r:id="rId76" ref="B76"/>
  </hyperlinks>
  <drawing r:id="rId77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0"/>
    <col customWidth="1" min="2" max="2" width="55.25"/>
    <col customWidth="1" min="3" max="3" width="13.88"/>
    <col customWidth="1" min="4" max="4" width="72.13"/>
    <col customWidth="1" min="5" max="5" width="15.13"/>
    <col customWidth="1" min="6" max="6" width="41.38"/>
    <col customWidth="1" min="7" max="9" width="21.38"/>
    <col customWidth="1" min="10" max="10" width="27.63"/>
    <col customWidth="1" min="11" max="11" width="41.38"/>
  </cols>
  <sheetData>
    <row r="1">
      <c r="A1" s="1" t="s">
        <v>0</v>
      </c>
      <c r="B1" s="1" t="s">
        <v>451</v>
      </c>
      <c r="C1" s="1" t="s">
        <v>2</v>
      </c>
      <c r="D1" s="1" t="s">
        <v>452</v>
      </c>
      <c r="E1" s="1" t="s">
        <v>68</v>
      </c>
      <c r="F1" s="1" t="s">
        <v>69</v>
      </c>
      <c r="G1" s="1" t="s">
        <v>71</v>
      </c>
      <c r="H1" s="1" t="s">
        <v>73</v>
      </c>
      <c r="I1" s="1" t="s">
        <v>75</v>
      </c>
      <c r="J1" s="1" t="s">
        <v>454</v>
      </c>
      <c r="K1" s="1" t="s">
        <v>77</v>
      </c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>
      <c r="A2" s="12">
        <v>1.0</v>
      </c>
      <c r="B2" s="23" t="s">
        <v>36</v>
      </c>
      <c r="C2" s="24" t="s">
        <v>89</v>
      </c>
      <c r="D2" s="23" t="s">
        <v>249</v>
      </c>
      <c r="E2" s="13" t="s">
        <v>251</v>
      </c>
      <c r="F2" s="13" t="s">
        <v>455</v>
      </c>
      <c r="G2" s="13" t="s">
        <v>253</v>
      </c>
      <c r="H2" s="13" t="s">
        <v>253</v>
      </c>
      <c r="I2" s="13" t="s">
        <v>254</v>
      </c>
      <c r="J2" s="13" t="s">
        <v>247</v>
      </c>
      <c r="K2" s="13" t="s">
        <v>456</v>
      </c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23" t="s">
        <v>36</v>
      </c>
      <c r="C3" s="24" t="s">
        <v>89</v>
      </c>
      <c r="D3" s="23" t="s">
        <v>257</v>
      </c>
      <c r="E3" s="13" t="s">
        <v>251</v>
      </c>
      <c r="F3" s="13" t="s">
        <v>459</v>
      </c>
      <c r="G3" s="13" t="s">
        <v>253</v>
      </c>
      <c r="H3" s="13" t="s">
        <v>253</v>
      </c>
      <c r="I3" s="13" t="s">
        <v>254</v>
      </c>
      <c r="J3" s="13" t="s">
        <v>259</v>
      </c>
      <c r="K3" s="13" t="s">
        <v>456</v>
      </c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2">
        <v>1.0</v>
      </c>
      <c r="B4" s="23" t="s">
        <v>36</v>
      </c>
      <c r="C4" s="24" t="s">
        <v>89</v>
      </c>
      <c r="D4" s="23" t="s">
        <v>261</v>
      </c>
      <c r="E4" s="13" t="s">
        <v>251</v>
      </c>
      <c r="F4" s="13" t="s">
        <v>466</v>
      </c>
      <c r="G4" s="13" t="s">
        <v>253</v>
      </c>
      <c r="H4" s="13" t="s">
        <v>253</v>
      </c>
      <c r="I4" s="13" t="s">
        <v>254</v>
      </c>
      <c r="J4" s="13" t="s">
        <v>263</v>
      </c>
      <c r="K4" s="13" t="s">
        <v>456</v>
      </c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2">
        <v>1.0</v>
      </c>
      <c r="B5" s="23" t="s">
        <v>36</v>
      </c>
      <c r="C5" s="24" t="s">
        <v>89</v>
      </c>
      <c r="D5" s="23" t="s">
        <v>265</v>
      </c>
      <c r="E5" s="13" t="s">
        <v>251</v>
      </c>
      <c r="F5" s="13" t="s">
        <v>469</v>
      </c>
      <c r="G5" s="13" t="s">
        <v>253</v>
      </c>
      <c r="H5" s="13" t="s">
        <v>253</v>
      </c>
      <c r="I5" s="13" t="s">
        <v>254</v>
      </c>
      <c r="J5" s="13" t="s">
        <v>268</v>
      </c>
      <c r="K5" s="13" t="s">
        <v>456</v>
      </c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2">
        <v>1.0</v>
      </c>
      <c r="B6" s="23" t="s">
        <v>36</v>
      </c>
      <c r="C6" s="24" t="s">
        <v>89</v>
      </c>
      <c r="D6" s="23" t="s">
        <v>270</v>
      </c>
      <c r="E6" s="13" t="s">
        <v>272</v>
      </c>
      <c r="F6" s="13" t="s">
        <v>472</v>
      </c>
      <c r="G6" s="13" t="s">
        <v>253</v>
      </c>
      <c r="H6" s="13" t="s">
        <v>253</v>
      </c>
      <c r="I6" s="13" t="s">
        <v>254</v>
      </c>
      <c r="J6" s="13" t="s">
        <v>247</v>
      </c>
      <c r="K6" s="13" t="s">
        <v>456</v>
      </c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2">
        <v>2.0</v>
      </c>
      <c r="B7" s="23" t="s">
        <v>39</v>
      </c>
      <c r="C7" s="24" t="s">
        <v>280</v>
      </c>
      <c r="D7" s="23" t="s">
        <v>285</v>
      </c>
      <c r="E7" s="13" t="s">
        <v>251</v>
      </c>
      <c r="F7" s="13" t="s">
        <v>476</v>
      </c>
      <c r="G7" s="13" t="s">
        <v>253</v>
      </c>
      <c r="H7" s="13" t="s">
        <v>253</v>
      </c>
      <c r="I7" s="13" t="s">
        <v>254</v>
      </c>
      <c r="J7" s="13" t="s">
        <v>290</v>
      </c>
      <c r="K7" s="13" t="s">
        <v>478</v>
      </c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2">
        <v>2.0</v>
      </c>
      <c r="B8" s="23" t="s">
        <v>39</v>
      </c>
      <c r="C8" s="24" t="s">
        <v>280</v>
      </c>
      <c r="D8" s="23" t="s">
        <v>49</v>
      </c>
      <c r="E8" s="13" t="s">
        <v>272</v>
      </c>
      <c r="F8" s="13" t="s">
        <v>481</v>
      </c>
      <c r="G8" s="13" t="s">
        <v>253</v>
      </c>
      <c r="H8" s="13" t="s">
        <v>253</v>
      </c>
      <c r="I8" s="13" t="s">
        <v>254</v>
      </c>
      <c r="J8" s="13" t="s">
        <v>296</v>
      </c>
      <c r="K8" s="13" t="s">
        <v>456</v>
      </c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2">
        <v>3.0</v>
      </c>
      <c r="B9" s="23" t="s">
        <v>49</v>
      </c>
      <c r="C9" s="24" t="s">
        <v>280</v>
      </c>
      <c r="D9" s="23" t="s">
        <v>285</v>
      </c>
      <c r="E9" s="13" t="s">
        <v>251</v>
      </c>
      <c r="F9" s="13" t="s">
        <v>482</v>
      </c>
      <c r="G9" s="13" t="s">
        <v>253</v>
      </c>
      <c r="H9" s="13" t="s">
        <v>253</v>
      </c>
      <c r="I9" s="13" t="s">
        <v>254</v>
      </c>
      <c r="J9" s="13" t="s">
        <v>344</v>
      </c>
      <c r="K9" s="13" t="s">
        <v>478</v>
      </c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2">
        <v>3.0</v>
      </c>
      <c r="B10" s="23" t="s">
        <v>49</v>
      </c>
      <c r="C10" s="24" t="s">
        <v>280</v>
      </c>
      <c r="D10" s="23" t="s">
        <v>298</v>
      </c>
      <c r="E10" s="13" t="s">
        <v>251</v>
      </c>
      <c r="F10" s="13" t="s">
        <v>484</v>
      </c>
      <c r="G10" s="13" t="s">
        <v>253</v>
      </c>
      <c r="H10" s="13" t="s">
        <v>253</v>
      </c>
      <c r="I10" s="13" t="s">
        <v>254</v>
      </c>
      <c r="J10" s="13" t="s">
        <v>486</v>
      </c>
      <c r="K10" s="13" t="s">
        <v>487</v>
      </c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2">
        <v>3.0</v>
      </c>
      <c r="B11" s="23" t="s">
        <v>49</v>
      </c>
      <c r="C11" s="24" t="s">
        <v>280</v>
      </c>
      <c r="D11" s="23" t="s">
        <v>316</v>
      </c>
      <c r="E11" s="13" t="s">
        <v>251</v>
      </c>
      <c r="F11" s="13" t="s">
        <v>488</v>
      </c>
      <c r="G11" s="13" t="s">
        <v>253</v>
      </c>
      <c r="H11" s="13" t="s">
        <v>253</v>
      </c>
      <c r="I11" s="13" t="s">
        <v>254</v>
      </c>
      <c r="J11" s="13" t="s">
        <v>490</v>
      </c>
      <c r="K11" s="13" t="s">
        <v>491</v>
      </c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2">
        <v>3.0</v>
      </c>
      <c r="B12" s="23" t="s">
        <v>49</v>
      </c>
      <c r="C12" s="24" t="s">
        <v>280</v>
      </c>
      <c r="D12" s="23" t="s">
        <v>314</v>
      </c>
      <c r="E12" s="13" t="s">
        <v>272</v>
      </c>
      <c r="F12" s="13" t="s">
        <v>492</v>
      </c>
      <c r="G12" s="13" t="s">
        <v>253</v>
      </c>
      <c r="H12" s="13" t="s">
        <v>253</v>
      </c>
      <c r="I12" s="13" t="s">
        <v>254</v>
      </c>
      <c r="J12" s="13" t="s">
        <v>344</v>
      </c>
      <c r="K12" s="13" t="s">
        <v>487</v>
      </c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2">
        <v>3.0</v>
      </c>
      <c r="B13" s="23" t="s">
        <v>49</v>
      </c>
      <c r="C13" s="24" t="s">
        <v>280</v>
      </c>
      <c r="D13" s="23" t="s">
        <v>325</v>
      </c>
      <c r="E13" s="13" t="s">
        <v>272</v>
      </c>
      <c r="F13" s="13" t="s">
        <v>494</v>
      </c>
      <c r="G13" s="13" t="s">
        <v>253</v>
      </c>
      <c r="H13" s="13" t="s">
        <v>253</v>
      </c>
      <c r="I13" s="13" t="s">
        <v>254</v>
      </c>
      <c r="J13" s="13" t="s">
        <v>486</v>
      </c>
      <c r="K13" s="13" t="s">
        <v>456</v>
      </c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2">
        <v>4.0</v>
      </c>
      <c r="B14" s="23" t="s">
        <v>64</v>
      </c>
      <c r="C14" s="24" t="s">
        <v>280</v>
      </c>
      <c r="D14" s="23" t="s">
        <v>383</v>
      </c>
      <c r="E14" s="13" t="s">
        <v>251</v>
      </c>
      <c r="F14" s="13" t="s">
        <v>495</v>
      </c>
      <c r="G14" s="13" t="s">
        <v>253</v>
      </c>
      <c r="H14" s="13" t="s">
        <v>253</v>
      </c>
      <c r="I14" s="13" t="s">
        <v>254</v>
      </c>
      <c r="J14" s="13" t="s">
        <v>379</v>
      </c>
      <c r="K14" s="13" t="s">
        <v>491</v>
      </c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2">
        <v>4.0</v>
      </c>
      <c r="B15" s="23" t="s">
        <v>64</v>
      </c>
      <c r="C15" s="24" t="s">
        <v>280</v>
      </c>
      <c r="D15" s="23" t="s">
        <v>365</v>
      </c>
      <c r="E15" s="13" t="s">
        <v>251</v>
      </c>
      <c r="F15" s="13" t="s">
        <v>496</v>
      </c>
      <c r="G15" s="13" t="s">
        <v>253</v>
      </c>
      <c r="H15" s="13" t="s">
        <v>253</v>
      </c>
      <c r="I15" s="13" t="s">
        <v>254</v>
      </c>
      <c r="J15" s="13" t="s">
        <v>497</v>
      </c>
      <c r="K15" s="13" t="s">
        <v>491</v>
      </c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2">
        <v>4.0</v>
      </c>
      <c r="B16" s="23" t="s">
        <v>64</v>
      </c>
      <c r="C16" s="24" t="s">
        <v>280</v>
      </c>
      <c r="D16" s="23" t="s">
        <v>387</v>
      </c>
      <c r="E16" s="13" t="s">
        <v>251</v>
      </c>
      <c r="F16" s="13" t="s">
        <v>501</v>
      </c>
      <c r="G16" s="13" t="s">
        <v>253</v>
      </c>
      <c r="H16" s="13" t="s">
        <v>253</v>
      </c>
      <c r="I16" s="13" t="s">
        <v>254</v>
      </c>
      <c r="J16" s="13" t="s">
        <v>502</v>
      </c>
      <c r="K16" s="13" t="s">
        <v>456</v>
      </c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2">
        <v>4.0</v>
      </c>
      <c r="B17" s="23" t="s">
        <v>64</v>
      </c>
      <c r="C17" s="24" t="s">
        <v>280</v>
      </c>
      <c r="D17" s="23" t="s">
        <v>389</v>
      </c>
      <c r="E17" s="13" t="s">
        <v>272</v>
      </c>
      <c r="F17" s="13" t="s">
        <v>504</v>
      </c>
      <c r="G17" s="13" t="s">
        <v>253</v>
      </c>
      <c r="H17" s="13" t="s">
        <v>253</v>
      </c>
      <c r="I17" s="13" t="s">
        <v>254</v>
      </c>
      <c r="J17" s="13" t="s">
        <v>379</v>
      </c>
      <c r="K17" s="13" t="s">
        <v>456</v>
      </c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2">
        <v>4.0</v>
      </c>
      <c r="B18" s="23" t="s">
        <v>64</v>
      </c>
      <c r="C18" s="24" t="s">
        <v>280</v>
      </c>
      <c r="D18" s="23" t="s">
        <v>355</v>
      </c>
      <c r="E18" s="13" t="s">
        <v>272</v>
      </c>
      <c r="F18" s="13" t="s">
        <v>508</v>
      </c>
      <c r="G18" s="13" t="s">
        <v>253</v>
      </c>
      <c r="H18" s="13" t="s">
        <v>253</v>
      </c>
      <c r="I18" s="13" t="s">
        <v>254</v>
      </c>
      <c r="J18" s="13" t="s">
        <v>497</v>
      </c>
      <c r="K18" s="13" t="s">
        <v>491</v>
      </c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2">
        <v>5.0</v>
      </c>
      <c r="B19" s="23" t="s">
        <v>84</v>
      </c>
      <c r="C19" s="24" t="s">
        <v>280</v>
      </c>
      <c r="D19" s="23" t="s">
        <v>321</v>
      </c>
      <c r="E19" s="13" t="s">
        <v>251</v>
      </c>
      <c r="F19" s="13" t="s">
        <v>512</v>
      </c>
      <c r="G19" s="13" t="s">
        <v>253</v>
      </c>
      <c r="H19" s="13" t="s">
        <v>253</v>
      </c>
      <c r="I19" s="13" t="s">
        <v>254</v>
      </c>
      <c r="J19" s="13" t="s">
        <v>415</v>
      </c>
      <c r="K19" s="13" t="s">
        <v>491</v>
      </c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2">
        <v>5.0</v>
      </c>
      <c r="B20" s="23" t="s">
        <v>84</v>
      </c>
      <c r="C20" s="24" t="s">
        <v>280</v>
      </c>
      <c r="D20" s="23" t="s">
        <v>355</v>
      </c>
      <c r="E20" s="13" t="s">
        <v>251</v>
      </c>
      <c r="F20" s="13" t="s">
        <v>514</v>
      </c>
      <c r="G20" s="13" t="s">
        <v>253</v>
      </c>
      <c r="H20" s="13" t="s">
        <v>253</v>
      </c>
      <c r="I20" s="13" t="s">
        <v>254</v>
      </c>
      <c r="J20" s="13" t="s">
        <v>417</v>
      </c>
      <c r="K20" s="13" t="s">
        <v>491</v>
      </c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2">
        <v>5.0</v>
      </c>
      <c r="B21" s="23" t="s">
        <v>84</v>
      </c>
      <c r="C21" s="24" t="s">
        <v>280</v>
      </c>
      <c r="D21" s="23" t="s">
        <v>419</v>
      </c>
      <c r="E21" s="13" t="s">
        <v>272</v>
      </c>
      <c r="F21" s="13" t="s">
        <v>517</v>
      </c>
      <c r="G21" s="13" t="s">
        <v>253</v>
      </c>
      <c r="H21" s="13" t="s">
        <v>253</v>
      </c>
      <c r="I21" s="13" t="s">
        <v>254</v>
      </c>
      <c r="J21" s="13" t="s">
        <v>420</v>
      </c>
      <c r="K21" s="13" t="s">
        <v>456</v>
      </c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2">
        <v>5.0</v>
      </c>
      <c r="B22" s="23" t="s">
        <v>84</v>
      </c>
      <c r="C22" s="24" t="s">
        <v>280</v>
      </c>
      <c r="D22" s="23" t="s">
        <v>318</v>
      </c>
      <c r="E22" s="13" t="s">
        <v>272</v>
      </c>
      <c r="F22" s="13" t="s">
        <v>520</v>
      </c>
      <c r="G22" s="13" t="s">
        <v>253</v>
      </c>
      <c r="H22" s="13" t="s">
        <v>253</v>
      </c>
      <c r="I22" s="13" t="s">
        <v>254</v>
      </c>
      <c r="J22" s="13" t="s">
        <v>415</v>
      </c>
      <c r="K22" s="13" t="s">
        <v>491</v>
      </c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2">
        <v>6.0</v>
      </c>
      <c r="B23" s="23" t="s">
        <v>97</v>
      </c>
      <c r="C23" s="24" t="s">
        <v>280</v>
      </c>
      <c r="D23" s="23" t="s">
        <v>397</v>
      </c>
      <c r="E23" s="13" t="s">
        <v>251</v>
      </c>
      <c r="F23" s="13" t="s">
        <v>524</v>
      </c>
      <c r="G23" s="13" t="s">
        <v>253</v>
      </c>
      <c r="H23" s="13" t="s">
        <v>253</v>
      </c>
      <c r="I23" s="13" t="s">
        <v>254</v>
      </c>
      <c r="J23" s="13" t="s">
        <v>443</v>
      </c>
      <c r="K23" s="13" t="s">
        <v>456</v>
      </c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2">
        <v>6.0</v>
      </c>
      <c r="B24" s="23" t="s">
        <v>97</v>
      </c>
      <c r="C24" s="24" t="s">
        <v>280</v>
      </c>
      <c r="D24" s="23" t="s">
        <v>301</v>
      </c>
      <c r="E24" s="13" t="s">
        <v>251</v>
      </c>
      <c r="F24" s="13" t="s">
        <v>526</v>
      </c>
      <c r="G24" s="13" t="s">
        <v>253</v>
      </c>
      <c r="H24" s="13" t="s">
        <v>253</v>
      </c>
      <c r="I24" s="13" t="s">
        <v>254</v>
      </c>
      <c r="J24" s="13" t="s">
        <v>445</v>
      </c>
      <c r="K24" s="13" t="s">
        <v>527</v>
      </c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2">
        <v>6.0</v>
      </c>
      <c r="B25" s="23" t="s">
        <v>97</v>
      </c>
      <c r="C25" s="24" t="s">
        <v>280</v>
      </c>
      <c r="D25" s="23" t="s">
        <v>365</v>
      </c>
      <c r="E25" s="13" t="s">
        <v>272</v>
      </c>
      <c r="F25" s="13" t="s">
        <v>528</v>
      </c>
      <c r="G25" s="13" t="s">
        <v>253</v>
      </c>
      <c r="H25" s="13" t="s">
        <v>253</v>
      </c>
      <c r="I25" s="13" t="s">
        <v>254</v>
      </c>
      <c r="J25" s="13" t="s">
        <v>447</v>
      </c>
      <c r="K25" s="13" t="s">
        <v>491</v>
      </c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2">
        <v>6.0</v>
      </c>
      <c r="B26" s="23" t="s">
        <v>97</v>
      </c>
      <c r="C26" s="24" t="s">
        <v>280</v>
      </c>
      <c r="D26" s="23" t="s">
        <v>321</v>
      </c>
      <c r="E26" s="13" t="s">
        <v>272</v>
      </c>
      <c r="F26" s="13" t="s">
        <v>530</v>
      </c>
      <c r="G26" s="13" t="s">
        <v>253</v>
      </c>
      <c r="H26" s="13" t="s">
        <v>253</v>
      </c>
      <c r="I26" s="13" t="s">
        <v>254</v>
      </c>
      <c r="J26" s="13" t="s">
        <v>443</v>
      </c>
      <c r="K26" s="13" t="s">
        <v>491</v>
      </c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2">
        <v>6.0</v>
      </c>
      <c r="B27" s="23" t="s">
        <v>97</v>
      </c>
      <c r="C27" s="24" t="s">
        <v>280</v>
      </c>
      <c r="D27" s="23" t="s">
        <v>305</v>
      </c>
      <c r="E27" s="13" t="s">
        <v>272</v>
      </c>
      <c r="F27" s="13" t="s">
        <v>532</v>
      </c>
      <c r="G27" s="13" t="s">
        <v>253</v>
      </c>
      <c r="H27" s="13" t="s">
        <v>253</v>
      </c>
      <c r="I27" s="13" t="s">
        <v>254</v>
      </c>
      <c r="J27" s="13" t="s">
        <v>445</v>
      </c>
      <c r="K27" s="13" t="s">
        <v>456</v>
      </c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2">
        <v>7.0</v>
      </c>
      <c r="B28" s="23" t="s">
        <v>110</v>
      </c>
      <c r="C28" s="24" t="s">
        <v>280</v>
      </c>
      <c r="D28" s="23" t="s">
        <v>393</v>
      </c>
      <c r="E28" s="13" t="s">
        <v>251</v>
      </c>
      <c r="F28" s="13" t="s">
        <v>535</v>
      </c>
      <c r="G28" s="13" t="s">
        <v>253</v>
      </c>
      <c r="H28" s="13" t="s">
        <v>253</v>
      </c>
      <c r="I28" s="13" t="s">
        <v>254</v>
      </c>
      <c r="J28" s="13" t="s">
        <v>457</v>
      </c>
      <c r="K28" s="13" t="s">
        <v>456</v>
      </c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2">
        <v>7.0</v>
      </c>
      <c r="B29" s="23" t="s">
        <v>110</v>
      </c>
      <c r="C29" s="24" t="s">
        <v>280</v>
      </c>
      <c r="D29" s="23" t="s">
        <v>460</v>
      </c>
      <c r="E29" s="13" t="s">
        <v>251</v>
      </c>
      <c r="F29" s="13" t="s">
        <v>536</v>
      </c>
      <c r="G29" s="13" t="s">
        <v>253</v>
      </c>
      <c r="H29" s="13" t="s">
        <v>253</v>
      </c>
      <c r="I29" s="13" t="s">
        <v>254</v>
      </c>
      <c r="J29" s="13" t="s">
        <v>461</v>
      </c>
      <c r="K29" s="13" t="s">
        <v>456</v>
      </c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2">
        <v>7.0</v>
      </c>
      <c r="B30" s="23" t="s">
        <v>110</v>
      </c>
      <c r="C30" s="24" t="s">
        <v>280</v>
      </c>
      <c r="D30" s="23" t="s">
        <v>463</v>
      </c>
      <c r="E30" s="13" t="s">
        <v>251</v>
      </c>
      <c r="F30" s="13" t="s">
        <v>539</v>
      </c>
      <c r="G30" s="13" t="s">
        <v>253</v>
      </c>
      <c r="H30" s="13" t="s">
        <v>253</v>
      </c>
      <c r="I30" s="13" t="s">
        <v>254</v>
      </c>
      <c r="J30" s="13" t="s">
        <v>464</v>
      </c>
      <c r="K30" s="13" t="s">
        <v>456</v>
      </c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2">
        <v>7.0</v>
      </c>
      <c r="B31" s="23" t="s">
        <v>110</v>
      </c>
      <c r="C31" s="24" t="s">
        <v>280</v>
      </c>
      <c r="D31" s="23" t="s">
        <v>467</v>
      </c>
      <c r="E31" s="13" t="s">
        <v>272</v>
      </c>
      <c r="F31" s="13" t="s">
        <v>546</v>
      </c>
      <c r="G31" s="13" t="s">
        <v>253</v>
      </c>
      <c r="H31" s="13" t="s">
        <v>253</v>
      </c>
      <c r="I31" s="13" t="s">
        <v>254</v>
      </c>
      <c r="J31" s="13" t="s">
        <v>457</v>
      </c>
      <c r="K31" s="13" t="s">
        <v>527</v>
      </c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2">
        <v>8.0</v>
      </c>
      <c r="B32" s="23" t="s">
        <v>126</v>
      </c>
      <c r="C32" s="24" t="s">
        <v>280</v>
      </c>
      <c r="D32" s="23" t="s">
        <v>498</v>
      </c>
      <c r="E32" s="13" t="s">
        <v>251</v>
      </c>
      <c r="F32" s="13" t="s">
        <v>551</v>
      </c>
      <c r="G32" s="13" t="s">
        <v>253</v>
      </c>
      <c r="H32" s="13" t="s">
        <v>253</v>
      </c>
      <c r="I32" s="13" t="s">
        <v>254</v>
      </c>
      <c r="J32" s="13" t="s">
        <v>499</v>
      </c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2">
        <v>8.0</v>
      </c>
      <c r="B33" s="23" t="s">
        <v>126</v>
      </c>
      <c r="C33" s="24" t="s">
        <v>280</v>
      </c>
      <c r="D33" s="23" t="s">
        <v>503</v>
      </c>
      <c r="E33" s="13" t="s">
        <v>251</v>
      </c>
      <c r="F33" s="13" t="s">
        <v>553</v>
      </c>
      <c r="G33" s="13" t="s">
        <v>253</v>
      </c>
      <c r="H33" s="13" t="s">
        <v>253</v>
      </c>
      <c r="I33" s="13" t="s">
        <v>254</v>
      </c>
      <c r="J33" s="13" t="s">
        <v>505</v>
      </c>
      <c r="K33" s="13" t="s">
        <v>456</v>
      </c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2">
        <v>8.0</v>
      </c>
      <c r="B34" s="23" t="s">
        <v>126</v>
      </c>
      <c r="C34" s="24" t="s">
        <v>280</v>
      </c>
      <c r="D34" s="23" t="s">
        <v>507</v>
      </c>
      <c r="E34" s="13" t="s">
        <v>251</v>
      </c>
      <c r="F34" s="13" t="s">
        <v>554</v>
      </c>
      <c r="G34" s="13" t="s">
        <v>253</v>
      </c>
      <c r="H34" s="13" t="s">
        <v>253</v>
      </c>
      <c r="I34" s="13" t="s">
        <v>254</v>
      </c>
      <c r="J34" s="13" t="s">
        <v>499</v>
      </c>
      <c r="K34" s="13" t="s">
        <v>456</v>
      </c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2">
        <v>8.0</v>
      </c>
      <c r="B35" s="23" t="s">
        <v>126</v>
      </c>
      <c r="C35" s="24" t="s">
        <v>280</v>
      </c>
      <c r="D35" s="23" t="s">
        <v>327</v>
      </c>
      <c r="E35" s="13" t="s">
        <v>272</v>
      </c>
      <c r="F35" s="13" t="s">
        <v>555</v>
      </c>
      <c r="G35" s="13" t="s">
        <v>253</v>
      </c>
      <c r="H35" s="13" t="s">
        <v>253</v>
      </c>
      <c r="I35" s="13" t="s">
        <v>254</v>
      </c>
      <c r="J35" s="13" t="s">
        <v>505</v>
      </c>
      <c r="K35" s="13" t="s">
        <v>556</v>
      </c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2">
        <v>9.0</v>
      </c>
      <c r="B36" s="23" t="s">
        <v>141</v>
      </c>
      <c r="C36" s="24" t="s">
        <v>280</v>
      </c>
      <c r="D36" s="23" t="s">
        <v>383</v>
      </c>
      <c r="E36" s="13" t="s">
        <v>251</v>
      </c>
      <c r="F36" s="13" t="s">
        <v>558</v>
      </c>
      <c r="G36" s="13" t="s">
        <v>253</v>
      </c>
      <c r="H36" s="13" t="s">
        <v>253</v>
      </c>
      <c r="I36" s="13" t="s">
        <v>254</v>
      </c>
      <c r="J36" s="13" t="s">
        <v>537</v>
      </c>
      <c r="K36" s="13" t="s">
        <v>491</v>
      </c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2">
        <v>9.0</v>
      </c>
      <c r="B37" s="23" t="s">
        <v>141</v>
      </c>
      <c r="C37" s="24" t="s">
        <v>280</v>
      </c>
      <c r="D37" s="23" t="s">
        <v>540</v>
      </c>
      <c r="E37" s="13" t="s">
        <v>251</v>
      </c>
      <c r="F37" s="13" t="s">
        <v>559</v>
      </c>
      <c r="G37" s="13" t="s">
        <v>253</v>
      </c>
      <c r="H37" s="13" t="s">
        <v>253</v>
      </c>
      <c r="I37" s="13" t="s">
        <v>254</v>
      </c>
      <c r="J37" s="13" t="s">
        <v>541</v>
      </c>
      <c r="K37" s="13" t="s">
        <v>456</v>
      </c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2">
        <v>9.0</v>
      </c>
      <c r="B38" s="23" t="s">
        <v>141</v>
      </c>
      <c r="C38" s="24" t="s">
        <v>280</v>
      </c>
      <c r="D38" s="23" t="s">
        <v>395</v>
      </c>
      <c r="E38" s="13" t="s">
        <v>272</v>
      </c>
      <c r="F38" s="13" t="s">
        <v>561</v>
      </c>
      <c r="G38" s="13" t="s">
        <v>253</v>
      </c>
      <c r="H38" s="13" t="s">
        <v>253</v>
      </c>
      <c r="I38" s="13" t="s">
        <v>254</v>
      </c>
      <c r="J38" s="13" t="s">
        <v>543</v>
      </c>
      <c r="K38" s="13" t="s">
        <v>456</v>
      </c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2">
        <v>9.0</v>
      </c>
      <c r="B39" s="23" t="s">
        <v>141</v>
      </c>
      <c r="C39" s="24" t="s">
        <v>280</v>
      </c>
      <c r="D39" s="23" t="s">
        <v>545</v>
      </c>
      <c r="E39" s="13" t="s">
        <v>272</v>
      </c>
      <c r="F39" s="13" t="s">
        <v>568</v>
      </c>
      <c r="G39" s="13" t="s">
        <v>253</v>
      </c>
      <c r="H39" s="13" t="s">
        <v>253</v>
      </c>
      <c r="I39" s="13" t="s">
        <v>254</v>
      </c>
      <c r="J39" s="13" t="s">
        <v>537</v>
      </c>
      <c r="K39" s="13" t="s">
        <v>456</v>
      </c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2">
        <v>10.0</v>
      </c>
      <c r="B40" s="23" t="s">
        <v>169</v>
      </c>
      <c r="C40" s="24" t="s">
        <v>557</v>
      </c>
      <c r="D40" s="23" t="s">
        <v>560</v>
      </c>
      <c r="E40" s="13" t="s">
        <v>251</v>
      </c>
      <c r="F40" s="13" t="s">
        <v>576</v>
      </c>
      <c r="G40" s="13" t="s">
        <v>253</v>
      </c>
      <c r="H40" s="13" t="s">
        <v>253</v>
      </c>
      <c r="I40" s="13" t="s">
        <v>254</v>
      </c>
      <c r="J40" s="13" t="s">
        <v>566</v>
      </c>
      <c r="K40" s="13" t="s">
        <v>456</v>
      </c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2">
        <v>10.0</v>
      </c>
      <c r="B41" s="23" t="s">
        <v>169</v>
      </c>
      <c r="C41" s="24" t="s">
        <v>557</v>
      </c>
      <c r="D41" s="23" t="s">
        <v>564</v>
      </c>
      <c r="E41" s="13" t="s">
        <v>251</v>
      </c>
      <c r="F41" s="13" t="s">
        <v>580</v>
      </c>
      <c r="G41" s="13" t="s">
        <v>253</v>
      </c>
      <c r="H41" s="13" t="s">
        <v>253</v>
      </c>
      <c r="I41" s="13" t="s">
        <v>254</v>
      </c>
      <c r="J41" s="13" t="s">
        <v>581</v>
      </c>
      <c r="K41" s="13" t="s">
        <v>456</v>
      </c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2">
        <v>10.0</v>
      </c>
      <c r="B42" s="23" t="s">
        <v>169</v>
      </c>
      <c r="C42" s="24" t="s">
        <v>557</v>
      </c>
      <c r="D42" s="23" t="s">
        <v>569</v>
      </c>
      <c r="E42" s="13" t="s">
        <v>251</v>
      </c>
      <c r="F42" s="13" t="s">
        <v>584</v>
      </c>
      <c r="G42" s="13" t="s">
        <v>253</v>
      </c>
      <c r="H42" s="13" t="s">
        <v>253</v>
      </c>
      <c r="I42" s="13" t="s">
        <v>254</v>
      </c>
      <c r="J42" s="13" t="s">
        <v>585</v>
      </c>
      <c r="K42" s="13" t="s">
        <v>456</v>
      </c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2">
        <v>10.0</v>
      </c>
      <c r="B43" s="23" t="s">
        <v>169</v>
      </c>
      <c r="C43" s="24" t="s">
        <v>557</v>
      </c>
      <c r="D43" s="23" t="s">
        <v>572</v>
      </c>
      <c r="E43" s="13" t="s">
        <v>272</v>
      </c>
      <c r="F43" s="13" t="s">
        <v>586</v>
      </c>
      <c r="G43" s="13" t="s">
        <v>253</v>
      </c>
      <c r="H43" s="13" t="s">
        <v>253</v>
      </c>
      <c r="I43" s="13" t="s">
        <v>254</v>
      </c>
      <c r="J43" s="13" t="s">
        <v>566</v>
      </c>
      <c r="K43" s="13" t="s">
        <v>456</v>
      </c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2">
        <v>10.0</v>
      </c>
      <c r="B44" s="23" t="s">
        <v>169</v>
      </c>
      <c r="C44" s="24" t="s">
        <v>557</v>
      </c>
      <c r="D44" s="23" t="s">
        <v>575</v>
      </c>
      <c r="E44" s="13" t="s">
        <v>272</v>
      </c>
      <c r="F44" s="13" t="s">
        <v>588</v>
      </c>
      <c r="G44" s="13" t="s">
        <v>253</v>
      </c>
      <c r="H44" s="13" t="s">
        <v>253</v>
      </c>
      <c r="I44" s="13" t="s">
        <v>254</v>
      </c>
      <c r="J44" s="13" t="s">
        <v>581</v>
      </c>
      <c r="K44" s="13" t="s">
        <v>456</v>
      </c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2">
        <v>11.0</v>
      </c>
      <c r="B45" s="23" t="s">
        <v>193</v>
      </c>
      <c r="C45" s="24" t="s">
        <v>557</v>
      </c>
      <c r="D45" s="23" t="s">
        <v>587</v>
      </c>
      <c r="E45" s="13" t="s">
        <v>251</v>
      </c>
      <c r="F45" s="13" t="s">
        <v>596</v>
      </c>
      <c r="G45" s="13" t="s">
        <v>253</v>
      </c>
      <c r="H45" s="13" t="s">
        <v>253</v>
      </c>
      <c r="I45" s="13" t="s">
        <v>254</v>
      </c>
      <c r="J45" s="13" t="s">
        <v>598</v>
      </c>
      <c r="K45" s="13" t="s">
        <v>456</v>
      </c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2">
        <v>11.0</v>
      </c>
      <c r="B46" s="23" t="s">
        <v>193</v>
      </c>
      <c r="C46" s="24" t="s">
        <v>557</v>
      </c>
      <c r="D46" s="23" t="s">
        <v>439</v>
      </c>
      <c r="E46" s="13" t="s">
        <v>251</v>
      </c>
      <c r="F46" s="13" t="s">
        <v>601</v>
      </c>
      <c r="G46" s="13" t="s">
        <v>253</v>
      </c>
      <c r="H46" s="13" t="s">
        <v>253</v>
      </c>
      <c r="I46" s="13" t="s">
        <v>254</v>
      </c>
      <c r="J46" s="13" t="s">
        <v>602</v>
      </c>
      <c r="K46" s="13" t="s">
        <v>456</v>
      </c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2">
        <v>11.0</v>
      </c>
      <c r="B47" s="23" t="s">
        <v>193</v>
      </c>
      <c r="C47" s="24" t="s">
        <v>557</v>
      </c>
      <c r="D47" s="23" t="s">
        <v>593</v>
      </c>
      <c r="E47" s="13" t="s">
        <v>251</v>
      </c>
      <c r="F47" s="13" t="s">
        <v>604</v>
      </c>
      <c r="G47" s="13" t="s">
        <v>253</v>
      </c>
      <c r="H47" s="13" t="s">
        <v>253</v>
      </c>
      <c r="I47" s="13" t="s">
        <v>254</v>
      </c>
      <c r="J47" s="13" t="s">
        <v>605</v>
      </c>
      <c r="K47" s="13" t="s">
        <v>456</v>
      </c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2">
        <v>11.0</v>
      </c>
      <c r="B48" s="23" t="s">
        <v>193</v>
      </c>
      <c r="C48" s="24" t="s">
        <v>557</v>
      </c>
      <c r="D48" s="23" t="s">
        <v>437</v>
      </c>
      <c r="E48" s="13" t="s">
        <v>272</v>
      </c>
      <c r="F48" s="13" t="s">
        <v>606</v>
      </c>
      <c r="G48" s="13" t="s">
        <v>253</v>
      </c>
      <c r="H48" s="13" t="s">
        <v>253</v>
      </c>
      <c r="I48" s="13" t="s">
        <v>254</v>
      </c>
      <c r="J48" s="13" t="s">
        <v>598</v>
      </c>
      <c r="K48" s="13" t="s">
        <v>456</v>
      </c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2">
        <v>11.0</v>
      </c>
      <c r="B49" s="23" t="s">
        <v>193</v>
      </c>
      <c r="C49" s="24" t="s">
        <v>557</v>
      </c>
      <c r="D49" s="23" t="s">
        <v>597</v>
      </c>
      <c r="E49" s="13" t="s">
        <v>272</v>
      </c>
      <c r="F49" s="13" t="s">
        <v>609</v>
      </c>
      <c r="G49" s="13" t="s">
        <v>253</v>
      </c>
      <c r="H49" s="13" t="s">
        <v>253</v>
      </c>
      <c r="I49" s="13" t="s">
        <v>254</v>
      </c>
      <c r="J49" s="13" t="s">
        <v>602</v>
      </c>
      <c r="K49" s="13" t="s">
        <v>491</v>
      </c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2">
        <v>12.0</v>
      </c>
      <c r="B50" s="23" t="s">
        <v>218</v>
      </c>
      <c r="C50" s="24" t="s">
        <v>557</v>
      </c>
      <c r="D50" s="23" t="s">
        <v>298</v>
      </c>
      <c r="E50" s="13" t="s">
        <v>251</v>
      </c>
      <c r="F50" s="13" t="s">
        <v>610</v>
      </c>
      <c r="G50" s="13" t="s">
        <v>253</v>
      </c>
      <c r="H50" s="13" t="s">
        <v>253</v>
      </c>
      <c r="I50" s="13" t="s">
        <v>254</v>
      </c>
      <c r="J50" s="13" t="s">
        <v>611</v>
      </c>
      <c r="K50" s="13" t="s">
        <v>487</v>
      </c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2">
        <v>12.0</v>
      </c>
      <c r="B51" s="23" t="s">
        <v>218</v>
      </c>
      <c r="C51" s="24" t="s">
        <v>557</v>
      </c>
      <c r="D51" s="23" t="s">
        <v>314</v>
      </c>
      <c r="E51" s="13" t="s">
        <v>251</v>
      </c>
      <c r="F51" s="13" t="s">
        <v>612</v>
      </c>
      <c r="G51" s="13" t="s">
        <v>253</v>
      </c>
      <c r="H51" s="13" t="s">
        <v>253</v>
      </c>
      <c r="I51" s="13" t="s">
        <v>254</v>
      </c>
      <c r="J51" s="13" t="s">
        <v>613</v>
      </c>
      <c r="K51" s="13" t="s">
        <v>487</v>
      </c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2">
        <v>12.0</v>
      </c>
      <c r="B52" s="23" t="s">
        <v>218</v>
      </c>
      <c r="C52" s="24" t="s">
        <v>557</v>
      </c>
      <c r="D52" s="23" t="s">
        <v>614</v>
      </c>
      <c r="E52" s="13" t="s">
        <v>272</v>
      </c>
      <c r="F52" s="13" t="s">
        <v>615</v>
      </c>
      <c r="G52" s="13" t="s">
        <v>253</v>
      </c>
      <c r="H52" s="13" t="s">
        <v>253</v>
      </c>
      <c r="I52" s="13" t="s">
        <v>254</v>
      </c>
      <c r="J52" s="13" t="s">
        <v>617</v>
      </c>
      <c r="K52" s="13" t="s">
        <v>556</v>
      </c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2">
        <v>13.0</v>
      </c>
      <c r="B53" s="23" t="s">
        <v>246</v>
      </c>
      <c r="C53" s="24" t="s">
        <v>557</v>
      </c>
      <c r="D53" s="23" t="s">
        <v>621</v>
      </c>
      <c r="E53" s="13" t="s">
        <v>251</v>
      </c>
      <c r="F53" s="13" t="s">
        <v>624</v>
      </c>
      <c r="G53" s="13" t="s">
        <v>253</v>
      </c>
      <c r="H53" s="13" t="s">
        <v>253</v>
      </c>
      <c r="I53" s="13" t="s">
        <v>254</v>
      </c>
      <c r="J53" s="13" t="s">
        <v>625</v>
      </c>
      <c r="K53" s="13" t="s">
        <v>456</v>
      </c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2">
        <v>13.0</v>
      </c>
      <c r="B54" s="23" t="s">
        <v>246</v>
      </c>
      <c r="C54" s="24" t="s">
        <v>557</v>
      </c>
      <c r="D54" s="23" t="s">
        <v>628</v>
      </c>
      <c r="E54" s="13" t="s">
        <v>251</v>
      </c>
      <c r="F54" s="13" t="s">
        <v>631</v>
      </c>
      <c r="G54" s="13" t="s">
        <v>253</v>
      </c>
      <c r="H54" s="13" t="s">
        <v>253</v>
      </c>
      <c r="I54" s="13" t="s">
        <v>254</v>
      </c>
      <c r="J54" s="13" t="s">
        <v>632</v>
      </c>
      <c r="K54" s="13" t="s">
        <v>456</v>
      </c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2">
        <v>13.0</v>
      </c>
      <c r="B55" s="23" t="s">
        <v>246</v>
      </c>
      <c r="C55" s="24" t="s">
        <v>557</v>
      </c>
      <c r="D55" s="23" t="s">
        <v>634</v>
      </c>
      <c r="E55" s="13" t="s">
        <v>272</v>
      </c>
      <c r="F55" s="13" t="s">
        <v>637</v>
      </c>
      <c r="G55" s="13" t="s">
        <v>253</v>
      </c>
      <c r="H55" s="13" t="s">
        <v>253</v>
      </c>
      <c r="I55" s="13" t="s">
        <v>254</v>
      </c>
      <c r="J55" s="13" t="s">
        <v>638</v>
      </c>
      <c r="K55" s="13" t="s">
        <v>491</v>
      </c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2">
        <v>13.0</v>
      </c>
      <c r="B56" s="23" t="s">
        <v>246</v>
      </c>
      <c r="C56" s="24" t="s">
        <v>557</v>
      </c>
      <c r="D56" s="23" t="s">
        <v>639</v>
      </c>
      <c r="E56" s="13" t="s">
        <v>272</v>
      </c>
      <c r="F56" s="13" t="s">
        <v>641</v>
      </c>
      <c r="G56" s="13" t="s">
        <v>253</v>
      </c>
      <c r="H56" s="13" t="s">
        <v>253</v>
      </c>
      <c r="I56" s="13" t="s">
        <v>254</v>
      </c>
      <c r="J56" s="13" t="s">
        <v>625</v>
      </c>
      <c r="K56" s="13" t="s">
        <v>456</v>
      </c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2">
        <v>13.0</v>
      </c>
      <c r="B57" s="23" t="s">
        <v>246</v>
      </c>
      <c r="C57" s="24" t="s">
        <v>557</v>
      </c>
      <c r="D57" s="23" t="s">
        <v>642</v>
      </c>
      <c r="E57" s="13" t="s">
        <v>272</v>
      </c>
      <c r="F57" s="13" t="s">
        <v>644</v>
      </c>
      <c r="G57" s="13" t="s">
        <v>253</v>
      </c>
      <c r="H57" s="13" t="s">
        <v>253</v>
      </c>
      <c r="I57" s="13" t="s">
        <v>254</v>
      </c>
      <c r="J57" s="13" t="s">
        <v>632</v>
      </c>
      <c r="K57" s="13" t="s">
        <v>456</v>
      </c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2">
        <v>14.0</v>
      </c>
      <c r="B58" s="23" t="s">
        <v>248</v>
      </c>
      <c r="C58" s="24" t="s">
        <v>557</v>
      </c>
      <c r="D58" s="23" t="s">
        <v>647</v>
      </c>
      <c r="E58" s="13" t="s">
        <v>251</v>
      </c>
      <c r="F58" s="13" t="s">
        <v>648</v>
      </c>
      <c r="G58" s="13" t="s">
        <v>253</v>
      </c>
      <c r="H58" s="13" t="s">
        <v>253</v>
      </c>
      <c r="I58" s="13" t="s">
        <v>254</v>
      </c>
      <c r="J58" s="13" t="s">
        <v>650</v>
      </c>
      <c r="K58" s="13" t="s">
        <v>456</v>
      </c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2">
        <v>14.0</v>
      </c>
      <c r="B59" s="23" t="s">
        <v>248</v>
      </c>
      <c r="C59" s="24" t="s">
        <v>557</v>
      </c>
      <c r="D59" s="23" t="s">
        <v>651</v>
      </c>
      <c r="E59" s="13" t="s">
        <v>251</v>
      </c>
      <c r="F59" s="13" t="s">
        <v>652</v>
      </c>
      <c r="G59" s="13" t="s">
        <v>253</v>
      </c>
      <c r="H59" s="13" t="s">
        <v>253</v>
      </c>
      <c r="I59" s="13" t="s">
        <v>254</v>
      </c>
      <c r="J59" s="13" t="s">
        <v>653</v>
      </c>
      <c r="K59" s="13" t="s">
        <v>456</v>
      </c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2">
        <v>14.0</v>
      </c>
      <c r="B60" s="23" t="s">
        <v>248</v>
      </c>
      <c r="C60" s="24" t="s">
        <v>557</v>
      </c>
      <c r="D60" s="23" t="s">
        <v>654</v>
      </c>
      <c r="E60" s="13" t="s">
        <v>251</v>
      </c>
      <c r="F60" s="13" t="s">
        <v>655</v>
      </c>
      <c r="G60" s="13" t="s">
        <v>253</v>
      </c>
      <c r="H60" s="13" t="s">
        <v>253</v>
      </c>
      <c r="I60" s="13" t="s">
        <v>254</v>
      </c>
      <c r="J60" s="13" t="s">
        <v>656</v>
      </c>
      <c r="K60" s="13" t="s">
        <v>456</v>
      </c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2">
        <v>14.0</v>
      </c>
      <c r="B61" s="23" t="s">
        <v>248</v>
      </c>
      <c r="C61" s="24" t="s">
        <v>557</v>
      </c>
      <c r="D61" s="23" t="s">
        <v>657</v>
      </c>
      <c r="E61" s="13" t="s">
        <v>251</v>
      </c>
      <c r="F61" s="13" t="s">
        <v>658</v>
      </c>
      <c r="G61" s="13" t="s">
        <v>253</v>
      </c>
      <c r="H61" s="13" t="s">
        <v>253</v>
      </c>
      <c r="I61" s="13" t="s">
        <v>254</v>
      </c>
      <c r="J61" s="13" t="s">
        <v>650</v>
      </c>
      <c r="K61" s="13" t="s">
        <v>456</v>
      </c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2">
        <v>14.0</v>
      </c>
      <c r="B62" s="23" t="s">
        <v>248</v>
      </c>
      <c r="C62" s="24" t="s">
        <v>557</v>
      </c>
      <c r="D62" s="23" t="s">
        <v>659</v>
      </c>
      <c r="E62" s="13" t="s">
        <v>272</v>
      </c>
      <c r="F62" s="13" t="s">
        <v>662</v>
      </c>
      <c r="G62" s="13" t="s">
        <v>253</v>
      </c>
      <c r="H62" s="13" t="s">
        <v>253</v>
      </c>
      <c r="I62" s="13" t="s">
        <v>254</v>
      </c>
      <c r="J62" s="13" t="s">
        <v>653</v>
      </c>
      <c r="K62" s="13" t="s">
        <v>456</v>
      </c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2">
        <v>15.0</v>
      </c>
      <c r="B63" s="23" t="s">
        <v>250</v>
      </c>
      <c r="C63" s="24" t="s">
        <v>557</v>
      </c>
      <c r="D63" s="23" t="s">
        <v>665</v>
      </c>
      <c r="E63" s="13" t="s">
        <v>251</v>
      </c>
      <c r="F63" s="13" t="s">
        <v>667</v>
      </c>
      <c r="G63" s="13" t="s">
        <v>253</v>
      </c>
      <c r="H63" s="13" t="s">
        <v>253</v>
      </c>
      <c r="I63" s="13" t="s">
        <v>254</v>
      </c>
      <c r="J63" s="13" t="s">
        <v>669</v>
      </c>
      <c r="K63" s="13" t="s">
        <v>456</v>
      </c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2">
        <v>15.0</v>
      </c>
      <c r="B64" s="23" t="s">
        <v>250</v>
      </c>
      <c r="C64" s="24" t="s">
        <v>557</v>
      </c>
      <c r="D64" s="23" t="s">
        <v>672</v>
      </c>
      <c r="E64" s="13" t="s">
        <v>251</v>
      </c>
      <c r="F64" s="13" t="s">
        <v>676</v>
      </c>
      <c r="G64" s="13" t="s">
        <v>253</v>
      </c>
      <c r="H64" s="13" t="s">
        <v>253</v>
      </c>
      <c r="I64" s="13" t="s">
        <v>254</v>
      </c>
      <c r="J64" s="13" t="s">
        <v>678</v>
      </c>
      <c r="K64" s="13" t="s">
        <v>456</v>
      </c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2">
        <v>15.0</v>
      </c>
      <c r="B65" s="23" t="s">
        <v>250</v>
      </c>
      <c r="C65" s="24" t="s">
        <v>557</v>
      </c>
      <c r="D65" s="23" t="s">
        <v>679</v>
      </c>
      <c r="E65" s="13" t="s">
        <v>272</v>
      </c>
      <c r="F65" s="13" t="s">
        <v>681</v>
      </c>
      <c r="G65" s="13" t="s">
        <v>253</v>
      </c>
      <c r="H65" s="13" t="s">
        <v>253</v>
      </c>
      <c r="I65" s="13" t="s">
        <v>254</v>
      </c>
      <c r="J65" s="13" t="s">
        <v>669</v>
      </c>
      <c r="K65" s="13" t="s">
        <v>456</v>
      </c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2">
        <v>16.0</v>
      </c>
      <c r="B66" s="23" t="s">
        <v>255</v>
      </c>
      <c r="C66" s="24" t="s">
        <v>557</v>
      </c>
      <c r="D66" s="23" t="s">
        <v>683</v>
      </c>
      <c r="E66" s="13" t="s">
        <v>251</v>
      </c>
      <c r="F66" s="13" t="s">
        <v>685</v>
      </c>
      <c r="G66" s="13" t="s">
        <v>253</v>
      </c>
      <c r="H66" s="13" t="s">
        <v>253</v>
      </c>
      <c r="I66" s="13" t="s">
        <v>254</v>
      </c>
      <c r="J66" s="13" t="s">
        <v>686</v>
      </c>
      <c r="K66" s="13" t="s">
        <v>456</v>
      </c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2">
        <v>16.0</v>
      </c>
      <c r="B67" s="23" t="s">
        <v>255</v>
      </c>
      <c r="C67" s="24" t="s">
        <v>557</v>
      </c>
      <c r="D67" s="23" t="s">
        <v>688</v>
      </c>
      <c r="E67" s="13" t="s">
        <v>251</v>
      </c>
      <c r="F67" s="13" t="s">
        <v>690</v>
      </c>
      <c r="G67" s="13" t="s">
        <v>253</v>
      </c>
      <c r="H67" s="13" t="s">
        <v>253</v>
      </c>
      <c r="I67" s="13" t="s">
        <v>254</v>
      </c>
      <c r="J67" s="13" t="s">
        <v>691</v>
      </c>
      <c r="K67" s="13" t="s">
        <v>456</v>
      </c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2">
        <v>16.0</v>
      </c>
      <c r="B68" s="23" t="s">
        <v>255</v>
      </c>
      <c r="C68" s="24" t="s">
        <v>557</v>
      </c>
      <c r="D68" s="23" t="s">
        <v>634</v>
      </c>
      <c r="E68" s="13" t="s">
        <v>251</v>
      </c>
      <c r="F68" s="13" t="s">
        <v>693</v>
      </c>
      <c r="G68" s="13" t="s">
        <v>253</v>
      </c>
      <c r="H68" s="13" t="s">
        <v>253</v>
      </c>
      <c r="I68" s="13" t="s">
        <v>254</v>
      </c>
      <c r="J68" s="13" t="s">
        <v>694</v>
      </c>
      <c r="K68" s="13" t="s">
        <v>491</v>
      </c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2">
        <v>16.0</v>
      </c>
      <c r="B69" s="23" t="s">
        <v>255</v>
      </c>
      <c r="C69" s="24" t="s">
        <v>557</v>
      </c>
      <c r="D69" s="23" t="s">
        <v>695</v>
      </c>
      <c r="E69" s="13" t="s">
        <v>251</v>
      </c>
      <c r="F69" s="13" t="s">
        <v>698</v>
      </c>
      <c r="G69" s="13" t="s">
        <v>253</v>
      </c>
      <c r="H69" s="13" t="s">
        <v>253</v>
      </c>
      <c r="I69" s="13" t="s">
        <v>254</v>
      </c>
      <c r="J69" s="13" t="s">
        <v>686</v>
      </c>
      <c r="K69" s="13" t="s">
        <v>456</v>
      </c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2">
        <v>16.0</v>
      </c>
      <c r="B70" s="23" t="s">
        <v>255</v>
      </c>
      <c r="C70" s="24" t="s">
        <v>557</v>
      </c>
      <c r="D70" s="23" t="s">
        <v>700</v>
      </c>
      <c r="E70" s="13" t="s">
        <v>272</v>
      </c>
      <c r="F70" s="13" t="s">
        <v>702</v>
      </c>
      <c r="G70" s="13" t="s">
        <v>253</v>
      </c>
      <c r="H70" s="13" t="s">
        <v>253</v>
      </c>
      <c r="I70" s="13" t="s">
        <v>254</v>
      </c>
      <c r="J70" s="13" t="s">
        <v>691</v>
      </c>
      <c r="K70" s="13" t="s">
        <v>456</v>
      </c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2">
        <v>17.0</v>
      </c>
      <c r="B71" s="23" t="s">
        <v>262</v>
      </c>
      <c r="C71" s="24" t="s">
        <v>557</v>
      </c>
      <c r="D71" s="23" t="s">
        <v>704</v>
      </c>
      <c r="E71" s="13" t="s">
        <v>251</v>
      </c>
      <c r="F71" s="13" t="s">
        <v>706</v>
      </c>
      <c r="G71" s="13" t="s">
        <v>253</v>
      </c>
      <c r="H71" s="13" t="s">
        <v>253</v>
      </c>
      <c r="I71" s="13" t="s">
        <v>254</v>
      </c>
      <c r="J71" s="13" t="s">
        <v>707</v>
      </c>
      <c r="K71" s="13" t="s">
        <v>456</v>
      </c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2">
        <v>17.0</v>
      </c>
      <c r="B72" s="23" t="s">
        <v>262</v>
      </c>
      <c r="C72" s="24" t="s">
        <v>557</v>
      </c>
      <c r="D72" s="23" t="s">
        <v>708</v>
      </c>
      <c r="E72" s="13" t="s">
        <v>251</v>
      </c>
      <c r="F72" s="13" t="s">
        <v>709</v>
      </c>
      <c r="G72" s="13" t="s">
        <v>253</v>
      </c>
      <c r="H72" s="13" t="s">
        <v>253</v>
      </c>
      <c r="I72" s="13" t="s">
        <v>254</v>
      </c>
      <c r="J72" s="13" t="s">
        <v>710</v>
      </c>
      <c r="K72" s="13" t="s">
        <v>456</v>
      </c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2">
        <v>17.0</v>
      </c>
      <c r="B73" s="23" t="s">
        <v>262</v>
      </c>
      <c r="C73" s="24" t="s">
        <v>557</v>
      </c>
      <c r="D73" s="23" t="s">
        <v>711</v>
      </c>
      <c r="E73" s="13" t="s">
        <v>272</v>
      </c>
      <c r="F73" s="13" t="s">
        <v>712</v>
      </c>
      <c r="G73" s="13" t="s">
        <v>253</v>
      </c>
      <c r="H73" s="13" t="s">
        <v>253</v>
      </c>
      <c r="I73" s="13" t="s">
        <v>254</v>
      </c>
      <c r="J73" s="13" t="s">
        <v>707</v>
      </c>
      <c r="K73" s="13" t="s">
        <v>456</v>
      </c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2">
        <v>18.0</v>
      </c>
      <c r="B74" s="23" t="s">
        <v>267</v>
      </c>
      <c r="C74" s="24" t="s">
        <v>557</v>
      </c>
      <c r="D74" s="23" t="s">
        <v>716</v>
      </c>
      <c r="E74" s="13" t="s">
        <v>251</v>
      </c>
      <c r="F74" s="13" t="s">
        <v>718</v>
      </c>
      <c r="G74" s="13" t="s">
        <v>253</v>
      </c>
      <c r="H74" s="13" t="s">
        <v>253</v>
      </c>
      <c r="I74" s="13" t="s">
        <v>254</v>
      </c>
      <c r="J74" s="13" t="s">
        <v>719</v>
      </c>
      <c r="K74" s="13" t="s">
        <v>456</v>
      </c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2">
        <v>18.0</v>
      </c>
      <c r="B75" s="23" t="s">
        <v>267</v>
      </c>
      <c r="C75" s="24" t="s">
        <v>557</v>
      </c>
      <c r="D75" s="23" t="s">
        <v>721</v>
      </c>
      <c r="E75" s="13" t="s">
        <v>251</v>
      </c>
      <c r="F75" s="13" t="s">
        <v>724</v>
      </c>
      <c r="G75" s="13" t="s">
        <v>253</v>
      </c>
      <c r="H75" s="13" t="s">
        <v>253</v>
      </c>
      <c r="I75" s="13" t="s">
        <v>254</v>
      </c>
      <c r="J75" s="13" t="s">
        <v>725</v>
      </c>
      <c r="K75" s="13" t="s">
        <v>456</v>
      </c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2">
        <v>18.0</v>
      </c>
      <c r="B76" s="23" t="s">
        <v>267</v>
      </c>
      <c r="C76" s="24" t="s">
        <v>557</v>
      </c>
      <c r="D76" s="23" t="s">
        <v>727</v>
      </c>
      <c r="E76" s="13" t="s">
        <v>272</v>
      </c>
      <c r="F76" s="13" t="s">
        <v>729</v>
      </c>
      <c r="G76" s="13" t="s">
        <v>253</v>
      </c>
      <c r="H76" s="13" t="s">
        <v>253</v>
      </c>
      <c r="I76" s="13" t="s">
        <v>254</v>
      </c>
      <c r="J76" s="13" t="s">
        <v>719</v>
      </c>
      <c r="K76" s="13" t="s">
        <v>491</v>
      </c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2">
        <v>19.0</v>
      </c>
      <c r="B77" s="23" t="s">
        <v>271</v>
      </c>
      <c r="C77" s="24" t="s">
        <v>557</v>
      </c>
      <c r="D77" s="23" t="s">
        <v>674</v>
      </c>
      <c r="E77" s="13" t="s">
        <v>251</v>
      </c>
      <c r="F77" s="13" t="s">
        <v>731</v>
      </c>
      <c r="G77" s="13" t="s">
        <v>253</v>
      </c>
      <c r="H77" s="13" t="s">
        <v>253</v>
      </c>
      <c r="I77" s="13" t="s">
        <v>254</v>
      </c>
      <c r="J77" s="13" t="s">
        <v>732</v>
      </c>
      <c r="K77" s="13" t="s">
        <v>456</v>
      </c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2">
        <v>19.0</v>
      </c>
      <c r="B78" s="23" t="s">
        <v>271</v>
      </c>
      <c r="C78" s="24" t="s">
        <v>557</v>
      </c>
      <c r="D78" s="23" t="s">
        <v>735</v>
      </c>
      <c r="E78" s="13" t="s">
        <v>251</v>
      </c>
      <c r="F78" s="13" t="s">
        <v>737</v>
      </c>
      <c r="G78" s="13" t="s">
        <v>253</v>
      </c>
      <c r="H78" s="13" t="s">
        <v>253</v>
      </c>
      <c r="I78" s="13" t="s">
        <v>254</v>
      </c>
      <c r="J78" s="13" t="s">
        <v>738</v>
      </c>
      <c r="K78" s="13" t="s">
        <v>456</v>
      </c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2">
        <v>19.0</v>
      </c>
      <c r="B79" s="23" t="s">
        <v>271</v>
      </c>
      <c r="C79" s="24" t="s">
        <v>557</v>
      </c>
      <c r="D79" s="23" t="s">
        <v>740</v>
      </c>
      <c r="E79" s="13" t="s">
        <v>272</v>
      </c>
      <c r="F79" s="13" t="s">
        <v>742</v>
      </c>
      <c r="G79" s="13" t="s">
        <v>253</v>
      </c>
      <c r="H79" s="13" t="s">
        <v>253</v>
      </c>
      <c r="I79" s="13" t="s">
        <v>254</v>
      </c>
      <c r="J79" s="13" t="s">
        <v>732</v>
      </c>
      <c r="K79" s="13" t="s">
        <v>456</v>
      </c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2">
        <v>19.0</v>
      </c>
      <c r="B80" s="23" t="s">
        <v>271</v>
      </c>
      <c r="C80" s="24" t="s">
        <v>557</v>
      </c>
      <c r="D80" s="23" t="s">
        <v>515</v>
      </c>
      <c r="E80" s="13" t="s">
        <v>272</v>
      </c>
      <c r="F80" s="13" t="s">
        <v>644</v>
      </c>
      <c r="G80" s="13" t="s">
        <v>253</v>
      </c>
      <c r="H80" s="13" t="s">
        <v>253</v>
      </c>
      <c r="I80" s="13" t="s">
        <v>254</v>
      </c>
      <c r="J80" s="13" t="s">
        <v>738</v>
      </c>
      <c r="K80" s="13" t="s">
        <v>456</v>
      </c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2">
        <v>19.0</v>
      </c>
      <c r="B81" s="23" t="s">
        <v>271</v>
      </c>
      <c r="C81" s="24" t="s">
        <v>557</v>
      </c>
      <c r="D81" s="23" t="s">
        <v>744</v>
      </c>
      <c r="E81" s="13" t="s">
        <v>272</v>
      </c>
      <c r="F81" s="13" t="s">
        <v>746</v>
      </c>
      <c r="G81" s="13" t="s">
        <v>253</v>
      </c>
      <c r="H81" s="13" t="s">
        <v>253</v>
      </c>
      <c r="I81" s="13" t="s">
        <v>254</v>
      </c>
      <c r="J81" s="13" t="s">
        <v>732</v>
      </c>
      <c r="K81" s="13" t="s">
        <v>491</v>
      </c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2">
        <v>20.0</v>
      </c>
      <c r="B82" s="23" t="s">
        <v>275</v>
      </c>
      <c r="C82" s="24" t="s">
        <v>557</v>
      </c>
      <c r="D82" s="23" t="s">
        <v>623</v>
      </c>
      <c r="E82" s="13" t="s">
        <v>251</v>
      </c>
      <c r="F82" s="13" t="s">
        <v>749</v>
      </c>
      <c r="G82" s="13" t="s">
        <v>253</v>
      </c>
      <c r="H82" s="13" t="s">
        <v>253</v>
      </c>
      <c r="I82" s="13" t="s">
        <v>254</v>
      </c>
      <c r="J82" s="13" t="s">
        <v>750</v>
      </c>
      <c r="K82" s="13" t="s">
        <v>456</v>
      </c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2">
        <v>20.0</v>
      </c>
      <c r="B83" s="23" t="s">
        <v>275</v>
      </c>
      <c r="C83" s="24" t="s">
        <v>557</v>
      </c>
      <c r="D83" s="23" t="s">
        <v>525</v>
      </c>
      <c r="E83" s="13" t="s">
        <v>272</v>
      </c>
      <c r="F83" s="13" t="s">
        <v>752</v>
      </c>
      <c r="G83" s="13" t="s">
        <v>253</v>
      </c>
      <c r="H83" s="13" t="s">
        <v>253</v>
      </c>
      <c r="I83" s="13" t="s">
        <v>254</v>
      </c>
      <c r="J83" s="13" t="s">
        <v>753</v>
      </c>
      <c r="K83" s="13" t="s">
        <v>456</v>
      </c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2">
        <v>20.0</v>
      </c>
      <c r="B84" s="23" t="s">
        <v>275</v>
      </c>
      <c r="C84" s="24" t="s">
        <v>557</v>
      </c>
      <c r="D84" s="23" t="s">
        <v>643</v>
      </c>
      <c r="E84" s="13" t="s">
        <v>272</v>
      </c>
      <c r="F84" s="13" t="s">
        <v>754</v>
      </c>
      <c r="G84" s="13" t="s">
        <v>253</v>
      </c>
      <c r="H84" s="13" t="s">
        <v>253</v>
      </c>
      <c r="I84" s="13" t="s">
        <v>254</v>
      </c>
      <c r="J84" s="13" t="s">
        <v>750</v>
      </c>
      <c r="K84" s="13" t="s">
        <v>456</v>
      </c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2">
        <v>21.0</v>
      </c>
      <c r="B85" s="23" t="s">
        <v>279</v>
      </c>
      <c r="C85" s="24" t="s">
        <v>557</v>
      </c>
      <c r="D85" s="23" t="s">
        <v>748</v>
      </c>
      <c r="E85" s="13" t="s">
        <v>251</v>
      </c>
      <c r="F85" s="13" t="s">
        <v>755</v>
      </c>
      <c r="G85" s="13" t="s">
        <v>253</v>
      </c>
      <c r="H85" s="13" t="s">
        <v>253</v>
      </c>
      <c r="I85" s="13" t="s">
        <v>254</v>
      </c>
      <c r="J85" s="13" t="s">
        <v>756</v>
      </c>
      <c r="K85" s="13" t="s">
        <v>456</v>
      </c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2">
        <v>21.0</v>
      </c>
      <c r="B86" s="23" t="s">
        <v>279</v>
      </c>
      <c r="C86" s="24" t="s">
        <v>557</v>
      </c>
      <c r="D86" s="23" t="s">
        <v>701</v>
      </c>
      <c r="E86" s="13" t="s">
        <v>251</v>
      </c>
      <c r="F86" s="13" t="s">
        <v>757</v>
      </c>
      <c r="G86" s="13" t="s">
        <v>253</v>
      </c>
      <c r="H86" s="13" t="s">
        <v>253</v>
      </c>
      <c r="I86" s="13" t="s">
        <v>254</v>
      </c>
      <c r="J86" s="13" t="s">
        <v>759</v>
      </c>
      <c r="K86" s="13" t="s">
        <v>456</v>
      </c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2">
        <v>21.0</v>
      </c>
      <c r="B87" s="23" t="s">
        <v>279</v>
      </c>
      <c r="C87" s="24" t="s">
        <v>557</v>
      </c>
      <c r="D87" s="23" t="s">
        <v>692</v>
      </c>
      <c r="E87" s="13" t="s">
        <v>251</v>
      </c>
      <c r="F87" s="13" t="s">
        <v>760</v>
      </c>
      <c r="G87" s="13" t="s">
        <v>253</v>
      </c>
      <c r="H87" s="13" t="s">
        <v>253</v>
      </c>
      <c r="I87" s="13" t="s">
        <v>254</v>
      </c>
      <c r="J87" s="13" t="s">
        <v>756</v>
      </c>
      <c r="K87" s="13" t="s">
        <v>456</v>
      </c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2">
        <v>21.0</v>
      </c>
      <c r="B88" s="23" t="s">
        <v>279</v>
      </c>
      <c r="C88" s="24" t="s">
        <v>557</v>
      </c>
      <c r="D88" s="23" t="s">
        <v>680</v>
      </c>
      <c r="E88" s="13" t="s">
        <v>251</v>
      </c>
      <c r="F88" s="13" t="s">
        <v>762</v>
      </c>
      <c r="G88" s="13" t="s">
        <v>253</v>
      </c>
      <c r="H88" s="13" t="s">
        <v>253</v>
      </c>
      <c r="I88" s="13" t="s">
        <v>254</v>
      </c>
      <c r="J88" s="13" t="s">
        <v>759</v>
      </c>
      <c r="K88" s="13" t="s">
        <v>456</v>
      </c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2">
        <v>21.0</v>
      </c>
      <c r="B89" s="23" t="s">
        <v>279</v>
      </c>
      <c r="C89" s="24" t="s">
        <v>557</v>
      </c>
      <c r="D89" s="23" t="s">
        <v>763</v>
      </c>
      <c r="E89" s="13" t="s">
        <v>272</v>
      </c>
      <c r="F89" s="13" t="s">
        <v>765</v>
      </c>
      <c r="G89" s="13" t="s">
        <v>253</v>
      </c>
      <c r="H89" s="13" t="s">
        <v>253</v>
      </c>
      <c r="I89" s="13" t="s">
        <v>254</v>
      </c>
      <c r="J89" s="13" t="s">
        <v>756</v>
      </c>
      <c r="K89" s="13" t="s">
        <v>456</v>
      </c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2">
        <v>22.0</v>
      </c>
      <c r="B90" s="23" t="s">
        <v>281</v>
      </c>
      <c r="C90" s="24" t="s">
        <v>557</v>
      </c>
      <c r="D90" s="23" t="s">
        <v>311</v>
      </c>
      <c r="E90" s="13" t="s">
        <v>251</v>
      </c>
      <c r="F90" s="13" t="s">
        <v>767</v>
      </c>
      <c r="G90" s="13" t="s">
        <v>253</v>
      </c>
      <c r="H90" s="13" t="s">
        <v>253</v>
      </c>
      <c r="I90" s="13" t="s">
        <v>254</v>
      </c>
      <c r="J90" s="13" t="s">
        <v>768</v>
      </c>
      <c r="K90" s="13" t="s">
        <v>491</v>
      </c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2">
        <v>22.0</v>
      </c>
      <c r="B91" s="23" t="s">
        <v>281</v>
      </c>
      <c r="C91" s="24" t="s">
        <v>557</v>
      </c>
      <c r="D91" s="23" t="s">
        <v>614</v>
      </c>
      <c r="E91" s="13" t="s">
        <v>251</v>
      </c>
      <c r="F91" s="13" t="s">
        <v>769</v>
      </c>
      <c r="G91" s="13" t="s">
        <v>253</v>
      </c>
      <c r="H91" s="13" t="s">
        <v>253</v>
      </c>
      <c r="I91" s="13" t="s">
        <v>254</v>
      </c>
      <c r="J91" s="13" t="s">
        <v>770</v>
      </c>
      <c r="K91" s="13" t="s">
        <v>556</v>
      </c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2">
        <v>22.0</v>
      </c>
      <c r="B92" s="23" t="s">
        <v>281</v>
      </c>
      <c r="C92" s="24" t="s">
        <v>557</v>
      </c>
      <c r="D92" s="23" t="s">
        <v>285</v>
      </c>
      <c r="E92" s="13" t="s">
        <v>272</v>
      </c>
      <c r="F92" s="13" t="s">
        <v>772</v>
      </c>
      <c r="G92" s="13" t="s">
        <v>253</v>
      </c>
      <c r="H92" s="13" t="s">
        <v>253</v>
      </c>
      <c r="I92" s="13" t="s">
        <v>254</v>
      </c>
      <c r="J92" s="13" t="s">
        <v>773</v>
      </c>
      <c r="K92" s="13" t="s">
        <v>478</v>
      </c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2">
        <v>22.0</v>
      </c>
      <c r="B93" s="23" t="s">
        <v>281</v>
      </c>
      <c r="C93" s="24" t="s">
        <v>557</v>
      </c>
      <c r="D93" s="23" t="s">
        <v>314</v>
      </c>
      <c r="E93" s="13" t="s">
        <v>272</v>
      </c>
      <c r="F93" s="13" t="s">
        <v>774</v>
      </c>
      <c r="G93" s="13" t="s">
        <v>253</v>
      </c>
      <c r="H93" s="13" t="s">
        <v>253</v>
      </c>
      <c r="I93" s="13" t="s">
        <v>254</v>
      </c>
      <c r="J93" s="13" t="s">
        <v>768</v>
      </c>
      <c r="K93" s="13" t="s">
        <v>487</v>
      </c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2">
        <v>22.0</v>
      </c>
      <c r="B94" s="23" t="s">
        <v>281</v>
      </c>
      <c r="C94" s="24" t="s">
        <v>557</v>
      </c>
      <c r="D94" s="23" t="s">
        <v>298</v>
      </c>
      <c r="E94" s="13" t="s">
        <v>272</v>
      </c>
      <c r="F94" s="13" t="s">
        <v>775</v>
      </c>
      <c r="G94" s="13" t="s">
        <v>253</v>
      </c>
      <c r="H94" s="13" t="s">
        <v>253</v>
      </c>
      <c r="I94" s="13" t="s">
        <v>254</v>
      </c>
      <c r="J94" s="13" t="s">
        <v>770</v>
      </c>
      <c r="K94" s="13" t="s">
        <v>487</v>
      </c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2">
        <v>23.0</v>
      </c>
      <c r="B95" s="23" t="s">
        <v>282</v>
      </c>
      <c r="C95" s="24" t="s">
        <v>557</v>
      </c>
      <c r="D95" s="23" t="s">
        <v>741</v>
      </c>
      <c r="E95" s="13" t="s">
        <v>251</v>
      </c>
      <c r="F95" s="13" t="s">
        <v>776</v>
      </c>
      <c r="G95" s="13" t="s">
        <v>253</v>
      </c>
      <c r="H95" s="13" t="s">
        <v>253</v>
      </c>
      <c r="I95" s="13" t="s">
        <v>254</v>
      </c>
      <c r="J95" s="13" t="s">
        <v>777</v>
      </c>
      <c r="K95" s="13" t="s">
        <v>456</v>
      </c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2">
        <v>23.0</v>
      </c>
      <c r="B96" s="23" t="s">
        <v>282</v>
      </c>
      <c r="C96" s="24" t="s">
        <v>557</v>
      </c>
      <c r="D96" s="23" t="s">
        <v>778</v>
      </c>
      <c r="E96" s="13" t="s">
        <v>251</v>
      </c>
      <c r="F96" s="13" t="s">
        <v>779</v>
      </c>
      <c r="G96" s="13" t="s">
        <v>253</v>
      </c>
      <c r="H96" s="13" t="s">
        <v>253</v>
      </c>
      <c r="I96" s="13" t="s">
        <v>254</v>
      </c>
      <c r="J96" s="13" t="s">
        <v>780</v>
      </c>
      <c r="K96" s="13" t="s">
        <v>456</v>
      </c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2">
        <v>23.0</v>
      </c>
      <c r="B97" s="23" t="s">
        <v>282</v>
      </c>
      <c r="C97" s="24" t="s">
        <v>557</v>
      </c>
      <c r="D97" s="23" t="s">
        <v>781</v>
      </c>
      <c r="E97" s="13" t="s">
        <v>251</v>
      </c>
      <c r="F97" s="13" t="s">
        <v>782</v>
      </c>
      <c r="G97" s="13" t="s">
        <v>253</v>
      </c>
      <c r="H97" s="13" t="s">
        <v>253</v>
      </c>
      <c r="I97" s="13" t="s">
        <v>254</v>
      </c>
      <c r="J97" s="13" t="s">
        <v>777</v>
      </c>
      <c r="K97" s="13" t="s">
        <v>456</v>
      </c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2">
        <v>23.0</v>
      </c>
      <c r="B98" s="23" t="s">
        <v>282</v>
      </c>
      <c r="C98" s="24" t="s">
        <v>557</v>
      </c>
      <c r="D98" s="23" t="s">
        <v>783</v>
      </c>
      <c r="E98" s="13" t="s">
        <v>272</v>
      </c>
      <c r="F98" s="13" t="s">
        <v>784</v>
      </c>
      <c r="G98" s="13" t="s">
        <v>253</v>
      </c>
      <c r="H98" s="13" t="s">
        <v>253</v>
      </c>
      <c r="I98" s="13" t="s">
        <v>254</v>
      </c>
      <c r="J98" s="13" t="s">
        <v>780</v>
      </c>
      <c r="K98" s="13" t="s">
        <v>456</v>
      </c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2">
        <v>23.0</v>
      </c>
      <c r="B99" s="23" t="s">
        <v>282</v>
      </c>
      <c r="C99" s="24" t="s">
        <v>557</v>
      </c>
      <c r="D99" s="23" t="s">
        <v>578</v>
      </c>
      <c r="E99" s="13" t="s">
        <v>272</v>
      </c>
      <c r="F99" s="13" t="s">
        <v>785</v>
      </c>
      <c r="G99" s="13" t="s">
        <v>253</v>
      </c>
      <c r="H99" s="13" t="s">
        <v>253</v>
      </c>
      <c r="I99" s="13" t="s">
        <v>254</v>
      </c>
      <c r="J99" s="13" t="s">
        <v>777</v>
      </c>
      <c r="K99" s="13" t="s">
        <v>456</v>
      </c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2">
        <v>24.0</v>
      </c>
      <c r="B100" s="23" t="s">
        <v>283</v>
      </c>
      <c r="C100" s="24" t="s">
        <v>557</v>
      </c>
      <c r="D100" s="23" t="s">
        <v>327</v>
      </c>
      <c r="E100" s="13" t="s">
        <v>251</v>
      </c>
      <c r="F100" s="13" t="s">
        <v>786</v>
      </c>
      <c r="G100" s="13" t="s">
        <v>253</v>
      </c>
      <c r="H100" s="13" t="s">
        <v>253</v>
      </c>
      <c r="I100" s="13" t="s">
        <v>254</v>
      </c>
      <c r="J100" s="13" t="s">
        <v>616</v>
      </c>
      <c r="K100" s="13" t="s">
        <v>556</v>
      </c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2">
        <v>24.0</v>
      </c>
      <c r="B101" s="23" t="s">
        <v>283</v>
      </c>
      <c r="C101" s="24" t="s">
        <v>557</v>
      </c>
      <c r="D101" s="23" t="s">
        <v>311</v>
      </c>
      <c r="E101" s="13" t="s">
        <v>272</v>
      </c>
      <c r="F101" s="13" t="s">
        <v>787</v>
      </c>
      <c r="G101" s="13" t="s">
        <v>253</v>
      </c>
      <c r="H101" s="13" t="s">
        <v>253</v>
      </c>
      <c r="I101" s="13" t="s">
        <v>254</v>
      </c>
      <c r="J101" s="13" t="s">
        <v>788</v>
      </c>
      <c r="K101" s="13" t="s">
        <v>491</v>
      </c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2">
        <v>25.0</v>
      </c>
      <c r="B102" s="23" t="s">
        <v>284</v>
      </c>
      <c r="C102" s="24" t="s">
        <v>557</v>
      </c>
      <c r="D102" s="23" t="s">
        <v>789</v>
      </c>
      <c r="E102" s="13" t="s">
        <v>251</v>
      </c>
      <c r="F102" s="13" t="s">
        <v>790</v>
      </c>
      <c r="G102" s="13" t="s">
        <v>253</v>
      </c>
      <c r="H102" s="13" t="s">
        <v>253</v>
      </c>
      <c r="I102" s="13" t="s">
        <v>254</v>
      </c>
      <c r="J102" s="13" t="s">
        <v>791</v>
      </c>
      <c r="K102" s="13" t="s">
        <v>456</v>
      </c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2">
        <v>25.0</v>
      </c>
      <c r="B103" s="23" t="s">
        <v>284</v>
      </c>
      <c r="C103" s="24" t="s">
        <v>557</v>
      </c>
      <c r="D103" s="23" t="s">
        <v>792</v>
      </c>
      <c r="E103" s="13" t="s">
        <v>251</v>
      </c>
      <c r="F103" s="13" t="s">
        <v>793</v>
      </c>
      <c r="G103" s="13" t="s">
        <v>253</v>
      </c>
      <c r="H103" s="13" t="s">
        <v>253</v>
      </c>
      <c r="I103" s="13" t="s">
        <v>254</v>
      </c>
      <c r="J103" s="13" t="s">
        <v>794</v>
      </c>
      <c r="K103" s="13" t="s">
        <v>456</v>
      </c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2">
        <v>25.0</v>
      </c>
      <c r="B104" s="23" t="s">
        <v>284</v>
      </c>
      <c r="C104" s="24" t="s">
        <v>557</v>
      </c>
      <c r="D104" s="23" t="s">
        <v>795</v>
      </c>
      <c r="E104" s="13" t="s">
        <v>251</v>
      </c>
      <c r="F104" s="13" t="s">
        <v>796</v>
      </c>
      <c r="G104" s="13" t="s">
        <v>253</v>
      </c>
      <c r="H104" s="13" t="s">
        <v>253</v>
      </c>
      <c r="I104" s="13" t="s">
        <v>254</v>
      </c>
      <c r="J104" s="13" t="s">
        <v>797</v>
      </c>
      <c r="K104" s="13" t="s">
        <v>456</v>
      </c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2">
        <v>25.0</v>
      </c>
      <c r="B105" s="23" t="s">
        <v>284</v>
      </c>
      <c r="C105" s="24" t="s">
        <v>557</v>
      </c>
      <c r="D105" s="23" t="s">
        <v>798</v>
      </c>
      <c r="E105" s="13" t="s">
        <v>272</v>
      </c>
      <c r="F105" s="13" t="s">
        <v>800</v>
      </c>
      <c r="G105" s="13" t="s">
        <v>253</v>
      </c>
      <c r="H105" s="13" t="s">
        <v>253</v>
      </c>
      <c r="I105" s="13" t="s">
        <v>254</v>
      </c>
      <c r="J105" s="13" t="s">
        <v>791</v>
      </c>
      <c r="K105" s="13" t="s">
        <v>456</v>
      </c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2">
        <v>25.0</v>
      </c>
      <c r="B106" s="23" t="s">
        <v>284</v>
      </c>
      <c r="C106" s="24" t="s">
        <v>557</v>
      </c>
      <c r="D106" s="23" t="s">
        <v>744</v>
      </c>
      <c r="E106" s="13" t="s">
        <v>272</v>
      </c>
      <c r="F106" s="13" t="s">
        <v>801</v>
      </c>
      <c r="G106" s="13" t="s">
        <v>253</v>
      </c>
      <c r="H106" s="13" t="s">
        <v>253</v>
      </c>
      <c r="I106" s="13" t="s">
        <v>254</v>
      </c>
      <c r="J106" s="13" t="s">
        <v>794</v>
      </c>
      <c r="K106" s="13" t="s">
        <v>491</v>
      </c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2">
        <v>26.0</v>
      </c>
      <c r="B107" s="23" t="s">
        <v>286</v>
      </c>
      <c r="C107" s="24" t="s">
        <v>557</v>
      </c>
      <c r="D107" s="23" t="s">
        <v>803</v>
      </c>
      <c r="E107" s="13" t="s">
        <v>251</v>
      </c>
      <c r="F107" s="13" t="s">
        <v>805</v>
      </c>
      <c r="G107" s="13" t="s">
        <v>253</v>
      </c>
      <c r="H107" s="13" t="s">
        <v>253</v>
      </c>
      <c r="I107" s="13" t="s">
        <v>254</v>
      </c>
      <c r="J107" s="13" t="s">
        <v>806</v>
      </c>
      <c r="K107" s="13" t="s">
        <v>456</v>
      </c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2">
        <v>26.0</v>
      </c>
      <c r="B108" s="23" t="s">
        <v>286</v>
      </c>
      <c r="C108" s="24" t="s">
        <v>557</v>
      </c>
      <c r="D108" s="23" t="s">
        <v>743</v>
      </c>
      <c r="E108" s="13" t="s">
        <v>251</v>
      </c>
      <c r="F108" s="13" t="s">
        <v>807</v>
      </c>
      <c r="G108" s="13" t="s">
        <v>253</v>
      </c>
      <c r="H108" s="13" t="s">
        <v>253</v>
      </c>
      <c r="I108" s="13" t="s">
        <v>254</v>
      </c>
      <c r="J108" s="13" t="s">
        <v>808</v>
      </c>
      <c r="K108" s="13" t="s">
        <v>456</v>
      </c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2">
        <v>26.0</v>
      </c>
      <c r="B109" s="23" t="s">
        <v>286</v>
      </c>
      <c r="C109" s="24" t="s">
        <v>557</v>
      </c>
      <c r="D109" s="23" t="s">
        <v>809</v>
      </c>
      <c r="E109" s="13" t="s">
        <v>251</v>
      </c>
      <c r="F109" s="13" t="s">
        <v>810</v>
      </c>
      <c r="G109" s="13" t="s">
        <v>253</v>
      </c>
      <c r="H109" s="13" t="s">
        <v>253</v>
      </c>
      <c r="I109" s="13" t="s">
        <v>254</v>
      </c>
      <c r="J109" s="13" t="s">
        <v>811</v>
      </c>
      <c r="K109" s="13" t="s">
        <v>456</v>
      </c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2">
        <v>26.0</v>
      </c>
      <c r="B110" s="23" t="s">
        <v>286</v>
      </c>
      <c r="C110" s="24" t="s">
        <v>557</v>
      </c>
      <c r="D110" s="23" t="s">
        <v>812</v>
      </c>
      <c r="E110" s="13" t="s">
        <v>251</v>
      </c>
      <c r="F110" s="13" t="s">
        <v>813</v>
      </c>
      <c r="G110" s="13" t="s">
        <v>253</v>
      </c>
      <c r="H110" s="13" t="s">
        <v>253</v>
      </c>
      <c r="I110" s="13" t="s">
        <v>254</v>
      </c>
      <c r="J110" s="13" t="s">
        <v>806</v>
      </c>
      <c r="K110" s="13" t="s">
        <v>456</v>
      </c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2">
        <v>26.0</v>
      </c>
      <c r="B111" s="23" t="s">
        <v>286</v>
      </c>
      <c r="C111" s="24" t="s">
        <v>557</v>
      </c>
      <c r="D111" s="23" t="s">
        <v>727</v>
      </c>
      <c r="E111" s="13" t="s">
        <v>272</v>
      </c>
      <c r="F111" s="13" t="s">
        <v>814</v>
      </c>
      <c r="G111" s="13" t="s">
        <v>253</v>
      </c>
      <c r="H111" s="13" t="s">
        <v>253</v>
      </c>
      <c r="I111" s="13" t="s">
        <v>254</v>
      </c>
      <c r="J111" s="13" t="s">
        <v>808</v>
      </c>
      <c r="K111" s="13" t="s">
        <v>491</v>
      </c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2">
        <v>27.0</v>
      </c>
      <c r="B112" s="23" t="s">
        <v>289</v>
      </c>
      <c r="C112" s="24" t="s">
        <v>557</v>
      </c>
      <c r="D112" s="23" t="s">
        <v>815</v>
      </c>
      <c r="E112" s="13" t="s">
        <v>251</v>
      </c>
      <c r="F112" s="13" t="s">
        <v>816</v>
      </c>
      <c r="G112" s="13" t="s">
        <v>253</v>
      </c>
      <c r="H112" s="13" t="s">
        <v>253</v>
      </c>
      <c r="I112" s="13" t="s">
        <v>254</v>
      </c>
      <c r="J112" s="13" t="s">
        <v>817</v>
      </c>
      <c r="K112" s="13" t="s">
        <v>456</v>
      </c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2">
        <v>27.0</v>
      </c>
      <c r="B113" s="23" t="s">
        <v>289</v>
      </c>
      <c r="C113" s="24" t="s">
        <v>557</v>
      </c>
      <c r="D113" s="23" t="s">
        <v>818</v>
      </c>
      <c r="E113" s="13" t="s">
        <v>251</v>
      </c>
      <c r="F113" s="13" t="s">
        <v>819</v>
      </c>
      <c r="G113" s="13" t="s">
        <v>253</v>
      </c>
      <c r="H113" s="13" t="s">
        <v>253</v>
      </c>
      <c r="I113" s="13" t="s">
        <v>254</v>
      </c>
      <c r="J113" s="13" t="s">
        <v>820</v>
      </c>
      <c r="K113" s="13" t="s">
        <v>456</v>
      </c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2">
        <v>27.0</v>
      </c>
      <c r="B114" s="23" t="s">
        <v>289</v>
      </c>
      <c r="C114" s="24" t="s">
        <v>557</v>
      </c>
      <c r="D114" s="23" t="s">
        <v>821</v>
      </c>
      <c r="E114" s="13" t="s">
        <v>251</v>
      </c>
      <c r="F114" s="13" t="s">
        <v>822</v>
      </c>
      <c r="G114" s="13" t="s">
        <v>253</v>
      </c>
      <c r="H114" s="13" t="s">
        <v>253</v>
      </c>
      <c r="I114" s="13" t="s">
        <v>254</v>
      </c>
      <c r="J114" s="13" t="s">
        <v>823</v>
      </c>
      <c r="K114" s="13" t="s">
        <v>456</v>
      </c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2">
        <v>27.0</v>
      </c>
      <c r="B115" s="23" t="s">
        <v>289</v>
      </c>
      <c r="C115" s="24" t="s">
        <v>557</v>
      </c>
      <c r="D115" s="23" t="s">
        <v>824</v>
      </c>
      <c r="E115" s="13" t="s">
        <v>272</v>
      </c>
      <c r="F115" s="13" t="s">
        <v>826</v>
      </c>
      <c r="G115" s="13" t="s">
        <v>253</v>
      </c>
      <c r="H115" s="13" t="s">
        <v>253</v>
      </c>
      <c r="I115" s="13" t="s">
        <v>254</v>
      </c>
      <c r="J115" s="13" t="s">
        <v>817</v>
      </c>
      <c r="K115" s="13" t="s">
        <v>456</v>
      </c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2">
        <v>28.0</v>
      </c>
      <c r="B116" s="23" t="s">
        <v>291</v>
      </c>
      <c r="C116" s="24" t="s">
        <v>827</v>
      </c>
      <c r="D116" s="23" t="s">
        <v>828</v>
      </c>
      <c r="E116" s="13" t="s">
        <v>251</v>
      </c>
      <c r="F116" s="13" t="s">
        <v>829</v>
      </c>
      <c r="G116" s="13" t="s">
        <v>253</v>
      </c>
      <c r="H116" s="13" t="s">
        <v>253</v>
      </c>
      <c r="I116" s="13" t="s">
        <v>254</v>
      </c>
      <c r="J116" s="13" t="s">
        <v>831</v>
      </c>
      <c r="K116" s="13" t="s">
        <v>456</v>
      </c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2">
        <v>28.0</v>
      </c>
      <c r="B117" s="23" t="s">
        <v>291</v>
      </c>
      <c r="C117" s="24" t="s">
        <v>827</v>
      </c>
      <c r="D117" s="23" t="s">
        <v>832</v>
      </c>
      <c r="E117" s="13" t="s">
        <v>251</v>
      </c>
      <c r="F117" s="13" t="s">
        <v>835</v>
      </c>
      <c r="G117" s="13" t="s">
        <v>253</v>
      </c>
      <c r="H117" s="13" t="s">
        <v>253</v>
      </c>
      <c r="I117" s="13" t="s">
        <v>254</v>
      </c>
      <c r="J117" s="13" t="s">
        <v>836</v>
      </c>
      <c r="K117" s="13" t="s">
        <v>491</v>
      </c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2">
        <v>28.0</v>
      </c>
      <c r="B118" s="23" t="s">
        <v>291</v>
      </c>
      <c r="C118" s="24" t="s">
        <v>827</v>
      </c>
      <c r="D118" s="23" t="s">
        <v>837</v>
      </c>
      <c r="E118" s="13" t="s">
        <v>251</v>
      </c>
      <c r="F118" s="13" t="s">
        <v>838</v>
      </c>
      <c r="G118" s="13" t="s">
        <v>253</v>
      </c>
      <c r="H118" s="13" t="s">
        <v>253</v>
      </c>
      <c r="I118" s="13" t="s">
        <v>254</v>
      </c>
      <c r="J118" s="13" t="s">
        <v>839</v>
      </c>
      <c r="K118" s="13" t="s">
        <v>491</v>
      </c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2">
        <v>28.0</v>
      </c>
      <c r="B119" s="23" t="s">
        <v>291</v>
      </c>
      <c r="C119" s="24" t="s">
        <v>827</v>
      </c>
      <c r="D119" s="23" t="s">
        <v>841</v>
      </c>
      <c r="E119" s="13" t="s">
        <v>272</v>
      </c>
      <c r="F119" s="13" t="s">
        <v>843</v>
      </c>
      <c r="G119" s="13" t="s">
        <v>253</v>
      </c>
      <c r="H119" s="13" t="s">
        <v>253</v>
      </c>
      <c r="I119" s="13" t="s">
        <v>254</v>
      </c>
      <c r="J119" s="13" t="s">
        <v>844</v>
      </c>
      <c r="K119" s="13" t="s">
        <v>491</v>
      </c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2">
        <v>28.0</v>
      </c>
      <c r="B120" s="23" t="s">
        <v>291</v>
      </c>
      <c r="C120" s="24" t="s">
        <v>827</v>
      </c>
      <c r="D120" s="23" t="s">
        <v>845</v>
      </c>
      <c r="E120" s="13" t="s">
        <v>272</v>
      </c>
      <c r="F120" s="13" t="s">
        <v>847</v>
      </c>
      <c r="G120" s="13" t="s">
        <v>253</v>
      </c>
      <c r="H120" s="13" t="s">
        <v>253</v>
      </c>
      <c r="I120" s="13" t="s">
        <v>254</v>
      </c>
      <c r="J120" s="13" t="s">
        <v>848</v>
      </c>
      <c r="K120" s="13" t="s">
        <v>491</v>
      </c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2">
        <v>29.0</v>
      </c>
      <c r="B121" s="23" t="s">
        <v>295</v>
      </c>
      <c r="C121" s="24" t="s">
        <v>827</v>
      </c>
      <c r="D121" s="23" t="s">
        <v>850</v>
      </c>
      <c r="E121" s="13" t="s">
        <v>251</v>
      </c>
      <c r="F121" s="13" t="s">
        <v>852</v>
      </c>
      <c r="G121" s="13" t="s">
        <v>253</v>
      </c>
      <c r="H121" s="13" t="s">
        <v>253</v>
      </c>
      <c r="I121" s="13" t="s">
        <v>254</v>
      </c>
      <c r="J121" s="13" t="s">
        <v>853</v>
      </c>
      <c r="K121" s="13" t="s">
        <v>456</v>
      </c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2">
        <v>29.0</v>
      </c>
      <c r="B122" s="23" t="s">
        <v>295</v>
      </c>
      <c r="C122" s="24" t="s">
        <v>827</v>
      </c>
      <c r="D122" s="23" t="s">
        <v>854</v>
      </c>
      <c r="E122" s="13" t="s">
        <v>251</v>
      </c>
      <c r="F122" s="13" t="s">
        <v>856</v>
      </c>
      <c r="G122" s="13" t="s">
        <v>253</v>
      </c>
      <c r="H122" s="13" t="s">
        <v>253</v>
      </c>
      <c r="I122" s="13" t="s">
        <v>254</v>
      </c>
      <c r="J122" s="13" t="s">
        <v>857</v>
      </c>
      <c r="K122" s="13" t="s">
        <v>456</v>
      </c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2">
        <v>29.0</v>
      </c>
      <c r="B123" s="23" t="s">
        <v>295</v>
      </c>
      <c r="C123" s="24" t="s">
        <v>827</v>
      </c>
      <c r="D123" s="23" t="s">
        <v>436</v>
      </c>
      <c r="E123" s="13" t="s">
        <v>251</v>
      </c>
      <c r="F123" s="13" t="s">
        <v>859</v>
      </c>
      <c r="G123" s="13" t="s">
        <v>253</v>
      </c>
      <c r="H123" s="13" t="s">
        <v>253</v>
      </c>
      <c r="I123" s="13" t="s">
        <v>254</v>
      </c>
      <c r="J123" s="13" t="s">
        <v>861</v>
      </c>
      <c r="K123" s="13" t="s">
        <v>456</v>
      </c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2">
        <v>29.0</v>
      </c>
      <c r="B124" s="23" t="s">
        <v>295</v>
      </c>
      <c r="C124" s="24" t="s">
        <v>827</v>
      </c>
      <c r="D124" s="23" t="s">
        <v>862</v>
      </c>
      <c r="E124" s="13" t="s">
        <v>272</v>
      </c>
      <c r="F124" s="13" t="s">
        <v>863</v>
      </c>
      <c r="G124" s="13" t="s">
        <v>253</v>
      </c>
      <c r="H124" s="13" t="s">
        <v>253</v>
      </c>
      <c r="I124" s="13" t="s">
        <v>254</v>
      </c>
      <c r="J124" s="13" t="s">
        <v>853</v>
      </c>
      <c r="K124" s="13" t="s">
        <v>456</v>
      </c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2">
        <v>29.0</v>
      </c>
      <c r="B125" s="23" t="s">
        <v>295</v>
      </c>
      <c r="C125" s="24" t="s">
        <v>827</v>
      </c>
      <c r="D125" s="23" t="s">
        <v>864</v>
      </c>
      <c r="E125" s="13" t="s">
        <v>272</v>
      </c>
      <c r="F125" s="13" t="s">
        <v>867</v>
      </c>
      <c r="G125" s="13" t="s">
        <v>253</v>
      </c>
      <c r="H125" s="13" t="s">
        <v>253</v>
      </c>
      <c r="I125" s="13" t="s">
        <v>254</v>
      </c>
      <c r="J125" s="13" t="s">
        <v>857</v>
      </c>
      <c r="K125" s="13" t="s">
        <v>456</v>
      </c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2">
        <v>30.0</v>
      </c>
      <c r="B126" s="23" t="s">
        <v>302</v>
      </c>
      <c r="C126" s="24" t="s">
        <v>827</v>
      </c>
      <c r="D126" s="23" t="s">
        <v>869</v>
      </c>
      <c r="E126" s="13" t="s">
        <v>251</v>
      </c>
      <c r="F126" s="13" t="s">
        <v>870</v>
      </c>
      <c r="G126" s="13" t="s">
        <v>253</v>
      </c>
      <c r="H126" s="13" t="s">
        <v>253</v>
      </c>
      <c r="I126" s="13" t="s">
        <v>254</v>
      </c>
      <c r="J126" s="13" t="s">
        <v>871</v>
      </c>
      <c r="K126" s="13" t="s">
        <v>456</v>
      </c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2">
        <v>30.0</v>
      </c>
      <c r="B127" s="23" t="s">
        <v>302</v>
      </c>
      <c r="C127" s="24" t="s">
        <v>827</v>
      </c>
      <c r="D127" s="23" t="s">
        <v>873</v>
      </c>
      <c r="E127" s="13" t="s">
        <v>251</v>
      </c>
      <c r="F127" s="13" t="s">
        <v>874</v>
      </c>
      <c r="G127" s="13" t="s">
        <v>253</v>
      </c>
      <c r="H127" s="13" t="s">
        <v>253</v>
      </c>
      <c r="I127" s="13" t="s">
        <v>254</v>
      </c>
      <c r="J127" s="13" t="s">
        <v>875</v>
      </c>
      <c r="K127" s="13" t="s">
        <v>456</v>
      </c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2">
        <v>30.0</v>
      </c>
      <c r="B128" s="23" t="s">
        <v>302</v>
      </c>
      <c r="C128" s="24" t="s">
        <v>827</v>
      </c>
      <c r="D128" s="23" t="s">
        <v>877</v>
      </c>
      <c r="E128" s="13" t="s">
        <v>251</v>
      </c>
      <c r="F128" s="13" t="s">
        <v>880</v>
      </c>
      <c r="G128" s="13" t="s">
        <v>253</v>
      </c>
      <c r="H128" s="13" t="s">
        <v>253</v>
      </c>
      <c r="I128" s="13" t="s">
        <v>254</v>
      </c>
      <c r="J128" s="13" t="s">
        <v>871</v>
      </c>
      <c r="K128" s="13" t="s">
        <v>456</v>
      </c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2">
        <v>30.0</v>
      </c>
      <c r="B129" s="23" t="s">
        <v>302</v>
      </c>
      <c r="C129" s="24" t="s">
        <v>827</v>
      </c>
      <c r="D129" s="23" t="s">
        <v>881</v>
      </c>
      <c r="E129" s="13" t="s">
        <v>251</v>
      </c>
      <c r="F129" s="13" t="s">
        <v>883</v>
      </c>
      <c r="G129" s="13" t="s">
        <v>253</v>
      </c>
      <c r="H129" s="13" t="s">
        <v>253</v>
      </c>
      <c r="I129" s="13" t="s">
        <v>254</v>
      </c>
      <c r="J129" s="13" t="s">
        <v>875</v>
      </c>
      <c r="K129" s="13" t="s">
        <v>456</v>
      </c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2">
        <v>30.0</v>
      </c>
      <c r="B130" s="23" t="s">
        <v>302</v>
      </c>
      <c r="C130" s="24" t="s">
        <v>827</v>
      </c>
      <c r="D130" s="23" t="s">
        <v>884</v>
      </c>
      <c r="E130" s="13" t="s">
        <v>272</v>
      </c>
      <c r="F130" s="13" t="s">
        <v>886</v>
      </c>
      <c r="G130" s="13" t="s">
        <v>253</v>
      </c>
      <c r="H130" s="13" t="s">
        <v>253</v>
      </c>
      <c r="I130" s="13" t="s">
        <v>254</v>
      </c>
      <c r="J130" s="13" t="s">
        <v>871</v>
      </c>
      <c r="K130" s="13" t="s">
        <v>456</v>
      </c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2">
        <v>31.0</v>
      </c>
      <c r="B131" s="23" t="s">
        <v>304</v>
      </c>
      <c r="C131" s="24" t="s">
        <v>827</v>
      </c>
      <c r="D131" s="23" t="s">
        <v>887</v>
      </c>
      <c r="E131" s="13" t="s">
        <v>251</v>
      </c>
      <c r="F131" s="13" t="s">
        <v>888</v>
      </c>
      <c r="G131" s="13" t="s">
        <v>253</v>
      </c>
      <c r="H131" s="13" t="s">
        <v>253</v>
      </c>
      <c r="I131" s="13" t="s">
        <v>254</v>
      </c>
      <c r="J131" s="13" t="s">
        <v>889</v>
      </c>
      <c r="K131" s="13" t="s">
        <v>456</v>
      </c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2">
        <v>31.0</v>
      </c>
      <c r="B132" s="23" t="s">
        <v>304</v>
      </c>
      <c r="C132" s="24" t="s">
        <v>827</v>
      </c>
      <c r="D132" s="23" t="s">
        <v>891</v>
      </c>
      <c r="E132" s="13" t="s">
        <v>251</v>
      </c>
      <c r="F132" s="13" t="s">
        <v>892</v>
      </c>
      <c r="G132" s="13" t="s">
        <v>253</v>
      </c>
      <c r="H132" s="13" t="s">
        <v>253</v>
      </c>
      <c r="I132" s="13" t="s">
        <v>254</v>
      </c>
      <c r="J132" s="13" t="s">
        <v>893</v>
      </c>
      <c r="K132" s="13" t="s">
        <v>456</v>
      </c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2">
        <v>31.0</v>
      </c>
      <c r="B133" s="23" t="s">
        <v>304</v>
      </c>
      <c r="C133" s="24" t="s">
        <v>827</v>
      </c>
      <c r="D133" s="23" t="s">
        <v>894</v>
      </c>
      <c r="E133" s="13" t="s">
        <v>272</v>
      </c>
      <c r="F133" s="13" t="s">
        <v>895</v>
      </c>
      <c r="G133" s="13" t="s">
        <v>253</v>
      </c>
      <c r="H133" s="13" t="s">
        <v>253</v>
      </c>
      <c r="I133" s="13" t="s">
        <v>254</v>
      </c>
      <c r="J133" s="13" t="s">
        <v>889</v>
      </c>
      <c r="K133" s="13" t="s">
        <v>456</v>
      </c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2">
        <v>31.0</v>
      </c>
      <c r="B134" s="23" t="s">
        <v>304</v>
      </c>
      <c r="C134" s="24" t="s">
        <v>827</v>
      </c>
      <c r="D134" s="23" t="s">
        <v>897</v>
      </c>
      <c r="E134" s="13" t="s">
        <v>272</v>
      </c>
      <c r="F134" s="13" t="s">
        <v>898</v>
      </c>
      <c r="G134" s="13" t="s">
        <v>253</v>
      </c>
      <c r="H134" s="13" t="s">
        <v>253</v>
      </c>
      <c r="I134" s="13" t="s">
        <v>254</v>
      </c>
      <c r="J134" s="13" t="s">
        <v>893</v>
      </c>
      <c r="K134" s="13" t="s">
        <v>456</v>
      </c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2">
        <v>31.0</v>
      </c>
      <c r="B135" s="23" t="s">
        <v>304</v>
      </c>
      <c r="C135" s="24" t="s">
        <v>827</v>
      </c>
      <c r="D135" s="23" t="s">
        <v>899</v>
      </c>
      <c r="E135" s="13" t="s">
        <v>272</v>
      </c>
      <c r="F135" s="13" t="s">
        <v>900</v>
      </c>
      <c r="G135" s="13" t="s">
        <v>253</v>
      </c>
      <c r="H135" s="13" t="s">
        <v>253</v>
      </c>
      <c r="I135" s="13" t="s">
        <v>254</v>
      </c>
      <c r="J135" s="13" t="s">
        <v>889</v>
      </c>
      <c r="K135" s="13" t="s">
        <v>456</v>
      </c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2">
        <v>32.0</v>
      </c>
      <c r="B136" s="23" t="s">
        <v>306</v>
      </c>
      <c r="C136" s="24" t="s">
        <v>827</v>
      </c>
      <c r="D136" s="23" t="s">
        <v>597</v>
      </c>
      <c r="E136" s="13" t="s">
        <v>251</v>
      </c>
      <c r="F136" s="13" t="s">
        <v>901</v>
      </c>
      <c r="G136" s="13" t="s">
        <v>253</v>
      </c>
      <c r="H136" s="13" t="s">
        <v>253</v>
      </c>
      <c r="I136" s="13" t="s">
        <v>254</v>
      </c>
      <c r="J136" s="13" t="s">
        <v>902</v>
      </c>
      <c r="K136" s="13" t="s">
        <v>491</v>
      </c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2">
        <v>32.0</v>
      </c>
      <c r="B137" s="23" t="s">
        <v>306</v>
      </c>
      <c r="C137" s="24" t="s">
        <v>827</v>
      </c>
      <c r="D137" s="23" t="s">
        <v>903</v>
      </c>
      <c r="E137" s="13" t="s">
        <v>272</v>
      </c>
      <c r="F137" s="13" t="s">
        <v>904</v>
      </c>
      <c r="G137" s="13" t="s">
        <v>253</v>
      </c>
      <c r="H137" s="13" t="s">
        <v>253</v>
      </c>
      <c r="I137" s="13" t="s">
        <v>254</v>
      </c>
      <c r="J137" s="13" t="s">
        <v>905</v>
      </c>
      <c r="K137" s="13" t="s">
        <v>456</v>
      </c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2">
        <v>32.0</v>
      </c>
      <c r="B138" s="23" t="s">
        <v>306</v>
      </c>
      <c r="C138" s="24" t="s">
        <v>827</v>
      </c>
      <c r="D138" s="23" t="s">
        <v>872</v>
      </c>
      <c r="E138" s="13" t="s">
        <v>272</v>
      </c>
      <c r="F138" s="13" t="s">
        <v>907</v>
      </c>
      <c r="G138" s="13" t="s">
        <v>253</v>
      </c>
      <c r="H138" s="13" t="s">
        <v>253</v>
      </c>
      <c r="I138" s="13" t="s">
        <v>254</v>
      </c>
      <c r="J138" s="13" t="s">
        <v>908</v>
      </c>
      <c r="K138" s="13" t="s">
        <v>456</v>
      </c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2">
        <v>32.0</v>
      </c>
      <c r="B139" s="23" t="s">
        <v>306</v>
      </c>
      <c r="C139" s="24" t="s">
        <v>827</v>
      </c>
      <c r="D139" s="23" t="s">
        <v>909</v>
      </c>
      <c r="E139" s="13" t="s">
        <v>272</v>
      </c>
      <c r="F139" s="13" t="s">
        <v>910</v>
      </c>
      <c r="G139" s="13" t="s">
        <v>253</v>
      </c>
      <c r="H139" s="13" t="s">
        <v>253</v>
      </c>
      <c r="I139" s="13" t="s">
        <v>254</v>
      </c>
      <c r="J139" s="13" t="s">
        <v>902</v>
      </c>
      <c r="K139" s="13" t="s">
        <v>456</v>
      </c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2">
        <v>32.0</v>
      </c>
      <c r="B140" s="23" t="s">
        <v>306</v>
      </c>
      <c r="C140" s="24" t="s">
        <v>827</v>
      </c>
      <c r="D140" s="23" t="s">
        <v>911</v>
      </c>
      <c r="E140" s="13" t="s">
        <v>272</v>
      </c>
      <c r="F140" s="13" t="s">
        <v>912</v>
      </c>
      <c r="G140" s="13" t="s">
        <v>253</v>
      </c>
      <c r="H140" s="13" t="s">
        <v>253</v>
      </c>
      <c r="I140" s="13" t="s">
        <v>254</v>
      </c>
      <c r="J140" s="13" t="s">
        <v>905</v>
      </c>
      <c r="K140" s="13" t="s">
        <v>456</v>
      </c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2">
        <v>33.0</v>
      </c>
      <c r="B141" s="23" t="s">
        <v>310</v>
      </c>
      <c r="C141" s="24" t="s">
        <v>827</v>
      </c>
      <c r="D141" s="23" t="s">
        <v>914</v>
      </c>
      <c r="E141" s="13" t="s">
        <v>251</v>
      </c>
      <c r="F141" s="13" t="s">
        <v>915</v>
      </c>
      <c r="G141" s="13" t="s">
        <v>253</v>
      </c>
      <c r="H141" s="13" t="s">
        <v>253</v>
      </c>
      <c r="I141" s="13" t="s">
        <v>254</v>
      </c>
      <c r="J141" s="13" t="s">
        <v>916</v>
      </c>
      <c r="K141" s="13" t="s">
        <v>456</v>
      </c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2">
        <v>33.0</v>
      </c>
      <c r="B142" s="23" t="s">
        <v>310</v>
      </c>
      <c r="C142" s="24" t="s">
        <v>827</v>
      </c>
      <c r="D142" s="23" t="s">
        <v>918</v>
      </c>
      <c r="E142" s="13" t="s">
        <v>251</v>
      </c>
      <c r="F142" s="13" t="s">
        <v>919</v>
      </c>
      <c r="G142" s="13" t="s">
        <v>253</v>
      </c>
      <c r="H142" s="13" t="s">
        <v>253</v>
      </c>
      <c r="I142" s="13" t="s">
        <v>254</v>
      </c>
      <c r="J142" s="13" t="s">
        <v>920</v>
      </c>
      <c r="K142" s="13" t="s">
        <v>456</v>
      </c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2">
        <v>33.0</v>
      </c>
      <c r="B143" s="23" t="s">
        <v>310</v>
      </c>
      <c r="C143" s="24" t="s">
        <v>827</v>
      </c>
      <c r="D143" s="23" t="s">
        <v>921</v>
      </c>
      <c r="E143" s="13" t="s">
        <v>251</v>
      </c>
      <c r="F143" s="13" t="s">
        <v>922</v>
      </c>
      <c r="G143" s="13" t="s">
        <v>253</v>
      </c>
      <c r="H143" s="13" t="s">
        <v>253</v>
      </c>
      <c r="I143" s="13" t="s">
        <v>254</v>
      </c>
      <c r="J143" s="13" t="s">
        <v>916</v>
      </c>
      <c r="K143" s="13" t="s">
        <v>456</v>
      </c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2">
        <v>33.0</v>
      </c>
      <c r="B144" s="23" t="s">
        <v>310</v>
      </c>
      <c r="C144" s="24" t="s">
        <v>827</v>
      </c>
      <c r="D144" s="23" t="s">
        <v>924</v>
      </c>
      <c r="E144" s="13" t="s">
        <v>272</v>
      </c>
      <c r="F144" s="13" t="s">
        <v>926</v>
      </c>
      <c r="G144" s="13" t="s">
        <v>253</v>
      </c>
      <c r="H144" s="13" t="s">
        <v>253</v>
      </c>
      <c r="I144" s="13" t="s">
        <v>254</v>
      </c>
      <c r="J144" s="13" t="s">
        <v>920</v>
      </c>
      <c r="K144" s="13" t="s">
        <v>456</v>
      </c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2">
        <v>33.0</v>
      </c>
      <c r="B145" s="23" t="s">
        <v>310</v>
      </c>
      <c r="C145" s="24" t="s">
        <v>827</v>
      </c>
      <c r="D145" s="23" t="s">
        <v>928</v>
      </c>
      <c r="E145" s="13" t="s">
        <v>272</v>
      </c>
      <c r="F145" s="13" t="s">
        <v>929</v>
      </c>
      <c r="G145" s="13" t="s">
        <v>253</v>
      </c>
      <c r="H145" s="13" t="s">
        <v>253</v>
      </c>
      <c r="I145" s="13" t="s">
        <v>254</v>
      </c>
      <c r="J145" s="13" t="s">
        <v>916</v>
      </c>
      <c r="K145" s="13" t="s">
        <v>456</v>
      </c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2">
        <v>34.0</v>
      </c>
      <c r="B146" s="23" t="s">
        <v>312</v>
      </c>
      <c r="C146" s="24" t="s">
        <v>827</v>
      </c>
      <c r="D146" s="23" t="s">
        <v>832</v>
      </c>
      <c r="E146" s="13" t="s">
        <v>251</v>
      </c>
      <c r="F146" s="13" t="s">
        <v>930</v>
      </c>
      <c r="G146" s="13" t="s">
        <v>253</v>
      </c>
      <c r="H146" s="13" t="s">
        <v>253</v>
      </c>
      <c r="I146" s="13" t="s">
        <v>254</v>
      </c>
      <c r="J146" s="13" t="s">
        <v>931</v>
      </c>
      <c r="K146" s="13" t="s">
        <v>491</v>
      </c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2">
        <v>34.0</v>
      </c>
      <c r="B147" s="23" t="s">
        <v>312</v>
      </c>
      <c r="C147" s="24" t="s">
        <v>827</v>
      </c>
      <c r="D147" s="23" t="s">
        <v>849</v>
      </c>
      <c r="E147" s="13" t="s">
        <v>272</v>
      </c>
      <c r="F147" s="13" t="s">
        <v>932</v>
      </c>
      <c r="G147" s="13" t="s">
        <v>253</v>
      </c>
      <c r="H147" s="13" t="s">
        <v>253</v>
      </c>
      <c r="I147" s="13" t="s">
        <v>254</v>
      </c>
      <c r="J147" s="13" t="s">
        <v>933</v>
      </c>
      <c r="K147" s="13" t="s">
        <v>491</v>
      </c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2">
        <v>34.0</v>
      </c>
      <c r="B148" s="23" t="s">
        <v>312</v>
      </c>
      <c r="C148" s="24" t="s">
        <v>827</v>
      </c>
      <c r="D148" s="23" t="s">
        <v>934</v>
      </c>
      <c r="E148" s="13" t="s">
        <v>272</v>
      </c>
      <c r="F148" s="13" t="s">
        <v>935</v>
      </c>
      <c r="G148" s="13" t="s">
        <v>253</v>
      </c>
      <c r="H148" s="13" t="s">
        <v>253</v>
      </c>
      <c r="I148" s="13" t="s">
        <v>254</v>
      </c>
      <c r="J148" s="13" t="s">
        <v>931</v>
      </c>
      <c r="K148" s="13" t="s">
        <v>491</v>
      </c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2">
        <v>35.0</v>
      </c>
      <c r="B149" s="23" t="s">
        <v>313</v>
      </c>
      <c r="C149" s="24" t="s">
        <v>827</v>
      </c>
      <c r="D149" s="23" t="s">
        <v>936</v>
      </c>
      <c r="E149" s="13" t="s">
        <v>251</v>
      </c>
      <c r="F149" s="13" t="s">
        <v>937</v>
      </c>
      <c r="G149" s="13" t="s">
        <v>253</v>
      </c>
      <c r="H149" s="13" t="s">
        <v>253</v>
      </c>
      <c r="I149" s="13" t="s">
        <v>254</v>
      </c>
      <c r="J149" s="13" t="s">
        <v>938</v>
      </c>
      <c r="K149" s="13" t="s">
        <v>456</v>
      </c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2">
        <v>35.0</v>
      </c>
      <c r="B150" s="23" t="s">
        <v>313</v>
      </c>
      <c r="C150" s="24" t="s">
        <v>827</v>
      </c>
      <c r="D150" s="23" t="s">
        <v>940</v>
      </c>
      <c r="E150" s="13" t="s">
        <v>251</v>
      </c>
      <c r="F150" s="13" t="s">
        <v>941</v>
      </c>
      <c r="G150" s="13" t="s">
        <v>253</v>
      </c>
      <c r="H150" s="13" t="s">
        <v>253</v>
      </c>
      <c r="I150" s="13" t="s">
        <v>254</v>
      </c>
      <c r="J150" s="13" t="s">
        <v>942</v>
      </c>
      <c r="K150" s="13" t="s">
        <v>456</v>
      </c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2">
        <v>35.0</v>
      </c>
      <c r="B151" s="23" t="s">
        <v>313</v>
      </c>
      <c r="C151" s="24" t="s">
        <v>827</v>
      </c>
      <c r="D151" s="23" t="s">
        <v>944</v>
      </c>
      <c r="E151" s="13" t="s">
        <v>251</v>
      </c>
      <c r="F151" s="13" t="s">
        <v>946</v>
      </c>
      <c r="G151" s="13" t="s">
        <v>253</v>
      </c>
      <c r="H151" s="13" t="s">
        <v>253</v>
      </c>
      <c r="I151" s="13" t="s">
        <v>254</v>
      </c>
      <c r="J151" s="13" t="s">
        <v>947</v>
      </c>
      <c r="K151" s="13" t="s">
        <v>456</v>
      </c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2">
        <v>35.0</v>
      </c>
      <c r="B152" s="23" t="s">
        <v>313</v>
      </c>
      <c r="C152" s="24" t="s">
        <v>827</v>
      </c>
      <c r="D152" s="23" t="s">
        <v>948</v>
      </c>
      <c r="E152" s="13" t="s">
        <v>251</v>
      </c>
      <c r="F152" s="13" t="s">
        <v>950</v>
      </c>
      <c r="G152" s="13" t="s">
        <v>253</v>
      </c>
      <c r="H152" s="13" t="s">
        <v>253</v>
      </c>
      <c r="I152" s="13" t="s">
        <v>254</v>
      </c>
      <c r="J152" s="13" t="s">
        <v>938</v>
      </c>
      <c r="K152" s="13" t="s">
        <v>478</v>
      </c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2">
        <v>35.0</v>
      </c>
      <c r="B153" s="23" t="s">
        <v>313</v>
      </c>
      <c r="C153" s="24" t="s">
        <v>827</v>
      </c>
      <c r="D153" s="23" t="s">
        <v>896</v>
      </c>
      <c r="E153" s="13" t="s">
        <v>251</v>
      </c>
      <c r="F153" s="13" t="s">
        <v>952</v>
      </c>
      <c r="G153" s="13" t="s">
        <v>253</v>
      </c>
      <c r="H153" s="13" t="s">
        <v>253</v>
      </c>
      <c r="I153" s="13" t="s">
        <v>254</v>
      </c>
      <c r="J153" s="13" t="s">
        <v>942</v>
      </c>
      <c r="K153" s="13" t="s">
        <v>456</v>
      </c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2">
        <v>36.0</v>
      </c>
      <c r="B154" s="23" t="s">
        <v>315</v>
      </c>
      <c r="C154" s="24" t="s">
        <v>955</v>
      </c>
      <c r="D154" s="23" t="s">
        <v>956</v>
      </c>
      <c r="E154" s="13" t="s">
        <v>251</v>
      </c>
      <c r="F154" s="13" t="s">
        <v>958</v>
      </c>
      <c r="G154" s="13" t="s">
        <v>253</v>
      </c>
      <c r="H154" s="13" t="s">
        <v>253</v>
      </c>
      <c r="I154" s="13" t="s">
        <v>254</v>
      </c>
      <c r="J154" s="13" t="s">
        <v>959</v>
      </c>
      <c r="K154" s="13" t="s">
        <v>456</v>
      </c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2">
        <v>36.0</v>
      </c>
      <c r="B155" s="23" t="s">
        <v>315</v>
      </c>
      <c r="C155" s="24" t="s">
        <v>955</v>
      </c>
      <c r="D155" s="23" t="s">
        <v>961</v>
      </c>
      <c r="E155" s="13" t="s">
        <v>251</v>
      </c>
      <c r="F155" s="13" t="s">
        <v>964</v>
      </c>
      <c r="G155" s="13" t="s">
        <v>253</v>
      </c>
      <c r="H155" s="13" t="s">
        <v>253</v>
      </c>
      <c r="I155" s="13" t="s">
        <v>254</v>
      </c>
      <c r="J155" s="13" t="s">
        <v>965</v>
      </c>
      <c r="K155" s="13" t="s">
        <v>456</v>
      </c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2">
        <v>36.0</v>
      </c>
      <c r="B156" s="23" t="s">
        <v>315</v>
      </c>
      <c r="C156" s="24" t="s">
        <v>955</v>
      </c>
      <c r="D156" s="23" t="s">
        <v>966</v>
      </c>
      <c r="E156" s="13" t="s">
        <v>251</v>
      </c>
      <c r="F156" s="13" t="s">
        <v>967</v>
      </c>
      <c r="G156" s="13" t="s">
        <v>253</v>
      </c>
      <c r="H156" s="13" t="s">
        <v>253</v>
      </c>
      <c r="I156" s="13" t="s">
        <v>254</v>
      </c>
      <c r="J156" s="13" t="s">
        <v>959</v>
      </c>
      <c r="K156" s="13" t="s">
        <v>456</v>
      </c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2">
        <v>36.0</v>
      </c>
      <c r="B157" s="23" t="s">
        <v>315</v>
      </c>
      <c r="C157" s="24" t="s">
        <v>955</v>
      </c>
      <c r="D157" s="23" t="s">
        <v>968</v>
      </c>
      <c r="E157" s="13" t="s">
        <v>251</v>
      </c>
      <c r="F157" s="13" t="s">
        <v>970</v>
      </c>
      <c r="G157" s="13" t="s">
        <v>253</v>
      </c>
      <c r="H157" s="13" t="s">
        <v>253</v>
      </c>
      <c r="I157" s="13" t="s">
        <v>254</v>
      </c>
      <c r="J157" s="13" t="s">
        <v>965</v>
      </c>
      <c r="K157" s="13" t="s">
        <v>456</v>
      </c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2">
        <v>36.0</v>
      </c>
      <c r="B158" s="23" t="s">
        <v>315</v>
      </c>
      <c r="C158" s="24" t="s">
        <v>955</v>
      </c>
      <c r="D158" s="23" t="s">
        <v>971</v>
      </c>
      <c r="E158" s="13" t="s">
        <v>272</v>
      </c>
      <c r="F158" s="13" t="s">
        <v>973</v>
      </c>
      <c r="G158" s="13" t="s">
        <v>253</v>
      </c>
      <c r="H158" s="13" t="s">
        <v>253</v>
      </c>
      <c r="I158" s="13" t="s">
        <v>254</v>
      </c>
      <c r="J158" s="13" t="s">
        <v>959</v>
      </c>
      <c r="K158" s="13" t="s">
        <v>456</v>
      </c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2">
        <v>37.0</v>
      </c>
      <c r="B159" s="23" t="s">
        <v>317</v>
      </c>
      <c r="C159" s="24" t="s">
        <v>955</v>
      </c>
      <c r="D159" s="23" t="s">
        <v>410</v>
      </c>
      <c r="E159" s="13" t="s">
        <v>251</v>
      </c>
      <c r="F159" s="13" t="s">
        <v>977</v>
      </c>
      <c r="G159" s="13" t="s">
        <v>253</v>
      </c>
      <c r="H159" s="13" t="s">
        <v>253</v>
      </c>
      <c r="I159" s="13" t="s">
        <v>254</v>
      </c>
      <c r="J159" s="13" t="s">
        <v>978</v>
      </c>
      <c r="K159" s="13" t="s">
        <v>456</v>
      </c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2">
        <v>37.0</v>
      </c>
      <c r="B160" s="23" t="s">
        <v>317</v>
      </c>
      <c r="C160" s="24" t="s">
        <v>955</v>
      </c>
      <c r="D160" s="23" t="s">
        <v>979</v>
      </c>
      <c r="E160" s="13" t="s">
        <v>272</v>
      </c>
      <c r="F160" s="13" t="s">
        <v>980</v>
      </c>
      <c r="G160" s="13" t="s">
        <v>253</v>
      </c>
      <c r="H160" s="13" t="s">
        <v>253</v>
      </c>
      <c r="I160" s="13" t="s">
        <v>254</v>
      </c>
      <c r="J160" s="13" t="s">
        <v>981</v>
      </c>
      <c r="K160" s="13" t="s">
        <v>456</v>
      </c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2">
        <v>37.0</v>
      </c>
      <c r="B161" s="23" t="s">
        <v>317</v>
      </c>
      <c r="C161" s="24" t="s">
        <v>955</v>
      </c>
      <c r="D161" s="23" t="s">
        <v>983</v>
      </c>
      <c r="E161" s="13" t="s">
        <v>272</v>
      </c>
      <c r="F161" s="13" t="s">
        <v>984</v>
      </c>
      <c r="G161" s="13" t="s">
        <v>253</v>
      </c>
      <c r="H161" s="13" t="s">
        <v>253</v>
      </c>
      <c r="I161" s="13" t="s">
        <v>254</v>
      </c>
      <c r="J161" s="13" t="s">
        <v>986</v>
      </c>
      <c r="K161" s="13" t="s">
        <v>456</v>
      </c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2">
        <v>37.0</v>
      </c>
      <c r="B162" s="23" t="s">
        <v>317</v>
      </c>
      <c r="C162" s="24" t="s">
        <v>955</v>
      </c>
      <c r="D162" s="23" t="s">
        <v>987</v>
      </c>
      <c r="E162" s="13" t="s">
        <v>272</v>
      </c>
      <c r="F162" s="13" t="s">
        <v>989</v>
      </c>
      <c r="G162" s="13" t="s">
        <v>253</v>
      </c>
      <c r="H162" s="13" t="s">
        <v>253</v>
      </c>
      <c r="I162" s="13" t="s">
        <v>254</v>
      </c>
      <c r="J162" s="13" t="s">
        <v>978</v>
      </c>
      <c r="K162" s="13" t="s">
        <v>456</v>
      </c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2">
        <v>38.0</v>
      </c>
      <c r="B163" s="23" t="s">
        <v>319</v>
      </c>
      <c r="C163" s="24" t="s">
        <v>992</v>
      </c>
      <c r="D163" s="23" t="s">
        <v>993</v>
      </c>
      <c r="E163" s="13" t="s">
        <v>251</v>
      </c>
      <c r="F163" s="13" t="s">
        <v>995</v>
      </c>
      <c r="G163" s="13" t="s">
        <v>253</v>
      </c>
      <c r="H163" s="13" t="s">
        <v>253</v>
      </c>
      <c r="I163" s="13" t="s">
        <v>254</v>
      </c>
      <c r="J163" s="13" t="s">
        <v>996</v>
      </c>
      <c r="K163" s="13" t="s">
        <v>456</v>
      </c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2">
        <v>38.0</v>
      </c>
      <c r="B164" s="23" t="s">
        <v>319</v>
      </c>
      <c r="C164" s="24" t="s">
        <v>992</v>
      </c>
      <c r="D164" s="23" t="s">
        <v>997</v>
      </c>
      <c r="E164" s="13" t="s">
        <v>251</v>
      </c>
      <c r="F164" s="13" t="s">
        <v>999</v>
      </c>
      <c r="G164" s="13" t="s">
        <v>253</v>
      </c>
      <c r="H164" s="13" t="s">
        <v>253</v>
      </c>
      <c r="I164" s="13" t="s">
        <v>254</v>
      </c>
      <c r="J164" s="13" t="s">
        <v>1000</v>
      </c>
      <c r="K164" s="13" t="s">
        <v>456</v>
      </c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2">
        <v>38.0</v>
      </c>
      <c r="B165" s="23" t="s">
        <v>319</v>
      </c>
      <c r="C165" s="24" t="s">
        <v>992</v>
      </c>
      <c r="D165" s="23" t="s">
        <v>1001</v>
      </c>
      <c r="E165" s="13" t="s">
        <v>251</v>
      </c>
      <c r="F165" s="13" t="s">
        <v>1003</v>
      </c>
      <c r="G165" s="13" t="s">
        <v>253</v>
      </c>
      <c r="H165" s="13" t="s">
        <v>253</v>
      </c>
      <c r="I165" s="13" t="s">
        <v>254</v>
      </c>
      <c r="J165" s="13" t="s">
        <v>996</v>
      </c>
      <c r="K165" s="13" t="s">
        <v>456</v>
      </c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2">
        <v>38.0</v>
      </c>
      <c r="B166" s="23" t="s">
        <v>319</v>
      </c>
      <c r="C166" s="24" t="s">
        <v>992</v>
      </c>
      <c r="D166" s="23" t="s">
        <v>1004</v>
      </c>
      <c r="E166" s="13" t="s">
        <v>251</v>
      </c>
      <c r="F166" s="13" t="s">
        <v>1005</v>
      </c>
      <c r="G166" s="13" t="s">
        <v>253</v>
      </c>
      <c r="H166" s="13" t="s">
        <v>253</v>
      </c>
      <c r="I166" s="13" t="s">
        <v>254</v>
      </c>
      <c r="J166" s="13" t="s">
        <v>1000</v>
      </c>
      <c r="K166" s="13" t="s">
        <v>456</v>
      </c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2">
        <v>39.0</v>
      </c>
      <c r="B167" s="23" t="s">
        <v>320</v>
      </c>
      <c r="C167" s="24" t="s">
        <v>992</v>
      </c>
      <c r="D167" s="23" t="s">
        <v>1006</v>
      </c>
      <c r="E167" s="13" t="s">
        <v>251</v>
      </c>
      <c r="F167" s="13" t="s">
        <v>1007</v>
      </c>
      <c r="G167" s="13" t="s">
        <v>253</v>
      </c>
      <c r="H167" s="13" t="s">
        <v>253</v>
      </c>
      <c r="I167" s="13" t="s">
        <v>254</v>
      </c>
      <c r="J167" s="13" t="s">
        <v>1008</v>
      </c>
      <c r="K167" s="13" t="s">
        <v>491</v>
      </c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2">
        <v>39.0</v>
      </c>
      <c r="B168" s="23" t="s">
        <v>320</v>
      </c>
      <c r="C168" s="24" t="s">
        <v>992</v>
      </c>
      <c r="D168" s="23" t="s">
        <v>1010</v>
      </c>
      <c r="E168" s="13" t="s">
        <v>251</v>
      </c>
      <c r="F168" s="13" t="s">
        <v>1011</v>
      </c>
      <c r="G168" s="13" t="s">
        <v>253</v>
      </c>
      <c r="H168" s="13" t="s">
        <v>253</v>
      </c>
      <c r="I168" s="13" t="s">
        <v>254</v>
      </c>
      <c r="J168" s="13" t="s">
        <v>1012</v>
      </c>
      <c r="K168" s="13" t="s">
        <v>491</v>
      </c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2">
        <v>39.0</v>
      </c>
      <c r="B169" s="23" t="s">
        <v>320</v>
      </c>
      <c r="C169" s="24" t="s">
        <v>992</v>
      </c>
      <c r="D169" s="23" t="s">
        <v>1014</v>
      </c>
      <c r="E169" s="13" t="s">
        <v>251</v>
      </c>
      <c r="F169" s="13" t="s">
        <v>1015</v>
      </c>
      <c r="G169" s="13" t="s">
        <v>253</v>
      </c>
      <c r="H169" s="13" t="s">
        <v>253</v>
      </c>
      <c r="I169" s="13" t="s">
        <v>254</v>
      </c>
      <c r="J169" s="13" t="s">
        <v>1016</v>
      </c>
      <c r="K169" s="13" t="s">
        <v>456</v>
      </c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2">
        <v>39.0</v>
      </c>
      <c r="B170" s="23" t="s">
        <v>320</v>
      </c>
      <c r="C170" s="24" t="s">
        <v>992</v>
      </c>
      <c r="D170" s="23" t="s">
        <v>1017</v>
      </c>
      <c r="E170" s="13" t="s">
        <v>272</v>
      </c>
      <c r="F170" s="13" t="s">
        <v>1019</v>
      </c>
      <c r="G170" s="13" t="s">
        <v>253</v>
      </c>
      <c r="H170" s="13" t="s">
        <v>253</v>
      </c>
      <c r="I170" s="13" t="s">
        <v>254</v>
      </c>
      <c r="J170" s="13" t="s">
        <v>1008</v>
      </c>
      <c r="K170" s="13" t="s">
        <v>456</v>
      </c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2">
        <v>39.0</v>
      </c>
      <c r="B171" s="23" t="s">
        <v>320</v>
      </c>
      <c r="C171" s="24" t="s">
        <v>992</v>
      </c>
      <c r="D171" s="23" t="s">
        <v>1020</v>
      </c>
      <c r="E171" s="13" t="s">
        <v>272</v>
      </c>
      <c r="F171" s="13" t="s">
        <v>1022</v>
      </c>
      <c r="G171" s="13" t="s">
        <v>253</v>
      </c>
      <c r="H171" s="13" t="s">
        <v>253</v>
      </c>
      <c r="I171" s="13" t="s">
        <v>254</v>
      </c>
      <c r="J171" s="13" t="s">
        <v>1012</v>
      </c>
      <c r="K171" s="13" t="s">
        <v>491</v>
      </c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2">
        <v>40.0</v>
      </c>
      <c r="B172" s="23" t="s">
        <v>322</v>
      </c>
      <c r="C172" s="24" t="s">
        <v>992</v>
      </c>
      <c r="D172" s="23" t="s">
        <v>1024</v>
      </c>
      <c r="E172" s="13" t="s">
        <v>251</v>
      </c>
      <c r="F172" s="13" t="s">
        <v>1025</v>
      </c>
      <c r="G172" s="13" t="s">
        <v>253</v>
      </c>
      <c r="H172" s="13" t="s">
        <v>253</v>
      </c>
      <c r="I172" s="13" t="s">
        <v>254</v>
      </c>
      <c r="J172" s="13" t="s">
        <v>1026</v>
      </c>
      <c r="K172" s="13" t="s">
        <v>491</v>
      </c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2">
        <v>40.0</v>
      </c>
      <c r="B173" s="23" t="s">
        <v>322</v>
      </c>
      <c r="C173" s="24" t="s">
        <v>992</v>
      </c>
      <c r="D173" s="23" t="s">
        <v>1027</v>
      </c>
      <c r="E173" s="13" t="s">
        <v>251</v>
      </c>
      <c r="F173" s="13" t="s">
        <v>1029</v>
      </c>
      <c r="G173" s="13" t="s">
        <v>253</v>
      </c>
      <c r="H173" s="13" t="s">
        <v>253</v>
      </c>
      <c r="I173" s="13" t="s">
        <v>254</v>
      </c>
      <c r="J173" s="13" t="s">
        <v>1030</v>
      </c>
      <c r="K173" s="13" t="s">
        <v>478</v>
      </c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2">
        <v>40.0</v>
      </c>
      <c r="B174" s="23" t="s">
        <v>322</v>
      </c>
      <c r="C174" s="24" t="s">
        <v>992</v>
      </c>
      <c r="D174" s="23" t="s">
        <v>323</v>
      </c>
      <c r="E174" s="13" t="s">
        <v>251</v>
      </c>
      <c r="F174" s="13" t="s">
        <v>1032</v>
      </c>
      <c r="G174" s="13" t="s">
        <v>253</v>
      </c>
      <c r="H174" s="13" t="s">
        <v>253</v>
      </c>
      <c r="I174" s="13" t="s">
        <v>254</v>
      </c>
      <c r="J174" s="13" t="s">
        <v>1026</v>
      </c>
      <c r="K174" s="13" t="s">
        <v>491</v>
      </c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2">
        <v>40.0</v>
      </c>
      <c r="B175" s="23" t="s">
        <v>322</v>
      </c>
      <c r="C175" s="24" t="s">
        <v>992</v>
      </c>
      <c r="D175" s="23" t="s">
        <v>328</v>
      </c>
      <c r="E175" s="13" t="s">
        <v>251</v>
      </c>
      <c r="F175" s="13" t="s">
        <v>1034</v>
      </c>
      <c r="G175" s="13" t="s">
        <v>253</v>
      </c>
      <c r="H175" s="13" t="s">
        <v>253</v>
      </c>
      <c r="I175" s="13" t="s">
        <v>254</v>
      </c>
      <c r="J175" s="13" t="s">
        <v>1030</v>
      </c>
      <c r="K175" s="13" t="s">
        <v>491</v>
      </c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2">
        <v>41.0</v>
      </c>
      <c r="B176" s="23" t="s">
        <v>323</v>
      </c>
      <c r="C176" s="24" t="s">
        <v>992</v>
      </c>
      <c r="D176" s="23" t="s">
        <v>1035</v>
      </c>
      <c r="E176" s="13" t="s">
        <v>251</v>
      </c>
      <c r="F176" s="13" t="s">
        <v>1036</v>
      </c>
      <c r="G176" s="13" t="s">
        <v>253</v>
      </c>
      <c r="H176" s="13" t="s">
        <v>253</v>
      </c>
      <c r="I176" s="13" t="s">
        <v>254</v>
      </c>
      <c r="J176" s="13" t="s">
        <v>1037</v>
      </c>
      <c r="K176" s="13" t="s">
        <v>491</v>
      </c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2">
        <v>41.0</v>
      </c>
      <c r="B177" s="23" t="s">
        <v>323</v>
      </c>
      <c r="C177" s="24" t="s">
        <v>992</v>
      </c>
      <c r="D177" s="23" t="s">
        <v>322</v>
      </c>
      <c r="E177" s="13" t="s">
        <v>251</v>
      </c>
      <c r="F177" s="13" t="s">
        <v>1038</v>
      </c>
      <c r="G177" s="13" t="s">
        <v>253</v>
      </c>
      <c r="H177" s="13" t="s">
        <v>253</v>
      </c>
      <c r="I177" s="13" t="s">
        <v>254</v>
      </c>
      <c r="J177" s="13" t="s">
        <v>1039</v>
      </c>
      <c r="K177" s="13" t="s">
        <v>491</v>
      </c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2">
        <v>41.0</v>
      </c>
      <c r="B178" s="23" t="s">
        <v>323</v>
      </c>
      <c r="C178" s="24" t="s">
        <v>992</v>
      </c>
      <c r="D178" s="23" t="s">
        <v>328</v>
      </c>
      <c r="E178" s="13" t="s">
        <v>251</v>
      </c>
      <c r="F178" s="13" t="s">
        <v>1040</v>
      </c>
      <c r="G178" s="13" t="s">
        <v>253</v>
      </c>
      <c r="H178" s="13" t="s">
        <v>253</v>
      </c>
      <c r="I178" s="13" t="s">
        <v>254</v>
      </c>
      <c r="J178" s="13" t="s">
        <v>1037</v>
      </c>
      <c r="K178" s="13" t="s">
        <v>491</v>
      </c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2">
        <v>41.0</v>
      </c>
      <c r="B179" s="23" t="s">
        <v>323</v>
      </c>
      <c r="C179" s="24" t="s">
        <v>992</v>
      </c>
      <c r="D179" s="23" t="s">
        <v>1027</v>
      </c>
      <c r="E179" s="13" t="s">
        <v>272</v>
      </c>
      <c r="F179" s="13" t="s">
        <v>1042</v>
      </c>
      <c r="G179" s="13" t="s">
        <v>253</v>
      </c>
      <c r="H179" s="13" t="s">
        <v>253</v>
      </c>
      <c r="I179" s="13" t="s">
        <v>254</v>
      </c>
      <c r="J179" s="13" t="s">
        <v>1039</v>
      </c>
      <c r="K179" s="13" t="s">
        <v>478</v>
      </c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2">
        <v>42.0</v>
      </c>
      <c r="B180" s="23" t="s">
        <v>324</v>
      </c>
      <c r="C180" s="24" t="s">
        <v>992</v>
      </c>
      <c r="D180" s="23" t="s">
        <v>1044</v>
      </c>
      <c r="E180" s="13" t="s">
        <v>251</v>
      </c>
      <c r="F180" s="13" t="s">
        <v>1045</v>
      </c>
      <c r="G180" s="13" t="s">
        <v>253</v>
      </c>
      <c r="H180" s="13" t="s">
        <v>253</v>
      </c>
      <c r="I180" s="13" t="s">
        <v>254</v>
      </c>
      <c r="J180" s="13" t="s">
        <v>1046</v>
      </c>
      <c r="K180" s="13" t="s">
        <v>491</v>
      </c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2">
        <v>42.0</v>
      </c>
      <c r="B181" s="23" t="s">
        <v>324</v>
      </c>
      <c r="C181" s="24" t="s">
        <v>992</v>
      </c>
      <c r="D181" s="23" t="s">
        <v>331</v>
      </c>
      <c r="E181" s="13" t="s">
        <v>251</v>
      </c>
      <c r="F181" s="13" t="s">
        <v>1047</v>
      </c>
      <c r="G181" s="13" t="s">
        <v>253</v>
      </c>
      <c r="H181" s="13" t="s">
        <v>253</v>
      </c>
      <c r="I181" s="13" t="s">
        <v>254</v>
      </c>
      <c r="J181" s="13" t="s">
        <v>1048</v>
      </c>
      <c r="K181" s="13" t="s">
        <v>456</v>
      </c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2">
        <v>42.0</v>
      </c>
      <c r="B182" s="23" t="s">
        <v>324</v>
      </c>
      <c r="C182" s="24" t="s">
        <v>992</v>
      </c>
      <c r="D182" s="23" t="s">
        <v>1049</v>
      </c>
      <c r="E182" s="13" t="s">
        <v>251</v>
      </c>
      <c r="F182" s="13" t="s">
        <v>1050</v>
      </c>
      <c r="G182" s="13" t="s">
        <v>253</v>
      </c>
      <c r="H182" s="13" t="s">
        <v>253</v>
      </c>
      <c r="I182" s="13" t="s">
        <v>254</v>
      </c>
      <c r="J182" s="13" t="s">
        <v>1046</v>
      </c>
      <c r="K182" s="13" t="s">
        <v>491</v>
      </c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2">
        <v>42.0</v>
      </c>
      <c r="B183" s="23" t="s">
        <v>324</v>
      </c>
      <c r="C183" s="24" t="s">
        <v>992</v>
      </c>
      <c r="D183" s="23" t="s">
        <v>1043</v>
      </c>
      <c r="E183" s="13" t="s">
        <v>251</v>
      </c>
      <c r="F183" s="13" t="s">
        <v>1052</v>
      </c>
      <c r="G183" s="13" t="s">
        <v>253</v>
      </c>
      <c r="H183" s="13" t="s">
        <v>253</v>
      </c>
      <c r="I183" s="13" t="s">
        <v>254</v>
      </c>
      <c r="J183" s="13" t="s">
        <v>1048</v>
      </c>
      <c r="K183" s="13" t="s">
        <v>491</v>
      </c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2">
        <v>42.0</v>
      </c>
      <c r="B184" s="23" t="s">
        <v>324</v>
      </c>
      <c r="C184" s="24" t="s">
        <v>992</v>
      </c>
      <c r="D184" s="23" t="s">
        <v>923</v>
      </c>
      <c r="E184" s="13" t="s">
        <v>272</v>
      </c>
      <c r="F184" s="13" t="s">
        <v>1054</v>
      </c>
      <c r="G184" s="13" t="s">
        <v>253</v>
      </c>
      <c r="H184" s="13" t="s">
        <v>253</v>
      </c>
      <c r="I184" s="13" t="s">
        <v>254</v>
      </c>
      <c r="J184" s="13" t="s">
        <v>1046</v>
      </c>
      <c r="K184" s="13" t="s">
        <v>478</v>
      </c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2">
        <v>43.0</v>
      </c>
      <c r="B185" s="23" t="s">
        <v>326</v>
      </c>
      <c r="C185" s="24" t="s">
        <v>992</v>
      </c>
      <c r="D185" s="23" t="s">
        <v>1055</v>
      </c>
      <c r="E185" s="13" t="s">
        <v>251</v>
      </c>
      <c r="F185" s="13" t="s">
        <v>1056</v>
      </c>
      <c r="G185" s="13" t="s">
        <v>253</v>
      </c>
      <c r="H185" s="13" t="s">
        <v>253</v>
      </c>
      <c r="I185" s="13" t="s">
        <v>254</v>
      </c>
      <c r="J185" s="13" t="s">
        <v>1057</v>
      </c>
      <c r="K185" s="13" t="s">
        <v>456</v>
      </c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2">
        <v>43.0</v>
      </c>
      <c r="B186" s="23" t="s">
        <v>326</v>
      </c>
      <c r="C186" s="24" t="s">
        <v>992</v>
      </c>
      <c r="D186" s="23" t="s">
        <v>1058</v>
      </c>
      <c r="E186" s="13" t="s">
        <v>272</v>
      </c>
      <c r="F186" s="13" t="s">
        <v>1059</v>
      </c>
      <c r="G186" s="13" t="s">
        <v>253</v>
      </c>
      <c r="H186" s="13" t="s">
        <v>253</v>
      </c>
      <c r="I186" s="13" t="s">
        <v>254</v>
      </c>
      <c r="J186" s="13" t="s">
        <v>1060</v>
      </c>
      <c r="K186" s="13" t="s">
        <v>456</v>
      </c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2">
        <v>43.0</v>
      </c>
      <c r="B187" s="23" t="s">
        <v>326</v>
      </c>
      <c r="C187" s="24" t="s">
        <v>992</v>
      </c>
      <c r="D187" s="23" t="s">
        <v>923</v>
      </c>
      <c r="E187" s="13" t="s">
        <v>272</v>
      </c>
      <c r="F187" s="13" t="s">
        <v>1061</v>
      </c>
      <c r="G187" s="13" t="s">
        <v>253</v>
      </c>
      <c r="H187" s="13" t="s">
        <v>253</v>
      </c>
      <c r="I187" s="13" t="s">
        <v>254</v>
      </c>
      <c r="J187" s="13" t="s">
        <v>1062</v>
      </c>
      <c r="K187" s="13" t="s">
        <v>478</v>
      </c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2">
        <v>43.0</v>
      </c>
      <c r="B188" s="23" t="s">
        <v>326</v>
      </c>
      <c r="C188" s="24" t="s">
        <v>992</v>
      </c>
      <c r="D188" s="23" t="s">
        <v>1063</v>
      </c>
      <c r="E188" s="13" t="s">
        <v>272</v>
      </c>
      <c r="F188" s="13" t="s">
        <v>1064</v>
      </c>
      <c r="G188" s="13" t="s">
        <v>253</v>
      </c>
      <c r="H188" s="13" t="s">
        <v>253</v>
      </c>
      <c r="I188" s="13" t="s">
        <v>254</v>
      </c>
      <c r="J188" s="13" t="s">
        <v>1057</v>
      </c>
      <c r="K188" s="13" t="s">
        <v>478</v>
      </c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2">
        <v>44.0</v>
      </c>
      <c r="B189" s="23" t="s">
        <v>328</v>
      </c>
      <c r="C189" s="24" t="s">
        <v>992</v>
      </c>
      <c r="D189" s="23" t="s">
        <v>322</v>
      </c>
      <c r="E189" s="13" t="s">
        <v>251</v>
      </c>
      <c r="F189" s="13" t="s">
        <v>1065</v>
      </c>
      <c r="G189" s="13" t="s">
        <v>253</v>
      </c>
      <c r="H189" s="13" t="s">
        <v>253</v>
      </c>
      <c r="I189" s="13" t="s">
        <v>254</v>
      </c>
      <c r="J189" s="13" t="s">
        <v>1066</v>
      </c>
      <c r="K189" s="13" t="s">
        <v>491</v>
      </c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2">
        <v>44.0</v>
      </c>
      <c r="B190" s="23" t="s">
        <v>328</v>
      </c>
      <c r="C190" s="24" t="s">
        <v>992</v>
      </c>
      <c r="D190" s="23" t="s">
        <v>323</v>
      </c>
      <c r="E190" s="13" t="s">
        <v>251</v>
      </c>
      <c r="F190" s="13" t="s">
        <v>1067</v>
      </c>
      <c r="G190" s="13" t="s">
        <v>253</v>
      </c>
      <c r="H190" s="13" t="s">
        <v>253</v>
      </c>
      <c r="I190" s="13" t="s">
        <v>254</v>
      </c>
      <c r="J190" s="13" t="s">
        <v>1068</v>
      </c>
      <c r="K190" s="13" t="s">
        <v>491</v>
      </c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2">
        <v>44.0</v>
      </c>
      <c r="B191" s="23" t="s">
        <v>328</v>
      </c>
      <c r="C191" s="24" t="s">
        <v>992</v>
      </c>
      <c r="D191" s="23" t="s">
        <v>1035</v>
      </c>
      <c r="E191" s="13" t="s">
        <v>251</v>
      </c>
      <c r="F191" s="13" t="s">
        <v>1069</v>
      </c>
      <c r="G191" s="13" t="s">
        <v>253</v>
      </c>
      <c r="H191" s="13" t="s">
        <v>253</v>
      </c>
      <c r="I191" s="13" t="s">
        <v>254</v>
      </c>
      <c r="J191" s="13" t="s">
        <v>1066</v>
      </c>
      <c r="K191" s="13" t="s">
        <v>491</v>
      </c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2">
        <v>44.0</v>
      </c>
      <c r="B192" s="23" t="s">
        <v>328</v>
      </c>
      <c r="C192" s="24" t="s">
        <v>992</v>
      </c>
      <c r="D192" s="23" t="s">
        <v>1027</v>
      </c>
      <c r="E192" s="13" t="s">
        <v>251</v>
      </c>
      <c r="F192" s="13" t="s">
        <v>1070</v>
      </c>
      <c r="G192" s="13" t="s">
        <v>253</v>
      </c>
      <c r="H192" s="13" t="s">
        <v>253</v>
      </c>
      <c r="I192" s="13" t="s">
        <v>254</v>
      </c>
      <c r="J192" s="13" t="s">
        <v>1068</v>
      </c>
      <c r="K192" s="13" t="s">
        <v>478</v>
      </c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2">
        <v>44.0</v>
      </c>
      <c r="B193" s="23" t="s">
        <v>328</v>
      </c>
      <c r="C193" s="24" t="s">
        <v>992</v>
      </c>
      <c r="D193" s="23" t="s">
        <v>1024</v>
      </c>
      <c r="E193" s="13" t="s">
        <v>272</v>
      </c>
      <c r="F193" s="13" t="s">
        <v>1071</v>
      </c>
      <c r="G193" s="13" t="s">
        <v>253</v>
      </c>
      <c r="H193" s="13" t="s">
        <v>253</v>
      </c>
      <c r="I193" s="13" t="s">
        <v>254</v>
      </c>
      <c r="J193" s="13" t="s">
        <v>1066</v>
      </c>
      <c r="K193" s="13" t="s">
        <v>491</v>
      </c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2">
        <v>45.0</v>
      </c>
      <c r="B194" s="23" t="s">
        <v>329</v>
      </c>
      <c r="C194" s="24" t="s">
        <v>992</v>
      </c>
      <c r="D194" s="23" t="s">
        <v>1072</v>
      </c>
      <c r="E194" s="13" t="s">
        <v>251</v>
      </c>
      <c r="F194" s="13" t="s">
        <v>1073</v>
      </c>
      <c r="G194" s="13" t="s">
        <v>253</v>
      </c>
      <c r="H194" s="13" t="s">
        <v>253</v>
      </c>
      <c r="I194" s="13" t="s">
        <v>254</v>
      </c>
      <c r="J194" s="13" t="s">
        <v>1074</v>
      </c>
      <c r="K194" s="13" t="s">
        <v>456</v>
      </c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2">
        <v>45.0</v>
      </c>
      <c r="B195" s="23" t="s">
        <v>329</v>
      </c>
      <c r="C195" s="24" t="s">
        <v>992</v>
      </c>
      <c r="D195" s="23" t="s">
        <v>1075</v>
      </c>
      <c r="E195" s="13" t="s">
        <v>251</v>
      </c>
      <c r="F195" s="13" t="s">
        <v>1076</v>
      </c>
      <c r="G195" s="13" t="s">
        <v>253</v>
      </c>
      <c r="H195" s="13" t="s">
        <v>253</v>
      </c>
      <c r="I195" s="13" t="s">
        <v>254</v>
      </c>
      <c r="J195" s="13" t="s">
        <v>1077</v>
      </c>
      <c r="K195" s="13" t="s">
        <v>456</v>
      </c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2">
        <v>45.0</v>
      </c>
      <c r="B196" s="23" t="s">
        <v>329</v>
      </c>
      <c r="C196" s="24" t="s">
        <v>992</v>
      </c>
      <c r="D196" s="23" t="s">
        <v>1063</v>
      </c>
      <c r="E196" s="13" t="s">
        <v>272</v>
      </c>
      <c r="F196" s="13" t="s">
        <v>1078</v>
      </c>
      <c r="G196" s="13" t="s">
        <v>253</v>
      </c>
      <c r="H196" s="13" t="s">
        <v>253</v>
      </c>
      <c r="I196" s="13" t="s">
        <v>254</v>
      </c>
      <c r="J196" s="13" t="s">
        <v>1079</v>
      </c>
      <c r="K196" s="13" t="s">
        <v>478</v>
      </c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2">
        <v>45.0</v>
      </c>
      <c r="B197" s="23" t="s">
        <v>329</v>
      </c>
      <c r="C197" s="24" t="s">
        <v>992</v>
      </c>
      <c r="D197" s="23" t="s">
        <v>1080</v>
      </c>
      <c r="E197" s="13" t="s">
        <v>272</v>
      </c>
      <c r="F197" s="13" t="s">
        <v>1081</v>
      </c>
      <c r="G197" s="13" t="s">
        <v>253</v>
      </c>
      <c r="H197" s="13" t="s">
        <v>253</v>
      </c>
      <c r="I197" s="13" t="s">
        <v>254</v>
      </c>
      <c r="J197" s="13" t="s">
        <v>1074</v>
      </c>
      <c r="K197" s="13" t="s">
        <v>491</v>
      </c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2">
        <v>45.0</v>
      </c>
      <c r="B198" s="23" t="s">
        <v>329</v>
      </c>
      <c r="C198" s="24" t="s">
        <v>992</v>
      </c>
      <c r="D198" s="23" t="s">
        <v>1082</v>
      </c>
      <c r="E198" s="13" t="s">
        <v>272</v>
      </c>
      <c r="F198" s="13" t="s">
        <v>1091</v>
      </c>
      <c r="G198" s="13" t="s">
        <v>253</v>
      </c>
      <c r="H198" s="13" t="s">
        <v>253</v>
      </c>
      <c r="I198" s="13" t="s">
        <v>254</v>
      </c>
      <c r="J198" s="13" t="s">
        <v>1077</v>
      </c>
      <c r="K198" s="13" t="s">
        <v>456</v>
      </c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2">
        <v>46.0</v>
      </c>
      <c r="B199" s="23" t="s">
        <v>330</v>
      </c>
      <c r="C199" s="24" t="s">
        <v>992</v>
      </c>
      <c r="D199" s="23" t="s">
        <v>320</v>
      </c>
      <c r="E199" s="13" t="s">
        <v>251</v>
      </c>
      <c r="F199" s="13" t="s">
        <v>1095</v>
      </c>
      <c r="G199" s="13" t="s">
        <v>253</v>
      </c>
      <c r="H199" s="13" t="s">
        <v>253</v>
      </c>
      <c r="I199" s="13" t="s">
        <v>254</v>
      </c>
      <c r="J199" s="13" t="s">
        <v>1096</v>
      </c>
      <c r="K199" s="13" t="s">
        <v>456</v>
      </c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2">
        <v>46.0</v>
      </c>
      <c r="B200" s="23" t="s">
        <v>330</v>
      </c>
      <c r="C200" s="24" t="s">
        <v>992</v>
      </c>
      <c r="D200" s="23" t="s">
        <v>1097</v>
      </c>
      <c r="E200" s="13" t="s">
        <v>272</v>
      </c>
      <c r="F200" s="13" t="s">
        <v>1100</v>
      </c>
      <c r="G200" s="13" t="s">
        <v>253</v>
      </c>
      <c r="H200" s="13" t="s">
        <v>253</v>
      </c>
      <c r="I200" s="13" t="s">
        <v>254</v>
      </c>
      <c r="J200" s="13" t="s">
        <v>1096</v>
      </c>
      <c r="K200" s="13" t="s">
        <v>456</v>
      </c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2">
        <v>46.0</v>
      </c>
      <c r="B201" s="23" t="s">
        <v>330</v>
      </c>
      <c r="C201" s="24" t="s">
        <v>992</v>
      </c>
      <c r="D201" s="23" t="s">
        <v>1006</v>
      </c>
      <c r="E201" s="13" t="s">
        <v>272</v>
      </c>
      <c r="F201" s="13" t="s">
        <v>1103</v>
      </c>
      <c r="G201" s="13" t="s">
        <v>253</v>
      </c>
      <c r="H201" s="13" t="s">
        <v>253</v>
      </c>
      <c r="I201" s="13" t="s">
        <v>254</v>
      </c>
      <c r="J201" s="13" t="s">
        <v>1096</v>
      </c>
      <c r="K201" s="13" t="s">
        <v>491</v>
      </c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2">
        <v>47.0</v>
      </c>
      <c r="B202" s="23" t="s">
        <v>331</v>
      </c>
      <c r="C202" s="24" t="s">
        <v>992</v>
      </c>
      <c r="D202" s="23" t="s">
        <v>324</v>
      </c>
      <c r="E202" s="13" t="s">
        <v>251</v>
      </c>
      <c r="F202" s="13" t="s">
        <v>1104</v>
      </c>
      <c r="G202" s="13" t="s">
        <v>253</v>
      </c>
      <c r="H202" s="13" t="s">
        <v>253</v>
      </c>
      <c r="I202" s="13" t="s">
        <v>254</v>
      </c>
      <c r="J202" s="13" t="s">
        <v>1105</v>
      </c>
      <c r="K202" s="13" t="s">
        <v>456</v>
      </c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2">
        <v>47.0</v>
      </c>
      <c r="B203" s="23" t="s">
        <v>331</v>
      </c>
      <c r="C203" s="24" t="s">
        <v>992</v>
      </c>
      <c r="D203" s="23" t="s">
        <v>1044</v>
      </c>
      <c r="E203" s="13" t="s">
        <v>251</v>
      </c>
      <c r="F203" s="13" t="s">
        <v>1107</v>
      </c>
      <c r="G203" s="13" t="s">
        <v>253</v>
      </c>
      <c r="H203" s="13" t="s">
        <v>253</v>
      </c>
      <c r="I203" s="13" t="s">
        <v>254</v>
      </c>
      <c r="J203" s="13" t="s">
        <v>1108</v>
      </c>
      <c r="K203" s="13" t="s">
        <v>491</v>
      </c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2">
        <v>47.0</v>
      </c>
      <c r="B204" s="23" t="s">
        <v>331</v>
      </c>
      <c r="C204" s="24" t="s">
        <v>992</v>
      </c>
      <c r="D204" s="23" t="s">
        <v>1049</v>
      </c>
      <c r="E204" s="13" t="s">
        <v>251</v>
      </c>
      <c r="F204" s="13" t="s">
        <v>1109</v>
      </c>
      <c r="G204" s="13" t="s">
        <v>253</v>
      </c>
      <c r="H204" s="13" t="s">
        <v>253</v>
      </c>
      <c r="I204" s="13" t="s">
        <v>254</v>
      </c>
      <c r="J204" s="13" t="s">
        <v>1105</v>
      </c>
      <c r="K204" s="13" t="s">
        <v>491</v>
      </c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2">
        <v>47.0</v>
      </c>
      <c r="B205" s="23" t="s">
        <v>331</v>
      </c>
      <c r="C205" s="24" t="s">
        <v>992</v>
      </c>
      <c r="D205" s="23" t="s">
        <v>1043</v>
      </c>
      <c r="E205" s="13" t="s">
        <v>272</v>
      </c>
      <c r="F205" s="13" t="s">
        <v>1110</v>
      </c>
      <c r="G205" s="13" t="s">
        <v>253</v>
      </c>
      <c r="H205" s="13" t="s">
        <v>253</v>
      </c>
      <c r="I205" s="13" t="s">
        <v>254</v>
      </c>
      <c r="J205" s="13" t="s">
        <v>1108</v>
      </c>
      <c r="K205" s="13" t="s">
        <v>491</v>
      </c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2">
        <v>48.0</v>
      </c>
      <c r="B206" s="23" t="s">
        <v>332</v>
      </c>
      <c r="C206" s="24" t="s">
        <v>992</v>
      </c>
      <c r="D206" s="23" t="s">
        <v>1111</v>
      </c>
      <c r="E206" s="13" t="s">
        <v>251</v>
      </c>
      <c r="F206" s="13" t="s">
        <v>1112</v>
      </c>
      <c r="G206" s="13" t="s">
        <v>253</v>
      </c>
      <c r="H206" s="13" t="s">
        <v>253</v>
      </c>
      <c r="I206" s="13" t="s">
        <v>254</v>
      </c>
      <c r="J206" s="13" t="s">
        <v>1113</v>
      </c>
      <c r="K206" s="13" t="s">
        <v>456</v>
      </c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2">
        <v>48.0</v>
      </c>
      <c r="B207" s="23" t="s">
        <v>332</v>
      </c>
      <c r="C207" s="24" t="s">
        <v>992</v>
      </c>
      <c r="D207" s="23" t="s">
        <v>1114</v>
      </c>
      <c r="E207" s="13" t="s">
        <v>251</v>
      </c>
      <c r="F207" s="13" t="s">
        <v>1117</v>
      </c>
      <c r="G207" s="13" t="s">
        <v>253</v>
      </c>
      <c r="H207" s="13" t="s">
        <v>253</v>
      </c>
      <c r="I207" s="13" t="s">
        <v>254</v>
      </c>
      <c r="J207" s="13" t="s">
        <v>1118</v>
      </c>
      <c r="K207" s="13" t="s">
        <v>456</v>
      </c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2">
        <v>48.0</v>
      </c>
      <c r="B208" s="23" t="s">
        <v>332</v>
      </c>
      <c r="C208" s="24" t="s">
        <v>992</v>
      </c>
      <c r="D208" s="23" t="s">
        <v>998</v>
      </c>
      <c r="E208" s="13" t="s">
        <v>251</v>
      </c>
      <c r="F208" s="13" t="s">
        <v>1119</v>
      </c>
      <c r="G208" s="13" t="s">
        <v>253</v>
      </c>
      <c r="H208" s="13" t="s">
        <v>253</v>
      </c>
      <c r="I208" s="13" t="s">
        <v>254</v>
      </c>
      <c r="J208" s="13" t="s">
        <v>1120</v>
      </c>
      <c r="K208" s="13" t="s">
        <v>456</v>
      </c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2">
        <v>48.0</v>
      </c>
      <c r="B209" s="23" t="s">
        <v>332</v>
      </c>
      <c r="C209" s="24" t="s">
        <v>992</v>
      </c>
      <c r="D209" s="23" t="s">
        <v>1020</v>
      </c>
      <c r="E209" s="13" t="s">
        <v>251</v>
      </c>
      <c r="F209" s="13" t="s">
        <v>1122</v>
      </c>
      <c r="G209" s="13" t="s">
        <v>253</v>
      </c>
      <c r="H209" s="13" t="s">
        <v>253</v>
      </c>
      <c r="I209" s="13" t="s">
        <v>254</v>
      </c>
      <c r="J209" s="13" t="s">
        <v>1113</v>
      </c>
      <c r="K209" s="13" t="s">
        <v>491</v>
      </c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2">
        <v>48.0</v>
      </c>
      <c r="B210" s="23" t="s">
        <v>332</v>
      </c>
      <c r="C210" s="24" t="s">
        <v>992</v>
      </c>
      <c r="D210" s="23" t="s">
        <v>963</v>
      </c>
      <c r="E210" s="13" t="s">
        <v>251</v>
      </c>
      <c r="F210" s="13" t="s">
        <v>1123</v>
      </c>
      <c r="G210" s="13" t="s">
        <v>253</v>
      </c>
      <c r="H210" s="13" t="s">
        <v>253</v>
      </c>
      <c r="I210" s="13" t="s">
        <v>254</v>
      </c>
      <c r="J210" s="13" t="s">
        <v>1118</v>
      </c>
      <c r="K210" s="13" t="s">
        <v>456</v>
      </c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2">
        <v>49.0</v>
      </c>
      <c r="B211" s="23" t="s">
        <v>333</v>
      </c>
      <c r="C211" s="24" t="s">
        <v>992</v>
      </c>
      <c r="D211" s="23" t="s">
        <v>1010</v>
      </c>
      <c r="E211" s="13" t="s">
        <v>251</v>
      </c>
      <c r="F211" s="13" t="s">
        <v>1125</v>
      </c>
      <c r="G211" s="13" t="s">
        <v>253</v>
      </c>
      <c r="H211" s="13" t="s">
        <v>253</v>
      </c>
      <c r="I211" s="13" t="s">
        <v>254</v>
      </c>
      <c r="J211" s="13" t="s">
        <v>1126</v>
      </c>
      <c r="K211" s="13" t="s">
        <v>491</v>
      </c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2">
        <v>49.0</v>
      </c>
      <c r="B212" s="23" t="s">
        <v>333</v>
      </c>
      <c r="C212" s="24" t="s">
        <v>992</v>
      </c>
      <c r="D212" s="23" t="s">
        <v>1063</v>
      </c>
      <c r="E212" s="13" t="s">
        <v>251</v>
      </c>
      <c r="F212" s="13" t="s">
        <v>1128</v>
      </c>
      <c r="G212" s="13" t="s">
        <v>253</v>
      </c>
      <c r="H212" s="13" t="s">
        <v>253</v>
      </c>
      <c r="I212" s="13" t="s">
        <v>254</v>
      </c>
      <c r="J212" s="13" t="s">
        <v>1129</v>
      </c>
      <c r="K212" s="13" t="s">
        <v>478</v>
      </c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2">
        <v>49.0</v>
      </c>
      <c r="B213" s="23" t="s">
        <v>333</v>
      </c>
      <c r="C213" s="24" t="s">
        <v>992</v>
      </c>
      <c r="D213" s="23" t="s">
        <v>923</v>
      </c>
      <c r="E213" s="13" t="s">
        <v>272</v>
      </c>
      <c r="F213" s="13" t="s">
        <v>1131</v>
      </c>
      <c r="G213" s="13" t="s">
        <v>253</v>
      </c>
      <c r="H213" s="13" t="s">
        <v>253</v>
      </c>
      <c r="I213" s="13" t="s">
        <v>254</v>
      </c>
      <c r="J213" s="13" t="s">
        <v>1126</v>
      </c>
      <c r="K213" s="13" t="s">
        <v>478</v>
      </c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2">
        <v>49.0</v>
      </c>
      <c r="B214" s="23" t="s">
        <v>333</v>
      </c>
      <c r="C214" s="24" t="s">
        <v>992</v>
      </c>
      <c r="D214" s="23" t="s">
        <v>1080</v>
      </c>
      <c r="E214" s="13" t="s">
        <v>272</v>
      </c>
      <c r="F214" s="13" t="s">
        <v>1133</v>
      </c>
      <c r="G214" s="13" t="s">
        <v>253</v>
      </c>
      <c r="H214" s="13" t="s">
        <v>253</v>
      </c>
      <c r="I214" s="13" t="s">
        <v>254</v>
      </c>
      <c r="J214" s="13" t="s">
        <v>1129</v>
      </c>
      <c r="K214" s="13" t="s">
        <v>491</v>
      </c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2">
        <v>49.0</v>
      </c>
      <c r="B215" s="23" t="s">
        <v>333</v>
      </c>
      <c r="C215" s="24" t="s">
        <v>992</v>
      </c>
      <c r="D215" s="23" t="s">
        <v>330</v>
      </c>
      <c r="E215" s="13" t="s">
        <v>272</v>
      </c>
      <c r="F215" s="13" t="s">
        <v>1134</v>
      </c>
      <c r="G215" s="13" t="s">
        <v>253</v>
      </c>
      <c r="H215" s="13" t="s">
        <v>253</v>
      </c>
      <c r="I215" s="13" t="s">
        <v>254</v>
      </c>
      <c r="J215" s="13" t="s">
        <v>1126</v>
      </c>
      <c r="K215" s="13" t="s">
        <v>456</v>
      </c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2">
        <v>50.0</v>
      </c>
      <c r="B216" s="23" t="s">
        <v>336</v>
      </c>
      <c r="C216" s="24" t="s">
        <v>1136</v>
      </c>
      <c r="D216" s="23" t="s">
        <v>1137</v>
      </c>
      <c r="E216" s="13" t="s">
        <v>251</v>
      </c>
      <c r="F216" s="13" t="s">
        <v>1139</v>
      </c>
      <c r="G216" s="13" t="s">
        <v>253</v>
      </c>
      <c r="H216" s="13" t="s">
        <v>253</v>
      </c>
      <c r="I216" s="13" t="s">
        <v>254</v>
      </c>
      <c r="J216" s="13" t="s">
        <v>1140</v>
      </c>
      <c r="K216" s="13" t="s">
        <v>456</v>
      </c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2">
        <v>50.0</v>
      </c>
      <c r="B217" s="23" t="s">
        <v>336</v>
      </c>
      <c r="C217" s="24" t="s">
        <v>1136</v>
      </c>
      <c r="D217" s="23" t="s">
        <v>1142</v>
      </c>
      <c r="E217" s="13" t="s">
        <v>251</v>
      </c>
      <c r="F217" s="13" t="s">
        <v>1144</v>
      </c>
      <c r="G217" s="13" t="s">
        <v>253</v>
      </c>
      <c r="H217" s="13" t="s">
        <v>253</v>
      </c>
      <c r="I217" s="13" t="s">
        <v>254</v>
      </c>
      <c r="J217" s="13" t="s">
        <v>1145</v>
      </c>
      <c r="K217" s="13" t="s">
        <v>456</v>
      </c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2">
        <v>50.0</v>
      </c>
      <c r="B218" s="23" t="s">
        <v>336</v>
      </c>
      <c r="C218" s="24" t="s">
        <v>1136</v>
      </c>
      <c r="D218" s="23" t="s">
        <v>1146</v>
      </c>
      <c r="E218" s="13" t="s">
        <v>251</v>
      </c>
      <c r="F218" s="13" t="s">
        <v>1147</v>
      </c>
      <c r="G218" s="13" t="s">
        <v>253</v>
      </c>
      <c r="H218" s="13" t="s">
        <v>253</v>
      </c>
      <c r="I218" s="13" t="s">
        <v>254</v>
      </c>
      <c r="J218" s="13" t="s">
        <v>1148</v>
      </c>
      <c r="K218" s="13" t="s">
        <v>456</v>
      </c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2">
        <v>50.0</v>
      </c>
      <c r="B219" s="23" t="s">
        <v>336</v>
      </c>
      <c r="C219" s="24" t="s">
        <v>1136</v>
      </c>
      <c r="D219" s="23" t="s">
        <v>1149</v>
      </c>
      <c r="E219" s="13" t="s">
        <v>251</v>
      </c>
      <c r="F219" s="13" t="s">
        <v>1151</v>
      </c>
      <c r="G219" s="13" t="s">
        <v>253</v>
      </c>
      <c r="H219" s="13" t="s">
        <v>253</v>
      </c>
      <c r="I219" s="13" t="s">
        <v>254</v>
      </c>
      <c r="J219" s="13" t="s">
        <v>1140</v>
      </c>
      <c r="K219" s="13" t="s">
        <v>456</v>
      </c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2">
        <v>50.0</v>
      </c>
      <c r="B220" s="23" t="s">
        <v>336</v>
      </c>
      <c r="C220" s="24" t="s">
        <v>1136</v>
      </c>
      <c r="D220" s="23" t="s">
        <v>1154</v>
      </c>
      <c r="E220" s="13" t="s">
        <v>272</v>
      </c>
      <c r="F220" s="13" t="s">
        <v>1157</v>
      </c>
      <c r="G220" s="13" t="s">
        <v>253</v>
      </c>
      <c r="H220" s="13" t="s">
        <v>253</v>
      </c>
      <c r="I220" s="13" t="s">
        <v>254</v>
      </c>
      <c r="J220" s="13" t="s">
        <v>1145</v>
      </c>
      <c r="K220" s="13" t="s">
        <v>1159</v>
      </c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2">
        <v>51.0</v>
      </c>
      <c r="B221" s="23" t="s">
        <v>338</v>
      </c>
      <c r="C221" s="24" t="s">
        <v>1163</v>
      </c>
      <c r="D221" s="23" t="s">
        <v>1164</v>
      </c>
      <c r="E221" s="13" t="s">
        <v>251</v>
      </c>
      <c r="F221" s="13" t="s">
        <v>1167</v>
      </c>
      <c r="G221" s="13" t="s">
        <v>253</v>
      </c>
      <c r="H221" s="13" t="s">
        <v>253</v>
      </c>
      <c r="I221" s="13" t="s">
        <v>254</v>
      </c>
      <c r="J221" s="13" t="s">
        <v>1168</v>
      </c>
      <c r="K221" s="13" t="s">
        <v>456</v>
      </c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2">
        <v>51.0</v>
      </c>
      <c r="B222" s="23" t="s">
        <v>338</v>
      </c>
      <c r="C222" s="24" t="s">
        <v>1163</v>
      </c>
      <c r="D222" s="23" t="s">
        <v>1170</v>
      </c>
      <c r="E222" s="13" t="s">
        <v>251</v>
      </c>
      <c r="F222" s="13" t="s">
        <v>1172</v>
      </c>
      <c r="G222" s="13" t="s">
        <v>253</v>
      </c>
      <c r="H222" s="13" t="s">
        <v>253</v>
      </c>
      <c r="I222" s="13" t="s">
        <v>254</v>
      </c>
      <c r="J222" s="13" t="s">
        <v>1173</v>
      </c>
      <c r="K222" s="13" t="s">
        <v>456</v>
      </c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2">
        <v>51.0</v>
      </c>
      <c r="B223" s="23" t="s">
        <v>338</v>
      </c>
      <c r="C223" s="24" t="s">
        <v>1163</v>
      </c>
      <c r="D223" s="23" t="s">
        <v>1174</v>
      </c>
      <c r="E223" s="13" t="s">
        <v>251</v>
      </c>
      <c r="F223" s="13" t="s">
        <v>1176</v>
      </c>
      <c r="G223" s="13" t="s">
        <v>253</v>
      </c>
      <c r="H223" s="13" t="s">
        <v>253</v>
      </c>
      <c r="I223" s="13" t="s">
        <v>254</v>
      </c>
      <c r="J223" s="13" t="s">
        <v>1168</v>
      </c>
      <c r="K223" s="13" t="s">
        <v>456</v>
      </c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2">
        <v>51.0</v>
      </c>
      <c r="B224" s="23" t="s">
        <v>338</v>
      </c>
      <c r="C224" s="24" t="s">
        <v>1163</v>
      </c>
      <c r="D224" s="23" t="s">
        <v>1177</v>
      </c>
      <c r="E224" s="13" t="s">
        <v>272</v>
      </c>
      <c r="F224" s="13" t="s">
        <v>1178</v>
      </c>
      <c r="G224" s="13" t="s">
        <v>253</v>
      </c>
      <c r="H224" s="13" t="s">
        <v>253</v>
      </c>
      <c r="I224" s="13" t="s">
        <v>254</v>
      </c>
      <c r="J224" s="13" t="s">
        <v>1173</v>
      </c>
      <c r="K224" s="13" t="s">
        <v>456</v>
      </c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2">
        <v>52.0</v>
      </c>
      <c r="B225" s="23" t="s">
        <v>339</v>
      </c>
      <c r="C225" s="24" t="s">
        <v>1179</v>
      </c>
      <c r="D225" s="23" t="s">
        <v>1180</v>
      </c>
      <c r="E225" s="13" t="s">
        <v>251</v>
      </c>
      <c r="F225" s="13" t="s">
        <v>1182</v>
      </c>
      <c r="G225" s="13" t="s">
        <v>253</v>
      </c>
      <c r="H225" s="13" t="s">
        <v>253</v>
      </c>
      <c r="I225" s="13" t="s">
        <v>254</v>
      </c>
      <c r="J225" s="13" t="s">
        <v>1183</v>
      </c>
      <c r="K225" s="13" t="s">
        <v>456</v>
      </c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2">
        <v>52.0</v>
      </c>
      <c r="B226" s="23" t="s">
        <v>339</v>
      </c>
      <c r="C226" s="24" t="s">
        <v>1179</v>
      </c>
      <c r="D226" s="23" t="s">
        <v>1184</v>
      </c>
      <c r="E226" s="13" t="s">
        <v>251</v>
      </c>
      <c r="F226" s="13" t="s">
        <v>1187</v>
      </c>
      <c r="G226" s="13" t="s">
        <v>253</v>
      </c>
      <c r="H226" s="13" t="s">
        <v>253</v>
      </c>
      <c r="I226" s="13" t="s">
        <v>254</v>
      </c>
      <c r="J226" s="13" t="s">
        <v>1188</v>
      </c>
      <c r="K226" s="13" t="s">
        <v>456</v>
      </c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2">
        <v>52.0</v>
      </c>
      <c r="B227" s="23" t="s">
        <v>339</v>
      </c>
      <c r="C227" s="24" t="s">
        <v>1179</v>
      </c>
      <c r="D227" s="23" t="s">
        <v>426</v>
      </c>
      <c r="E227" s="13" t="s">
        <v>251</v>
      </c>
      <c r="F227" s="13" t="s">
        <v>1193</v>
      </c>
      <c r="G227" s="13" t="s">
        <v>253</v>
      </c>
      <c r="H227" s="13" t="s">
        <v>253</v>
      </c>
      <c r="I227" s="13" t="s">
        <v>254</v>
      </c>
      <c r="J227" s="13" t="s">
        <v>1194</v>
      </c>
      <c r="K227" s="13" t="s">
        <v>456</v>
      </c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2">
        <v>52.0</v>
      </c>
      <c r="B228" s="23" t="s">
        <v>339</v>
      </c>
      <c r="C228" s="24" t="s">
        <v>1179</v>
      </c>
      <c r="D228" s="23" t="s">
        <v>308</v>
      </c>
      <c r="E228" s="13" t="s">
        <v>251</v>
      </c>
      <c r="F228" s="13" t="s">
        <v>1196</v>
      </c>
      <c r="G228" s="13" t="s">
        <v>253</v>
      </c>
      <c r="H228" s="13" t="s">
        <v>253</v>
      </c>
      <c r="I228" s="13" t="s">
        <v>254</v>
      </c>
      <c r="J228" s="13" t="s">
        <v>1197</v>
      </c>
      <c r="K228" s="13" t="s">
        <v>456</v>
      </c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2">
        <v>52.0</v>
      </c>
      <c r="B229" s="23" t="s">
        <v>339</v>
      </c>
      <c r="C229" s="24" t="s">
        <v>1179</v>
      </c>
      <c r="D229" s="23" t="s">
        <v>1198</v>
      </c>
      <c r="E229" s="13" t="s">
        <v>272</v>
      </c>
      <c r="F229" s="13" t="s">
        <v>1200</v>
      </c>
      <c r="G229" s="13" t="s">
        <v>253</v>
      </c>
      <c r="H229" s="13" t="s">
        <v>253</v>
      </c>
      <c r="I229" s="13" t="s">
        <v>254</v>
      </c>
      <c r="J229" s="13" t="s">
        <v>1183</v>
      </c>
      <c r="K229" s="13" t="s">
        <v>527</v>
      </c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2">
        <v>53.0</v>
      </c>
      <c r="B230" s="23" t="s">
        <v>340</v>
      </c>
      <c r="C230" s="24" t="s">
        <v>1179</v>
      </c>
      <c r="D230" s="23" t="s">
        <v>1201</v>
      </c>
      <c r="E230" s="13" t="s">
        <v>251</v>
      </c>
      <c r="F230" s="13" t="s">
        <v>1202</v>
      </c>
      <c r="G230" s="13" t="s">
        <v>253</v>
      </c>
      <c r="H230" s="13" t="s">
        <v>253</v>
      </c>
      <c r="I230" s="13" t="s">
        <v>254</v>
      </c>
      <c r="J230" s="13" t="s">
        <v>1203</v>
      </c>
      <c r="K230" s="13" t="s">
        <v>456</v>
      </c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2">
        <v>53.0</v>
      </c>
      <c r="B231" s="23" t="s">
        <v>340</v>
      </c>
      <c r="C231" s="24" t="s">
        <v>1179</v>
      </c>
      <c r="D231" s="23" t="s">
        <v>1205</v>
      </c>
      <c r="E231" s="13" t="s">
        <v>251</v>
      </c>
      <c r="F231" s="13" t="s">
        <v>1206</v>
      </c>
      <c r="G231" s="13" t="s">
        <v>253</v>
      </c>
      <c r="H231" s="13" t="s">
        <v>253</v>
      </c>
      <c r="I231" s="13" t="s">
        <v>254</v>
      </c>
      <c r="J231" s="13" t="s">
        <v>1207</v>
      </c>
      <c r="K231" s="13" t="s">
        <v>527</v>
      </c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2">
        <v>53.0</v>
      </c>
      <c r="B232" s="23" t="s">
        <v>340</v>
      </c>
      <c r="C232" s="24" t="s">
        <v>1179</v>
      </c>
      <c r="D232" s="23" t="s">
        <v>433</v>
      </c>
      <c r="E232" s="13" t="s">
        <v>272</v>
      </c>
      <c r="F232" s="13" t="s">
        <v>1208</v>
      </c>
      <c r="G232" s="13" t="s">
        <v>253</v>
      </c>
      <c r="H232" s="13" t="s">
        <v>253</v>
      </c>
      <c r="I232" s="13" t="s">
        <v>254</v>
      </c>
      <c r="J232" s="13" t="s">
        <v>1203</v>
      </c>
      <c r="K232" s="13" t="s">
        <v>456</v>
      </c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2">
        <v>54.0</v>
      </c>
      <c r="B233" s="23" t="s">
        <v>341</v>
      </c>
      <c r="C233" s="24" t="s">
        <v>1179</v>
      </c>
      <c r="D233" s="23" t="s">
        <v>1210</v>
      </c>
      <c r="E233" s="13" t="s">
        <v>251</v>
      </c>
      <c r="F233" s="13" t="s">
        <v>1211</v>
      </c>
      <c r="G233" s="13" t="s">
        <v>253</v>
      </c>
      <c r="H233" s="13" t="s">
        <v>253</v>
      </c>
      <c r="I233" s="13" t="s">
        <v>254</v>
      </c>
      <c r="J233" s="13" t="s">
        <v>1212</v>
      </c>
      <c r="K233" s="13" t="s">
        <v>456</v>
      </c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2">
        <v>54.0</v>
      </c>
      <c r="B234" s="23" t="s">
        <v>341</v>
      </c>
      <c r="C234" s="24" t="s">
        <v>1179</v>
      </c>
      <c r="D234" s="23" t="s">
        <v>1213</v>
      </c>
      <c r="E234" s="13" t="s">
        <v>251</v>
      </c>
      <c r="F234" s="13" t="s">
        <v>1216</v>
      </c>
      <c r="G234" s="13" t="s">
        <v>253</v>
      </c>
      <c r="H234" s="13" t="s">
        <v>253</v>
      </c>
      <c r="I234" s="13" t="s">
        <v>254</v>
      </c>
      <c r="J234" s="13" t="s">
        <v>1217</v>
      </c>
      <c r="K234" s="13" t="s">
        <v>456</v>
      </c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2">
        <v>54.0</v>
      </c>
      <c r="B235" s="23" t="s">
        <v>341</v>
      </c>
      <c r="C235" s="24" t="s">
        <v>1179</v>
      </c>
      <c r="D235" s="23" t="s">
        <v>1218</v>
      </c>
      <c r="E235" s="13" t="s">
        <v>251</v>
      </c>
      <c r="F235" s="13" t="s">
        <v>1220</v>
      </c>
      <c r="G235" s="13" t="s">
        <v>253</v>
      </c>
      <c r="H235" s="13" t="s">
        <v>253</v>
      </c>
      <c r="I235" s="13" t="s">
        <v>254</v>
      </c>
      <c r="J235" s="13" t="s">
        <v>1212</v>
      </c>
      <c r="K235" s="13" t="s">
        <v>456</v>
      </c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2">
        <v>54.0</v>
      </c>
      <c r="B236" s="23" t="s">
        <v>341</v>
      </c>
      <c r="C236" s="24" t="s">
        <v>1179</v>
      </c>
      <c r="D236" s="23" t="s">
        <v>1221</v>
      </c>
      <c r="E236" s="13" t="s">
        <v>251</v>
      </c>
      <c r="F236" s="13" t="s">
        <v>1222</v>
      </c>
      <c r="G236" s="13" t="s">
        <v>253</v>
      </c>
      <c r="H236" s="13" t="s">
        <v>253</v>
      </c>
      <c r="I236" s="13" t="s">
        <v>254</v>
      </c>
      <c r="J236" s="13" t="s">
        <v>1217</v>
      </c>
      <c r="K236" s="13" t="s">
        <v>456</v>
      </c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2">
        <v>54.0</v>
      </c>
      <c r="B237" s="23" t="s">
        <v>341</v>
      </c>
      <c r="C237" s="24" t="s">
        <v>1179</v>
      </c>
      <c r="D237" s="23" t="s">
        <v>957</v>
      </c>
      <c r="E237" s="13" t="s">
        <v>272</v>
      </c>
      <c r="F237" s="13" t="s">
        <v>1223</v>
      </c>
      <c r="G237" s="13" t="s">
        <v>253</v>
      </c>
      <c r="H237" s="13" t="s">
        <v>253</v>
      </c>
      <c r="I237" s="13" t="s">
        <v>254</v>
      </c>
      <c r="J237" s="13" t="s">
        <v>1212</v>
      </c>
      <c r="K237" s="13" t="s">
        <v>456</v>
      </c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2">
        <v>55.0</v>
      </c>
      <c r="B238" s="23" t="s">
        <v>342</v>
      </c>
      <c r="C238" s="24" t="s">
        <v>1179</v>
      </c>
      <c r="D238" s="23" t="s">
        <v>407</v>
      </c>
      <c r="E238" s="13" t="s">
        <v>251</v>
      </c>
      <c r="F238" s="13" t="s">
        <v>1226</v>
      </c>
      <c r="G238" s="13" t="s">
        <v>253</v>
      </c>
      <c r="H238" s="13" t="s">
        <v>253</v>
      </c>
      <c r="I238" s="13" t="s">
        <v>254</v>
      </c>
      <c r="J238" s="13" t="s">
        <v>1227</v>
      </c>
      <c r="K238" s="13" t="s">
        <v>456</v>
      </c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2">
        <v>55.0</v>
      </c>
      <c r="B239" s="23" t="s">
        <v>342</v>
      </c>
      <c r="C239" s="24" t="s">
        <v>1179</v>
      </c>
      <c r="D239" s="23" t="s">
        <v>1228</v>
      </c>
      <c r="E239" s="13" t="s">
        <v>251</v>
      </c>
      <c r="F239" s="13" t="s">
        <v>1229</v>
      </c>
      <c r="G239" s="13" t="s">
        <v>253</v>
      </c>
      <c r="H239" s="13" t="s">
        <v>253</v>
      </c>
      <c r="I239" s="13" t="s">
        <v>254</v>
      </c>
      <c r="J239" s="13" t="s">
        <v>1230</v>
      </c>
      <c r="K239" s="13" t="s">
        <v>456</v>
      </c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2">
        <v>55.0</v>
      </c>
      <c r="B240" s="23" t="s">
        <v>342</v>
      </c>
      <c r="C240" s="24" t="s">
        <v>1179</v>
      </c>
      <c r="D240" s="23" t="s">
        <v>730</v>
      </c>
      <c r="E240" s="13" t="s">
        <v>251</v>
      </c>
      <c r="F240" s="13" t="s">
        <v>1231</v>
      </c>
      <c r="G240" s="13" t="s">
        <v>253</v>
      </c>
      <c r="H240" s="13" t="s">
        <v>253</v>
      </c>
      <c r="I240" s="13" t="s">
        <v>254</v>
      </c>
      <c r="J240" s="13" t="s">
        <v>1232</v>
      </c>
      <c r="K240" s="13" t="s">
        <v>456</v>
      </c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2">
        <v>55.0</v>
      </c>
      <c r="B241" s="23" t="s">
        <v>342</v>
      </c>
      <c r="C241" s="24" t="s">
        <v>1179</v>
      </c>
      <c r="D241" s="23" t="s">
        <v>1233</v>
      </c>
      <c r="E241" s="13" t="s">
        <v>272</v>
      </c>
      <c r="F241" s="13" t="s">
        <v>1234</v>
      </c>
      <c r="G241" s="13" t="s">
        <v>253</v>
      </c>
      <c r="H241" s="13" t="s">
        <v>253</v>
      </c>
      <c r="I241" s="13" t="s">
        <v>254</v>
      </c>
      <c r="J241" s="13" t="s">
        <v>1227</v>
      </c>
      <c r="K241" s="13" t="s">
        <v>491</v>
      </c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2">
        <v>55.0</v>
      </c>
      <c r="B242" s="23" t="s">
        <v>342</v>
      </c>
      <c r="C242" s="24" t="s">
        <v>1179</v>
      </c>
      <c r="D242" s="23" t="s">
        <v>1235</v>
      </c>
      <c r="E242" s="13" t="s">
        <v>272</v>
      </c>
      <c r="F242" s="13" t="s">
        <v>1237</v>
      </c>
      <c r="G242" s="13" t="s">
        <v>253</v>
      </c>
      <c r="H242" s="13" t="s">
        <v>253</v>
      </c>
      <c r="I242" s="13" t="s">
        <v>254</v>
      </c>
      <c r="J242" s="13" t="s">
        <v>1230</v>
      </c>
      <c r="K242" s="13" t="s">
        <v>456</v>
      </c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2">
        <v>56.0</v>
      </c>
      <c r="B243" s="23" t="s">
        <v>343</v>
      </c>
      <c r="C243" s="24" t="s">
        <v>1179</v>
      </c>
      <c r="D243" s="23" t="s">
        <v>316</v>
      </c>
      <c r="E243" s="13" t="s">
        <v>251</v>
      </c>
      <c r="F243" s="13" t="s">
        <v>1241</v>
      </c>
      <c r="G243" s="13" t="s">
        <v>253</v>
      </c>
      <c r="H243" s="13" t="s">
        <v>253</v>
      </c>
      <c r="I243" s="13" t="s">
        <v>254</v>
      </c>
      <c r="J243" s="13" t="s">
        <v>1243</v>
      </c>
      <c r="K243" s="13" t="s">
        <v>491</v>
      </c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2">
        <v>56.0</v>
      </c>
      <c r="B244" s="23" t="s">
        <v>343</v>
      </c>
      <c r="C244" s="24" t="s">
        <v>1179</v>
      </c>
      <c r="D244" s="23" t="s">
        <v>309</v>
      </c>
      <c r="E244" s="13" t="s">
        <v>251</v>
      </c>
      <c r="F244" s="13" t="s">
        <v>1246</v>
      </c>
      <c r="G244" s="13" t="s">
        <v>253</v>
      </c>
      <c r="H244" s="13" t="s">
        <v>253</v>
      </c>
      <c r="I244" s="13" t="s">
        <v>254</v>
      </c>
      <c r="J244" s="13" t="s">
        <v>1247</v>
      </c>
      <c r="K244" s="13" t="s">
        <v>456</v>
      </c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2">
        <v>56.0</v>
      </c>
      <c r="B245" s="23" t="s">
        <v>343</v>
      </c>
      <c r="C245" s="24" t="s">
        <v>1179</v>
      </c>
      <c r="D245" s="23" t="s">
        <v>318</v>
      </c>
      <c r="E245" s="13" t="s">
        <v>251</v>
      </c>
      <c r="F245" s="13" t="s">
        <v>1249</v>
      </c>
      <c r="G245" s="13" t="s">
        <v>253</v>
      </c>
      <c r="H245" s="13" t="s">
        <v>253</v>
      </c>
      <c r="I245" s="13" t="s">
        <v>254</v>
      </c>
      <c r="J245" s="13" t="s">
        <v>1243</v>
      </c>
      <c r="K245" s="13" t="s">
        <v>491</v>
      </c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2">
        <v>56.0</v>
      </c>
      <c r="B246" s="23" t="s">
        <v>343</v>
      </c>
      <c r="C246" s="24" t="s">
        <v>1179</v>
      </c>
      <c r="D246" s="23" t="s">
        <v>477</v>
      </c>
      <c r="E246" s="13" t="s">
        <v>272</v>
      </c>
      <c r="F246" s="13" t="s">
        <v>1252</v>
      </c>
      <c r="G246" s="13" t="s">
        <v>253</v>
      </c>
      <c r="H246" s="13" t="s">
        <v>253</v>
      </c>
      <c r="I246" s="13" t="s">
        <v>254</v>
      </c>
      <c r="J246" s="13" t="s">
        <v>1247</v>
      </c>
      <c r="K246" s="13" t="s">
        <v>456</v>
      </c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2">
        <v>56.0</v>
      </c>
      <c r="B247" s="23" t="s">
        <v>343</v>
      </c>
      <c r="C247" s="24" t="s">
        <v>1179</v>
      </c>
      <c r="D247" s="23" t="s">
        <v>1233</v>
      </c>
      <c r="E247" s="13" t="s">
        <v>272</v>
      </c>
      <c r="F247" s="13" t="s">
        <v>1253</v>
      </c>
      <c r="G247" s="13" t="s">
        <v>253</v>
      </c>
      <c r="H247" s="13" t="s">
        <v>253</v>
      </c>
      <c r="I247" s="13" t="s">
        <v>254</v>
      </c>
      <c r="J247" s="13" t="s">
        <v>1243</v>
      </c>
      <c r="K247" s="13" t="s">
        <v>491</v>
      </c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2">
        <v>57.0</v>
      </c>
      <c r="B248" s="23" t="s">
        <v>345</v>
      </c>
      <c r="C248" s="24" t="s">
        <v>1255</v>
      </c>
      <c r="D248" s="23" t="s">
        <v>1256</v>
      </c>
      <c r="E248" s="13" t="s">
        <v>251</v>
      </c>
      <c r="F248" s="13" t="s">
        <v>1258</v>
      </c>
      <c r="G248" s="13" t="s">
        <v>253</v>
      </c>
      <c r="H248" s="13" t="s">
        <v>253</v>
      </c>
      <c r="I248" s="13" t="s">
        <v>254</v>
      </c>
      <c r="J248" s="13" t="s">
        <v>1259</v>
      </c>
      <c r="K248" s="13" t="s">
        <v>456</v>
      </c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2">
        <v>57.0</v>
      </c>
      <c r="B249" s="23" t="s">
        <v>345</v>
      </c>
      <c r="C249" s="24" t="s">
        <v>1255</v>
      </c>
      <c r="D249" s="23" t="s">
        <v>1261</v>
      </c>
      <c r="E249" s="13" t="s">
        <v>251</v>
      </c>
      <c r="F249" s="13" t="s">
        <v>1263</v>
      </c>
      <c r="G249" s="13" t="s">
        <v>253</v>
      </c>
      <c r="H249" s="13" t="s">
        <v>253</v>
      </c>
      <c r="I249" s="13" t="s">
        <v>254</v>
      </c>
      <c r="J249" s="13" t="s">
        <v>1264</v>
      </c>
      <c r="K249" s="13" t="s">
        <v>456</v>
      </c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2">
        <v>57.0</v>
      </c>
      <c r="B250" s="23" t="s">
        <v>345</v>
      </c>
      <c r="C250" s="24" t="s">
        <v>1255</v>
      </c>
      <c r="D250" s="23" t="s">
        <v>1265</v>
      </c>
      <c r="E250" s="13" t="s">
        <v>251</v>
      </c>
      <c r="F250" s="13" t="s">
        <v>1267</v>
      </c>
      <c r="G250" s="13" t="s">
        <v>253</v>
      </c>
      <c r="H250" s="13" t="s">
        <v>253</v>
      </c>
      <c r="I250" s="13" t="s">
        <v>254</v>
      </c>
      <c r="J250" s="13" t="s">
        <v>1269</v>
      </c>
      <c r="K250" s="13" t="s">
        <v>456</v>
      </c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2">
        <v>57.0</v>
      </c>
      <c r="B251" s="23" t="s">
        <v>345</v>
      </c>
      <c r="C251" s="24" t="s">
        <v>1255</v>
      </c>
      <c r="D251" s="23" t="s">
        <v>1270</v>
      </c>
      <c r="E251" s="13" t="s">
        <v>251</v>
      </c>
      <c r="F251" s="13" t="s">
        <v>1271</v>
      </c>
      <c r="G251" s="13" t="s">
        <v>253</v>
      </c>
      <c r="H251" s="13" t="s">
        <v>253</v>
      </c>
      <c r="I251" s="13" t="s">
        <v>254</v>
      </c>
      <c r="J251" s="13" t="s">
        <v>1272</v>
      </c>
      <c r="K251" s="13" t="s">
        <v>456</v>
      </c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2">
        <v>57.0</v>
      </c>
      <c r="B252" s="23" t="s">
        <v>345</v>
      </c>
      <c r="C252" s="24" t="s">
        <v>1255</v>
      </c>
      <c r="D252" s="23" t="s">
        <v>1274</v>
      </c>
      <c r="E252" s="13" t="s">
        <v>272</v>
      </c>
      <c r="F252" s="13" t="s">
        <v>1275</v>
      </c>
      <c r="G252" s="13" t="s">
        <v>253</v>
      </c>
      <c r="H252" s="13" t="s">
        <v>253</v>
      </c>
      <c r="I252" s="13" t="s">
        <v>254</v>
      </c>
      <c r="J252" s="13" t="s">
        <v>1259</v>
      </c>
      <c r="K252" s="13" t="s">
        <v>491</v>
      </c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2">
        <v>58.0</v>
      </c>
      <c r="B253" s="23" t="s">
        <v>334</v>
      </c>
      <c r="C253" s="24" t="s">
        <v>1255</v>
      </c>
      <c r="D253" s="23" t="s">
        <v>337</v>
      </c>
      <c r="E253" s="13" t="s">
        <v>251</v>
      </c>
      <c r="F253" s="13" t="s">
        <v>1278</v>
      </c>
      <c r="G253" s="13" t="s">
        <v>253</v>
      </c>
      <c r="H253" s="13" t="s">
        <v>253</v>
      </c>
      <c r="I253" s="13" t="s">
        <v>254</v>
      </c>
      <c r="J253" s="13" t="s">
        <v>1279</v>
      </c>
      <c r="K253" s="13" t="s">
        <v>456</v>
      </c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2">
        <v>58.0</v>
      </c>
      <c r="B254" s="23" t="s">
        <v>334</v>
      </c>
      <c r="C254" s="24" t="s">
        <v>1255</v>
      </c>
      <c r="D254" s="23" t="s">
        <v>1280</v>
      </c>
      <c r="E254" s="13" t="s">
        <v>251</v>
      </c>
      <c r="F254" s="13" t="s">
        <v>1281</v>
      </c>
      <c r="G254" s="13" t="s">
        <v>253</v>
      </c>
      <c r="H254" s="13" t="s">
        <v>253</v>
      </c>
      <c r="I254" s="13" t="s">
        <v>254</v>
      </c>
      <c r="J254" s="13" t="s">
        <v>1282</v>
      </c>
      <c r="K254" s="13" t="s">
        <v>456</v>
      </c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2">
        <v>58.0</v>
      </c>
      <c r="B255" s="23" t="s">
        <v>334</v>
      </c>
      <c r="C255" s="24" t="s">
        <v>1255</v>
      </c>
      <c r="D255" s="23" t="s">
        <v>1283</v>
      </c>
      <c r="E255" s="13" t="s">
        <v>251</v>
      </c>
      <c r="F255" s="13" t="s">
        <v>1284</v>
      </c>
      <c r="G255" s="13" t="s">
        <v>253</v>
      </c>
      <c r="H255" s="13" t="s">
        <v>253</v>
      </c>
      <c r="I255" s="13" t="s">
        <v>254</v>
      </c>
      <c r="J255" s="13" t="s">
        <v>1285</v>
      </c>
      <c r="K255" s="13" t="s">
        <v>456</v>
      </c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2">
        <v>58.0</v>
      </c>
      <c r="B256" s="23" t="s">
        <v>334</v>
      </c>
      <c r="C256" s="24" t="s">
        <v>1255</v>
      </c>
      <c r="D256" s="23" t="s">
        <v>855</v>
      </c>
      <c r="E256" s="13" t="s">
        <v>251</v>
      </c>
      <c r="F256" s="13" t="s">
        <v>1287</v>
      </c>
      <c r="G256" s="13" t="s">
        <v>253</v>
      </c>
      <c r="H256" s="13" t="s">
        <v>253</v>
      </c>
      <c r="I256" s="13" t="s">
        <v>254</v>
      </c>
      <c r="J256" s="13" t="s">
        <v>1288</v>
      </c>
      <c r="K256" s="13" t="s">
        <v>456</v>
      </c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2">
        <v>58.0</v>
      </c>
      <c r="B257" s="23" t="s">
        <v>334</v>
      </c>
      <c r="C257" s="24" t="s">
        <v>1255</v>
      </c>
      <c r="D257" s="23" t="s">
        <v>1290</v>
      </c>
      <c r="E257" s="13" t="s">
        <v>272</v>
      </c>
      <c r="F257" s="13" t="s">
        <v>1292</v>
      </c>
      <c r="G257" s="13" t="s">
        <v>253</v>
      </c>
      <c r="H257" s="13" t="s">
        <v>253</v>
      </c>
      <c r="I257" s="13" t="s">
        <v>254</v>
      </c>
      <c r="J257" s="13" t="s">
        <v>1279</v>
      </c>
      <c r="K257" s="13" t="s">
        <v>456</v>
      </c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2">
        <v>59.0</v>
      </c>
      <c r="B258" s="23" t="s">
        <v>294</v>
      </c>
      <c r="C258" s="24" t="s">
        <v>1255</v>
      </c>
      <c r="D258" s="23" t="s">
        <v>1294</v>
      </c>
      <c r="E258" s="13" t="s">
        <v>251</v>
      </c>
      <c r="F258" s="13" t="s">
        <v>1295</v>
      </c>
      <c r="G258" s="13" t="s">
        <v>253</v>
      </c>
      <c r="H258" s="13" t="s">
        <v>253</v>
      </c>
      <c r="I258" s="13" t="s">
        <v>254</v>
      </c>
      <c r="J258" s="13" t="s">
        <v>1296</v>
      </c>
      <c r="K258" s="13" t="s">
        <v>456</v>
      </c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2">
        <v>59.0</v>
      </c>
      <c r="B259" s="23" t="s">
        <v>294</v>
      </c>
      <c r="C259" s="24" t="s">
        <v>1255</v>
      </c>
      <c r="D259" s="23" t="s">
        <v>1298</v>
      </c>
      <c r="E259" s="13" t="s">
        <v>251</v>
      </c>
      <c r="F259" s="13" t="s">
        <v>1300</v>
      </c>
      <c r="G259" s="13" t="s">
        <v>253</v>
      </c>
      <c r="H259" s="13" t="s">
        <v>253</v>
      </c>
      <c r="I259" s="13" t="s">
        <v>254</v>
      </c>
      <c r="J259" s="13" t="s">
        <v>1301</v>
      </c>
      <c r="K259" s="13" t="s">
        <v>456</v>
      </c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2">
        <v>59.0</v>
      </c>
      <c r="B260" s="23" t="s">
        <v>294</v>
      </c>
      <c r="C260" s="24" t="s">
        <v>1255</v>
      </c>
      <c r="D260" s="23" t="s">
        <v>1302</v>
      </c>
      <c r="E260" s="13" t="s">
        <v>272</v>
      </c>
      <c r="F260" s="13" t="s">
        <v>1304</v>
      </c>
      <c r="G260" s="13" t="s">
        <v>253</v>
      </c>
      <c r="H260" s="13" t="s">
        <v>253</v>
      </c>
      <c r="I260" s="13" t="s">
        <v>254</v>
      </c>
      <c r="J260" s="13" t="s">
        <v>1306</v>
      </c>
      <c r="K260" s="13" t="s">
        <v>456</v>
      </c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2">
        <v>60.0</v>
      </c>
      <c r="B261" s="23" t="s">
        <v>354</v>
      </c>
      <c r="C261" s="24" t="s">
        <v>1308</v>
      </c>
      <c r="D261" s="23" t="s">
        <v>1309</v>
      </c>
      <c r="E261" s="13" t="s">
        <v>251</v>
      </c>
      <c r="F261" s="13" t="s">
        <v>1311</v>
      </c>
      <c r="G261" s="13" t="s">
        <v>253</v>
      </c>
      <c r="H261" s="13" t="s">
        <v>253</v>
      </c>
      <c r="I261" s="13" t="s">
        <v>254</v>
      </c>
      <c r="J261" s="13" t="s">
        <v>1313</v>
      </c>
      <c r="K261" s="13" t="s">
        <v>456</v>
      </c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2">
        <v>60.0</v>
      </c>
      <c r="B262" s="23" t="s">
        <v>354</v>
      </c>
      <c r="C262" s="24" t="s">
        <v>1308</v>
      </c>
      <c r="D262" s="23" t="s">
        <v>1314</v>
      </c>
      <c r="E262" s="13" t="s">
        <v>251</v>
      </c>
      <c r="F262" s="13" t="s">
        <v>1316</v>
      </c>
      <c r="G262" s="13" t="s">
        <v>253</v>
      </c>
      <c r="H262" s="13" t="s">
        <v>253</v>
      </c>
      <c r="I262" s="13" t="s">
        <v>254</v>
      </c>
      <c r="J262" s="13" t="s">
        <v>1317</v>
      </c>
      <c r="K262" s="13" t="s">
        <v>456</v>
      </c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2">
        <v>60.0</v>
      </c>
      <c r="B263" s="23" t="s">
        <v>354</v>
      </c>
      <c r="C263" s="24" t="s">
        <v>1308</v>
      </c>
      <c r="D263" s="23" t="s">
        <v>1318</v>
      </c>
      <c r="E263" s="13" t="s">
        <v>251</v>
      </c>
      <c r="F263" s="13" t="s">
        <v>1319</v>
      </c>
      <c r="G263" s="13" t="s">
        <v>253</v>
      </c>
      <c r="H263" s="13" t="s">
        <v>253</v>
      </c>
      <c r="I263" s="13" t="s">
        <v>254</v>
      </c>
      <c r="J263" s="13" t="s">
        <v>1320</v>
      </c>
      <c r="K263" s="13" t="s">
        <v>456</v>
      </c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2">
        <v>60.0</v>
      </c>
      <c r="B264" s="23" t="s">
        <v>354</v>
      </c>
      <c r="C264" s="24" t="s">
        <v>1308</v>
      </c>
      <c r="D264" s="23" t="s">
        <v>1321</v>
      </c>
      <c r="E264" s="13" t="s">
        <v>251</v>
      </c>
      <c r="F264" s="13" t="s">
        <v>1323</v>
      </c>
      <c r="G264" s="13" t="s">
        <v>253</v>
      </c>
      <c r="H264" s="13" t="s">
        <v>253</v>
      </c>
      <c r="I264" s="13" t="s">
        <v>254</v>
      </c>
      <c r="J264" s="13" t="s">
        <v>1313</v>
      </c>
      <c r="K264" s="13" t="s">
        <v>456</v>
      </c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2">
        <v>60.0</v>
      </c>
      <c r="B265" s="23" t="s">
        <v>354</v>
      </c>
      <c r="C265" s="24" t="s">
        <v>1308</v>
      </c>
      <c r="D265" s="23" t="s">
        <v>1325</v>
      </c>
      <c r="E265" s="13" t="s">
        <v>272</v>
      </c>
      <c r="F265" s="13" t="s">
        <v>1327</v>
      </c>
      <c r="G265" s="13" t="s">
        <v>253</v>
      </c>
      <c r="H265" s="13" t="s">
        <v>253</v>
      </c>
      <c r="I265" s="13" t="s">
        <v>254</v>
      </c>
      <c r="J265" s="13" t="s">
        <v>1317</v>
      </c>
      <c r="K265" s="13" t="s">
        <v>456</v>
      </c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2">
        <v>61.0</v>
      </c>
      <c r="B266" s="23" t="s">
        <v>356</v>
      </c>
      <c r="C266" s="24" t="s">
        <v>1308</v>
      </c>
      <c r="D266" s="23" t="s">
        <v>1328</v>
      </c>
      <c r="E266" s="13" t="s">
        <v>251</v>
      </c>
      <c r="F266" s="13" t="s">
        <v>1329</v>
      </c>
      <c r="G266" s="13" t="s">
        <v>253</v>
      </c>
      <c r="H266" s="13" t="s">
        <v>253</v>
      </c>
      <c r="I266" s="13" t="s">
        <v>254</v>
      </c>
      <c r="J266" s="13" t="s">
        <v>1330</v>
      </c>
      <c r="K266" s="13" t="s">
        <v>456</v>
      </c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2">
        <v>61.0</v>
      </c>
      <c r="B267" s="23" t="s">
        <v>356</v>
      </c>
      <c r="C267" s="24" t="s">
        <v>1308</v>
      </c>
      <c r="D267" s="23" t="s">
        <v>1331</v>
      </c>
      <c r="E267" s="13" t="s">
        <v>251</v>
      </c>
      <c r="F267" s="13" t="s">
        <v>1332</v>
      </c>
      <c r="G267" s="13" t="s">
        <v>253</v>
      </c>
      <c r="H267" s="13" t="s">
        <v>253</v>
      </c>
      <c r="I267" s="13" t="s">
        <v>254</v>
      </c>
      <c r="J267" s="13" t="s">
        <v>1333</v>
      </c>
      <c r="K267" s="13" t="s">
        <v>456</v>
      </c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2">
        <v>61.0</v>
      </c>
      <c r="B268" s="23" t="s">
        <v>356</v>
      </c>
      <c r="C268" s="24" t="s">
        <v>1308</v>
      </c>
      <c r="D268" s="23" t="s">
        <v>766</v>
      </c>
      <c r="E268" s="13" t="s">
        <v>251</v>
      </c>
      <c r="F268" s="13" t="s">
        <v>1335</v>
      </c>
      <c r="G268" s="13" t="s">
        <v>253</v>
      </c>
      <c r="H268" s="13" t="s">
        <v>253</v>
      </c>
      <c r="I268" s="13" t="s">
        <v>254</v>
      </c>
      <c r="J268" s="13" t="s">
        <v>1330</v>
      </c>
      <c r="K268" s="13" t="s">
        <v>456</v>
      </c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2">
        <v>61.0</v>
      </c>
      <c r="B269" s="23" t="s">
        <v>356</v>
      </c>
      <c r="C269" s="24" t="s">
        <v>1308</v>
      </c>
      <c r="D269" s="23" t="s">
        <v>1336</v>
      </c>
      <c r="E269" s="13" t="s">
        <v>272</v>
      </c>
      <c r="F269" s="13" t="s">
        <v>1338</v>
      </c>
      <c r="G269" s="13" t="s">
        <v>253</v>
      </c>
      <c r="H269" s="13" t="s">
        <v>253</v>
      </c>
      <c r="I269" s="13" t="s">
        <v>254</v>
      </c>
      <c r="J269" s="13" t="s">
        <v>1333</v>
      </c>
      <c r="K269" s="13" t="s">
        <v>456</v>
      </c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2">
        <v>61.0</v>
      </c>
      <c r="B270" s="23" t="s">
        <v>356</v>
      </c>
      <c r="C270" s="24" t="s">
        <v>1308</v>
      </c>
      <c r="D270" s="23" t="s">
        <v>1339</v>
      </c>
      <c r="E270" s="13" t="s">
        <v>272</v>
      </c>
      <c r="F270" s="13" t="s">
        <v>1342</v>
      </c>
      <c r="G270" s="13" t="s">
        <v>253</v>
      </c>
      <c r="H270" s="13" t="s">
        <v>253</v>
      </c>
      <c r="I270" s="13" t="s">
        <v>254</v>
      </c>
      <c r="J270" s="13" t="s">
        <v>1330</v>
      </c>
      <c r="K270" s="13" t="s">
        <v>456</v>
      </c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2">
        <v>62.0</v>
      </c>
      <c r="B271" s="23" t="s">
        <v>359</v>
      </c>
      <c r="C271" s="24" t="s">
        <v>1308</v>
      </c>
      <c r="D271" s="23" t="s">
        <v>1346</v>
      </c>
      <c r="E271" s="13" t="s">
        <v>251</v>
      </c>
      <c r="F271" s="13" t="s">
        <v>1349</v>
      </c>
      <c r="G271" s="13" t="s">
        <v>253</v>
      </c>
      <c r="H271" s="13" t="s">
        <v>253</v>
      </c>
      <c r="I271" s="13" t="s">
        <v>254</v>
      </c>
      <c r="J271" s="13" t="s">
        <v>1350</v>
      </c>
      <c r="K271" s="13" t="s">
        <v>456</v>
      </c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2">
        <v>62.0</v>
      </c>
      <c r="B272" s="23" t="s">
        <v>359</v>
      </c>
      <c r="C272" s="24" t="s">
        <v>1308</v>
      </c>
      <c r="D272" s="23" t="s">
        <v>1351</v>
      </c>
      <c r="E272" s="13" t="s">
        <v>251</v>
      </c>
      <c r="F272" s="13" t="s">
        <v>1352</v>
      </c>
      <c r="G272" s="13" t="s">
        <v>253</v>
      </c>
      <c r="H272" s="13" t="s">
        <v>253</v>
      </c>
      <c r="I272" s="13" t="s">
        <v>254</v>
      </c>
      <c r="J272" s="13" t="s">
        <v>1353</v>
      </c>
      <c r="K272" s="13" t="s">
        <v>456</v>
      </c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2">
        <v>62.0</v>
      </c>
      <c r="B273" s="23" t="s">
        <v>359</v>
      </c>
      <c r="C273" s="24" t="s">
        <v>1308</v>
      </c>
      <c r="D273" s="23" t="s">
        <v>1354</v>
      </c>
      <c r="E273" s="13" t="s">
        <v>251</v>
      </c>
      <c r="F273" s="13" t="s">
        <v>1357</v>
      </c>
      <c r="G273" s="13" t="s">
        <v>253</v>
      </c>
      <c r="H273" s="13" t="s">
        <v>253</v>
      </c>
      <c r="I273" s="13" t="s">
        <v>254</v>
      </c>
      <c r="J273" s="13" t="s">
        <v>1350</v>
      </c>
      <c r="K273" s="13" t="s">
        <v>456</v>
      </c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2">
        <v>62.0</v>
      </c>
      <c r="B274" s="23" t="s">
        <v>359</v>
      </c>
      <c r="C274" s="24" t="s">
        <v>1308</v>
      </c>
      <c r="D274" s="23" t="s">
        <v>1359</v>
      </c>
      <c r="E274" s="13" t="s">
        <v>272</v>
      </c>
      <c r="F274" s="13" t="s">
        <v>1360</v>
      </c>
      <c r="G274" s="13" t="s">
        <v>253</v>
      </c>
      <c r="H274" s="13" t="s">
        <v>253</v>
      </c>
      <c r="I274" s="13" t="s">
        <v>254</v>
      </c>
      <c r="J274" s="13" t="s">
        <v>1353</v>
      </c>
      <c r="K274" s="13" t="s">
        <v>491</v>
      </c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2">
        <v>62.0</v>
      </c>
      <c r="B275" s="23" t="s">
        <v>359</v>
      </c>
      <c r="C275" s="24" t="s">
        <v>1308</v>
      </c>
      <c r="D275" s="23" t="s">
        <v>1361</v>
      </c>
      <c r="E275" s="13" t="s">
        <v>272</v>
      </c>
      <c r="F275" s="13" t="s">
        <v>1362</v>
      </c>
      <c r="G275" s="13" t="s">
        <v>253</v>
      </c>
      <c r="H275" s="13" t="s">
        <v>253</v>
      </c>
      <c r="I275" s="13" t="s">
        <v>254</v>
      </c>
      <c r="J275" s="13" t="s">
        <v>1350</v>
      </c>
      <c r="K275" s="13" t="s">
        <v>491</v>
      </c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2">
        <v>63.0</v>
      </c>
      <c r="B276" s="23" t="s">
        <v>361</v>
      </c>
      <c r="C276" s="24" t="s">
        <v>1308</v>
      </c>
      <c r="D276" s="23" t="s">
        <v>1363</v>
      </c>
      <c r="E276" s="13" t="s">
        <v>251</v>
      </c>
      <c r="F276" s="13" t="s">
        <v>1364</v>
      </c>
      <c r="G276" s="13" t="s">
        <v>253</v>
      </c>
      <c r="H276" s="13" t="s">
        <v>253</v>
      </c>
      <c r="I276" s="13" t="s">
        <v>254</v>
      </c>
      <c r="J276" s="13" t="s">
        <v>1365</v>
      </c>
      <c r="K276" s="13" t="s">
        <v>456</v>
      </c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2">
        <v>63.0</v>
      </c>
      <c r="B277" s="23" t="s">
        <v>361</v>
      </c>
      <c r="C277" s="24" t="s">
        <v>1308</v>
      </c>
      <c r="D277" s="23" t="s">
        <v>799</v>
      </c>
      <c r="E277" s="13" t="s">
        <v>251</v>
      </c>
      <c r="F277" s="13" t="s">
        <v>1366</v>
      </c>
      <c r="G277" s="13" t="s">
        <v>253</v>
      </c>
      <c r="H277" s="13" t="s">
        <v>253</v>
      </c>
      <c r="I277" s="13" t="s">
        <v>254</v>
      </c>
      <c r="J277" s="13" t="s">
        <v>1367</v>
      </c>
      <c r="K277" s="13" t="s">
        <v>456</v>
      </c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2">
        <v>63.0</v>
      </c>
      <c r="B278" s="23" t="s">
        <v>361</v>
      </c>
      <c r="C278" s="24" t="s">
        <v>1308</v>
      </c>
      <c r="D278" s="23" t="s">
        <v>1359</v>
      </c>
      <c r="E278" s="13" t="s">
        <v>251</v>
      </c>
      <c r="F278" s="13" t="s">
        <v>1369</v>
      </c>
      <c r="G278" s="13" t="s">
        <v>253</v>
      </c>
      <c r="H278" s="13" t="s">
        <v>253</v>
      </c>
      <c r="I278" s="13" t="s">
        <v>254</v>
      </c>
      <c r="J278" s="13" t="s">
        <v>1365</v>
      </c>
      <c r="K278" s="13" t="s">
        <v>491</v>
      </c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2">
        <v>63.0</v>
      </c>
      <c r="B279" s="23" t="s">
        <v>361</v>
      </c>
      <c r="C279" s="24" t="s">
        <v>1308</v>
      </c>
      <c r="D279" s="23" t="s">
        <v>1361</v>
      </c>
      <c r="E279" s="13" t="s">
        <v>251</v>
      </c>
      <c r="F279" s="13" t="s">
        <v>1370</v>
      </c>
      <c r="G279" s="13" t="s">
        <v>253</v>
      </c>
      <c r="H279" s="13" t="s">
        <v>253</v>
      </c>
      <c r="I279" s="13" t="s">
        <v>254</v>
      </c>
      <c r="J279" s="13" t="s">
        <v>1367</v>
      </c>
      <c r="K279" s="13" t="s">
        <v>491</v>
      </c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2">
        <v>63.0</v>
      </c>
      <c r="B280" s="23" t="s">
        <v>361</v>
      </c>
      <c r="C280" s="24" t="s">
        <v>1308</v>
      </c>
      <c r="D280" s="23" t="s">
        <v>1372</v>
      </c>
      <c r="E280" s="13" t="s">
        <v>272</v>
      </c>
      <c r="F280" s="13" t="s">
        <v>1375</v>
      </c>
      <c r="G280" s="13" t="s">
        <v>253</v>
      </c>
      <c r="H280" s="13" t="s">
        <v>253</v>
      </c>
      <c r="I280" s="13" t="s">
        <v>254</v>
      </c>
      <c r="J280" s="13" t="s">
        <v>1365</v>
      </c>
      <c r="K280" s="13" t="s">
        <v>491</v>
      </c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2">
        <v>64.0</v>
      </c>
      <c r="B281" s="23" t="s">
        <v>362</v>
      </c>
      <c r="C281" s="24" t="s">
        <v>1308</v>
      </c>
      <c r="D281" s="23" t="s">
        <v>1377</v>
      </c>
      <c r="E281" s="13" t="s">
        <v>251</v>
      </c>
      <c r="F281" s="13" t="s">
        <v>1379</v>
      </c>
      <c r="G281" s="13" t="s">
        <v>253</v>
      </c>
      <c r="H281" s="13" t="s">
        <v>253</v>
      </c>
      <c r="I281" s="13" t="s">
        <v>254</v>
      </c>
      <c r="J281" s="13" t="s">
        <v>1380</v>
      </c>
      <c r="K281" s="13" t="s">
        <v>456</v>
      </c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2">
        <v>64.0</v>
      </c>
      <c r="B282" s="23" t="s">
        <v>362</v>
      </c>
      <c r="C282" s="24" t="s">
        <v>1308</v>
      </c>
      <c r="D282" s="23" t="s">
        <v>1381</v>
      </c>
      <c r="E282" s="13" t="s">
        <v>251</v>
      </c>
      <c r="F282" s="13" t="s">
        <v>1382</v>
      </c>
      <c r="G282" s="13" t="s">
        <v>253</v>
      </c>
      <c r="H282" s="13" t="s">
        <v>253</v>
      </c>
      <c r="I282" s="13" t="s">
        <v>254</v>
      </c>
      <c r="J282" s="13" t="s">
        <v>1383</v>
      </c>
      <c r="K282" s="13" t="s">
        <v>456</v>
      </c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2">
        <v>64.0</v>
      </c>
      <c r="B283" s="23" t="s">
        <v>362</v>
      </c>
      <c r="C283" s="24" t="s">
        <v>1308</v>
      </c>
      <c r="D283" s="23" t="s">
        <v>649</v>
      </c>
      <c r="E283" s="13" t="s">
        <v>251</v>
      </c>
      <c r="F283" s="13" t="s">
        <v>1384</v>
      </c>
      <c r="G283" s="13" t="s">
        <v>253</v>
      </c>
      <c r="H283" s="13" t="s">
        <v>253</v>
      </c>
      <c r="I283" s="13" t="s">
        <v>254</v>
      </c>
      <c r="J283" s="13" t="s">
        <v>1380</v>
      </c>
      <c r="K283" s="13" t="s">
        <v>456</v>
      </c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2">
        <v>64.0</v>
      </c>
      <c r="B284" s="23" t="s">
        <v>362</v>
      </c>
      <c r="C284" s="24" t="s">
        <v>1308</v>
      </c>
      <c r="D284" s="23" t="s">
        <v>1254</v>
      </c>
      <c r="E284" s="13" t="s">
        <v>251</v>
      </c>
      <c r="F284" s="13" t="s">
        <v>1386</v>
      </c>
      <c r="G284" s="13" t="s">
        <v>253</v>
      </c>
      <c r="H284" s="13" t="s">
        <v>253</v>
      </c>
      <c r="I284" s="13" t="s">
        <v>254</v>
      </c>
      <c r="J284" s="13" t="s">
        <v>1383</v>
      </c>
      <c r="K284" s="13" t="s">
        <v>456</v>
      </c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2">
        <v>64.0</v>
      </c>
      <c r="B285" s="23" t="s">
        <v>362</v>
      </c>
      <c r="C285" s="24" t="s">
        <v>1308</v>
      </c>
      <c r="D285" s="23" t="s">
        <v>1387</v>
      </c>
      <c r="E285" s="13" t="s">
        <v>251</v>
      </c>
      <c r="F285" s="13" t="s">
        <v>1388</v>
      </c>
      <c r="G285" s="13" t="s">
        <v>253</v>
      </c>
      <c r="H285" s="13" t="s">
        <v>253</v>
      </c>
      <c r="I285" s="13" t="s">
        <v>254</v>
      </c>
      <c r="J285" s="13" t="s">
        <v>1380</v>
      </c>
      <c r="K285" s="13" t="s">
        <v>456</v>
      </c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2">
        <v>65.0</v>
      </c>
      <c r="B286" s="23" t="s">
        <v>363</v>
      </c>
      <c r="C286" s="24" t="s">
        <v>1308</v>
      </c>
      <c r="D286" s="23" t="s">
        <v>1389</v>
      </c>
      <c r="E286" s="13" t="s">
        <v>251</v>
      </c>
      <c r="F286" s="13" t="s">
        <v>1390</v>
      </c>
      <c r="G286" s="13" t="s">
        <v>253</v>
      </c>
      <c r="H286" s="13" t="s">
        <v>253</v>
      </c>
      <c r="I286" s="13" t="s">
        <v>254</v>
      </c>
      <c r="J286" s="13" t="s">
        <v>1391</v>
      </c>
      <c r="K286" s="13" t="s">
        <v>456</v>
      </c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2">
        <v>65.0</v>
      </c>
      <c r="B287" s="23" t="s">
        <v>363</v>
      </c>
      <c r="C287" s="24" t="s">
        <v>1308</v>
      </c>
      <c r="D287" s="23" t="s">
        <v>1392</v>
      </c>
      <c r="E287" s="13" t="s">
        <v>251</v>
      </c>
      <c r="F287" s="13" t="s">
        <v>1393</v>
      </c>
      <c r="G287" s="13" t="s">
        <v>253</v>
      </c>
      <c r="H287" s="13" t="s">
        <v>253</v>
      </c>
      <c r="I287" s="13" t="s">
        <v>254</v>
      </c>
      <c r="J287" s="13" t="s">
        <v>1394</v>
      </c>
      <c r="K287" s="13" t="s">
        <v>456</v>
      </c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2">
        <v>65.0</v>
      </c>
      <c r="B288" s="23" t="s">
        <v>363</v>
      </c>
      <c r="C288" s="24" t="s">
        <v>1308</v>
      </c>
      <c r="D288" s="23" t="s">
        <v>1395</v>
      </c>
      <c r="E288" s="13" t="s">
        <v>251</v>
      </c>
      <c r="F288" s="13" t="s">
        <v>1396</v>
      </c>
      <c r="G288" s="13" t="s">
        <v>253</v>
      </c>
      <c r="H288" s="13" t="s">
        <v>253</v>
      </c>
      <c r="I288" s="13" t="s">
        <v>254</v>
      </c>
      <c r="J288" s="13" t="s">
        <v>1391</v>
      </c>
      <c r="K288" s="13" t="s">
        <v>456</v>
      </c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2">
        <v>65.0</v>
      </c>
      <c r="B289" s="23" t="s">
        <v>363</v>
      </c>
      <c r="C289" s="24" t="s">
        <v>1308</v>
      </c>
      <c r="D289" s="23" t="s">
        <v>1397</v>
      </c>
      <c r="E289" s="13" t="s">
        <v>251</v>
      </c>
      <c r="F289" s="13" t="s">
        <v>1398</v>
      </c>
      <c r="G289" s="13" t="s">
        <v>253</v>
      </c>
      <c r="H289" s="13" t="s">
        <v>253</v>
      </c>
      <c r="I289" s="13" t="s">
        <v>254</v>
      </c>
      <c r="J289" s="13" t="s">
        <v>1394</v>
      </c>
      <c r="K289" s="13" t="s">
        <v>456</v>
      </c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2">
        <v>65.0</v>
      </c>
      <c r="B290" s="23" t="s">
        <v>363</v>
      </c>
      <c r="C290" s="24" t="s">
        <v>1308</v>
      </c>
      <c r="D290" s="23" t="s">
        <v>1399</v>
      </c>
      <c r="E290" s="13" t="s">
        <v>251</v>
      </c>
      <c r="F290" s="13" t="s">
        <v>1400</v>
      </c>
      <c r="G290" s="13" t="s">
        <v>253</v>
      </c>
      <c r="H290" s="13" t="s">
        <v>253</v>
      </c>
      <c r="I290" s="13" t="s">
        <v>254</v>
      </c>
      <c r="J290" s="13" t="s">
        <v>1391</v>
      </c>
      <c r="K290" s="13" t="s">
        <v>456</v>
      </c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2">
        <v>66.0</v>
      </c>
      <c r="B291" s="23" t="s">
        <v>366</v>
      </c>
      <c r="C291" s="24" t="s">
        <v>1401</v>
      </c>
      <c r="D291" s="23" t="s">
        <v>1402</v>
      </c>
      <c r="E291" s="13" t="s">
        <v>251</v>
      </c>
      <c r="F291" s="13" t="s">
        <v>1404</v>
      </c>
      <c r="G291" s="13" t="s">
        <v>253</v>
      </c>
      <c r="H291" s="13" t="s">
        <v>253</v>
      </c>
      <c r="I291" s="13" t="s">
        <v>254</v>
      </c>
      <c r="J291" s="13" t="s">
        <v>1405</v>
      </c>
      <c r="K291" s="13" t="s">
        <v>456</v>
      </c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2">
        <v>66.0</v>
      </c>
      <c r="B292" s="23" t="s">
        <v>366</v>
      </c>
      <c r="C292" s="24" t="s">
        <v>1401</v>
      </c>
      <c r="D292" s="23" t="s">
        <v>1406</v>
      </c>
      <c r="E292" s="13" t="s">
        <v>251</v>
      </c>
      <c r="F292" s="13" t="s">
        <v>1408</v>
      </c>
      <c r="G292" s="13" t="s">
        <v>253</v>
      </c>
      <c r="H292" s="13" t="s">
        <v>253</v>
      </c>
      <c r="I292" s="13" t="s">
        <v>254</v>
      </c>
      <c r="J292" s="13" t="s">
        <v>1409</v>
      </c>
      <c r="K292" s="13" t="s">
        <v>456</v>
      </c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2">
        <v>66.0</v>
      </c>
      <c r="B293" s="23" t="s">
        <v>366</v>
      </c>
      <c r="C293" s="24" t="s">
        <v>1401</v>
      </c>
      <c r="D293" s="23" t="s">
        <v>1411</v>
      </c>
      <c r="E293" s="13" t="s">
        <v>251</v>
      </c>
      <c r="F293" s="13" t="s">
        <v>1412</v>
      </c>
      <c r="G293" s="13" t="s">
        <v>253</v>
      </c>
      <c r="H293" s="13" t="s">
        <v>253</v>
      </c>
      <c r="I293" s="13" t="s">
        <v>254</v>
      </c>
      <c r="J293" s="13" t="s">
        <v>1413</v>
      </c>
      <c r="K293" s="13" t="s">
        <v>456</v>
      </c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2">
        <v>66.0</v>
      </c>
      <c r="B294" s="23" t="s">
        <v>366</v>
      </c>
      <c r="C294" s="24" t="s">
        <v>1401</v>
      </c>
      <c r="D294" s="23" t="s">
        <v>1274</v>
      </c>
      <c r="E294" s="13" t="s">
        <v>272</v>
      </c>
      <c r="F294" s="13" t="s">
        <v>1415</v>
      </c>
      <c r="G294" s="13" t="s">
        <v>253</v>
      </c>
      <c r="H294" s="13" t="s">
        <v>253</v>
      </c>
      <c r="I294" s="13" t="s">
        <v>254</v>
      </c>
      <c r="J294" s="13" t="s">
        <v>1405</v>
      </c>
      <c r="K294" s="13" t="s">
        <v>491</v>
      </c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2">
        <v>66.0</v>
      </c>
      <c r="B295" s="23" t="s">
        <v>366</v>
      </c>
      <c r="C295" s="24" t="s">
        <v>1401</v>
      </c>
      <c r="D295" s="23" t="s">
        <v>1417</v>
      </c>
      <c r="E295" s="13" t="s">
        <v>272</v>
      </c>
      <c r="F295" s="13" t="s">
        <v>1419</v>
      </c>
      <c r="G295" s="13" t="s">
        <v>253</v>
      </c>
      <c r="H295" s="13" t="s">
        <v>253</v>
      </c>
      <c r="I295" s="13" t="s">
        <v>254</v>
      </c>
      <c r="J295" s="13" t="s">
        <v>1409</v>
      </c>
      <c r="K295" s="13" t="s">
        <v>456</v>
      </c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2">
        <v>67.0</v>
      </c>
      <c r="B296" s="23" t="s">
        <v>368</v>
      </c>
      <c r="C296" s="24" t="s">
        <v>1401</v>
      </c>
      <c r="D296" s="23" t="s">
        <v>1422</v>
      </c>
      <c r="E296" s="13" t="s">
        <v>251</v>
      </c>
      <c r="F296" s="13" t="s">
        <v>1423</v>
      </c>
      <c r="G296" s="13" t="s">
        <v>253</v>
      </c>
      <c r="H296" s="13" t="s">
        <v>253</v>
      </c>
      <c r="I296" s="13" t="s">
        <v>254</v>
      </c>
      <c r="J296" s="13" t="s">
        <v>1424</v>
      </c>
      <c r="K296" s="13" t="s">
        <v>456</v>
      </c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2">
        <v>67.0</v>
      </c>
      <c r="B297" s="23" t="s">
        <v>368</v>
      </c>
      <c r="C297" s="24" t="s">
        <v>1401</v>
      </c>
      <c r="D297" s="23" t="s">
        <v>412</v>
      </c>
      <c r="E297" s="13" t="s">
        <v>251</v>
      </c>
      <c r="F297" s="13" t="s">
        <v>1426</v>
      </c>
      <c r="G297" s="13" t="s">
        <v>253</v>
      </c>
      <c r="H297" s="13" t="s">
        <v>253</v>
      </c>
      <c r="I297" s="13" t="s">
        <v>254</v>
      </c>
      <c r="J297" s="13" t="s">
        <v>1427</v>
      </c>
      <c r="K297" s="13" t="s">
        <v>456</v>
      </c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2">
        <v>67.0</v>
      </c>
      <c r="B298" s="23" t="s">
        <v>368</v>
      </c>
      <c r="C298" s="24" t="s">
        <v>1401</v>
      </c>
      <c r="D298" s="23" t="s">
        <v>1428</v>
      </c>
      <c r="E298" s="13" t="s">
        <v>272</v>
      </c>
      <c r="F298" s="13" t="s">
        <v>1430</v>
      </c>
      <c r="G298" s="13" t="s">
        <v>253</v>
      </c>
      <c r="H298" s="13" t="s">
        <v>253</v>
      </c>
      <c r="I298" s="13" t="s">
        <v>254</v>
      </c>
      <c r="J298" s="13" t="s">
        <v>1424</v>
      </c>
      <c r="K298" s="13" t="s">
        <v>456</v>
      </c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2">
        <v>67.0</v>
      </c>
      <c r="B299" s="23" t="s">
        <v>368</v>
      </c>
      <c r="C299" s="24" t="s">
        <v>1401</v>
      </c>
      <c r="D299" s="23" t="s">
        <v>1372</v>
      </c>
      <c r="E299" s="13" t="s">
        <v>272</v>
      </c>
      <c r="F299" s="13" t="s">
        <v>1432</v>
      </c>
      <c r="G299" s="13" t="s">
        <v>253</v>
      </c>
      <c r="H299" s="13" t="s">
        <v>253</v>
      </c>
      <c r="I299" s="13" t="s">
        <v>254</v>
      </c>
      <c r="J299" s="13" t="s">
        <v>1427</v>
      </c>
      <c r="K299" s="13" t="s">
        <v>491</v>
      </c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2">
        <v>67.0</v>
      </c>
      <c r="B300" s="23" t="s">
        <v>368</v>
      </c>
      <c r="C300" s="24" t="s">
        <v>1401</v>
      </c>
      <c r="D300" s="23" t="s">
        <v>1433</v>
      </c>
      <c r="E300" s="13" t="s">
        <v>272</v>
      </c>
      <c r="F300" s="13" t="s">
        <v>1434</v>
      </c>
      <c r="G300" s="13" t="s">
        <v>253</v>
      </c>
      <c r="H300" s="13" t="s">
        <v>253</v>
      </c>
      <c r="I300" s="13" t="s">
        <v>254</v>
      </c>
      <c r="J300" s="13" t="s">
        <v>1424</v>
      </c>
      <c r="K300" s="13" t="s">
        <v>456</v>
      </c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2">
        <v>68.0</v>
      </c>
      <c r="B301" s="23" t="s">
        <v>371</v>
      </c>
      <c r="C301" s="24" t="s">
        <v>1435</v>
      </c>
      <c r="D301" s="23" t="s">
        <v>1291</v>
      </c>
      <c r="E301" s="13" t="s">
        <v>251</v>
      </c>
      <c r="F301" s="13" t="s">
        <v>1437</v>
      </c>
      <c r="G301" s="13" t="s">
        <v>253</v>
      </c>
      <c r="H301" s="13" t="s">
        <v>253</v>
      </c>
      <c r="I301" s="13" t="s">
        <v>254</v>
      </c>
      <c r="J301" s="13" t="s">
        <v>1438</v>
      </c>
      <c r="K301" s="13" t="s">
        <v>1439</v>
      </c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2">
        <v>68.0</v>
      </c>
      <c r="B302" s="23" t="s">
        <v>371</v>
      </c>
      <c r="C302" s="24" t="s">
        <v>1435</v>
      </c>
      <c r="D302" s="23" t="s">
        <v>1440</v>
      </c>
      <c r="E302" s="13" t="s">
        <v>251</v>
      </c>
      <c r="F302" s="13" t="s">
        <v>1442</v>
      </c>
      <c r="G302" s="13" t="s">
        <v>253</v>
      </c>
      <c r="H302" s="13" t="s">
        <v>253</v>
      </c>
      <c r="I302" s="13" t="s">
        <v>254</v>
      </c>
      <c r="J302" s="13" t="s">
        <v>1443</v>
      </c>
      <c r="K302" s="13" t="s">
        <v>456</v>
      </c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2">
        <v>68.0</v>
      </c>
      <c r="B303" s="23" t="s">
        <v>371</v>
      </c>
      <c r="C303" s="24" t="s">
        <v>1435</v>
      </c>
      <c r="D303" s="23" t="s">
        <v>1444</v>
      </c>
      <c r="E303" s="13" t="s">
        <v>251</v>
      </c>
      <c r="F303" s="13" t="s">
        <v>1445</v>
      </c>
      <c r="G303" s="13" t="s">
        <v>253</v>
      </c>
      <c r="H303" s="13" t="s">
        <v>253</v>
      </c>
      <c r="I303" s="13" t="s">
        <v>254</v>
      </c>
      <c r="J303" s="13" t="s">
        <v>1446</v>
      </c>
      <c r="K303" s="13" t="s">
        <v>456</v>
      </c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2">
        <v>68.0</v>
      </c>
      <c r="B304" s="23" t="s">
        <v>371</v>
      </c>
      <c r="C304" s="24" t="s">
        <v>1435</v>
      </c>
      <c r="D304" s="23" t="s">
        <v>1447</v>
      </c>
      <c r="E304" s="13" t="s">
        <v>251</v>
      </c>
      <c r="F304" s="13" t="s">
        <v>1449</v>
      </c>
      <c r="G304" s="13" t="s">
        <v>253</v>
      </c>
      <c r="H304" s="13" t="s">
        <v>253</v>
      </c>
      <c r="I304" s="13" t="s">
        <v>254</v>
      </c>
      <c r="J304" s="13" t="s">
        <v>1438</v>
      </c>
      <c r="K304" s="13" t="s">
        <v>456</v>
      </c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2">
        <v>68.0</v>
      </c>
      <c r="B305" s="23" t="s">
        <v>371</v>
      </c>
      <c r="C305" s="24" t="s">
        <v>1435</v>
      </c>
      <c r="D305" s="23" t="s">
        <v>1450</v>
      </c>
      <c r="E305" s="13" t="s">
        <v>272</v>
      </c>
      <c r="F305" s="13" t="s">
        <v>1451</v>
      </c>
      <c r="G305" s="13" t="s">
        <v>253</v>
      </c>
      <c r="H305" s="13" t="s">
        <v>253</v>
      </c>
      <c r="I305" s="13" t="s">
        <v>254</v>
      </c>
      <c r="J305" s="13" t="s">
        <v>1443</v>
      </c>
      <c r="K305" s="13" t="s">
        <v>456</v>
      </c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2">
        <v>69.0</v>
      </c>
      <c r="B306" s="23" t="s">
        <v>372</v>
      </c>
      <c r="C306" s="24" t="s">
        <v>1435</v>
      </c>
      <c r="D306" s="23" t="s">
        <v>1452</v>
      </c>
      <c r="E306" s="13" t="s">
        <v>251</v>
      </c>
      <c r="F306" s="13" t="s">
        <v>1453</v>
      </c>
      <c r="G306" s="13" t="s">
        <v>253</v>
      </c>
      <c r="H306" s="13" t="s">
        <v>253</v>
      </c>
      <c r="I306" s="13" t="s">
        <v>254</v>
      </c>
      <c r="J306" s="13" t="s">
        <v>1454</v>
      </c>
      <c r="K306" s="13" t="s">
        <v>456</v>
      </c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2">
        <v>69.0</v>
      </c>
      <c r="B307" s="23" t="s">
        <v>372</v>
      </c>
      <c r="C307" s="24" t="s">
        <v>1435</v>
      </c>
      <c r="D307" s="23" t="s">
        <v>885</v>
      </c>
      <c r="E307" s="13" t="s">
        <v>251</v>
      </c>
      <c r="F307" s="13" t="s">
        <v>1456</v>
      </c>
      <c r="G307" s="13" t="s">
        <v>253</v>
      </c>
      <c r="H307" s="13" t="s">
        <v>253</v>
      </c>
      <c r="I307" s="13" t="s">
        <v>254</v>
      </c>
      <c r="J307" s="13" t="s">
        <v>1457</v>
      </c>
      <c r="K307" s="13" t="s">
        <v>456</v>
      </c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2">
        <v>69.0</v>
      </c>
      <c r="B308" s="23" t="s">
        <v>372</v>
      </c>
      <c r="C308" s="24" t="s">
        <v>1435</v>
      </c>
      <c r="D308" s="23" t="s">
        <v>913</v>
      </c>
      <c r="E308" s="13" t="s">
        <v>251</v>
      </c>
      <c r="F308" s="13" t="s">
        <v>1458</v>
      </c>
      <c r="G308" s="13" t="s">
        <v>253</v>
      </c>
      <c r="H308" s="13" t="s">
        <v>253</v>
      </c>
      <c r="I308" s="13" t="s">
        <v>254</v>
      </c>
      <c r="J308" s="13" t="s">
        <v>1454</v>
      </c>
      <c r="K308" s="13" t="s">
        <v>491</v>
      </c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2">
        <v>69.0</v>
      </c>
      <c r="B309" s="23" t="s">
        <v>372</v>
      </c>
      <c r="C309" s="24" t="s">
        <v>1435</v>
      </c>
      <c r="D309" s="23" t="s">
        <v>849</v>
      </c>
      <c r="E309" s="13" t="s">
        <v>272</v>
      </c>
      <c r="F309" s="13" t="s">
        <v>1460</v>
      </c>
      <c r="G309" s="13" t="s">
        <v>253</v>
      </c>
      <c r="H309" s="13" t="s">
        <v>253</v>
      </c>
      <c r="I309" s="13" t="s">
        <v>254</v>
      </c>
      <c r="J309" s="13" t="s">
        <v>1457</v>
      </c>
      <c r="K309" s="13" t="s">
        <v>491</v>
      </c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2">
        <v>69.0</v>
      </c>
      <c r="B310" s="23" t="s">
        <v>372</v>
      </c>
      <c r="C310" s="24" t="s">
        <v>1435</v>
      </c>
      <c r="D310" s="23" t="s">
        <v>1462</v>
      </c>
      <c r="E310" s="13" t="s">
        <v>272</v>
      </c>
      <c r="F310" s="13" t="s">
        <v>1463</v>
      </c>
      <c r="G310" s="13" t="s">
        <v>253</v>
      </c>
      <c r="H310" s="13" t="s">
        <v>253</v>
      </c>
      <c r="I310" s="13" t="s">
        <v>254</v>
      </c>
      <c r="J310" s="13" t="s">
        <v>1454</v>
      </c>
      <c r="K310" s="13" t="s">
        <v>491</v>
      </c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2">
        <v>70.0</v>
      </c>
      <c r="B311" s="23" t="s">
        <v>373</v>
      </c>
      <c r="C311" s="24" t="s">
        <v>1435</v>
      </c>
      <c r="D311" s="23" t="s">
        <v>1465</v>
      </c>
      <c r="E311" s="13" t="s">
        <v>251</v>
      </c>
      <c r="F311" s="13" t="s">
        <v>1466</v>
      </c>
      <c r="G311" s="13" t="s">
        <v>253</v>
      </c>
      <c r="H311" s="13" t="s">
        <v>253</v>
      </c>
      <c r="I311" s="13" t="s">
        <v>254</v>
      </c>
      <c r="J311" s="13" t="s">
        <v>1467</v>
      </c>
      <c r="K311" s="13" t="s">
        <v>456</v>
      </c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2">
        <v>70.0</v>
      </c>
      <c r="B312" s="23" t="s">
        <v>373</v>
      </c>
      <c r="C312" s="24" t="s">
        <v>1435</v>
      </c>
      <c r="D312" s="23" t="s">
        <v>1468</v>
      </c>
      <c r="E312" s="13" t="s">
        <v>251</v>
      </c>
      <c r="F312" s="13" t="s">
        <v>1469</v>
      </c>
      <c r="G312" s="13" t="s">
        <v>253</v>
      </c>
      <c r="H312" s="13" t="s">
        <v>253</v>
      </c>
      <c r="I312" s="13" t="s">
        <v>254</v>
      </c>
      <c r="J312" s="13" t="s">
        <v>1470</v>
      </c>
      <c r="K312" s="13" t="s">
        <v>456</v>
      </c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2">
        <v>70.0</v>
      </c>
      <c r="B313" s="23" t="s">
        <v>373</v>
      </c>
      <c r="C313" s="24" t="s">
        <v>1435</v>
      </c>
      <c r="D313" s="23" t="s">
        <v>1471</v>
      </c>
      <c r="E313" s="13" t="s">
        <v>251</v>
      </c>
      <c r="F313" s="13" t="s">
        <v>1472</v>
      </c>
      <c r="G313" s="13" t="s">
        <v>253</v>
      </c>
      <c r="H313" s="13" t="s">
        <v>253</v>
      </c>
      <c r="I313" s="13" t="s">
        <v>254</v>
      </c>
      <c r="J313" s="13" t="s">
        <v>1467</v>
      </c>
      <c r="K313" s="13" t="s">
        <v>456</v>
      </c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2">
        <v>70.0</v>
      </c>
      <c r="B314" s="23" t="s">
        <v>373</v>
      </c>
      <c r="C314" s="24" t="s">
        <v>1435</v>
      </c>
      <c r="D314" s="23" t="s">
        <v>1473</v>
      </c>
      <c r="E314" s="13" t="s">
        <v>251</v>
      </c>
      <c r="F314" s="13" t="s">
        <v>1474</v>
      </c>
      <c r="G314" s="13" t="s">
        <v>253</v>
      </c>
      <c r="H314" s="13" t="s">
        <v>253</v>
      </c>
      <c r="I314" s="13" t="s">
        <v>254</v>
      </c>
      <c r="J314" s="13" t="s">
        <v>1470</v>
      </c>
      <c r="K314" s="13" t="s">
        <v>456</v>
      </c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2">
        <v>70.0</v>
      </c>
      <c r="B315" s="23" t="s">
        <v>373</v>
      </c>
      <c r="C315" s="24" t="s">
        <v>1435</v>
      </c>
      <c r="D315" s="23" t="s">
        <v>1475</v>
      </c>
      <c r="E315" s="13" t="s">
        <v>272</v>
      </c>
      <c r="F315" s="13" t="s">
        <v>1477</v>
      </c>
      <c r="G315" s="13" t="s">
        <v>253</v>
      </c>
      <c r="H315" s="13" t="s">
        <v>253</v>
      </c>
      <c r="I315" s="13" t="s">
        <v>254</v>
      </c>
      <c r="J315" s="13" t="s">
        <v>1467</v>
      </c>
      <c r="K315" s="13" t="s">
        <v>456</v>
      </c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2">
        <v>71.0</v>
      </c>
      <c r="B316" s="23" t="s">
        <v>374</v>
      </c>
      <c r="C316" s="24" t="s">
        <v>1435</v>
      </c>
      <c r="D316" s="23" t="s">
        <v>1116</v>
      </c>
      <c r="E316" s="13" t="s">
        <v>251</v>
      </c>
      <c r="F316" s="13" t="s">
        <v>1482</v>
      </c>
      <c r="G316" s="13" t="s">
        <v>253</v>
      </c>
      <c r="H316" s="13" t="s">
        <v>253</v>
      </c>
      <c r="I316" s="13" t="s">
        <v>254</v>
      </c>
      <c r="J316" s="13" t="s">
        <v>1483</v>
      </c>
      <c r="K316" s="13" t="s">
        <v>456</v>
      </c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2">
        <v>71.0</v>
      </c>
      <c r="B317" s="23" t="s">
        <v>374</v>
      </c>
      <c r="C317" s="24" t="s">
        <v>1435</v>
      </c>
      <c r="D317" s="23" t="s">
        <v>1484</v>
      </c>
      <c r="E317" s="13" t="s">
        <v>251</v>
      </c>
      <c r="F317" s="13" t="s">
        <v>1485</v>
      </c>
      <c r="G317" s="13" t="s">
        <v>253</v>
      </c>
      <c r="H317" s="13" t="s">
        <v>253</v>
      </c>
      <c r="I317" s="13" t="s">
        <v>254</v>
      </c>
      <c r="J317" s="13" t="s">
        <v>1486</v>
      </c>
      <c r="K317" s="13" t="s">
        <v>456</v>
      </c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2">
        <v>71.0</v>
      </c>
      <c r="B318" s="23" t="s">
        <v>374</v>
      </c>
      <c r="C318" s="24" t="s">
        <v>1435</v>
      </c>
      <c r="D318" s="23" t="s">
        <v>1487</v>
      </c>
      <c r="E318" s="13" t="s">
        <v>251</v>
      </c>
      <c r="F318" s="13" t="s">
        <v>1489</v>
      </c>
      <c r="G318" s="13" t="s">
        <v>253</v>
      </c>
      <c r="H318" s="13" t="s">
        <v>253</v>
      </c>
      <c r="I318" s="13" t="s">
        <v>254</v>
      </c>
      <c r="J318" s="13" t="s">
        <v>1483</v>
      </c>
      <c r="K318" s="13" t="s">
        <v>456</v>
      </c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2">
        <v>71.0</v>
      </c>
      <c r="B319" s="23" t="s">
        <v>374</v>
      </c>
      <c r="C319" s="24" t="s">
        <v>1435</v>
      </c>
      <c r="D319" s="23" t="s">
        <v>934</v>
      </c>
      <c r="E319" s="13" t="s">
        <v>251</v>
      </c>
      <c r="F319" s="13" t="s">
        <v>1491</v>
      </c>
      <c r="G319" s="13" t="s">
        <v>253</v>
      </c>
      <c r="H319" s="13" t="s">
        <v>253</v>
      </c>
      <c r="I319" s="13" t="s">
        <v>254</v>
      </c>
      <c r="J319" s="13" t="s">
        <v>1486</v>
      </c>
      <c r="K319" s="13" t="s">
        <v>491</v>
      </c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2">
        <v>71.0</v>
      </c>
      <c r="B320" s="23" t="s">
        <v>374</v>
      </c>
      <c r="C320" s="24" t="s">
        <v>1435</v>
      </c>
      <c r="D320" s="23" t="s">
        <v>845</v>
      </c>
      <c r="E320" s="13" t="s">
        <v>272</v>
      </c>
      <c r="F320" s="13" t="s">
        <v>1492</v>
      </c>
      <c r="G320" s="13" t="s">
        <v>253</v>
      </c>
      <c r="H320" s="13" t="s">
        <v>253</v>
      </c>
      <c r="I320" s="13" t="s">
        <v>254</v>
      </c>
      <c r="J320" s="13" t="s">
        <v>1483</v>
      </c>
      <c r="K320" s="13" t="s">
        <v>491</v>
      </c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2">
        <v>72.0</v>
      </c>
      <c r="B321" s="23" t="s">
        <v>375</v>
      </c>
      <c r="C321" s="24" t="s">
        <v>1435</v>
      </c>
      <c r="D321" s="23" t="s">
        <v>1493</v>
      </c>
      <c r="E321" s="13" t="s">
        <v>251</v>
      </c>
      <c r="F321" s="13" t="s">
        <v>1494</v>
      </c>
      <c r="G321" s="13" t="s">
        <v>253</v>
      </c>
      <c r="H321" s="13" t="s">
        <v>253</v>
      </c>
      <c r="I321" s="13" t="s">
        <v>254</v>
      </c>
      <c r="J321" s="13" t="s">
        <v>1495</v>
      </c>
      <c r="K321" s="13" t="s">
        <v>491</v>
      </c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2">
        <v>72.0</v>
      </c>
      <c r="B322" s="23" t="s">
        <v>375</v>
      </c>
      <c r="C322" s="24" t="s">
        <v>1435</v>
      </c>
      <c r="D322" s="23" t="s">
        <v>1496</v>
      </c>
      <c r="E322" s="13" t="s">
        <v>251</v>
      </c>
      <c r="F322" s="13" t="s">
        <v>1497</v>
      </c>
      <c r="G322" s="13" t="s">
        <v>253</v>
      </c>
      <c r="H322" s="13" t="s">
        <v>253</v>
      </c>
      <c r="I322" s="13" t="s">
        <v>254</v>
      </c>
      <c r="J322" s="13" t="s">
        <v>1495</v>
      </c>
      <c r="K322" s="13" t="s">
        <v>456</v>
      </c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2">
        <v>72.0</v>
      </c>
      <c r="B323" s="23" t="s">
        <v>375</v>
      </c>
      <c r="C323" s="24" t="s">
        <v>1435</v>
      </c>
      <c r="D323" s="23" t="s">
        <v>1499</v>
      </c>
      <c r="E323" s="13" t="s">
        <v>251</v>
      </c>
      <c r="F323" s="13" t="s">
        <v>1502</v>
      </c>
      <c r="G323" s="13" t="s">
        <v>253</v>
      </c>
      <c r="H323" s="13" t="s">
        <v>253</v>
      </c>
      <c r="I323" s="13" t="s">
        <v>254</v>
      </c>
      <c r="J323" s="13" t="s">
        <v>1495</v>
      </c>
      <c r="K323" s="13" t="s">
        <v>456</v>
      </c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2">
        <v>72.0</v>
      </c>
      <c r="B324" s="23" t="s">
        <v>375</v>
      </c>
      <c r="C324" s="24" t="s">
        <v>1435</v>
      </c>
      <c r="D324" s="23" t="s">
        <v>1504</v>
      </c>
      <c r="E324" s="13" t="s">
        <v>251</v>
      </c>
      <c r="F324" s="13" t="s">
        <v>1507</v>
      </c>
      <c r="G324" s="13" t="s">
        <v>253</v>
      </c>
      <c r="H324" s="13" t="s">
        <v>253</v>
      </c>
      <c r="I324" s="13" t="s">
        <v>254</v>
      </c>
      <c r="J324" s="13" t="s">
        <v>1495</v>
      </c>
      <c r="K324" s="13" t="s">
        <v>456</v>
      </c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2">
        <v>72.0</v>
      </c>
      <c r="B325" s="23" t="s">
        <v>375</v>
      </c>
      <c r="C325" s="24" t="s">
        <v>1435</v>
      </c>
      <c r="D325" s="23" t="s">
        <v>913</v>
      </c>
      <c r="E325" s="13" t="s">
        <v>251</v>
      </c>
      <c r="F325" s="13" t="s">
        <v>1509</v>
      </c>
      <c r="G325" s="13" t="s">
        <v>253</v>
      </c>
      <c r="H325" s="13" t="s">
        <v>253</v>
      </c>
      <c r="I325" s="13" t="s">
        <v>254</v>
      </c>
      <c r="J325" s="13" t="s">
        <v>1495</v>
      </c>
      <c r="K325" s="13" t="s">
        <v>491</v>
      </c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2">
        <v>73.0</v>
      </c>
      <c r="B326" s="23" t="s">
        <v>376</v>
      </c>
      <c r="C326" s="24" t="s">
        <v>1435</v>
      </c>
      <c r="D326" s="23" t="s">
        <v>841</v>
      </c>
      <c r="E326" s="13" t="s">
        <v>251</v>
      </c>
      <c r="F326" s="13" t="s">
        <v>1510</v>
      </c>
      <c r="G326" s="13" t="s">
        <v>253</v>
      </c>
      <c r="H326" s="13" t="s">
        <v>253</v>
      </c>
      <c r="I326" s="13" t="s">
        <v>254</v>
      </c>
      <c r="J326" s="13" t="s">
        <v>1511</v>
      </c>
      <c r="K326" s="13" t="s">
        <v>491</v>
      </c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2">
        <v>73.0</v>
      </c>
      <c r="B327" s="23" t="s">
        <v>376</v>
      </c>
      <c r="C327" s="24" t="s">
        <v>1435</v>
      </c>
      <c r="D327" s="23" t="s">
        <v>837</v>
      </c>
      <c r="E327" s="13" t="s">
        <v>251</v>
      </c>
      <c r="F327" s="13" t="s">
        <v>1512</v>
      </c>
      <c r="G327" s="13" t="s">
        <v>253</v>
      </c>
      <c r="H327" s="13" t="s">
        <v>253</v>
      </c>
      <c r="I327" s="13" t="s">
        <v>254</v>
      </c>
      <c r="J327" s="13" t="s">
        <v>1513</v>
      </c>
      <c r="K327" s="13" t="s">
        <v>491</v>
      </c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2">
        <v>73.0</v>
      </c>
      <c r="B328" s="23" t="s">
        <v>376</v>
      </c>
      <c r="C328" s="24" t="s">
        <v>1435</v>
      </c>
      <c r="D328" s="23" t="s">
        <v>1514</v>
      </c>
      <c r="E328" s="13" t="s">
        <v>272</v>
      </c>
      <c r="F328" s="13" t="s">
        <v>1516</v>
      </c>
      <c r="G328" s="13" t="s">
        <v>253</v>
      </c>
      <c r="H328" s="13" t="s">
        <v>253</v>
      </c>
      <c r="I328" s="13" t="s">
        <v>254</v>
      </c>
      <c r="J328" s="13" t="s">
        <v>1511</v>
      </c>
      <c r="K328" s="13" t="s">
        <v>456</v>
      </c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2">
        <v>73.0</v>
      </c>
      <c r="B329" s="23" t="s">
        <v>376</v>
      </c>
      <c r="C329" s="24" t="s">
        <v>1435</v>
      </c>
      <c r="D329" s="23" t="s">
        <v>948</v>
      </c>
      <c r="E329" s="13" t="s">
        <v>272</v>
      </c>
      <c r="F329" s="13" t="s">
        <v>1517</v>
      </c>
      <c r="G329" s="13" t="s">
        <v>253</v>
      </c>
      <c r="H329" s="13" t="s">
        <v>253</v>
      </c>
      <c r="I329" s="13" t="s">
        <v>254</v>
      </c>
      <c r="J329" s="13" t="s">
        <v>1513</v>
      </c>
      <c r="K329" s="13" t="s">
        <v>478</v>
      </c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2">
        <v>74.0</v>
      </c>
      <c r="B330" s="23" t="s">
        <v>377</v>
      </c>
      <c r="C330" s="24" t="s">
        <v>1435</v>
      </c>
      <c r="D330" s="23" t="s">
        <v>1519</v>
      </c>
      <c r="E330" s="13" t="s">
        <v>251</v>
      </c>
      <c r="F330" s="13" t="s">
        <v>1521</v>
      </c>
      <c r="G330" s="13" t="s">
        <v>253</v>
      </c>
      <c r="H330" s="13" t="s">
        <v>253</v>
      </c>
      <c r="I330" s="13" t="s">
        <v>254</v>
      </c>
      <c r="J330" s="13" t="s">
        <v>1522</v>
      </c>
      <c r="K330" s="13" t="s">
        <v>456</v>
      </c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2">
        <v>74.0</v>
      </c>
      <c r="B331" s="23" t="s">
        <v>377</v>
      </c>
      <c r="C331" s="24" t="s">
        <v>1435</v>
      </c>
      <c r="D331" s="23" t="s">
        <v>1462</v>
      </c>
      <c r="E331" s="13" t="s">
        <v>251</v>
      </c>
      <c r="F331" s="13" t="s">
        <v>1523</v>
      </c>
      <c r="G331" s="13" t="s">
        <v>253</v>
      </c>
      <c r="H331" s="13" t="s">
        <v>253</v>
      </c>
      <c r="I331" s="13" t="s">
        <v>254</v>
      </c>
      <c r="J331" s="13" t="s">
        <v>1522</v>
      </c>
      <c r="K331" s="13" t="s">
        <v>491</v>
      </c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2">
        <v>74.0</v>
      </c>
      <c r="B332" s="23" t="s">
        <v>377</v>
      </c>
      <c r="C332" s="24" t="s">
        <v>1435</v>
      </c>
      <c r="D332" s="23" t="s">
        <v>948</v>
      </c>
      <c r="E332" s="13" t="s">
        <v>272</v>
      </c>
      <c r="F332" s="13" t="s">
        <v>1524</v>
      </c>
      <c r="G332" s="13" t="s">
        <v>253</v>
      </c>
      <c r="H332" s="13" t="s">
        <v>253</v>
      </c>
      <c r="I332" s="13" t="s">
        <v>254</v>
      </c>
      <c r="J332" s="13" t="s">
        <v>1522</v>
      </c>
      <c r="K332" s="13" t="s">
        <v>478</v>
      </c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2">
        <v>74.0</v>
      </c>
      <c r="B333" s="23" t="s">
        <v>377</v>
      </c>
      <c r="C333" s="24" t="s">
        <v>1435</v>
      </c>
      <c r="D333" s="23" t="s">
        <v>1493</v>
      </c>
      <c r="E333" s="13" t="s">
        <v>272</v>
      </c>
      <c r="F333" s="13" t="s">
        <v>1525</v>
      </c>
      <c r="G333" s="13" t="s">
        <v>253</v>
      </c>
      <c r="H333" s="13" t="s">
        <v>253</v>
      </c>
      <c r="I333" s="13" t="s">
        <v>254</v>
      </c>
      <c r="J333" s="13" t="s">
        <v>1522</v>
      </c>
      <c r="K333" s="13" t="s">
        <v>491</v>
      </c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2">
        <v>75.0</v>
      </c>
      <c r="B334" s="23" t="s">
        <v>378</v>
      </c>
      <c r="C334" s="24" t="s">
        <v>1527</v>
      </c>
      <c r="D334" s="23" t="s">
        <v>1528</v>
      </c>
      <c r="E334" s="13" t="s">
        <v>251</v>
      </c>
      <c r="F334" s="13" t="s">
        <v>1529</v>
      </c>
      <c r="G334" s="13" t="s">
        <v>253</v>
      </c>
      <c r="H334" s="13" t="s">
        <v>253</v>
      </c>
      <c r="I334" s="13" t="s">
        <v>254</v>
      </c>
      <c r="J334" s="13" t="s">
        <v>1530</v>
      </c>
      <c r="K334" s="13" t="s">
        <v>456</v>
      </c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2">
        <v>75.0</v>
      </c>
      <c r="B335" s="23" t="s">
        <v>378</v>
      </c>
      <c r="C335" s="24" t="s">
        <v>1527</v>
      </c>
      <c r="D335" s="23" t="s">
        <v>409</v>
      </c>
      <c r="E335" s="13" t="s">
        <v>251</v>
      </c>
      <c r="F335" s="13" t="s">
        <v>1531</v>
      </c>
      <c r="G335" s="13" t="s">
        <v>253</v>
      </c>
      <c r="H335" s="13" t="s">
        <v>253</v>
      </c>
      <c r="I335" s="13" t="s">
        <v>254</v>
      </c>
      <c r="J335" s="13" t="s">
        <v>1532</v>
      </c>
      <c r="K335" s="13" t="s">
        <v>456</v>
      </c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2">
        <v>75.0</v>
      </c>
      <c r="B336" s="23" t="s">
        <v>378</v>
      </c>
      <c r="C336" s="24" t="s">
        <v>1527</v>
      </c>
      <c r="D336" s="23" t="s">
        <v>1533</v>
      </c>
      <c r="E336" s="13" t="s">
        <v>251</v>
      </c>
      <c r="F336" s="13" t="s">
        <v>1536</v>
      </c>
      <c r="G336" s="13" t="s">
        <v>253</v>
      </c>
      <c r="H336" s="13" t="s">
        <v>253</v>
      </c>
      <c r="I336" s="13" t="s">
        <v>254</v>
      </c>
      <c r="J336" s="13" t="s">
        <v>1537</v>
      </c>
      <c r="K336" s="13" t="s">
        <v>456</v>
      </c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2">
        <v>75.0</v>
      </c>
      <c r="B337" s="23" t="s">
        <v>378</v>
      </c>
      <c r="C337" s="24" t="s">
        <v>1527</v>
      </c>
      <c r="D337" s="23" t="s">
        <v>1538</v>
      </c>
      <c r="E337" s="13" t="s">
        <v>251</v>
      </c>
      <c r="F337" s="13" t="s">
        <v>1539</v>
      </c>
      <c r="G337" s="13" t="s">
        <v>253</v>
      </c>
      <c r="H337" s="13" t="s">
        <v>253</v>
      </c>
      <c r="I337" s="13" t="s">
        <v>254</v>
      </c>
      <c r="J337" s="13" t="s">
        <v>1530</v>
      </c>
      <c r="K337" s="13" t="s">
        <v>456</v>
      </c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2">
        <v>75.0</v>
      </c>
      <c r="B338" s="23" t="s">
        <v>378</v>
      </c>
      <c r="C338" s="24" t="s">
        <v>1527</v>
      </c>
      <c r="D338" s="23" t="s">
        <v>1541</v>
      </c>
      <c r="E338" s="13" t="s">
        <v>251</v>
      </c>
      <c r="F338" s="13" t="s">
        <v>1542</v>
      </c>
      <c r="G338" s="13" t="s">
        <v>253</v>
      </c>
      <c r="H338" s="13" t="s">
        <v>253</v>
      </c>
      <c r="I338" s="13" t="s">
        <v>254</v>
      </c>
      <c r="J338" s="13" t="s">
        <v>1532</v>
      </c>
      <c r="K338" s="13" t="s">
        <v>456</v>
      </c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1"/>
      <c r="B339" s="28"/>
      <c r="C339" s="28"/>
      <c r="D339" s="2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1"/>
      <c r="B340" s="28"/>
      <c r="C340" s="28"/>
      <c r="D340" s="2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1"/>
      <c r="B341" s="28"/>
      <c r="C341" s="28"/>
      <c r="D341" s="2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1"/>
      <c r="B342" s="28"/>
      <c r="C342" s="28"/>
      <c r="D342" s="2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1"/>
      <c r="B343" s="28"/>
      <c r="C343" s="28"/>
      <c r="D343" s="2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1"/>
      <c r="B344" s="28"/>
      <c r="C344" s="28"/>
      <c r="D344" s="2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1"/>
      <c r="B345" s="28"/>
      <c r="C345" s="28"/>
      <c r="D345" s="2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1"/>
      <c r="B346" s="28"/>
      <c r="C346" s="28"/>
      <c r="D346" s="2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1"/>
      <c r="B347" s="28"/>
      <c r="C347" s="28"/>
      <c r="D347" s="2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1"/>
      <c r="B348" s="28"/>
      <c r="C348" s="28"/>
      <c r="D348" s="2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1"/>
      <c r="B349" s="28"/>
      <c r="C349" s="28"/>
      <c r="D349" s="2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1"/>
      <c r="B350" s="28"/>
      <c r="C350" s="28"/>
      <c r="D350" s="2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1"/>
      <c r="B351" s="28"/>
      <c r="C351" s="28"/>
      <c r="D351" s="2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1"/>
      <c r="B352" s="28"/>
      <c r="C352" s="28"/>
      <c r="D352" s="2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1"/>
      <c r="B353" s="28"/>
      <c r="C353" s="28"/>
      <c r="D353" s="2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1"/>
      <c r="B354" s="28"/>
      <c r="C354" s="28"/>
      <c r="D354" s="2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1"/>
      <c r="B355" s="28"/>
      <c r="C355" s="28"/>
      <c r="D355" s="2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1"/>
      <c r="B356" s="28"/>
      <c r="C356" s="28"/>
      <c r="D356" s="2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1"/>
      <c r="B357" s="28"/>
      <c r="C357" s="28"/>
      <c r="D357" s="2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1"/>
      <c r="B358" s="28"/>
      <c r="C358" s="28"/>
      <c r="D358" s="2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1"/>
      <c r="B359" s="28"/>
      <c r="C359" s="28"/>
      <c r="D359" s="2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1"/>
      <c r="B360" s="28"/>
      <c r="C360" s="28"/>
      <c r="D360" s="2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1"/>
      <c r="B361" s="28"/>
      <c r="C361" s="28"/>
      <c r="D361" s="2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1"/>
      <c r="B362" s="28"/>
      <c r="C362" s="28"/>
      <c r="D362" s="2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1"/>
      <c r="B363" s="28"/>
      <c r="C363" s="28"/>
      <c r="D363" s="2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1"/>
      <c r="B364" s="28"/>
      <c r="C364" s="28"/>
      <c r="D364" s="2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1"/>
      <c r="B365" s="28"/>
      <c r="C365" s="28"/>
      <c r="D365" s="2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1"/>
      <c r="B366" s="28"/>
      <c r="C366" s="28"/>
      <c r="D366" s="2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1"/>
      <c r="B367" s="28"/>
      <c r="C367" s="28"/>
      <c r="D367" s="2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1"/>
      <c r="B368" s="28"/>
      <c r="C368" s="28"/>
      <c r="D368" s="2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1"/>
      <c r="B369" s="28"/>
      <c r="C369" s="28"/>
      <c r="D369" s="2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1"/>
      <c r="B370" s="28"/>
      <c r="C370" s="28"/>
      <c r="D370" s="2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1"/>
      <c r="B371" s="28"/>
      <c r="C371" s="28"/>
      <c r="D371" s="2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1"/>
      <c r="B372" s="28"/>
      <c r="C372" s="28"/>
      <c r="D372" s="2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1"/>
      <c r="B373" s="28"/>
      <c r="C373" s="28"/>
      <c r="D373" s="2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1"/>
      <c r="B374" s="28"/>
      <c r="C374" s="28"/>
      <c r="D374" s="2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1"/>
      <c r="B375" s="28"/>
      <c r="C375" s="28"/>
      <c r="D375" s="2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1"/>
      <c r="B376" s="28"/>
      <c r="C376" s="28"/>
      <c r="D376" s="2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1"/>
      <c r="B377" s="28"/>
      <c r="C377" s="28"/>
      <c r="D377" s="2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1"/>
      <c r="B378" s="28"/>
      <c r="C378" s="28"/>
      <c r="D378" s="2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1"/>
      <c r="B379" s="28"/>
      <c r="C379" s="28"/>
      <c r="D379" s="2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1"/>
      <c r="B380" s="28"/>
      <c r="C380" s="28"/>
      <c r="D380" s="2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1"/>
      <c r="B381" s="28"/>
      <c r="C381" s="28"/>
      <c r="D381" s="2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1"/>
      <c r="B382" s="28"/>
      <c r="C382" s="28"/>
      <c r="D382" s="2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1"/>
      <c r="B383" s="28"/>
      <c r="C383" s="28"/>
      <c r="D383" s="2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1"/>
      <c r="B384" s="28"/>
      <c r="C384" s="28"/>
      <c r="D384" s="2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1"/>
      <c r="B385" s="28"/>
      <c r="C385" s="28"/>
      <c r="D385" s="2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1"/>
      <c r="B386" s="28"/>
      <c r="C386" s="28"/>
      <c r="D386" s="2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1"/>
      <c r="B387" s="28"/>
      <c r="C387" s="28"/>
      <c r="D387" s="2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1"/>
      <c r="B388" s="28"/>
      <c r="C388" s="28"/>
      <c r="D388" s="2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1"/>
      <c r="B389" s="28"/>
      <c r="C389" s="28"/>
      <c r="D389" s="2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1"/>
      <c r="B390" s="28"/>
      <c r="C390" s="28"/>
      <c r="D390" s="2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1"/>
      <c r="B391" s="28"/>
      <c r="C391" s="28"/>
      <c r="D391" s="2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1"/>
      <c r="B392" s="28"/>
      <c r="C392" s="28"/>
      <c r="D392" s="2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1"/>
      <c r="B393" s="28"/>
      <c r="C393" s="28"/>
      <c r="D393" s="2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1"/>
      <c r="B394" s="28"/>
      <c r="C394" s="28"/>
      <c r="D394" s="2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1"/>
      <c r="B395" s="28"/>
      <c r="C395" s="28"/>
      <c r="D395" s="2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1"/>
      <c r="B396" s="28"/>
      <c r="C396" s="28"/>
      <c r="D396" s="2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1"/>
      <c r="B397" s="28"/>
      <c r="C397" s="28"/>
      <c r="D397" s="2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1"/>
      <c r="B398" s="28"/>
      <c r="C398" s="28"/>
      <c r="D398" s="2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1"/>
      <c r="B399" s="28"/>
      <c r="C399" s="28"/>
      <c r="D399" s="2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1"/>
      <c r="B400" s="28"/>
      <c r="C400" s="28"/>
      <c r="D400" s="2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1"/>
      <c r="B401" s="28"/>
      <c r="C401" s="28"/>
      <c r="D401" s="2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1"/>
      <c r="B402" s="28"/>
      <c r="C402" s="28"/>
      <c r="D402" s="2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1"/>
      <c r="B403" s="28"/>
      <c r="C403" s="28"/>
      <c r="D403" s="2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1"/>
      <c r="B404" s="28"/>
      <c r="C404" s="28"/>
      <c r="D404" s="2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1"/>
      <c r="B405" s="28"/>
      <c r="C405" s="28"/>
      <c r="D405" s="2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1"/>
      <c r="B406" s="28"/>
      <c r="C406" s="28"/>
      <c r="D406" s="2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1"/>
      <c r="B407" s="28"/>
      <c r="C407" s="28"/>
      <c r="D407" s="2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1"/>
      <c r="B408" s="28"/>
      <c r="C408" s="28"/>
      <c r="D408" s="2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1"/>
      <c r="B409" s="28"/>
      <c r="C409" s="28"/>
      <c r="D409" s="2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1"/>
      <c r="B410" s="28"/>
      <c r="C410" s="28"/>
      <c r="D410" s="2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1"/>
      <c r="B411" s="28"/>
      <c r="C411" s="28"/>
      <c r="D411" s="2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1"/>
      <c r="B412" s="28"/>
      <c r="C412" s="28"/>
      <c r="D412" s="2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1"/>
      <c r="B413" s="28"/>
      <c r="C413" s="28"/>
      <c r="D413" s="2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1"/>
      <c r="B414" s="28"/>
      <c r="C414" s="28"/>
      <c r="D414" s="2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1"/>
      <c r="B415" s="28"/>
      <c r="C415" s="28"/>
      <c r="D415" s="2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1"/>
      <c r="B416" s="28"/>
      <c r="C416" s="28"/>
      <c r="D416" s="2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1"/>
      <c r="B417" s="28"/>
      <c r="C417" s="28"/>
      <c r="D417" s="2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1"/>
      <c r="B418" s="28"/>
      <c r="C418" s="28"/>
      <c r="D418" s="2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1"/>
      <c r="B419" s="28"/>
      <c r="C419" s="28"/>
      <c r="D419" s="2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1"/>
      <c r="B420" s="28"/>
      <c r="C420" s="28"/>
      <c r="D420" s="2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1"/>
      <c r="B421" s="28"/>
      <c r="C421" s="28"/>
      <c r="D421" s="2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1"/>
      <c r="B422" s="28"/>
      <c r="C422" s="28"/>
      <c r="D422" s="2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1"/>
      <c r="B423" s="28"/>
      <c r="C423" s="28"/>
      <c r="D423" s="2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1"/>
      <c r="B424" s="28"/>
      <c r="C424" s="28"/>
      <c r="D424" s="2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1"/>
      <c r="B425" s="28"/>
      <c r="C425" s="28"/>
      <c r="D425" s="2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1"/>
      <c r="B426" s="28"/>
      <c r="C426" s="28"/>
      <c r="D426" s="2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1"/>
      <c r="B427" s="28"/>
      <c r="C427" s="28"/>
      <c r="D427" s="2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1"/>
      <c r="B428" s="28"/>
      <c r="C428" s="28"/>
      <c r="D428" s="2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1"/>
      <c r="B429" s="28"/>
      <c r="C429" s="28"/>
      <c r="D429" s="2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1"/>
      <c r="B430" s="28"/>
      <c r="C430" s="28"/>
      <c r="D430" s="2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1"/>
      <c r="B431" s="28"/>
      <c r="C431" s="28"/>
      <c r="D431" s="2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1"/>
      <c r="B432" s="28"/>
      <c r="C432" s="28"/>
      <c r="D432" s="2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1"/>
      <c r="B433" s="28"/>
      <c r="C433" s="28"/>
      <c r="D433" s="2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1"/>
      <c r="B434" s="28"/>
      <c r="C434" s="28"/>
      <c r="D434" s="2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1"/>
      <c r="B435" s="28"/>
      <c r="C435" s="28"/>
      <c r="D435" s="2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1"/>
      <c r="B436" s="28"/>
      <c r="C436" s="28"/>
      <c r="D436" s="2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1"/>
      <c r="B437" s="28"/>
      <c r="C437" s="28"/>
      <c r="D437" s="2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1"/>
      <c r="B438" s="28"/>
      <c r="C438" s="28"/>
      <c r="D438" s="2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1"/>
      <c r="B439" s="28"/>
      <c r="C439" s="28"/>
      <c r="D439" s="2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1"/>
      <c r="B440" s="28"/>
      <c r="C440" s="28"/>
      <c r="D440" s="2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1"/>
      <c r="B441" s="28"/>
      <c r="C441" s="28"/>
      <c r="D441" s="2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1"/>
      <c r="B442" s="28"/>
      <c r="C442" s="28"/>
      <c r="D442" s="2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1"/>
      <c r="B443" s="28"/>
      <c r="C443" s="28"/>
      <c r="D443" s="2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1"/>
      <c r="B444" s="28"/>
      <c r="C444" s="28"/>
      <c r="D444" s="2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1"/>
      <c r="B445" s="28"/>
      <c r="C445" s="28"/>
      <c r="D445" s="2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1"/>
      <c r="B446" s="28"/>
      <c r="C446" s="28"/>
      <c r="D446" s="2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1"/>
      <c r="B447" s="28"/>
      <c r="C447" s="28"/>
      <c r="D447" s="2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1"/>
      <c r="B448" s="28"/>
      <c r="C448" s="28"/>
      <c r="D448" s="2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1"/>
      <c r="B449" s="28"/>
      <c r="C449" s="28"/>
      <c r="D449" s="2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1"/>
      <c r="B450" s="28"/>
      <c r="C450" s="28"/>
      <c r="D450" s="2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1"/>
      <c r="B451" s="28"/>
      <c r="C451" s="28"/>
      <c r="D451" s="2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1"/>
      <c r="B452" s="28"/>
      <c r="C452" s="28"/>
      <c r="D452" s="2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1"/>
      <c r="B453" s="28"/>
      <c r="C453" s="28"/>
      <c r="D453" s="2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1"/>
      <c r="B454" s="28"/>
      <c r="C454" s="28"/>
      <c r="D454" s="2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1"/>
      <c r="B455" s="28"/>
      <c r="C455" s="28"/>
      <c r="D455" s="2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1"/>
      <c r="B456" s="28"/>
      <c r="C456" s="28"/>
      <c r="D456" s="2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1"/>
      <c r="B457" s="28"/>
      <c r="C457" s="28"/>
      <c r="D457" s="2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1"/>
      <c r="B458" s="28"/>
      <c r="C458" s="28"/>
      <c r="D458" s="2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1"/>
      <c r="B459" s="28"/>
      <c r="C459" s="28"/>
      <c r="D459" s="2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1"/>
      <c r="B460" s="28"/>
      <c r="C460" s="28"/>
      <c r="D460" s="2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1"/>
      <c r="B461" s="28"/>
      <c r="C461" s="28"/>
      <c r="D461" s="2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1"/>
      <c r="B462" s="28"/>
      <c r="C462" s="28"/>
      <c r="D462" s="2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1"/>
      <c r="B463" s="28"/>
      <c r="C463" s="28"/>
      <c r="D463" s="2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1"/>
      <c r="B464" s="28"/>
      <c r="C464" s="28"/>
      <c r="D464" s="2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1"/>
      <c r="B465" s="28"/>
      <c r="C465" s="28"/>
      <c r="D465" s="2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1"/>
      <c r="B466" s="28"/>
      <c r="C466" s="28"/>
      <c r="D466" s="2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1"/>
      <c r="B467" s="28"/>
      <c r="C467" s="28"/>
      <c r="D467" s="2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1"/>
      <c r="B468" s="28"/>
      <c r="C468" s="28"/>
      <c r="D468" s="2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1"/>
      <c r="B469" s="28"/>
      <c r="C469" s="28"/>
      <c r="D469" s="2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1"/>
      <c r="B470" s="28"/>
      <c r="C470" s="28"/>
      <c r="D470" s="2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1"/>
      <c r="B471" s="28"/>
      <c r="C471" s="28"/>
      <c r="D471" s="2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1"/>
      <c r="B472" s="28"/>
      <c r="C472" s="28"/>
      <c r="D472" s="2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1"/>
      <c r="B473" s="28"/>
      <c r="C473" s="28"/>
      <c r="D473" s="2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1"/>
      <c r="B474" s="28"/>
      <c r="C474" s="28"/>
      <c r="D474" s="2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1"/>
      <c r="B475" s="28"/>
      <c r="C475" s="28"/>
      <c r="D475" s="2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1"/>
      <c r="B476" s="28"/>
      <c r="C476" s="28"/>
      <c r="D476" s="2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1"/>
      <c r="B477" s="28"/>
      <c r="C477" s="28"/>
      <c r="D477" s="2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1"/>
      <c r="B478" s="28"/>
      <c r="C478" s="28"/>
      <c r="D478" s="2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1"/>
      <c r="B479" s="28"/>
      <c r="C479" s="28"/>
      <c r="D479" s="2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1"/>
      <c r="B480" s="28"/>
      <c r="C480" s="28"/>
      <c r="D480" s="2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1"/>
      <c r="B481" s="28"/>
      <c r="C481" s="28"/>
      <c r="D481" s="2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1"/>
      <c r="B482" s="28"/>
      <c r="C482" s="28"/>
      <c r="D482" s="2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1"/>
      <c r="B483" s="28"/>
      <c r="C483" s="28"/>
      <c r="D483" s="2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1"/>
      <c r="B484" s="28"/>
      <c r="C484" s="28"/>
      <c r="D484" s="2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1"/>
      <c r="B485" s="28"/>
      <c r="C485" s="28"/>
      <c r="D485" s="2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1"/>
      <c r="B486" s="28"/>
      <c r="C486" s="28"/>
      <c r="D486" s="2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1"/>
      <c r="B487" s="28"/>
      <c r="C487" s="28"/>
      <c r="D487" s="2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1"/>
      <c r="B488" s="28"/>
      <c r="C488" s="28"/>
      <c r="D488" s="2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1"/>
      <c r="B489" s="28"/>
      <c r="C489" s="28"/>
      <c r="D489" s="2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1"/>
      <c r="B490" s="28"/>
      <c r="C490" s="28"/>
      <c r="D490" s="2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1"/>
      <c r="B491" s="28"/>
      <c r="C491" s="28"/>
      <c r="D491" s="2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1"/>
      <c r="B492" s="28"/>
      <c r="C492" s="28"/>
      <c r="D492" s="2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1"/>
      <c r="B493" s="28"/>
      <c r="C493" s="28"/>
      <c r="D493" s="2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1"/>
      <c r="B494" s="28"/>
      <c r="C494" s="28"/>
      <c r="D494" s="2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1"/>
      <c r="B495" s="28"/>
      <c r="C495" s="28"/>
      <c r="D495" s="2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1"/>
      <c r="B496" s="28"/>
      <c r="C496" s="28"/>
      <c r="D496" s="2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1"/>
      <c r="B497" s="28"/>
      <c r="C497" s="28"/>
      <c r="D497" s="2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1"/>
      <c r="B498" s="28"/>
      <c r="C498" s="28"/>
      <c r="D498" s="2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1"/>
      <c r="B499" s="28"/>
      <c r="C499" s="28"/>
      <c r="D499" s="2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1"/>
      <c r="B500" s="28"/>
      <c r="C500" s="28"/>
      <c r="D500" s="2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1"/>
      <c r="B501" s="28"/>
      <c r="C501" s="28"/>
      <c r="D501" s="2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1"/>
      <c r="B502" s="28"/>
      <c r="C502" s="28"/>
      <c r="D502" s="2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1"/>
      <c r="B503" s="28"/>
      <c r="C503" s="28"/>
      <c r="D503" s="2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1"/>
      <c r="B504" s="28"/>
      <c r="C504" s="28"/>
      <c r="D504" s="2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1"/>
      <c r="B505" s="28"/>
      <c r="C505" s="28"/>
      <c r="D505" s="2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1"/>
      <c r="B506" s="28"/>
      <c r="C506" s="28"/>
      <c r="D506" s="2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1"/>
      <c r="B507" s="28"/>
      <c r="C507" s="28"/>
      <c r="D507" s="2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1"/>
      <c r="B508" s="28"/>
      <c r="C508" s="28"/>
      <c r="D508" s="2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1"/>
      <c r="B509" s="28"/>
      <c r="C509" s="28"/>
      <c r="D509" s="2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1"/>
      <c r="B510" s="28"/>
      <c r="C510" s="28"/>
      <c r="D510" s="2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1"/>
      <c r="B511" s="28"/>
      <c r="C511" s="28"/>
      <c r="D511" s="2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1"/>
      <c r="B512" s="28"/>
      <c r="C512" s="28"/>
      <c r="D512" s="2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1"/>
      <c r="B513" s="28"/>
      <c r="C513" s="28"/>
      <c r="D513" s="2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1"/>
      <c r="B514" s="28"/>
      <c r="C514" s="28"/>
      <c r="D514" s="2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1"/>
      <c r="B515" s="28"/>
      <c r="C515" s="28"/>
      <c r="D515" s="2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1"/>
      <c r="B516" s="28"/>
      <c r="C516" s="28"/>
      <c r="D516" s="2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1"/>
      <c r="B517" s="28"/>
      <c r="C517" s="28"/>
      <c r="D517" s="2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1"/>
      <c r="B518" s="28"/>
      <c r="C518" s="28"/>
      <c r="D518" s="2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1"/>
      <c r="B519" s="28"/>
      <c r="C519" s="28"/>
      <c r="D519" s="2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1"/>
      <c r="B520" s="28"/>
      <c r="C520" s="28"/>
      <c r="D520" s="2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1"/>
      <c r="B521" s="28"/>
      <c r="C521" s="28"/>
      <c r="D521" s="2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1"/>
      <c r="B522" s="28"/>
      <c r="C522" s="28"/>
      <c r="D522" s="2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1"/>
      <c r="B523" s="28"/>
      <c r="C523" s="28"/>
      <c r="D523" s="2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1"/>
      <c r="B524" s="28"/>
      <c r="C524" s="28"/>
      <c r="D524" s="2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1"/>
      <c r="B525" s="28"/>
      <c r="C525" s="28"/>
      <c r="D525" s="2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1"/>
      <c r="B526" s="28"/>
      <c r="C526" s="28"/>
      <c r="D526" s="2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1"/>
      <c r="B527" s="28"/>
      <c r="C527" s="28"/>
      <c r="D527" s="2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1"/>
      <c r="B528" s="28"/>
      <c r="C528" s="28"/>
      <c r="D528" s="2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1"/>
      <c r="B529" s="28"/>
      <c r="C529" s="28"/>
      <c r="D529" s="2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1"/>
      <c r="B530" s="28"/>
      <c r="C530" s="28"/>
      <c r="D530" s="2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1"/>
      <c r="B531" s="28"/>
      <c r="C531" s="28"/>
      <c r="D531" s="2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1"/>
      <c r="B532" s="28"/>
      <c r="C532" s="28"/>
      <c r="D532" s="2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1"/>
      <c r="B533" s="28"/>
      <c r="C533" s="28"/>
      <c r="D533" s="2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1"/>
      <c r="B534" s="28"/>
      <c r="C534" s="28"/>
      <c r="D534" s="2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1"/>
      <c r="B535" s="28"/>
      <c r="C535" s="28"/>
      <c r="D535" s="2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1"/>
      <c r="B536" s="28"/>
      <c r="C536" s="28"/>
      <c r="D536" s="2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1"/>
      <c r="B537" s="28"/>
      <c r="C537" s="28"/>
      <c r="D537" s="2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1"/>
      <c r="B538" s="28"/>
      <c r="C538" s="28"/>
      <c r="D538" s="2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1"/>
      <c r="B539" s="28"/>
      <c r="C539" s="28"/>
      <c r="D539" s="2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1"/>
      <c r="B540" s="28"/>
      <c r="C540" s="28"/>
      <c r="D540" s="2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1"/>
      <c r="B541" s="28"/>
      <c r="C541" s="28"/>
      <c r="D541" s="2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1"/>
      <c r="B542" s="28"/>
      <c r="C542" s="28"/>
      <c r="D542" s="2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1"/>
      <c r="B543" s="28"/>
      <c r="C543" s="28"/>
      <c r="D543" s="2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1"/>
      <c r="B544" s="28"/>
      <c r="C544" s="28"/>
      <c r="D544" s="2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1"/>
      <c r="B545" s="28"/>
      <c r="C545" s="28"/>
      <c r="D545" s="2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1"/>
      <c r="B546" s="28"/>
      <c r="C546" s="28"/>
      <c r="D546" s="2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1"/>
      <c r="B547" s="28"/>
      <c r="C547" s="28"/>
      <c r="D547" s="2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1"/>
      <c r="B548" s="28"/>
      <c r="C548" s="28"/>
      <c r="D548" s="2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1"/>
      <c r="B549" s="28"/>
      <c r="C549" s="28"/>
      <c r="D549" s="2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1"/>
      <c r="B550" s="28"/>
      <c r="C550" s="28"/>
      <c r="D550" s="2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1"/>
      <c r="B551" s="28"/>
      <c r="C551" s="28"/>
      <c r="D551" s="2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1"/>
      <c r="B552" s="28"/>
      <c r="C552" s="28"/>
      <c r="D552" s="2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1"/>
      <c r="B553" s="28"/>
      <c r="C553" s="28"/>
      <c r="D553" s="2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1"/>
      <c r="B554" s="28"/>
      <c r="C554" s="28"/>
      <c r="D554" s="2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1"/>
      <c r="B555" s="28"/>
      <c r="C555" s="28"/>
      <c r="D555" s="2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1"/>
      <c r="B556" s="28"/>
      <c r="C556" s="28"/>
      <c r="D556" s="2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1"/>
      <c r="B557" s="28"/>
      <c r="C557" s="28"/>
      <c r="D557" s="2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1"/>
      <c r="B558" s="28"/>
      <c r="C558" s="28"/>
      <c r="D558" s="2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1"/>
      <c r="B559" s="28"/>
      <c r="C559" s="28"/>
      <c r="D559" s="2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1"/>
      <c r="B560" s="28"/>
      <c r="C560" s="28"/>
      <c r="D560" s="2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1"/>
      <c r="B561" s="28"/>
      <c r="C561" s="28"/>
      <c r="D561" s="2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1"/>
      <c r="B562" s="28"/>
      <c r="C562" s="28"/>
      <c r="D562" s="2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1"/>
      <c r="B563" s="28"/>
      <c r="C563" s="28"/>
      <c r="D563" s="2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1"/>
      <c r="B564" s="28"/>
      <c r="C564" s="28"/>
      <c r="D564" s="2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1"/>
      <c r="B565" s="28"/>
      <c r="C565" s="28"/>
      <c r="D565" s="2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1"/>
      <c r="B566" s="28"/>
      <c r="C566" s="28"/>
      <c r="D566" s="2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1"/>
      <c r="B567" s="28"/>
      <c r="C567" s="28"/>
      <c r="D567" s="2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1"/>
      <c r="B568" s="28"/>
      <c r="C568" s="28"/>
      <c r="D568" s="2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1"/>
      <c r="B569" s="28"/>
      <c r="C569" s="28"/>
      <c r="D569" s="2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1"/>
      <c r="B570" s="28"/>
      <c r="C570" s="28"/>
      <c r="D570" s="2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1"/>
      <c r="B571" s="28"/>
      <c r="C571" s="28"/>
      <c r="D571" s="2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1"/>
      <c r="B572" s="28"/>
      <c r="C572" s="28"/>
      <c r="D572" s="2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1"/>
      <c r="B573" s="28"/>
      <c r="C573" s="28"/>
      <c r="D573" s="2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1"/>
      <c r="B574" s="28"/>
      <c r="C574" s="28"/>
      <c r="D574" s="2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1"/>
      <c r="B575" s="28"/>
      <c r="C575" s="28"/>
      <c r="D575" s="2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1"/>
      <c r="B576" s="28"/>
      <c r="C576" s="28"/>
      <c r="D576" s="2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1"/>
      <c r="B577" s="28"/>
      <c r="C577" s="28"/>
      <c r="D577" s="2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1"/>
      <c r="B578" s="28"/>
      <c r="C578" s="28"/>
      <c r="D578" s="2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1"/>
      <c r="B579" s="28"/>
      <c r="C579" s="28"/>
      <c r="D579" s="2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1"/>
      <c r="B580" s="28"/>
      <c r="C580" s="28"/>
      <c r="D580" s="2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1"/>
      <c r="B581" s="28"/>
      <c r="C581" s="28"/>
      <c r="D581" s="2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1"/>
      <c r="B582" s="28"/>
      <c r="C582" s="28"/>
      <c r="D582" s="2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1"/>
      <c r="B583" s="28"/>
      <c r="C583" s="28"/>
      <c r="D583" s="2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1"/>
      <c r="B584" s="28"/>
      <c r="C584" s="28"/>
      <c r="D584" s="2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1"/>
      <c r="B585" s="28"/>
      <c r="C585" s="28"/>
      <c r="D585" s="2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1"/>
      <c r="B586" s="28"/>
      <c r="C586" s="28"/>
      <c r="D586" s="2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1"/>
      <c r="B587" s="28"/>
      <c r="C587" s="28"/>
      <c r="D587" s="2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1"/>
      <c r="B588" s="28"/>
      <c r="C588" s="28"/>
      <c r="D588" s="2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1"/>
      <c r="B589" s="28"/>
      <c r="C589" s="28"/>
      <c r="D589" s="2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1"/>
      <c r="B590" s="28"/>
      <c r="C590" s="28"/>
      <c r="D590" s="2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1"/>
      <c r="B591" s="28"/>
      <c r="C591" s="28"/>
      <c r="D591" s="2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1"/>
      <c r="B592" s="28"/>
      <c r="C592" s="28"/>
      <c r="D592" s="2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1"/>
      <c r="B593" s="28"/>
      <c r="C593" s="28"/>
      <c r="D593" s="2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1"/>
      <c r="B594" s="28"/>
      <c r="C594" s="28"/>
      <c r="D594" s="2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1"/>
      <c r="B595" s="28"/>
      <c r="C595" s="28"/>
      <c r="D595" s="2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1"/>
      <c r="B596" s="28"/>
      <c r="C596" s="28"/>
      <c r="D596" s="2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1"/>
      <c r="B597" s="28"/>
      <c r="C597" s="28"/>
      <c r="D597" s="2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1"/>
      <c r="B598" s="28"/>
      <c r="C598" s="28"/>
      <c r="D598" s="2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1"/>
      <c r="B599" s="28"/>
      <c r="C599" s="28"/>
      <c r="D599" s="2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1"/>
      <c r="B600" s="28"/>
      <c r="C600" s="28"/>
      <c r="D600" s="2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1"/>
      <c r="B601" s="28"/>
      <c r="C601" s="28"/>
      <c r="D601" s="2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1"/>
      <c r="B602" s="28"/>
      <c r="C602" s="28"/>
      <c r="D602" s="2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1"/>
      <c r="B603" s="28"/>
      <c r="C603" s="28"/>
      <c r="D603" s="2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1"/>
      <c r="B604" s="28"/>
      <c r="C604" s="28"/>
      <c r="D604" s="2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1"/>
      <c r="B605" s="28"/>
      <c r="C605" s="28"/>
      <c r="D605" s="2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1"/>
      <c r="B606" s="28"/>
      <c r="C606" s="28"/>
      <c r="D606" s="2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1"/>
      <c r="B607" s="28"/>
      <c r="C607" s="28"/>
      <c r="D607" s="2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1"/>
      <c r="B608" s="28"/>
      <c r="C608" s="28"/>
      <c r="D608" s="2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1"/>
      <c r="B609" s="28"/>
      <c r="C609" s="28"/>
      <c r="D609" s="2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1"/>
      <c r="B610" s="28"/>
      <c r="C610" s="28"/>
      <c r="D610" s="2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1"/>
      <c r="B611" s="28"/>
      <c r="C611" s="28"/>
      <c r="D611" s="2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1"/>
      <c r="B612" s="28"/>
      <c r="C612" s="28"/>
      <c r="D612" s="2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1"/>
      <c r="B613" s="28"/>
      <c r="C613" s="28"/>
      <c r="D613" s="2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1"/>
      <c r="B614" s="28"/>
      <c r="C614" s="28"/>
      <c r="D614" s="2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1"/>
      <c r="B615" s="28"/>
      <c r="C615" s="28"/>
      <c r="D615" s="2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1"/>
      <c r="B616" s="28"/>
      <c r="C616" s="28"/>
      <c r="D616" s="2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1"/>
      <c r="B617" s="28"/>
      <c r="C617" s="28"/>
      <c r="D617" s="2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1"/>
      <c r="B618" s="28"/>
      <c r="C618" s="28"/>
      <c r="D618" s="2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1"/>
      <c r="B619" s="28"/>
      <c r="C619" s="28"/>
      <c r="D619" s="2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1"/>
      <c r="B620" s="28"/>
      <c r="C620" s="28"/>
      <c r="D620" s="2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1"/>
      <c r="B621" s="28"/>
      <c r="C621" s="28"/>
      <c r="D621" s="2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1"/>
      <c r="B622" s="28"/>
      <c r="C622" s="28"/>
      <c r="D622" s="2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1"/>
      <c r="B623" s="28"/>
      <c r="C623" s="28"/>
      <c r="D623" s="2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1"/>
      <c r="B624" s="28"/>
      <c r="C624" s="28"/>
      <c r="D624" s="2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1"/>
      <c r="B625" s="28"/>
      <c r="C625" s="28"/>
      <c r="D625" s="2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1"/>
      <c r="B626" s="28"/>
      <c r="C626" s="28"/>
      <c r="D626" s="2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1"/>
      <c r="B627" s="28"/>
      <c r="C627" s="28"/>
      <c r="D627" s="2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1"/>
      <c r="B628" s="28"/>
      <c r="C628" s="28"/>
      <c r="D628" s="2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1"/>
      <c r="B629" s="28"/>
      <c r="C629" s="28"/>
      <c r="D629" s="2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1"/>
      <c r="B630" s="28"/>
      <c r="C630" s="28"/>
      <c r="D630" s="2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1"/>
      <c r="B631" s="28"/>
      <c r="C631" s="28"/>
      <c r="D631" s="2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1"/>
      <c r="B632" s="28"/>
      <c r="C632" s="28"/>
      <c r="D632" s="2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1"/>
      <c r="B633" s="28"/>
      <c r="C633" s="28"/>
      <c r="D633" s="2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1"/>
      <c r="B634" s="28"/>
      <c r="C634" s="28"/>
      <c r="D634" s="2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1"/>
      <c r="B635" s="28"/>
      <c r="C635" s="28"/>
      <c r="D635" s="2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1"/>
      <c r="B636" s="28"/>
      <c r="C636" s="28"/>
      <c r="D636" s="2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1"/>
      <c r="B637" s="28"/>
      <c r="C637" s="28"/>
      <c r="D637" s="2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1"/>
      <c r="B638" s="28"/>
      <c r="C638" s="28"/>
      <c r="D638" s="2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1"/>
      <c r="B639" s="28"/>
      <c r="C639" s="28"/>
      <c r="D639" s="2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1"/>
      <c r="B640" s="28"/>
      <c r="C640" s="28"/>
      <c r="D640" s="2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1"/>
      <c r="B641" s="28"/>
      <c r="C641" s="28"/>
      <c r="D641" s="2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1"/>
      <c r="B642" s="28"/>
      <c r="C642" s="28"/>
      <c r="D642" s="2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1"/>
      <c r="B643" s="28"/>
      <c r="C643" s="28"/>
      <c r="D643" s="2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1"/>
      <c r="B644" s="28"/>
      <c r="C644" s="28"/>
      <c r="D644" s="2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1"/>
      <c r="B645" s="28"/>
      <c r="C645" s="28"/>
      <c r="D645" s="2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1"/>
      <c r="B646" s="28"/>
      <c r="C646" s="28"/>
      <c r="D646" s="2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1"/>
      <c r="B647" s="28"/>
      <c r="C647" s="28"/>
      <c r="D647" s="2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1"/>
      <c r="B648" s="28"/>
      <c r="C648" s="28"/>
      <c r="D648" s="2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1"/>
      <c r="B649" s="28"/>
      <c r="C649" s="28"/>
      <c r="D649" s="2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1"/>
      <c r="B650" s="28"/>
      <c r="C650" s="28"/>
      <c r="D650" s="2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1"/>
      <c r="B651" s="28"/>
      <c r="C651" s="28"/>
      <c r="D651" s="2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1"/>
      <c r="B652" s="28"/>
      <c r="C652" s="28"/>
      <c r="D652" s="2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1"/>
      <c r="B653" s="28"/>
      <c r="C653" s="28"/>
      <c r="D653" s="2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1"/>
      <c r="B654" s="28"/>
      <c r="C654" s="28"/>
      <c r="D654" s="2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1"/>
      <c r="B655" s="28"/>
      <c r="C655" s="28"/>
      <c r="D655" s="2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1"/>
      <c r="B656" s="28"/>
      <c r="C656" s="28"/>
      <c r="D656" s="2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1"/>
      <c r="B657" s="28"/>
      <c r="C657" s="28"/>
      <c r="D657" s="2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1"/>
      <c r="B658" s="28"/>
      <c r="C658" s="28"/>
      <c r="D658" s="2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1"/>
      <c r="B659" s="28"/>
      <c r="C659" s="28"/>
      <c r="D659" s="2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1"/>
      <c r="B660" s="28"/>
      <c r="C660" s="28"/>
      <c r="D660" s="2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1"/>
      <c r="B661" s="28"/>
      <c r="C661" s="28"/>
      <c r="D661" s="2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1"/>
      <c r="B662" s="28"/>
      <c r="C662" s="28"/>
      <c r="D662" s="2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1"/>
      <c r="B663" s="28"/>
      <c r="C663" s="28"/>
      <c r="D663" s="2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1"/>
      <c r="B664" s="28"/>
      <c r="C664" s="28"/>
      <c r="D664" s="2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1"/>
      <c r="B665" s="28"/>
      <c r="C665" s="28"/>
      <c r="D665" s="2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1"/>
      <c r="B666" s="28"/>
      <c r="C666" s="28"/>
      <c r="D666" s="2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1"/>
      <c r="B667" s="28"/>
      <c r="C667" s="28"/>
      <c r="D667" s="2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1"/>
      <c r="B668" s="28"/>
      <c r="C668" s="28"/>
      <c r="D668" s="2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1"/>
      <c r="B669" s="28"/>
      <c r="C669" s="28"/>
      <c r="D669" s="2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1"/>
      <c r="B670" s="28"/>
      <c r="C670" s="28"/>
      <c r="D670" s="2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1"/>
      <c r="B671" s="28"/>
      <c r="C671" s="28"/>
      <c r="D671" s="2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1"/>
      <c r="B672" s="28"/>
      <c r="C672" s="28"/>
      <c r="D672" s="2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1"/>
      <c r="B673" s="28"/>
      <c r="C673" s="28"/>
      <c r="D673" s="2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1"/>
      <c r="B674" s="28"/>
      <c r="C674" s="28"/>
      <c r="D674" s="2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1"/>
      <c r="B675" s="28"/>
      <c r="C675" s="28"/>
      <c r="D675" s="2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1"/>
      <c r="B676" s="28"/>
      <c r="C676" s="28"/>
      <c r="D676" s="2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1"/>
      <c r="B677" s="28"/>
      <c r="C677" s="28"/>
      <c r="D677" s="2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1"/>
      <c r="B678" s="28"/>
      <c r="C678" s="28"/>
      <c r="D678" s="2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1"/>
      <c r="B679" s="28"/>
      <c r="C679" s="28"/>
      <c r="D679" s="2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1"/>
      <c r="B680" s="28"/>
      <c r="C680" s="28"/>
      <c r="D680" s="2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1"/>
      <c r="B681" s="28"/>
      <c r="C681" s="28"/>
      <c r="D681" s="2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1"/>
      <c r="B682" s="28"/>
      <c r="C682" s="28"/>
      <c r="D682" s="2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1"/>
      <c r="B683" s="28"/>
      <c r="C683" s="28"/>
      <c r="D683" s="2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1"/>
      <c r="B684" s="28"/>
      <c r="C684" s="28"/>
      <c r="D684" s="2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1"/>
      <c r="B685" s="28"/>
      <c r="C685" s="28"/>
      <c r="D685" s="2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1"/>
      <c r="B686" s="28"/>
      <c r="C686" s="28"/>
      <c r="D686" s="2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1"/>
      <c r="B687" s="28"/>
      <c r="C687" s="28"/>
      <c r="D687" s="2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1"/>
      <c r="B688" s="28"/>
      <c r="C688" s="28"/>
      <c r="D688" s="2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1"/>
      <c r="B689" s="28"/>
      <c r="C689" s="28"/>
      <c r="D689" s="2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1"/>
      <c r="B690" s="28"/>
      <c r="C690" s="28"/>
      <c r="D690" s="2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1"/>
      <c r="B691" s="28"/>
      <c r="C691" s="28"/>
      <c r="D691" s="2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1"/>
      <c r="B692" s="28"/>
      <c r="C692" s="28"/>
      <c r="D692" s="2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1"/>
      <c r="B693" s="28"/>
      <c r="C693" s="28"/>
      <c r="D693" s="2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1"/>
      <c r="B694" s="28"/>
      <c r="C694" s="28"/>
      <c r="D694" s="2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1"/>
      <c r="B695" s="28"/>
      <c r="C695" s="28"/>
      <c r="D695" s="2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1"/>
      <c r="B696" s="28"/>
      <c r="C696" s="28"/>
      <c r="D696" s="2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1"/>
      <c r="B697" s="28"/>
      <c r="C697" s="28"/>
      <c r="D697" s="2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1"/>
      <c r="B698" s="28"/>
      <c r="C698" s="28"/>
      <c r="D698" s="2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1"/>
      <c r="B699" s="28"/>
      <c r="C699" s="28"/>
      <c r="D699" s="2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1"/>
      <c r="B700" s="28"/>
      <c r="C700" s="28"/>
      <c r="D700" s="2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1"/>
      <c r="B701" s="28"/>
      <c r="C701" s="28"/>
      <c r="D701" s="2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1"/>
      <c r="B702" s="28"/>
      <c r="C702" s="28"/>
      <c r="D702" s="2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1"/>
      <c r="B703" s="28"/>
      <c r="C703" s="28"/>
      <c r="D703" s="2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1"/>
      <c r="B704" s="28"/>
      <c r="C704" s="28"/>
      <c r="D704" s="2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1"/>
      <c r="B705" s="28"/>
      <c r="C705" s="28"/>
      <c r="D705" s="2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1"/>
      <c r="B706" s="28"/>
      <c r="C706" s="28"/>
      <c r="D706" s="2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1"/>
      <c r="B707" s="28"/>
      <c r="C707" s="28"/>
      <c r="D707" s="2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1"/>
      <c r="B708" s="28"/>
      <c r="C708" s="28"/>
      <c r="D708" s="2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1"/>
      <c r="B709" s="28"/>
      <c r="C709" s="28"/>
      <c r="D709" s="2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1"/>
      <c r="B710" s="28"/>
      <c r="C710" s="28"/>
      <c r="D710" s="2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1"/>
      <c r="B711" s="28"/>
      <c r="C711" s="28"/>
      <c r="D711" s="2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1"/>
      <c r="B712" s="28"/>
      <c r="C712" s="28"/>
      <c r="D712" s="2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1"/>
      <c r="B713" s="28"/>
      <c r="C713" s="28"/>
      <c r="D713" s="2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1"/>
      <c r="B714" s="28"/>
      <c r="C714" s="28"/>
      <c r="D714" s="2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1"/>
      <c r="B715" s="28"/>
      <c r="C715" s="28"/>
      <c r="D715" s="2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1"/>
      <c r="B716" s="28"/>
      <c r="C716" s="28"/>
      <c r="D716" s="2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1"/>
      <c r="B717" s="28"/>
      <c r="C717" s="28"/>
      <c r="D717" s="2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1"/>
      <c r="B718" s="28"/>
      <c r="C718" s="28"/>
      <c r="D718" s="2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1"/>
      <c r="B719" s="28"/>
      <c r="C719" s="28"/>
      <c r="D719" s="2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1"/>
      <c r="B720" s="28"/>
      <c r="C720" s="28"/>
      <c r="D720" s="2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1"/>
      <c r="B721" s="28"/>
      <c r="C721" s="28"/>
      <c r="D721" s="2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1"/>
      <c r="B722" s="28"/>
      <c r="C722" s="28"/>
      <c r="D722" s="2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1"/>
      <c r="B723" s="28"/>
      <c r="C723" s="28"/>
      <c r="D723" s="2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1"/>
      <c r="B724" s="28"/>
      <c r="C724" s="28"/>
      <c r="D724" s="2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1"/>
      <c r="B725" s="28"/>
      <c r="C725" s="28"/>
      <c r="D725" s="2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1"/>
      <c r="B726" s="28"/>
      <c r="C726" s="28"/>
      <c r="D726" s="2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1"/>
      <c r="B727" s="28"/>
      <c r="C727" s="28"/>
      <c r="D727" s="2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1"/>
      <c r="B728" s="28"/>
      <c r="C728" s="28"/>
      <c r="D728" s="2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1"/>
      <c r="B729" s="28"/>
      <c r="C729" s="28"/>
      <c r="D729" s="2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1"/>
      <c r="B730" s="28"/>
      <c r="C730" s="28"/>
      <c r="D730" s="2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1"/>
      <c r="B731" s="28"/>
      <c r="C731" s="28"/>
      <c r="D731" s="2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1"/>
      <c r="B732" s="28"/>
      <c r="C732" s="28"/>
      <c r="D732" s="2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1"/>
      <c r="B733" s="28"/>
      <c r="C733" s="28"/>
      <c r="D733" s="2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1"/>
      <c r="B734" s="28"/>
      <c r="C734" s="28"/>
      <c r="D734" s="2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1"/>
      <c r="B735" s="28"/>
      <c r="C735" s="28"/>
      <c r="D735" s="2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1"/>
      <c r="B736" s="28"/>
      <c r="C736" s="28"/>
      <c r="D736" s="2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1"/>
      <c r="B737" s="28"/>
      <c r="C737" s="28"/>
      <c r="D737" s="2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1"/>
      <c r="B738" s="28"/>
      <c r="C738" s="28"/>
      <c r="D738" s="2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1"/>
      <c r="B739" s="28"/>
      <c r="C739" s="28"/>
      <c r="D739" s="2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1"/>
      <c r="B740" s="28"/>
      <c r="C740" s="28"/>
      <c r="D740" s="2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1"/>
      <c r="B741" s="28"/>
      <c r="C741" s="28"/>
      <c r="D741" s="2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1"/>
      <c r="B742" s="28"/>
      <c r="C742" s="28"/>
      <c r="D742" s="2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1"/>
      <c r="B743" s="28"/>
      <c r="C743" s="28"/>
      <c r="D743" s="2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1"/>
      <c r="B744" s="28"/>
      <c r="C744" s="28"/>
      <c r="D744" s="2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1"/>
      <c r="B745" s="28"/>
      <c r="C745" s="28"/>
      <c r="D745" s="2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1"/>
      <c r="B746" s="28"/>
      <c r="C746" s="28"/>
      <c r="D746" s="2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1"/>
      <c r="B747" s="28"/>
      <c r="C747" s="28"/>
      <c r="D747" s="2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1"/>
      <c r="B748" s="28"/>
      <c r="C748" s="28"/>
      <c r="D748" s="2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1"/>
      <c r="B749" s="28"/>
      <c r="C749" s="28"/>
      <c r="D749" s="2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1"/>
      <c r="B750" s="28"/>
      <c r="C750" s="28"/>
      <c r="D750" s="2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1"/>
      <c r="B751" s="28"/>
      <c r="C751" s="28"/>
      <c r="D751" s="2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1"/>
      <c r="B752" s="28"/>
      <c r="C752" s="28"/>
      <c r="D752" s="2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1"/>
      <c r="B753" s="28"/>
      <c r="C753" s="28"/>
      <c r="D753" s="2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1"/>
      <c r="B754" s="28"/>
      <c r="C754" s="28"/>
      <c r="D754" s="2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1"/>
      <c r="B755" s="28"/>
      <c r="C755" s="28"/>
      <c r="D755" s="2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1"/>
      <c r="B756" s="28"/>
      <c r="C756" s="28"/>
      <c r="D756" s="2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1"/>
      <c r="B757" s="28"/>
      <c r="C757" s="28"/>
      <c r="D757" s="2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1"/>
      <c r="B758" s="28"/>
      <c r="C758" s="28"/>
      <c r="D758" s="2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1"/>
      <c r="B759" s="28"/>
      <c r="C759" s="28"/>
      <c r="D759" s="2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1"/>
      <c r="B760" s="28"/>
      <c r="C760" s="28"/>
      <c r="D760" s="2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1"/>
      <c r="B761" s="28"/>
      <c r="C761" s="28"/>
      <c r="D761" s="2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1"/>
      <c r="B762" s="28"/>
      <c r="C762" s="28"/>
      <c r="D762" s="2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1"/>
      <c r="B763" s="28"/>
      <c r="C763" s="28"/>
      <c r="D763" s="2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1"/>
      <c r="B764" s="28"/>
      <c r="C764" s="28"/>
      <c r="D764" s="2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1"/>
      <c r="B765" s="28"/>
      <c r="C765" s="28"/>
      <c r="D765" s="2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1"/>
      <c r="B766" s="28"/>
      <c r="C766" s="28"/>
      <c r="D766" s="2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1"/>
      <c r="B767" s="28"/>
      <c r="C767" s="28"/>
      <c r="D767" s="2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1"/>
      <c r="B768" s="28"/>
      <c r="C768" s="28"/>
      <c r="D768" s="2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1"/>
      <c r="B769" s="28"/>
      <c r="C769" s="28"/>
      <c r="D769" s="2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1"/>
      <c r="B770" s="28"/>
      <c r="C770" s="28"/>
      <c r="D770" s="2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1"/>
      <c r="B771" s="28"/>
      <c r="C771" s="28"/>
      <c r="D771" s="2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1"/>
      <c r="B772" s="28"/>
      <c r="C772" s="28"/>
      <c r="D772" s="2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1"/>
      <c r="B773" s="28"/>
      <c r="C773" s="28"/>
      <c r="D773" s="2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1"/>
      <c r="B774" s="28"/>
      <c r="C774" s="28"/>
      <c r="D774" s="2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1"/>
      <c r="B775" s="28"/>
      <c r="C775" s="28"/>
      <c r="D775" s="2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1"/>
      <c r="B776" s="28"/>
      <c r="C776" s="28"/>
      <c r="D776" s="2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1"/>
      <c r="B777" s="28"/>
      <c r="C777" s="28"/>
      <c r="D777" s="2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1"/>
      <c r="B778" s="28"/>
      <c r="C778" s="28"/>
      <c r="D778" s="2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1"/>
      <c r="B779" s="28"/>
      <c r="C779" s="28"/>
      <c r="D779" s="2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1"/>
      <c r="B780" s="28"/>
      <c r="C780" s="28"/>
      <c r="D780" s="2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1"/>
      <c r="B781" s="28"/>
      <c r="C781" s="28"/>
      <c r="D781" s="2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1"/>
      <c r="B782" s="28"/>
      <c r="C782" s="28"/>
      <c r="D782" s="2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1"/>
      <c r="B783" s="28"/>
      <c r="C783" s="28"/>
      <c r="D783" s="2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1"/>
      <c r="B784" s="28"/>
      <c r="C784" s="28"/>
      <c r="D784" s="2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1"/>
      <c r="B785" s="28"/>
      <c r="C785" s="28"/>
      <c r="D785" s="2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1"/>
      <c r="B786" s="28"/>
      <c r="C786" s="28"/>
      <c r="D786" s="2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1"/>
      <c r="B787" s="28"/>
      <c r="C787" s="28"/>
      <c r="D787" s="2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1"/>
      <c r="B788" s="28"/>
      <c r="C788" s="28"/>
      <c r="D788" s="2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1"/>
      <c r="B789" s="28"/>
      <c r="C789" s="28"/>
      <c r="D789" s="2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1"/>
      <c r="B790" s="28"/>
      <c r="C790" s="28"/>
      <c r="D790" s="2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1"/>
      <c r="B791" s="28"/>
      <c r="C791" s="28"/>
      <c r="D791" s="2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1"/>
      <c r="B792" s="28"/>
      <c r="C792" s="28"/>
      <c r="D792" s="2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1"/>
      <c r="B793" s="28"/>
      <c r="C793" s="28"/>
      <c r="D793" s="2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1"/>
      <c r="B794" s="28"/>
      <c r="C794" s="28"/>
      <c r="D794" s="2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1"/>
      <c r="B795" s="28"/>
      <c r="C795" s="28"/>
      <c r="D795" s="2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1"/>
      <c r="B796" s="28"/>
      <c r="C796" s="28"/>
      <c r="D796" s="2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1"/>
      <c r="B797" s="28"/>
      <c r="C797" s="28"/>
      <c r="D797" s="2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1"/>
      <c r="B798" s="28"/>
      <c r="C798" s="28"/>
      <c r="D798" s="2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1"/>
      <c r="B799" s="28"/>
      <c r="C799" s="28"/>
      <c r="D799" s="2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1"/>
      <c r="B800" s="28"/>
      <c r="C800" s="28"/>
      <c r="D800" s="2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1"/>
      <c r="B801" s="28"/>
      <c r="C801" s="28"/>
      <c r="D801" s="2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1"/>
      <c r="B802" s="28"/>
      <c r="C802" s="28"/>
      <c r="D802" s="2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1"/>
      <c r="B803" s="28"/>
      <c r="C803" s="28"/>
      <c r="D803" s="2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1"/>
      <c r="B804" s="28"/>
      <c r="C804" s="28"/>
      <c r="D804" s="2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1"/>
      <c r="B805" s="28"/>
      <c r="C805" s="28"/>
      <c r="D805" s="2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1"/>
      <c r="B806" s="28"/>
      <c r="C806" s="28"/>
      <c r="D806" s="2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1"/>
      <c r="B807" s="28"/>
      <c r="C807" s="28"/>
      <c r="D807" s="2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1"/>
      <c r="B808" s="28"/>
      <c r="C808" s="28"/>
      <c r="D808" s="2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1"/>
      <c r="B809" s="28"/>
      <c r="C809" s="28"/>
      <c r="D809" s="2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1"/>
      <c r="B810" s="28"/>
      <c r="C810" s="28"/>
      <c r="D810" s="2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1"/>
      <c r="B811" s="28"/>
      <c r="C811" s="28"/>
      <c r="D811" s="2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1"/>
      <c r="B812" s="28"/>
      <c r="C812" s="28"/>
      <c r="D812" s="2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1"/>
      <c r="B813" s="28"/>
      <c r="C813" s="28"/>
      <c r="D813" s="2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1"/>
      <c r="B814" s="28"/>
      <c r="C814" s="28"/>
      <c r="D814" s="2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1"/>
      <c r="B815" s="28"/>
      <c r="C815" s="28"/>
      <c r="D815" s="2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1"/>
      <c r="B816" s="28"/>
      <c r="C816" s="28"/>
      <c r="D816" s="2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1"/>
      <c r="B817" s="28"/>
      <c r="C817" s="28"/>
      <c r="D817" s="2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1"/>
      <c r="B818" s="28"/>
      <c r="C818" s="28"/>
      <c r="D818" s="2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1"/>
      <c r="B819" s="28"/>
      <c r="C819" s="28"/>
      <c r="D819" s="2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1"/>
      <c r="B820" s="28"/>
      <c r="C820" s="28"/>
      <c r="D820" s="2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1"/>
      <c r="B821" s="28"/>
      <c r="C821" s="28"/>
      <c r="D821" s="2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1"/>
      <c r="B822" s="28"/>
      <c r="C822" s="28"/>
      <c r="D822" s="2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1"/>
      <c r="B823" s="28"/>
      <c r="C823" s="28"/>
      <c r="D823" s="2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1"/>
      <c r="B824" s="28"/>
      <c r="C824" s="28"/>
      <c r="D824" s="2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1"/>
      <c r="B825" s="28"/>
      <c r="C825" s="28"/>
      <c r="D825" s="2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1"/>
      <c r="B826" s="28"/>
      <c r="C826" s="28"/>
      <c r="D826" s="2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1"/>
      <c r="B827" s="28"/>
      <c r="C827" s="28"/>
      <c r="D827" s="2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1"/>
      <c r="B828" s="28"/>
      <c r="C828" s="28"/>
      <c r="D828" s="2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1"/>
      <c r="B829" s="28"/>
      <c r="C829" s="28"/>
      <c r="D829" s="2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1"/>
      <c r="B830" s="28"/>
      <c r="C830" s="28"/>
      <c r="D830" s="2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1"/>
      <c r="B831" s="28"/>
      <c r="C831" s="28"/>
      <c r="D831" s="2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1"/>
      <c r="B832" s="28"/>
      <c r="C832" s="28"/>
      <c r="D832" s="2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1"/>
      <c r="B833" s="28"/>
      <c r="C833" s="28"/>
      <c r="D833" s="2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1"/>
      <c r="B834" s="28"/>
      <c r="C834" s="28"/>
      <c r="D834" s="2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1"/>
      <c r="B835" s="28"/>
      <c r="C835" s="28"/>
      <c r="D835" s="2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1"/>
      <c r="B836" s="28"/>
      <c r="C836" s="28"/>
      <c r="D836" s="2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1"/>
      <c r="B837" s="28"/>
      <c r="C837" s="28"/>
      <c r="D837" s="2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1"/>
      <c r="B838" s="28"/>
      <c r="C838" s="28"/>
      <c r="D838" s="2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1"/>
      <c r="B839" s="28"/>
      <c r="C839" s="28"/>
      <c r="D839" s="2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1"/>
      <c r="B840" s="28"/>
      <c r="C840" s="28"/>
      <c r="D840" s="2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1"/>
      <c r="B841" s="28"/>
      <c r="C841" s="28"/>
      <c r="D841" s="2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1"/>
      <c r="B842" s="28"/>
      <c r="C842" s="28"/>
      <c r="D842" s="2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1"/>
      <c r="B843" s="28"/>
      <c r="C843" s="28"/>
      <c r="D843" s="2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1"/>
      <c r="B844" s="28"/>
      <c r="C844" s="28"/>
      <c r="D844" s="2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1"/>
      <c r="B845" s="28"/>
      <c r="C845" s="28"/>
      <c r="D845" s="2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1"/>
      <c r="B846" s="28"/>
      <c r="C846" s="28"/>
      <c r="D846" s="2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1"/>
      <c r="B847" s="28"/>
      <c r="C847" s="28"/>
      <c r="D847" s="2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1"/>
      <c r="B848" s="28"/>
      <c r="C848" s="28"/>
      <c r="D848" s="2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1"/>
      <c r="B849" s="28"/>
      <c r="C849" s="28"/>
      <c r="D849" s="2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1"/>
      <c r="B850" s="28"/>
      <c r="C850" s="28"/>
      <c r="D850" s="2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1"/>
      <c r="B851" s="28"/>
      <c r="C851" s="28"/>
      <c r="D851" s="2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1"/>
      <c r="B852" s="28"/>
      <c r="C852" s="28"/>
      <c r="D852" s="2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1"/>
      <c r="B853" s="28"/>
      <c r="C853" s="28"/>
      <c r="D853" s="2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1"/>
      <c r="B854" s="28"/>
      <c r="C854" s="28"/>
      <c r="D854" s="2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1"/>
      <c r="B855" s="28"/>
      <c r="C855" s="28"/>
      <c r="D855" s="2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1"/>
      <c r="B856" s="28"/>
      <c r="C856" s="28"/>
      <c r="D856" s="2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1"/>
      <c r="B857" s="28"/>
      <c r="C857" s="28"/>
      <c r="D857" s="2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1"/>
      <c r="B858" s="28"/>
      <c r="C858" s="28"/>
      <c r="D858" s="2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1"/>
      <c r="B859" s="28"/>
      <c r="C859" s="28"/>
      <c r="D859" s="2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1"/>
      <c r="B860" s="28"/>
      <c r="C860" s="28"/>
      <c r="D860" s="2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1"/>
      <c r="B861" s="28"/>
      <c r="C861" s="28"/>
      <c r="D861" s="2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1"/>
      <c r="B862" s="28"/>
      <c r="C862" s="28"/>
      <c r="D862" s="2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1"/>
      <c r="B863" s="28"/>
      <c r="C863" s="28"/>
      <c r="D863" s="2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1"/>
      <c r="B864" s="28"/>
      <c r="C864" s="28"/>
      <c r="D864" s="2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1"/>
      <c r="B865" s="28"/>
      <c r="C865" s="28"/>
      <c r="D865" s="2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1"/>
      <c r="B866" s="28"/>
      <c r="C866" s="28"/>
      <c r="D866" s="2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1"/>
      <c r="B867" s="28"/>
      <c r="C867" s="28"/>
      <c r="D867" s="2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1"/>
      <c r="B868" s="28"/>
      <c r="C868" s="28"/>
      <c r="D868" s="2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1"/>
      <c r="B869" s="28"/>
      <c r="C869" s="28"/>
      <c r="D869" s="2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1"/>
      <c r="B870" s="28"/>
      <c r="C870" s="28"/>
      <c r="D870" s="2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1"/>
      <c r="B871" s="28"/>
      <c r="C871" s="28"/>
      <c r="D871" s="2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1"/>
      <c r="B872" s="28"/>
      <c r="C872" s="28"/>
      <c r="D872" s="2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1"/>
      <c r="B873" s="28"/>
      <c r="C873" s="28"/>
      <c r="D873" s="2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1"/>
      <c r="B874" s="28"/>
      <c r="C874" s="28"/>
      <c r="D874" s="2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1"/>
      <c r="B875" s="28"/>
      <c r="C875" s="28"/>
      <c r="D875" s="2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1"/>
      <c r="B876" s="28"/>
      <c r="C876" s="28"/>
      <c r="D876" s="2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1"/>
      <c r="B877" s="28"/>
      <c r="C877" s="28"/>
      <c r="D877" s="2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1"/>
      <c r="B878" s="28"/>
      <c r="C878" s="28"/>
      <c r="D878" s="2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1"/>
      <c r="B879" s="28"/>
      <c r="C879" s="28"/>
      <c r="D879" s="2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1"/>
      <c r="B880" s="28"/>
      <c r="C880" s="28"/>
      <c r="D880" s="2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1"/>
      <c r="B881" s="28"/>
      <c r="C881" s="28"/>
      <c r="D881" s="2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1"/>
      <c r="B882" s="28"/>
      <c r="C882" s="28"/>
      <c r="D882" s="2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1"/>
      <c r="B883" s="28"/>
      <c r="C883" s="28"/>
      <c r="D883" s="2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1"/>
      <c r="B884" s="28"/>
      <c r="C884" s="28"/>
      <c r="D884" s="2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1"/>
      <c r="B885" s="28"/>
      <c r="C885" s="28"/>
      <c r="D885" s="2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1"/>
      <c r="B886" s="28"/>
      <c r="C886" s="28"/>
      <c r="D886" s="2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1"/>
      <c r="B887" s="28"/>
      <c r="C887" s="28"/>
      <c r="D887" s="2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1"/>
      <c r="B888" s="28"/>
      <c r="C888" s="28"/>
      <c r="D888" s="2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1"/>
      <c r="B889" s="28"/>
      <c r="C889" s="28"/>
      <c r="D889" s="2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1"/>
      <c r="B890" s="28"/>
      <c r="C890" s="28"/>
      <c r="D890" s="2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1"/>
      <c r="B891" s="28"/>
      <c r="C891" s="28"/>
      <c r="D891" s="2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1"/>
      <c r="B892" s="28"/>
      <c r="C892" s="28"/>
      <c r="D892" s="2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1"/>
      <c r="B893" s="28"/>
      <c r="C893" s="28"/>
      <c r="D893" s="2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1"/>
      <c r="B894" s="28"/>
      <c r="C894" s="28"/>
      <c r="D894" s="2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1"/>
      <c r="B895" s="28"/>
      <c r="C895" s="28"/>
      <c r="D895" s="2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1"/>
      <c r="B896" s="28"/>
      <c r="C896" s="28"/>
      <c r="D896" s="2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1"/>
      <c r="B897" s="28"/>
      <c r="C897" s="28"/>
      <c r="D897" s="2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1"/>
      <c r="B898" s="28"/>
      <c r="C898" s="28"/>
      <c r="D898" s="2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1"/>
      <c r="B899" s="28"/>
      <c r="C899" s="28"/>
      <c r="D899" s="2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1"/>
      <c r="B900" s="28"/>
      <c r="C900" s="28"/>
      <c r="D900" s="2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1"/>
      <c r="B901" s="28"/>
      <c r="C901" s="28"/>
      <c r="D901" s="2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1"/>
      <c r="B902" s="28"/>
      <c r="C902" s="28"/>
      <c r="D902" s="2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1"/>
      <c r="B903" s="28"/>
      <c r="C903" s="28"/>
      <c r="D903" s="2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1"/>
      <c r="B904" s="28"/>
      <c r="C904" s="28"/>
      <c r="D904" s="2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1"/>
      <c r="B905" s="28"/>
      <c r="C905" s="28"/>
      <c r="D905" s="2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1"/>
      <c r="B906" s="28"/>
      <c r="C906" s="28"/>
      <c r="D906" s="2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1"/>
      <c r="B907" s="28"/>
      <c r="C907" s="28"/>
      <c r="D907" s="2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1"/>
      <c r="B908" s="28"/>
      <c r="C908" s="28"/>
      <c r="D908" s="2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1"/>
      <c r="B909" s="28"/>
      <c r="C909" s="28"/>
      <c r="D909" s="2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1"/>
      <c r="B910" s="28"/>
      <c r="C910" s="28"/>
      <c r="D910" s="2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1"/>
      <c r="B911" s="28"/>
      <c r="C911" s="28"/>
      <c r="D911" s="2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1"/>
      <c r="B912" s="28"/>
      <c r="C912" s="28"/>
      <c r="D912" s="2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1"/>
      <c r="B913" s="28"/>
      <c r="C913" s="28"/>
      <c r="D913" s="2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1"/>
      <c r="B914" s="28"/>
      <c r="C914" s="28"/>
      <c r="D914" s="2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1"/>
      <c r="B915" s="28"/>
      <c r="C915" s="28"/>
      <c r="D915" s="2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1"/>
      <c r="B916" s="28"/>
      <c r="C916" s="28"/>
      <c r="D916" s="2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1"/>
      <c r="B917" s="28"/>
      <c r="C917" s="28"/>
      <c r="D917" s="2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1"/>
      <c r="B918" s="28"/>
      <c r="C918" s="28"/>
      <c r="D918" s="2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1"/>
      <c r="B919" s="28"/>
      <c r="C919" s="28"/>
      <c r="D919" s="2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1"/>
      <c r="B920" s="28"/>
      <c r="C920" s="28"/>
      <c r="D920" s="2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1"/>
      <c r="B921" s="28"/>
      <c r="C921" s="28"/>
      <c r="D921" s="2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1"/>
      <c r="B922" s="28"/>
      <c r="C922" s="28"/>
      <c r="D922" s="2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1"/>
      <c r="B923" s="28"/>
      <c r="C923" s="28"/>
      <c r="D923" s="2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1"/>
      <c r="B924" s="28"/>
      <c r="C924" s="28"/>
      <c r="D924" s="2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1"/>
      <c r="B925" s="28"/>
      <c r="C925" s="28"/>
      <c r="D925" s="2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1"/>
      <c r="B926" s="28"/>
      <c r="C926" s="28"/>
      <c r="D926" s="2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1"/>
      <c r="B927" s="28"/>
      <c r="C927" s="28"/>
      <c r="D927" s="2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1"/>
      <c r="B928" s="28"/>
      <c r="C928" s="28"/>
      <c r="D928" s="2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1"/>
      <c r="B929" s="28"/>
      <c r="C929" s="28"/>
      <c r="D929" s="2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1"/>
      <c r="B930" s="28"/>
      <c r="C930" s="28"/>
      <c r="D930" s="2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1"/>
      <c r="B931" s="28"/>
      <c r="C931" s="28"/>
      <c r="D931" s="2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1"/>
      <c r="B932" s="28"/>
      <c r="C932" s="28"/>
      <c r="D932" s="2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1"/>
      <c r="B933" s="28"/>
      <c r="C933" s="28"/>
      <c r="D933" s="2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1"/>
      <c r="B934" s="28"/>
      <c r="C934" s="28"/>
      <c r="D934" s="2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1"/>
      <c r="B935" s="28"/>
      <c r="C935" s="28"/>
      <c r="D935" s="2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1"/>
      <c r="B936" s="28"/>
      <c r="C936" s="28"/>
      <c r="D936" s="2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1"/>
      <c r="B937" s="28"/>
      <c r="C937" s="28"/>
      <c r="D937" s="2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1"/>
      <c r="B938" s="28"/>
      <c r="C938" s="28"/>
      <c r="D938" s="2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1"/>
      <c r="B939" s="28"/>
      <c r="C939" s="28"/>
      <c r="D939" s="2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1"/>
      <c r="B940" s="28"/>
      <c r="C940" s="28"/>
      <c r="D940" s="2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1"/>
      <c r="B941" s="28"/>
      <c r="C941" s="28"/>
      <c r="D941" s="2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1"/>
      <c r="B942" s="28"/>
      <c r="C942" s="28"/>
      <c r="D942" s="2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1"/>
      <c r="B943" s="28"/>
      <c r="C943" s="28"/>
      <c r="D943" s="2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1"/>
      <c r="B944" s="28"/>
      <c r="C944" s="28"/>
      <c r="D944" s="2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1"/>
      <c r="B945" s="28"/>
      <c r="C945" s="28"/>
      <c r="D945" s="2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1"/>
      <c r="B946" s="28"/>
      <c r="C946" s="28"/>
      <c r="D946" s="2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1"/>
      <c r="B947" s="28"/>
      <c r="C947" s="28"/>
      <c r="D947" s="2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1"/>
      <c r="B948" s="28"/>
      <c r="C948" s="28"/>
      <c r="D948" s="2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1"/>
      <c r="B949" s="28"/>
      <c r="C949" s="28"/>
      <c r="D949" s="2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1"/>
      <c r="B950" s="28"/>
      <c r="C950" s="28"/>
      <c r="D950" s="2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1"/>
      <c r="B951" s="28"/>
      <c r="C951" s="28"/>
      <c r="D951" s="2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1"/>
      <c r="B952" s="28"/>
      <c r="C952" s="28"/>
      <c r="D952" s="2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1"/>
      <c r="B953" s="28"/>
      <c r="C953" s="28"/>
      <c r="D953" s="2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1"/>
      <c r="B954" s="28"/>
      <c r="C954" s="28"/>
      <c r="D954" s="2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1"/>
      <c r="B955" s="28"/>
      <c r="C955" s="28"/>
      <c r="D955" s="2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1"/>
      <c r="B956" s="28"/>
      <c r="C956" s="28"/>
      <c r="D956" s="2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1"/>
      <c r="B957" s="28"/>
      <c r="C957" s="28"/>
      <c r="D957" s="2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1"/>
      <c r="B958" s="28"/>
      <c r="C958" s="28"/>
      <c r="D958" s="2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1"/>
      <c r="B959" s="28"/>
      <c r="C959" s="28"/>
      <c r="D959" s="2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1"/>
      <c r="B960" s="28"/>
      <c r="C960" s="28"/>
      <c r="D960" s="2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1"/>
      <c r="B961" s="28"/>
      <c r="C961" s="28"/>
      <c r="D961" s="2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1"/>
      <c r="B962" s="28"/>
      <c r="C962" s="28"/>
      <c r="D962" s="2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1"/>
      <c r="B963" s="28"/>
      <c r="C963" s="28"/>
      <c r="D963" s="2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1"/>
      <c r="B964" s="28"/>
      <c r="C964" s="28"/>
      <c r="D964" s="2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1"/>
      <c r="B965" s="28"/>
      <c r="C965" s="28"/>
      <c r="D965" s="2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1"/>
      <c r="B966" s="28"/>
      <c r="C966" s="28"/>
      <c r="D966" s="2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1"/>
      <c r="B967" s="28"/>
      <c r="C967" s="28"/>
      <c r="D967" s="2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1"/>
      <c r="B968" s="28"/>
      <c r="C968" s="28"/>
      <c r="D968" s="2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1"/>
      <c r="B969" s="28"/>
      <c r="C969" s="28"/>
      <c r="D969" s="2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1"/>
      <c r="B970" s="28"/>
      <c r="C970" s="28"/>
      <c r="D970" s="2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1"/>
      <c r="B971" s="28"/>
      <c r="C971" s="28"/>
      <c r="D971" s="2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1"/>
      <c r="B972" s="28"/>
      <c r="C972" s="28"/>
      <c r="D972" s="2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1"/>
      <c r="B973" s="28"/>
      <c r="C973" s="28"/>
      <c r="D973" s="2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1"/>
      <c r="B974" s="28"/>
      <c r="C974" s="28"/>
      <c r="D974" s="2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1"/>
      <c r="B975" s="28"/>
      <c r="C975" s="28"/>
      <c r="D975" s="2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1"/>
      <c r="B976" s="28"/>
      <c r="C976" s="28"/>
      <c r="D976" s="2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1"/>
      <c r="B977" s="28"/>
      <c r="C977" s="28"/>
      <c r="D977" s="2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1"/>
      <c r="B978" s="28"/>
      <c r="C978" s="28"/>
      <c r="D978" s="2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1"/>
      <c r="B979" s="28"/>
      <c r="C979" s="28"/>
      <c r="D979" s="2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1"/>
      <c r="B980" s="28"/>
      <c r="C980" s="28"/>
      <c r="D980" s="2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1"/>
      <c r="B981" s="28"/>
      <c r="C981" s="28"/>
      <c r="D981" s="2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1"/>
      <c r="B982" s="28"/>
      <c r="C982" s="28"/>
      <c r="D982" s="2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1"/>
      <c r="B983" s="28"/>
      <c r="C983" s="28"/>
      <c r="D983" s="2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1"/>
      <c r="B984" s="28"/>
      <c r="C984" s="28"/>
      <c r="D984" s="2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1"/>
      <c r="B985" s="28"/>
      <c r="C985" s="28"/>
      <c r="D985" s="2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1"/>
      <c r="B986" s="28"/>
      <c r="C986" s="28"/>
      <c r="D986" s="2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1"/>
      <c r="B987" s="28"/>
      <c r="C987" s="28"/>
      <c r="D987" s="2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1"/>
      <c r="B988" s="28"/>
      <c r="C988" s="28"/>
      <c r="D988" s="2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1"/>
      <c r="B989" s="28"/>
      <c r="C989" s="28"/>
      <c r="D989" s="2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1"/>
      <c r="B990" s="28"/>
      <c r="C990" s="28"/>
      <c r="D990" s="2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1"/>
      <c r="B991" s="28"/>
      <c r="C991" s="28"/>
      <c r="D991" s="2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1"/>
      <c r="B992" s="28"/>
      <c r="C992" s="28"/>
      <c r="D992" s="2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1"/>
      <c r="B993" s="28"/>
      <c r="C993" s="28"/>
      <c r="D993" s="2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1"/>
      <c r="B994" s="28"/>
      <c r="C994" s="28"/>
      <c r="D994" s="2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1"/>
      <c r="B995" s="28"/>
      <c r="C995" s="28"/>
      <c r="D995" s="2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1"/>
      <c r="B996" s="28"/>
      <c r="C996" s="28"/>
      <c r="D996" s="2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1"/>
      <c r="B997" s="28"/>
      <c r="C997" s="28"/>
      <c r="D997" s="2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1"/>
      <c r="B998" s="28"/>
      <c r="C998" s="28"/>
      <c r="D998" s="2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1"/>
      <c r="B999" s="28"/>
      <c r="C999" s="28"/>
      <c r="D999" s="2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1"/>
      <c r="B1000" s="28"/>
      <c r="C1000" s="28"/>
      <c r="D1000" s="2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</sheetData>
  <conditionalFormatting sqref="E2:E1000">
    <cfRule type="cellIs" dxfId="0" priority="1" stopIfTrue="1" operator="equal">
      <formula>"CÓ THỂ ĐI"</formula>
    </cfRule>
  </conditionalFormatting>
  <conditionalFormatting sqref="E2:E1000">
    <cfRule type="cellIs" dxfId="1" priority="2" stopIfTrue="1" operator="equal">
      <formula>"PHÙ HỢP CAO"</formula>
    </cfRule>
  </conditionalFormatting>
  <hyperlinks>
    <hyperlink r:id="rId1" ref="B2"/>
    <hyperlink r:id="rId2" ref="D2"/>
    <hyperlink r:id="rId3" ref="B3"/>
    <hyperlink r:id="rId4" ref="D3"/>
    <hyperlink r:id="rId5" ref="B4"/>
    <hyperlink r:id="rId6" ref="D4"/>
    <hyperlink r:id="rId7" ref="B5"/>
    <hyperlink r:id="rId8" ref="D5"/>
    <hyperlink r:id="rId9" ref="B6"/>
    <hyperlink r:id="rId10" ref="D6"/>
    <hyperlink r:id="rId11" ref="B7"/>
    <hyperlink r:id="rId12" ref="D7"/>
    <hyperlink r:id="rId13" ref="B8"/>
    <hyperlink r:id="rId14" ref="D8"/>
    <hyperlink r:id="rId15" ref="B9"/>
    <hyperlink r:id="rId16" ref="D9"/>
    <hyperlink r:id="rId17" ref="B10"/>
    <hyperlink r:id="rId18" ref="D10"/>
    <hyperlink r:id="rId19" ref="B11"/>
    <hyperlink r:id="rId20" ref="D11"/>
    <hyperlink r:id="rId21" ref="B12"/>
    <hyperlink r:id="rId22" ref="D12"/>
    <hyperlink r:id="rId23" ref="B13"/>
    <hyperlink r:id="rId24" ref="D13"/>
    <hyperlink r:id="rId25" ref="B14"/>
    <hyperlink r:id="rId26" ref="D14"/>
    <hyperlink r:id="rId27" ref="B15"/>
    <hyperlink r:id="rId28" ref="D15"/>
    <hyperlink r:id="rId29" ref="B16"/>
    <hyperlink r:id="rId30" ref="D16"/>
    <hyperlink r:id="rId31" ref="B17"/>
    <hyperlink r:id="rId32" ref="D17"/>
    <hyperlink r:id="rId33" ref="B18"/>
    <hyperlink r:id="rId34" ref="D18"/>
    <hyperlink r:id="rId35" ref="B19"/>
    <hyperlink r:id="rId36" ref="D19"/>
    <hyperlink r:id="rId37" ref="B20"/>
    <hyperlink r:id="rId38" ref="D20"/>
    <hyperlink r:id="rId39" ref="B21"/>
    <hyperlink r:id="rId40" ref="D21"/>
    <hyperlink r:id="rId41" ref="B22"/>
    <hyperlink r:id="rId42" ref="D22"/>
    <hyperlink r:id="rId43" ref="B23"/>
    <hyperlink r:id="rId44" ref="D23"/>
    <hyperlink r:id="rId45" ref="B24"/>
    <hyperlink r:id="rId46" ref="D24"/>
    <hyperlink r:id="rId47" ref="B25"/>
    <hyperlink r:id="rId48" ref="D25"/>
    <hyperlink r:id="rId49" ref="B26"/>
    <hyperlink r:id="rId50" ref="D26"/>
    <hyperlink r:id="rId51" ref="B27"/>
    <hyperlink r:id="rId52" ref="D27"/>
    <hyperlink r:id="rId53" ref="B28"/>
    <hyperlink r:id="rId54" ref="D28"/>
    <hyperlink r:id="rId55" ref="B29"/>
    <hyperlink r:id="rId56" ref="D29"/>
    <hyperlink r:id="rId57" ref="B30"/>
    <hyperlink r:id="rId58" ref="D30"/>
    <hyperlink r:id="rId59" ref="B31"/>
    <hyperlink r:id="rId60" ref="D31"/>
    <hyperlink r:id="rId61" ref="B32"/>
    <hyperlink r:id="rId62" ref="D32"/>
    <hyperlink r:id="rId63" ref="B33"/>
    <hyperlink r:id="rId64" ref="D33"/>
    <hyperlink r:id="rId65" ref="B34"/>
    <hyperlink r:id="rId66" ref="D34"/>
    <hyperlink r:id="rId67" ref="B35"/>
    <hyperlink r:id="rId68" ref="D35"/>
    <hyperlink r:id="rId69" ref="B36"/>
    <hyperlink r:id="rId70" ref="D36"/>
    <hyperlink r:id="rId71" ref="B37"/>
    <hyperlink r:id="rId72" ref="D37"/>
    <hyperlink r:id="rId73" ref="B38"/>
    <hyperlink r:id="rId74" ref="D38"/>
    <hyperlink r:id="rId75" ref="B39"/>
    <hyperlink r:id="rId76" ref="D39"/>
    <hyperlink r:id="rId77" ref="B40"/>
    <hyperlink r:id="rId78" ref="D40"/>
    <hyperlink r:id="rId79" ref="B41"/>
    <hyperlink r:id="rId80" ref="D41"/>
    <hyperlink r:id="rId81" ref="B42"/>
    <hyperlink r:id="rId82" ref="D42"/>
    <hyperlink r:id="rId83" ref="B43"/>
    <hyperlink r:id="rId84" ref="D43"/>
    <hyperlink r:id="rId85" ref="B44"/>
    <hyperlink r:id="rId86" ref="D44"/>
    <hyperlink r:id="rId87" ref="B45"/>
    <hyperlink r:id="rId88" ref="D45"/>
    <hyperlink r:id="rId89" ref="B46"/>
    <hyperlink r:id="rId90" ref="D46"/>
    <hyperlink r:id="rId91" ref="B47"/>
    <hyperlink r:id="rId92" ref="D47"/>
    <hyperlink r:id="rId93" ref="B48"/>
    <hyperlink r:id="rId94" ref="D48"/>
    <hyperlink r:id="rId95" ref="B49"/>
    <hyperlink r:id="rId96" ref="D49"/>
    <hyperlink r:id="rId97" ref="B50"/>
    <hyperlink r:id="rId98" ref="D50"/>
    <hyperlink r:id="rId99" ref="B51"/>
    <hyperlink r:id="rId100" ref="D51"/>
    <hyperlink r:id="rId101" ref="B52"/>
    <hyperlink r:id="rId102" ref="D52"/>
    <hyperlink r:id="rId103" ref="B53"/>
    <hyperlink r:id="rId104" ref="D53"/>
    <hyperlink r:id="rId105" ref="B54"/>
    <hyperlink r:id="rId106" ref="D54"/>
    <hyperlink r:id="rId107" ref="B55"/>
    <hyperlink r:id="rId108" ref="D55"/>
    <hyperlink r:id="rId109" ref="B56"/>
    <hyperlink r:id="rId110" ref="D56"/>
    <hyperlink r:id="rId111" ref="B57"/>
    <hyperlink r:id="rId112" ref="D57"/>
    <hyperlink r:id="rId113" ref="B58"/>
    <hyperlink r:id="rId114" ref="D58"/>
    <hyperlink r:id="rId115" ref="B59"/>
    <hyperlink r:id="rId116" ref="D59"/>
    <hyperlink r:id="rId117" ref="B60"/>
    <hyperlink r:id="rId118" ref="D60"/>
    <hyperlink r:id="rId119" ref="B61"/>
    <hyperlink r:id="rId120" ref="D61"/>
    <hyperlink r:id="rId121" ref="B62"/>
    <hyperlink r:id="rId122" ref="D62"/>
    <hyperlink r:id="rId123" ref="B63"/>
    <hyperlink r:id="rId124" ref="D63"/>
    <hyperlink r:id="rId125" ref="B64"/>
    <hyperlink r:id="rId126" ref="D64"/>
    <hyperlink r:id="rId127" ref="B65"/>
    <hyperlink r:id="rId128" ref="D65"/>
    <hyperlink r:id="rId129" ref="B66"/>
    <hyperlink r:id="rId130" ref="D66"/>
    <hyperlink r:id="rId131" ref="B67"/>
    <hyperlink r:id="rId132" ref="D67"/>
    <hyperlink r:id="rId133" ref="B68"/>
    <hyperlink r:id="rId134" ref="D68"/>
    <hyperlink r:id="rId135" ref="B69"/>
    <hyperlink r:id="rId136" ref="D69"/>
    <hyperlink r:id="rId137" ref="B70"/>
    <hyperlink r:id="rId138" ref="D70"/>
    <hyperlink r:id="rId139" ref="B71"/>
    <hyperlink r:id="rId140" ref="D71"/>
    <hyperlink r:id="rId141" ref="B72"/>
    <hyperlink r:id="rId142" ref="D72"/>
    <hyperlink r:id="rId143" ref="B73"/>
    <hyperlink r:id="rId144" ref="D73"/>
    <hyperlink r:id="rId145" ref="B74"/>
    <hyperlink r:id="rId146" ref="D74"/>
    <hyperlink r:id="rId147" ref="B75"/>
    <hyperlink r:id="rId148" ref="D75"/>
    <hyperlink r:id="rId149" ref="B76"/>
    <hyperlink r:id="rId150" ref="D76"/>
    <hyperlink r:id="rId151" ref="B77"/>
    <hyperlink r:id="rId152" ref="D77"/>
    <hyperlink r:id="rId153" ref="B78"/>
    <hyperlink r:id="rId154" ref="D78"/>
    <hyperlink r:id="rId155" ref="B79"/>
    <hyperlink r:id="rId156" ref="D79"/>
    <hyperlink r:id="rId157" ref="B80"/>
    <hyperlink r:id="rId158" ref="D80"/>
    <hyperlink r:id="rId159" ref="B81"/>
    <hyperlink r:id="rId160" ref="D81"/>
    <hyperlink r:id="rId161" ref="B82"/>
    <hyperlink r:id="rId162" ref="D82"/>
    <hyperlink r:id="rId163" ref="B83"/>
    <hyperlink r:id="rId164" ref="D83"/>
    <hyperlink r:id="rId165" ref="B84"/>
    <hyperlink r:id="rId166" ref="D84"/>
    <hyperlink r:id="rId167" ref="B85"/>
    <hyperlink r:id="rId168" ref="D85"/>
    <hyperlink r:id="rId169" ref="B86"/>
    <hyperlink r:id="rId170" ref="D86"/>
    <hyperlink r:id="rId171" ref="B87"/>
    <hyperlink r:id="rId172" ref="D87"/>
    <hyperlink r:id="rId173" ref="B88"/>
    <hyperlink r:id="rId174" ref="D88"/>
    <hyperlink r:id="rId175" ref="B89"/>
    <hyperlink r:id="rId176" ref="D89"/>
    <hyperlink r:id="rId177" ref="B90"/>
    <hyperlink r:id="rId178" ref="D90"/>
    <hyperlink r:id="rId179" ref="B91"/>
    <hyperlink r:id="rId180" ref="D91"/>
    <hyperlink r:id="rId181" ref="B92"/>
    <hyperlink r:id="rId182" ref="D92"/>
    <hyperlink r:id="rId183" ref="B93"/>
    <hyperlink r:id="rId184" ref="D93"/>
    <hyperlink r:id="rId185" ref="B94"/>
    <hyperlink r:id="rId186" ref="D94"/>
    <hyperlink r:id="rId187" ref="B95"/>
    <hyperlink r:id="rId188" ref="D95"/>
    <hyperlink r:id="rId189" ref="B96"/>
    <hyperlink r:id="rId190" ref="D96"/>
    <hyperlink r:id="rId191" ref="B97"/>
    <hyperlink r:id="rId192" ref="D97"/>
    <hyperlink r:id="rId193" ref="B98"/>
    <hyperlink r:id="rId194" ref="D98"/>
    <hyperlink r:id="rId195" ref="B99"/>
    <hyperlink r:id="rId196" ref="D99"/>
    <hyperlink r:id="rId197" ref="B100"/>
    <hyperlink r:id="rId198" ref="D100"/>
    <hyperlink r:id="rId199" ref="B101"/>
    <hyperlink r:id="rId200" ref="D101"/>
    <hyperlink r:id="rId201" ref="B102"/>
    <hyperlink r:id="rId202" ref="D102"/>
    <hyperlink r:id="rId203" ref="B103"/>
    <hyperlink r:id="rId204" ref="D103"/>
    <hyperlink r:id="rId205" ref="B104"/>
    <hyperlink r:id="rId206" ref="D104"/>
    <hyperlink r:id="rId207" ref="B105"/>
    <hyperlink r:id="rId208" ref="D105"/>
    <hyperlink r:id="rId209" ref="B106"/>
    <hyperlink r:id="rId210" ref="D106"/>
    <hyperlink r:id="rId211" ref="B107"/>
    <hyperlink r:id="rId212" ref="D107"/>
    <hyperlink r:id="rId213" ref="B108"/>
    <hyperlink r:id="rId214" ref="D108"/>
    <hyperlink r:id="rId215" ref="B109"/>
    <hyperlink r:id="rId216" ref="D109"/>
    <hyperlink r:id="rId217" ref="B110"/>
    <hyperlink r:id="rId218" ref="D110"/>
    <hyperlink r:id="rId219" ref="B111"/>
    <hyperlink r:id="rId220" ref="D111"/>
    <hyperlink r:id="rId221" ref="B112"/>
    <hyperlink r:id="rId222" ref="D112"/>
    <hyperlink r:id="rId223" ref="B113"/>
    <hyperlink r:id="rId224" ref="D113"/>
    <hyperlink r:id="rId225" ref="B114"/>
    <hyperlink r:id="rId226" ref="D114"/>
    <hyperlink r:id="rId227" ref="B115"/>
    <hyperlink r:id="rId228" ref="D115"/>
    <hyperlink r:id="rId229" ref="B116"/>
    <hyperlink r:id="rId230" ref="D116"/>
    <hyperlink r:id="rId231" ref="B117"/>
    <hyperlink r:id="rId232" ref="D117"/>
    <hyperlink r:id="rId233" ref="B118"/>
    <hyperlink r:id="rId234" ref="D118"/>
    <hyperlink r:id="rId235" ref="B119"/>
    <hyperlink r:id="rId236" ref="D119"/>
    <hyperlink r:id="rId237" ref="B120"/>
    <hyperlink r:id="rId238" ref="D120"/>
    <hyperlink r:id="rId239" ref="B121"/>
    <hyperlink r:id="rId240" ref="D121"/>
    <hyperlink r:id="rId241" ref="B122"/>
    <hyperlink r:id="rId242" ref="D122"/>
    <hyperlink r:id="rId243" ref="B123"/>
    <hyperlink r:id="rId244" ref="D123"/>
    <hyperlink r:id="rId245" ref="B124"/>
    <hyperlink r:id="rId246" ref="D124"/>
    <hyperlink r:id="rId247" ref="B125"/>
    <hyperlink r:id="rId248" ref="D125"/>
    <hyperlink r:id="rId249" ref="B126"/>
    <hyperlink r:id="rId250" ref="D126"/>
    <hyperlink r:id="rId251" ref="B127"/>
    <hyperlink r:id="rId252" ref="D127"/>
    <hyperlink r:id="rId253" ref="B128"/>
    <hyperlink r:id="rId254" ref="D128"/>
    <hyperlink r:id="rId255" ref="B129"/>
    <hyperlink r:id="rId256" ref="D129"/>
    <hyperlink r:id="rId257" ref="B130"/>
    <hyperlink r:id="rId258" ref="D130"/>
    <hyperlink r:id="rId259" ref="B131"/>
    <hyperlink r:id="rId260" ref="D131"/>
    <hyperlink r:id="rId261" ref="B132"/>
    <hyperlink r:id="rId262" ref="D132"/>
    <hyperlink r:id="rId263" ref="B133"/>
    <hyperlink r:id="rId264" ref="D133"/>
    <hyperlink r:id="rId265" ref="B134"/>
    <hyperlink r:id="rId266" ref="D134"/>
    <hyperlink r:id="rId267" ref="B135"/>
    <hyperlink r:id="rId268" ref="D135"/>
    <hyperlink r:id="rId269" ref="B136"/>
    <hyperlink r:id="rId270" ref="D136"/>
    <hyperlink r:id="rId271" ref="B137"/>
    <hyperlink r:id="rId272" ref="D137"/>
    <hyperlink r:id="rId273" ref="B138"/>
    <hyperlink r:id="rId274" ref="D138"/>
    <hyperlink r:id="rId275" ref="B139"/>
    <hyperlink r:id="rId276" ref="D139"/>
    <hyperlink r:id="rId277" ref="B140"/>
    <hyperlink r:id="rId278" ref="D140"/>
    <hyperlink r:id="rId279" ref="B141"/>
    <hyperlink r:id="rId280" ref="D141"/>
    <hyperlink r:id="rId281" ref="B142"/>
    <hyperlink r:id="rId282" ref="D142"/>
    <hyperlink r:id="rId283" ref="B143"/>
    <hyperlink r:id="rId284" ref="D143"/>
    <hyperlink r:id="rId285" ref="B144"/>
    <hyperlink r:id="rId286" ref="D144"/>
    <hyperlink r:id="rId287" ref="B145"/>
    <hyperlink r:id="rId288" ref="D145"/>
    <hyperlink r:id="rId289" ref="B146"/>
    <hyperlink r:id="rId290" ref="D146"/>
    <hyperlink r:id="rId291" ref="B147"/>
    <hyperlink r:id="rId292" ref="D147"/>
    <hyperlink r:id="rId293" ref="B148"/>
    <hyperlink r:id="rId294" ref="D148"/>
    <hyperlink r:id="rId295" ref="B149"/>
    <hyperlink r:id="rId296" ref="D149"/>
    <hyperlink r:id="rId297" ref="B150"/>
    <hyperlink r:id="rId298" ref="D150"/>
    <hyperlink r:id="rId299" ref="B151"/>
    <hyperlink r:id="rId300" ref="D151"/>
    <hyperlink r:id="rId301" ref="B152"/>
    <hyperlink r:id="rId302" ref="D152"/>
    <hyperlink r:id="rId303" ref="B153"/>
    <hyperlink r:id="rId304" ref="D153"/>
    <hyperlink r:id="rId305" ref="B154"/>
    <hyperlink r:id="rId306" ref="D154"/>
    <hyperlink r:id="rId307" ref="B155"/>
    <hyperlink r:id="rId308" ref="D155"/>
    <hyperlink r:id="rId309" ref="B156"/>
    <hyperlink r:id="rId310" ref="D156"/>
    <hyperlink r:id="rId311" ref="B157"/>
    <hyperlink r:id="rId312" ref="D157"/>
    <hyperlink r:id="rId313" ref="B158"/>
    <hyperlink r:id="rId314" ref="D158"/>
    <hyperlink r:id="rId315" ref="B159"/>
    <hyperlink r:id="rId316" ref="D159"/>
    <hyperlink r:id="rId317" ref="B160"/>
    <hyperlink r:id="rId318" ref="D160"/>
    <hyperlink r:id="rId319" ref="B161"/>
    <hyperlink r:id="rId320" ref="D161"/>
    <hyperlink r:id="rId321" ref="B162"/>
    <hyperlink r:id="rId322" ref="D162"/>
    <hyperlink r:id="rId323" ref="B163"/>
    <hyperlink r:id="rId324" ref="D163"/>
    <hyperlink r:id="rId325" ref="B164"/>
    <hyperlink r:id="rId326" ref="D164"/>
    <hyperlink r:id="rId327" ref="B165"/>
    <hyperlink r:id="rId328" ref="D165"/>
    <hyperlink r:id="rId329" ref="B166"/>
    <hyperlink r:id="rId330" ref="D166"/>
    <hyperlink r:id="rId331" ref="B167"/>
    <hyperlink r:id="rId332" ref="D167"/>
    <hyperlink r:id="rId333" ref="B168"/>
    <hyperlink r:id="rId334" ref="D168"/>
    <hyperlink r:id="rId335" ref="B169"/>
    <hyperlink r:id="rId336" ref="D169"/>
    <hyperlink r:id="rId337" ref="B170"/>
    <hyperlink r:id="rId338" ref="D170"/>
    <hyperlink r:id="rId339" ref="B171"/>
    <hyperlink r:id="rId340" ref="D171"/>
    <hyperlink r:id="rId341" ref="B172"/>
    <hyperlink r:id="rId342" ref="D172"/>
    <hyperlink r:id="rId343" ref="B173"/>
    <hyperlink r:id="rId344" ref="D173"/>
    <hyperlink r:id="rId345" ref="B174"/>
    <hyperlink r:id="rId346" ref="D174"/>
    <hyperlink r:id="rId347" ref="B175"/>
    <hyperlink r:id="rId348" ref="D175"/>
    <hyperlink r:id="rId349" ref="B176"/>
    <hyperlink r:id="rId350" ref="D176"/>
    <hyperlink r:id="rId351" ref="B177"/>
    <hyperlink r:id="rId352" ref="D177"/>
    <hyperlink r:id="rId353" ref="B178"/>
    <hyperlink r:id="rId354" ref="D178"/>
    <hyperlink r:id="rId355" ref="B179"/>
    <hyperlink r:id="rId356" ref="D179"/>
    <hyperlink r:id="rId357" ref="B180"/>
    <hyperlink r:id="rId358" ref="D180"/>
    <hyperlink r:id="rId359" ref="B181"/>
    <hyperlink r:id="rId360" ref="D181"/>
    <hyperlink r:id="rId361" ref="B182"/>
    <hyperlink r:id="rId362" ref="D182"/>
    <hyperlink r:id="rId363" ref="B183"/>
    <hyperlink r:id="rId364" ref="D183"/>
    <hyperlink r:id="rId365" ref="B184"/>
    <hyperlink r:id="rId366" ref="D184"/>
    <hyperlink r:id="rId367" ref="B185"/>
    <hyperlink r:id="rId368" ref="D185"/>
    <hyperlink r:id="rId369" ref="B186"/>
    <hyperlink r:id="rId370" ref="D186"/>
    <hyperlink r:id="rId371" ref="B187"/>
    <hyperlink r:id="rId372" ref="D187"/>
    <hyperlink r:id="rId373" ref="B188"/>
    <hyperlink r:id="rId374" ref="D188"/>
    <hyperlink r:id="rId375" ref="B189"/>
    <hyperlink r:id="rId376" ref="D189"/>
    <hyperlink r:id="rId377" ref="B190"/>
    <hyperlink r:id="rId378" ref="D190"/>
    <hyperlink r:id="rId379" ref="B191"/>
    <hyperlink r:id="rId380" ref="D191"/>
    <hyperlink r:id="rId381" ref="B192"/>
    <hyperlink r:id="rId382" ref="D192"/>
    <hyperlink r:id="rId383" ref="B193"/>
    <hyperlink r:id="rId384" ref="D193"/>
    <hyperlink r:id="rId385" ref="B194"/>
    <hyperlink r:id="rId386" ref="D194"/>
    <hyperlink r:id="rId387" ref="B195"/>
    <hyperlink r:id="rId388" ref="D195"/>
    <hyperlink r:id="rId389" ref="B196"/>
    <hyperlink r:id="rId390" ref="D196"/>
    <hyperlink r:id="rId391" ref="B197"/>
    <hyperlink r:id="rId392" ref="D197"/>
    <hyperlink r:id="rId393" ref="B198"/>
    <hyperlink r:id="rId394" ref="D198"/>
    <hyperlink r:id="rId395" ref="B199"/>
    <hyperlink r:id="rId396" ref="D199"/>
    <hyperlink r:id="rId397" ref="B200"/>
    <hyperlink r:id="rId398" ref="D200"/>
    <hyperlink r:id="rId399" ref="B201"/>
    <hyperlink r:id="rId400" ref="D201"/>
    <hyperlink r:id="rId401" ref="B202"/>
    <hyperlink r:id="rId402" ref="D202"/>
    <hyperlink r:id="rId403" ref="B203"/>
    <hyperlink r:id="rId404" ref="D203"/>
    <hyperlink r:id="rId405" ref="B204"/>
    <hyperlink r:id="rId406" ref="D204"/>
    <hyperlink r:id="rId407" ref="B205"/>
    <hyperlink r:id="rId408" ref="D205"/>
    <hyperlink r:id="rId409" ref="B206"/>
    <hyperlink r:id="rId410" ref="D206"/>
    <hyperlink r:id="rId411" ref="B207"/>
    <hyperlink r:id="rId412" ref="D207"/>
    <hyperlink r:id="rId413" ref="B208"/>
    <hyperlink r:id="rId414" ref="D208"/>
    <hyperlink r:id="rId415" ref="B209"/>
    <hyperlink r:id="rId416" ref="D209"/>
    <hyperlink r:id="rId417" ref="B210"/>
    <hyperlink r:id="rId418" ref="D210"/>
    <hyperlink r:id="rId419" ref="B211"/>
    <hyperlink r:id="rId420" ref="D211"/>
    <hyperlink r:id="rId421" ref="B212"/>
    <hyperlink r:id="rId422" ref="D212"/>
    <hyperlink r:id="rId423" ref="B213"/>
    <hyperlink r:id="rId424" ref="D213"/>
    <hyperlink r:id="rId425" ref="B214"/>
    <hyperlink r:id="rId426" ref="D214"/>
    <hyperlink r:id="rId427" ref="B215"/>
    <hyperlink r:id="rId428" ref="D215"/>
    <hyperlink r:id="rId429" ref="B216"/>
    <hyperlink r:id="rId430" ref="D216"/>
    <hyperlink r:id="rId431" ref="B217"/>
    <hyperlink r:id="rId432" ref="D217"/>
    <hyperlink r:id="rId433" ref="B218"/>
    <hyperlink r:id="rId434" ref="D218"/>
    <hyperlink r:id="rId435" ref="B219"/>
    <hyperlink r:id="rId436" ref="D219"/>
    <hyperlink r:id="rId437" ref="B220"/>
    <hyperlink r:id="rId438" ref="D220"/>
    <hyperlink r:id="rId439" ref="B221"/>
    <hyperlink r:id="rId440" ref="D221"/>
    <hyperlink r:id="rId441" ref="B222"/>
    <hyperlink r:id="rId442" ref="D222"/>
    <hyperlink r:id="rId443" ref="B223"/>
    <hyperlink r:id="rId444" ref="D223"/>
    <hyperlink r:id="rId445" ref="B224"/>
    <hyperlink r:id="rId446" ref="D224"/>
    <hyperlink r:id="rId447" ref="B225"/>
    <hyperlink r:id="rId448" ref="D225"/>
    <hyperlink r:id="rId449" ref="B226"/>
    <hyperlink r:id="rId450" ref="D226"/>
    <hyperlink r:id="rId451" ref="B227"/>
    <hyperlink r:id="rId452" ref="D227"/>
    <hyperlink r:id="rId453" ref="B228"/>
    <hyperlink r:id="rId454" ref="D228"/>
    <hyperlink r:id="rId455" ref="B229"/>
    <hyperlink r:id="rId456" ref="D229"/>
    <hyperlink r:id="rId457" ref="B230"/>
    <hyperlink r:id="rId458" ref="D230"/>
    <hyperlink r:id="rId459" ref="B231"/>
    <hyperlink r:id="rId460" ref="D231"/>
    <hyperlink r:id="rId461" ref="B232"/>
    <hyperlink r:id="rId462" ref="D232"/>
    <hyperlink r:id="rId463" ref="B233"/>
    <hyperlink r:id="rId464" ref="D233"/>
    <hyperlink r:id="rId465" ref="B234"/>
    <hyperlink r:id="rId466" ref="D234"/>
    <hyperlink r:id="rId467" ref="B235"/>
    <hyperlink r:id="rId468" ref="D235"/>
    <hyperlink r:id="rId469" ref="B236"/>
    <hyperlink r:id="rId470" ref="D236"/>
    <hyperlink r:id="rId471" ref="B237"/>
    <hyperlink r:id="rId472" ref="D237"/>
    <hyperlink r:id="rId473" ref="B238"/>
    <hyperlink r:id="rId474" ref="D238"/>
    <hyperlink r:id="rId475" ref="B239"/>
    <hyperlink r:id="rId476" ref="D239"/>
    <hyperlink r:id="rId477" ref="B240"/>
    <hyperlink r:id="rId478" ref="D240"/>
    <hyperlink r:id="rId479" ref="B241"/>
    <hyperlink r:id="rId480" ref="D241"/>
    <hyperlink r:id="rId481" ref="B242"/>
    <hyperlink r:id="rId482" ref="D242"/>
    <hyperlink r:id="rId483" ref="B243"/>
    <hyperlink r:id="rId484" ref="D243"/>
    <hyperlink r:id="rId485" ref="B244"/>
    <hyperlink r:id="rId486" ref="D244"/>
    <hyperlink r:id="rId487" ref="B245"/>
    <hyperlink r:id="rId488" ref="D245"/>
    <hyperlink r:id="rId489" ref="B246"/>
    <hyperlink r:id="rId490" ref="D246"/>
    <hyperlink r:id="rId491" ref="B247"/>
    <hyperlink r:id="rId492" ref="D247"/>
    <hyperlink r:id="rId493" ref="B248"/>
    <hyperlink r:id="rId494" ref="D248"/>
    <hyperlink r:id="rId495" ref="B249"/>
    <hyperlink r:id="rId496" ref="D249"/>
    <hyperlink r:id="rId497" ref="B250"/>
    <hyperlink r:id="rId498" ref="D250"/>
    <hyperlink r:id="rId499" ref="B251"/>
    <hyperlink r:id="rId500" ref="D251"/>
    <hyperlink r:id="rId501" ref="B252"/>
    <hyperlink r:id="rId502" ref="D252"/>
    <hyperlink r:id="rId503" ref="B253"/>
    <hyperlink r:id="rId504" ref="D253"/>
    <hyperlink r:id="rId505" ref="B254"/>
    <hyperlink r:id="rId506" ref="D254"/>
    <hyperlink r:id="rId507" ref="B255"/>
    <hyperlink r:id="rId508" ref="D255"/>
    <hyperlink r:id="rId509" ref="B256"/>
    <hyperlink r:id="rId510" ref="D256"/>
    <hyperlink r:id="rId511" ref="B257"/>
    <hyperlink r:id="rId512" ref="D257"/>
    <hyperlink r:id="rId513" ref="B258"/>
    <hyperlink r:id="rId514" ref="D258"/>
    <hyperlink r:id="rId515" ref="B259"/>
    <hyperlink r:id="rId516" ref="D259"/>
    <hyperlink r:id="rId517" ref="B260"/>
    <hyperlink r:id="rId518" ref="D260"/>
    <hyperlink r:id="rId519" ref="B261"/>
    <hyperlink r:id="rId520" ref="D261"/>
    <hyperlink r:id="rId521" ref="B262"/>
    <hyperlink r:id="rId522" ref="D262"/>
    <hyperlink r:id="rId523" ref="B263"/>
    <hyperlink r:id="rId524" ref="D263"/>
    <hyperlink r:id="rId525" ref="B264"/>
    <hyperlink r:id="rId526" ref="D264"/>
    <hyperlink r:id="rId527" ref="B265"/>
    <hyperlink r:id="rId528" ref="D265"/>
    <hyperlink r:id="rId529" ref="B266"/>
    <hyperlink r:id="rId530" ref="D266"/>
    <hyperlink r:id="rId531" ref="B267"/>
    <hyperlink r:id="rId532" ref="D267"/>
    <hyperlink r:id="rId533" ref="B268"/>
    <hyperlink r:id="rId534" ref="D268"/>
    <hyperlink r:id="rId535" ref="B269"/>
    <hyperlink r:id="rId536" ref="D269"/>
    <hyperlink r:id="rId537" ref="B270"/>
    <hyperlink r:id="rId538" ref="D270"/>
    <hyperlink r:id="rId539" ref="B271"/>
    <hyperlink r:id="rId540" ref="D271"/>
    <hyperlink r:id="rId541" ref="B272"/>
    <hyperlink r:id="rId542" ref="D272"/>
    <hyperlink r:id="rId543" ref="B273"/>
    <hyperlink r:id="rId544" ref="D273"/>
    <hyperlink r:id="rId545" ref="B274"/>
    <hyperlink r:id="rId546" ref="D274"/>
    <hyperlink r:id="rId547" ref="B275"/>
    <hyperlink r:id="rId548" ref="D275"/>
    <hyperlink r:id="rId549" ref="B276"/>
    <hyperlink r:id="rId550" ref="D276"/>
    <hyperlink r:id="rId551" ref="B277"/>
    <hyperlink r:id="rId552" ref="D277"/>
    <hyperlink r:id="rId553" ref="B278"/>
    <hyperlink r:id="rId554" ref="D278"/>
    <hyperlink r:id="rId555" ref="B279"/>
    <hyperlink r:id="rId556" ref="D279"/>
    <hyperlink r:id="rId557" ref="B280"/>
    <hyperlink r:id="rId558" ref="D280"/>
    <hyperlink r:id="rId559" ref="B281"/>
    <hyperlink r:id="rId560" ref="D281"/>
    <hyperlink r:id="rId561" ref="B282"/>
    <hyperlink r:id="rId562" ref="D282"/>
    <hyperlink r:id="rId563" ref="B283"/>
    <hyperlink r:id="rId564" ref="D283"/>
    <hyperlink r:id="rId565" ref="B284"/>
    <hyperlink r:id="rId566" ref="D284"/>
    <hyperlink r:id="rId567" ref="B285"/>
    <hyperlink r:id="rId568" ref="D285"/>
    <hyperlink r:id="rId569" ref="B286"/>
    <hyperlink r:id="rId570" ref="D286"/>
    <hyperlink r:id="rId571" ref="B287"/>
    <hyperlink r:id="rId572" ref="D287"/>
    <hyperlink r:id="rId573" ref="B288"/>
    <hyperlink r:id="rId574" ref="D288"/>
    <hyperlink r:id="rId575" ref="B289"/>
    <hyperlink r:id="rId576" ref="D289"/>
    <hyperlink r:id="rId577" ref="B290"/>
    <hyperlink r:id="rId578" ref="D290"/>
    <hyperlink r:id="rId579" ref="B291"/>
    <hyperlink r:id="rId580" ref="D291"/>
    <hyperlink r:id="rId581" ref="B292"/>
    <hyperlink r:id="rId582" ref="D292"/>
    <hyperlink r:id="rId583" ref="B293"/>
    <hyperlink r:id="rId584" ref="D293"/>
    <hyperlink r:id="rId585" ref="B294"/>
    <hyperlink r:id="rId586" ref="D294"/>
    <hyperlink r:id="rId587" ref="B295"/>
    <hyperlink r:id="rId588" ref="D295"/>
    <hyperlink r:id="rId589" ref="B296"/>
    <hyperlink r:id="rId590" ref="D296"/>
    <hyperlink r:id="rId591" ref="B297"/>
    <hyperlink r:id="rId592" ref="D297"/>
    <hyperlink r:id="rId593" ref="B298"/>
    <hyperlink r:id="rId594" ref="D298"/>
    <hyperlink r:id="rId595" ref="B299"/>
    <hyperlink r:id="rId596" ref="D299"/>
    <hyperlink r:id="rId597" ref="B300"/>
    <hyperlink r:id="rId598" ref="D300"/>
    <hyperlink r:id="rId599" ref="B301"/>
    <hyperlink r:id="rId600" ref="D301"/>
    <hyperlink r:id="rId601" ref="B302"/>
    <hyperlink r:id="rId602" ref="D302"/>
    <hyperlink r:id="rId603" ref="B303"/>
    <hyperlink r:id="rId604" ref="D303"/>
    <hyperlink r:id="rId605" ref="B304"/>
    <hyperlink r:id="rId606" ref="D304"/>
    <hyperlink r:id="rId607" ref="B305"/>
    <hyperlink r:id="rId608" ref="D305"/>
    <hyperlink r:id="rId609" ref="B306"/>
    <hyperlink r:id="rId610" ref="D306"/>
    <hyperlink r:id="rId611" ref="B307"/>
    <hyperlink r:id="rId612" ref="D307"/>
    <hyperlink r:id="rId613" ref="B308"/>
    <hyperlink r:id="rId614" ref="D308"/>
    <hyperlink r:id="rId615" ref="B309"/>
    <hyperlink r:id="rId616" ref="D309"/>
    <hyperlink r:id="rId617" ref="B310"/>
    <hyperlink r:id="rId618" ref="D310"/>
    <hyperlink r:id="rId619" ref="B311"/>
    <hyperlink r:id="rId620" ref="D311"/>
    <hyperlink r:id="rId621" ref="B312"/>
    <hyperlink r:id="rId622" ref="D312"/>
    <hyperlink r:id="rId623" ref="B313"/>
    <hyperlink r:id="rId624" ref="D313"/>
    <hyperlink r:id="rId625" ref="B314"/>
    <hyperlink r:id="rId626" ref="D314"/>
    <hyperlink r:id="rId627" ref="B315"/>
    <hyperlink r:id="rId628" ref="D315"/>
    <hyperlink r:id="rId629" ref="B316"/>
    <hyperlink r:id="rId630" ref="D316"/>
    <hyperlink r:id="rId631" ref="B317"/>
    <hyperlink r:id="rId632" ref="D317"/>
    <hyperlink r:id="rId633" ref="B318"/>
    <hyperlink r:id="rId634" ref="D318"/>
    <hyperlink r:id="rId635" ref="B319"/>
    <hyperlink r:id="rId636" ref="D319"/>
    <hyperlink r:id="rId637" ref="B320"/>
    <hyperlink r:id="rId638" ref="D320"/>
    <hyperlink r:id="rId639" ref="B321"/>
    <hyperlink r:id="rId640" ref="D321"/>
    <hyperlink r:id="rId641" ref="B322"/>
    <hyperlink r:id="rId642" ref="D322"/>
    <hyperlink r:id="rId643" ref="B323"/>
    <hyperlink r:id="rId644" ref="D323"/>
    <hyperlink r:id="rId645" ref="B324"/>
    <hyperlink r:id="rId646" ref="D324"/>
    <hyperlink r:id="rId647" ref="B325"/>
    <hyperlink r:id="rId648" ref="D325"/>
    <hyperlink r:id="rId649" ref="B326"/>
    <hyperlink r:id="rId650" ref="D326"/>
    <hyperlink r:id="rId651" ref="B327"/>
    <hyperlink r:id="rId652" ref="D327"/>
    <hyperlink r:id="rId653" ref="B328"/>
    <hyperlink r:id="rId654" ref="D328"/>
    <hyperlink r:id="rId655" ref="B329"/>
    <hyperlink r:id="rId656" ref="D329"/>
    <hyperlink r:id="rId657" ref="B330"/>
    <hyperlink r:id="rId658" ref="D330"/>
    <hyperlink r:id="rId659" ref="B331"/>
    <hyperlink r:id="rId660" ref="D331"/>
    <hyperlink r:id="rId661" ref="B332"/>
    <hyperlink r:id="rId662" ref="D332"/>
    <hyperlink r:id="rId663" ref="B333"/>
    <hyperlink r:id="rId664" ref="D333"/>
    <hyperlink r:id="rId665" ref="B334"/>
    <hyperlink r:id="rId666" ref="D334"/>
    <hyperlink r:id="rId667" ref="B335"/>
    <hyperlink r:id="rId668" ref="D335"/>
    <hyperlink r:id="rId669" ref="B336"/>
    <hyperlink r:id="rId670" ref="D336"/>
    <hyperlink r:id="rId671" ref="B337"/>
    <hyperlink r:id="rId672" ref="D337"/>
    <hyperlink r:id="rId673" ref="B338"/>
    <hyperlink r:id="rId674" ref="D338"/>
  </hyperlinks>
  <drawing r:id="rId675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0.0"/>
    <col customWidth="1" min="2" max="2" width="34.63"/>
  </cols>
  <sheetData>
    <row r="1">
      <c r="A1" s="29" t="s">
        <v>1653</v>
      </c>
      <c r="B1" s="29" t="s">
        <v>28</v>
      </c>
    </row>
    <row r="2">
      <c r="A2" s="9" t="s">
        <v>373</v>
      </c>
      <c r="B2" s="5" t="s">
        <v>1467</v>
      </c>
    </row>
    <row r="3">
      <c r="A3" s="9" t="s">
        <v>373</v>
      </c>
      <c r="B3" s="5" t="s">
        <v>1470</v>
      </c>
    </row>
    <row r="4">
      <c r="A4" s="9" t="s">
        <v>373</v>
      </c>
      <c r="B4" s="5" t="s">
        <v>1656</v>
      </c>
    </row>
    <row r="5">
      <c r="A5" s="9" t="s">
        <v>373</v>
      </c>
      <c r="B5" s="5" t="s">
        <v>1657</v>
      </c>
    </row>
    <row r="6">
      <c r="A6" s="9" t="s">
        <v>64</v>
      </c>
      <c r="B6" s="5" t="s">
        <v>379</v>
      </c>
    </row>
    <row r="7">
      <c r="A7" s="9" t="s">
        <v>64</v>
      </c>
      <c r="B7" s="5" t="s">
        <v>385</v>
      </c>
    </row>
    <row r="8">
      <c r="A8" s="9" t="s">
        <v>295</v>
      </c>
      <c r="B8" s="5" t="s">
        <v>861</v>
      </c>
    </row>
    <row r="9">
      <c r="A9" s="9" t="s">
        <v>295</v>
      </c>
      <c r="B9" s="5" t="s">
        <v>1620</v>
      </c>
    </row>
    <row r="10">
      <c r="A10" s="9" t="s">
        <v>39</v>
      </c>
      <c r="B10" s="5" t="s">
        <v>287</v>
      </c>
    </row>
    <row r="11">
      <c r="A11" s="9" t="s">
        <v>39</v>
      </c>
      <c r="B11" s="5" t="s">
        <v>292</v>
      </c>
    </row>
    <row r="12">
      <c r="A12" s="9" t="s">
        <v>39</v>
      </c>
      <c r="B12" s="5" t="s">
        <v>296</v>
      </c>
    </row>
    <row r="13">
      <c r="A13" s="9" t="s">
        <v>372</v>
      </c>
      <c r="B13" s="5" t="s">
        <v>1454</v>
      </c>
    </row>
    <row r="14">
      <c r="A14" s="9" t="s">
        <v>372</v>
      </c>
      <c r="B14" s="5" t="s">
        <v>1659</v>
      </c>
    </row>
    <row r="15">
      <c r="A15" s="9" t="s">
        <v>372</v>
      </c>
      <c r="B15" s="5" t="s">
        <v>1660</v>
      </c>
    </row>
    <row r="16">
      <c r="A16" s="9" t="s">
        <v>372</v>
      </c>
      <c r="B16" s="5" t="s">
        <v>1661</v>
      </c>
    </row>
    <row r="17">
      <c r="A17" s="9" t="s">
        <v>372</v>
      </c>
      <c r="B17" s="5" t="s">
        <v>1662</v>
      </c>
    </row>
    <row r="18">
      <c r="A18" s="9" t="s">
        <v>372</v>
      </c>
      <c r="B18" s="5" t="s">
        <v>1659</v>
      </c>
    </row>
    <row r="19">
      <c r="A19" s="9" t="s">
        <v>354</v>
      </c>
      <c r="B19" s="5" t="s">
        <v>1663</v>
      </c>
    </row>
    <row r="20">
      <c r="A20" s="9" t="s">
        <v>354</v>
      </c>
      <c r="B20" s="5" t="s">
        <v>1664</v>
      </c>
    </row>
    <row r="21">
      <c r="A21" s="9" t="s">
        <v>354</v>
      </c>
      <c r="B21" s="5" t="s">
        <v>1665</v>
      </c>
    </row>
    <row r="22">
      <c r="A22" s="9" t="s">
        <v>354</v>
      </c>
      <c r="B22" s="5" t="s">
        <v>1666</v>
      </c>
    </row>
    <row r="23">
      <c r="A23" s="9" t="s">
        <v>354</v>
      </c>
      <c r="B23" s="5" t="s">
        <v>1663</v>
      </c>
    </row>
    <row r="24">
      <c r="A24" s="9" t="s">
        <v>354</v>
      </c>
      <c r="B24" s="5" t="s">
        <v>1664</v>
      </c>
    </row>
    <row r="25">
      <c r="A25" s="9" t="s">
        <v>354</v>
      </c>
      <c r="B25" s="5" t="s">
        <v>1665</v>
      </c>
    </row>
    <row r="26">
      <c r="A26" s="9" t="s">
        <v>354</v>
      </c>
      <c r="B26" s="5" t="s">
        <v>1666</v>
      </c>
    </row>
    <row r="27">
      <c r="A27" s="9" t="s">
        <v>354</v>
      </c>
      <c r="B27" s="5" t="s">
        <v>1663</v>
      </c>
    </row>
    <row r="28">
      <c r="A28" s="9" t="s">
        <v>354</v>
      </c>
      <c r="B28" s="5" t="s">
        <v>1667</v>
      </c>
    </row>
    <row r="29">
      <c r="A29" s="9" t="s">
        <v>354</v>
      </c>
      <c r="B29" s="5" t="s">
        <v>1663</v>
      </c>
    </row>
    <row r="30">
      <c r="A30" s="9" t="s">
        <v>354</v>
      </c>
      <c r="B30" s="5" t="s">
        <v>1668</v>
      </c>
    </row>
    <row r="31">
      <c r="A31" s="9" t="s">
        <v>354</v>
      </c>
      <c r="B31" s="5" t="s">
        <v>1663</v>
      </c>
    </row>
    <row r="32">
      <c r="A32" s="9" t="s">
        <v>354</v>
      </c>
      <c r="B32" s="5" t="s">
        <v>1669</v>
      </c>
    </row>
    <row r="33">
      <c r="A33" s="9" t="s">
        <v>339</v>
      </c>
      <c r="B33" s="5" t="s">
        <v>1194</v>
      </c>
    </row>
    <row r="34">
      <c r="A34" s="9" t="s">
        <v>339</v>
      </c>
      <c r="B34" s="5" t="s">
        <v>1183</v>
      </c>
    </row>
    <row r="35">
      <c r="A35" s="9" t="s">
        <v>291</v>
      </c>
      <c r="B35" s="5" t="s">
        <v>1601</v>
      </c>
    </row>
    <row r="36">
      <c r="A36" s="9" t="s">
        <v>291</v>
      </c>
      <c r="B36" s="5" t="s">
        <v>1603</v>
      </c>
    </row>
    <row r="37">
      <c r="A37" s="9" t="s">
        <v>291</v>
      </c>
      <c r="B37" s="5" t="s">
        <v>1605</v>
      </c>
    </row>
    <row r="38">
      <c r="A38" s="9" t="s">
        <v>291</v>
      </c>
      <c r="B38" s="5" t="s">
        <v>1607</v>
      </c>
    </row>
    <row r="39">
      <c r="A39" s="9" t="s">
        <v>291</v>
      </c>
      <c r="B39" s="5" t="s">
        <v>1601</v>
      </c>
    </row>
    <row r="40">
      <c r="A40" s="9" t="s">
        <v>193</v>
      </c>
      <c r="B40" s="5" t="s">
        <v>589</v>
      </c>
    </row>
    <row r="41">
      <c r="A41" s="9" t="s">
        <v>193</v>
      </c>
      <c r="B41" s="5" t="s">
        <v>591</v>
      </c>
    </row>
    <row r="42">
      <c r="A42" s="9" t="s">
        <v>218</v>
      </c>
      <c r="B42" s="5" t="s">
        <v>616</v>
      </c>
    </row>
    <row r="43">
      <c r="A43" s="9" t="s">
        <v>218</v>
      </c>
      <c r="B43" s="5" t="s">
        <v>619</v>
      </c>
    </row>
    <row r="44">
      <c r="A44" s="9" t="s">
        <v>345</v>
      </c>
      <c r="B44" s="5" t="s">
        <v>1264</v>
      </c>
    </row>
    <row r="45">
      <c r="A45" s="9" t="s">
        <v>345</v>
      </c>
      <c r="B45" s="5" t="s">
        <v>1671</v>
      </c>
    </row>
    <row r="46">
      <c r="A46" s="9" t="s">
        <v>356</v>
      </c>
      <c r="B46" s="5" t="s">
        <v>1672</v>
      </c>
    </row>
    <row r="47">
      <c r="A47" s="9" t="s">
        <v>356</v>
      </c>
      <c r="B47" s="5" t="s">
        <v>1673</v>
      </c>
    </row>
    <row r="48">
      <c r="A48" s="9" t="s">
        <v>356</v>
      </c>
      <c r="B48" s="5" t="s">
        <v>1674</v>
      </c>
    </row>
    <row r="49">
      <c r="A49" s="9" t="s">
        <v>356</v>
      </c>
      <c r="B49" s="5" t="s">
        <v>1675</v>
      </c>
    </row>
    <row r="50">
      <c r="A50" s="9" t="s">
        <v>356</v>
      </c>
      <c r="B50" s="5" t="s">
        <v>1673</v>
      </c>
    </row>
    <row r="51">
      <c r="A51" s="9" t="s">
        <v>356</v>
      </c>
      <c r="B51" s="5" t="s">
        <v>1674</v>
      </c>
    </row>
    <row r="52">
      <c r="A52" s="9" t="s">
        <v>356</v>
      </c>
      <c r="B52" s="5" t="s">
        <v>1675</v>
      </c>
    </row>
    <row r="53">
      <c r="A53" s="9" t="s">
        <v>356</v>
      </c>
      <c r="B53" s="5" t="s">
        <v>1674</v>
      </c>
    </row>
    <row r="54">
      <c r="A54" s="9" t="s">
        <v>49</v>
      </c>
      <c r="B54" s="5" t="s">
        <v>346</v>
      </c>
    </row>
    <row r="55">
      <c r="A55" s="9" t="s">
        <v>49</v>
      </c>
      <c r="B55" s="5" t="s">
        <v>348</v>
      </c>
    </row>
    <row r="56">
      <c r="A56" s="9" t="s">
        <v>169</v>
      </c>
      <c r="B56" s="5" t="s">
        <v>562</v>
      </c>
    </row>
    <row r="57">
      <c r="A57" s="9" t="s">
        <v>169</v>
      </c>
      <c r="B57" s="5" t="s">
        <v>565</v>
      </c>
    </row>
    <row r="58">
      <c r="A58" s="9" t="s">
        <v>169</v>
      </c>
      <c r="B58" s="5" t="s">
        <v>570</v>
      </c>
    </row>
    <row r="59">
      <c r="A59" s="9" t="s">
        <v>169</v>
      </c>
      <c r="B59" s="5" t="s">
        <v>573</v>
      </c>
    </row>
    <row r="60">
      <c r="A60" s="9" t="s">
        <v>248</v>
      </c>
      <c r="B60" s="5" t="s">
        <v>713</v>
      </c>
    </row>
    <row r="61">
      <c r="A61" s="9" t="s">
        <v>248</v>
      </c>
      <c r="B61" s="5" t="s">
        <v>653</v>
      </c>
    </row>
    <row r="62">
      <c r="A62" s="9" t="s">
        <v>246</v>
      </c>
      <c r="B62" s="5" t="s">
        <v>660</v>
      </c>
    </row>
    <row r="63">
      <c r="A63" s="9" t="s">
        <v>246</v>
      </c>
      <c r="B63" s="5" t="s">
        <v>663</v>
      </c>
    </row>
    <row r="64">
      <c r="A64" s="9" t="s">
        <v>371</v>
      </c>
      <c r="B64" s="5" t="s">
        <v>1678</v>
      </c>
    </row>
    <row r="65">
      <c r="A65" s="9" t="s">
        <v>371</v>
      </c>
      <c r="B65" s="5" t="s">
        <v>1679</v>
      </c>
    </row>
    <row r="66">
      <c r="A66" s="9" t="s">
        <v>371</v>
      </c>
      <c r="B66" s="5" t="s">
        <v>1680</v>
      </c>
    </row>
    <row r="67">
      <c r="A67" s="9" t="s">
        <v>371</v>
      </c>
      <c r="B67" s="5" t="s">
        <v>1681</v>
      </c>
    </row>
    <row r="68">
      <c r="A68" s="9" t="s">
        <v>371</v>
      </c>
      <c r="B68" s="5" t="s">
        <v>1679</v>
      </c>
    </row>
    <row r="69">
      <c r="A69" s="9" t="s">
        <v>371</v>
      </c>
      <c r="B69" s="5" t="s">
        <v>1681</v>
      </c>
    </row>
    <row r="70">
      <c r="A70" s="9" t="s">
        <v>371</v>
      </c>
      <c r="B70" s="5" t="s">
        <v>1680</v>
      </c>
    </row>
    <row r="71">
      <c r="A71" s="9" t="s">
        <v>371</v>
      </c>
      <c r="B71" s="5" t="s">
        <v>1682</v>
      </c>
    </row>
    <row r="72">
      <c r="A72" s="9" t="s">
        <v>371</v>
      </c>
      <c r="B72" s="5" t="s">
        <v>1683</v>
      </c>
    </row>
    <row r="73">
      <c r="A73" s="9" t="s">
        <v>371</v>
      </c>
      <c r="B73" s="5" t="s">
        <v>1684</v>
      </c>
    </row>
    <row r="74">
      <c r="A74" s="9" t="s">
        <v>371</v>
      </c>
      <c r="B74" s="5" t="s">
        <v>1683</v>
      </c>
    </row>
    <row r="75">
      <c r="A75" s="9" t="s">
        <v>371</v>
      </c>
      <c r="B75" s="5" t="s">
        <v>1684</v>
      </c>
    </row>
    <row r="76">
      <c r="A76" s="9" t="s">
        <v>371</v>
      </c>
      <c r="B76" s="5" t="s">
        <v>1685</v>
      </c>
    </row>
    <row r="77">
      <c r="A77" s="9" t="s">
        <v>371</v>
      </c>
      <c r="B77" s="5" t="s">
        <v>1438</v>
      </c>
    </row>
    <row r="78">
      <c r="A78" s="9" t="s">
        <v>371</v>
      </c>
      <c r="B78" s="5" t="s">
        <v>1438</v>
      </c>
    </row>
    <row r="79">
      <c r="A79" s="9" t="s">
        <v>366</v>
      </c>
      <c r="B79" s="5" t="s">
        <v>1687</v>
      </c>
    </row>
    <row r="80">
      <c r="A80" s="9" t="s">
        <v>366</v>
      </c>
      <c r="B80" s="5" t="s">
        <v>1688</v>
      </c>
    </row>
    <row r="81">
      <c r="A81" s="9" t="s">
        <v>366</v>
      </c>
      <c r="B81" s="5" t="s">
        <v>1689</v>
      </c>
    </row>
  </sheetData>
  <hyperlinks>
    <hyperlink r:id="rId1" ref="A2"/>
    <hyperlink r:id="rId2" ref="A3"/>
    <hyperlink r:id="rId3" ref="A4"/>
    <hyperlink r:id="rId4" ref="A5"/>
    <hyperlink r:id="rId5" ref="A6"/>
    <hyperlink r:id="rId6" ref="A7"/>
    <hyperlink r:id="rId7" ref="A8"/>
    <hyperlink r:id="rId8" ref="A9"/>
    <hyperlink r:id="rId9" ref="A10"/>
    <hyperlink r:id="rId10" ref="A11"/>
    <hyperlink r:id="rId11" ref="A12"/>
    <hyperlink r:id="rId12" ref="A13"/>
    <hyperlink r:id="rId13" ref="A14"/>
    <hyperlink r:id="rId14" ref="A15"/>
    <hyperlink r:id="rId15" ref="A16"/>
    <hyperlink r:id="rId16" ref="A17"/>
    <hyperlink r:id="rId17" ref="A18"/>
    <hyperlink r:id="rId18" ref="A19"/>
    <hyperlink r:id="rId19" ref="A20"/>
    <hyperlink r:id="rId20" ref="A21"/>
    <hyperlink r:id="rId21" ref="A22"/>
    <hyperlink r:id="rId22" ref="A23"/>
    <hyperlink r:id="rId23" ref="A24"/>
    <hyperlink r:id="rId24" ref="A25"/>
    <hyperlink r:id="rId25" ref="A26"/>
    <hyperlink r:id="rId26" ref="A27"/>
    <hyperlink r:id="rId27" ref="A28"/>
    <hyperlink r:id="rId28" ref="A29"/>
    <hyperlink r:id="rId29" ref="A30"/>
    <hyperlink r:id="rId30" ref="A31"/>
    <hyperlink r:id="rId31" ref="A32"/>
    <hyperlink r:id="rId32" ref="A33"/>
    <hyperlink r:id="rId33" ref="A34"/>
    <hyperlink r:id="rId34" ref="A35"/>
    <hyperlink r:id="rId35" ref="A36"/>
    <hyperlink r:id="rId36" ref="A37"/>
    <hyperlink r:id="rId37" ref="A38"/>
    <hyperlink r:id="rId38" ref="A39"/>
    <hyperlink r:id="rId39" ref="A40"/>
    <hyperlink r:id="rId40" ref="A41"/>
    <hyperlink r:id="rId41" ref="A42"/>
    <hyperlink r:id="rId42" ref="A43"/>
    <hyperlink r:id="rId43" ref="A44"/>
    <hyperlink r:id="rId44" ref="A45"/>
    <hyperlink r:id="rId45" ref="A46"/>
    <hyperlink r:id="rId46" ref="A47"/>
    <hyperlink r:id="rId47" ref="A48"/>
    <hyperlink r:id="rId48" ref="A49"/>
    <hyperlink r:id="rId49" ref="A50"/>
    <hyperlink r:id="rId50" ref="A51"/>
    <hyperlink r:id="rId51" ref="A52"/>
    <hyperlink r:id="rId52" ref="A53"/>
    <hyperlink r:id="rId53" ref="A54"/>
    <hyperlink r:id="rId54" ref="A55"/>
    <hyperlink r:id="rId55" ref="A56"/>
    <hyperlink r:id="rId56" ref="A57"/>
    <hyperlink r:id="rId57" ref="A58"/>
    <hyperlink r:id="rId58" ref="A59"/>
    <hyperlink r:id="rId59" ref="A60"/>
    <hyperlink r:id="rId60" ref="A61"/>
    <hyperlink r:id="rId61" ref="A62"/>
    <hyperlink r:id="rId62" ref="A63"/>
    <hyperlink r:id="rId63" ref="A64"/>
    <hyperlink r:id="rId64" ref="A65"/>
    <hyperlink r:id="rId65" ref="A66"/>
    <hyperlink r:id="rId66" ref="A67"/>
    <hyperlink r:id="rId67" ref="A68"/>
    <hyperlink r:id="rId68" ref="A69"/>
    <hyperlink r:id="rId69" ref="A70"/>
    <hyperlink r:id="rId70" ref="A71"/>
    <hyperlink r:id="rId71" ref="A72"/>
    <hyperlink r:id="rId72" ref="A73"/>
    <hyperlink r:id="rId73" ref="A74"/>
    <hyperlink r:id="rId74" ref="A75"/>
    <hyperlink r:id="rId75" ref="A76"/>
    <hyperlink r:id="rId76" ref="A77"/>
    <hyperlink r:id="rId77" ref="A78"/>
    <hyperlink r:id="rId78" ref="A79"/>
    <hyperlink r:id="rId79" ref="A80"/>
    <hyperlink r:id="rId80" ref="A81"/>
  </hyperlinks>
  <drawing r:id="rId81"/>
</worksheet>
</file>